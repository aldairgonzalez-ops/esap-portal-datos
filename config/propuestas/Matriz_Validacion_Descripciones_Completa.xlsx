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étricas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Uso en lógica" sheetId="4" state="visible" r:id="rId4"/>
  </sheets>
  <definedNames>
    <definedName name="_xlnm._FilterDatabase" localSheetId="2" hidden="1">'Matriz'!$A$1:$AA$2433</definedName>
    <definedName name="_xlnm._FilterDatabase" localSheetId="3" hidden="1">'Uso en lógica'!$A$1:$F$181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555555"/>
      <sz val="10"/>
    </font>
    <font>
      <name val="Arial"/>
      <b val="1"/>
      <sz val="11"/>
    </font>
    <font>
      <name val="Arial"/>
      <sz val="10"/>
    </font>
    <font>
      <name val="Arial"/>
      <i val="1"/>
      <sz val="10"/>
    </font>
    <font>
      <name val="Consolas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A5F"/>
      <sz val="12"/>
    </font>
    <font>
      <name val="Arial"/>
      <i val="1"/>
      <color rgb="00666666"/>
      <sz val="8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A4E0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9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10" fillId="0" borderId="0" pivotButton="0" quotePrefix="0" xfId="0"/>
    <xf numFmtId="0" fontId="11" fillId="0" borderId="1" pivotButton="0" quotePrefix="0" xfId="0"/>
    <xf numFmtId="165" fontId="11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8" fillId="4" borderId="1" applyAlignment="1" pivotButton="0" quotePrefix="0" xfId="0">
      <alignment vertical="top" wrapText="1"/>
    </xf>
    <xf numFmtId="0" fontId="7" fillId="2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D1FADF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FEF0C7"/>
        </patternFill>
      </fill>
    </dxf>
    <dxf>
      <font>
        <name val="Arial"/>
        <b val="1"/>
        <color rgb="00B42318"/>
        <sz val="9"/>
      </font>
    </dxf>
    <dxf>
      <fill>
        <patternFill patternType="solid">
          <fgColor rgb="00FDA2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Matriz de validación de descripciones de columnas · SuperApp ESAP · Base completa</t>
        </is>
      </c>
    </row>
    <row r="2">
      <c r="A2" s="2" t="inlineStr">
        <is>
          <t>Base esap_db (QA) · extracción del 2026-10-22 · generada el 2026-10-26</t>
        </is>
      </c>
    </row>
    <row r="3">
      <c r="A3" s="3" t="inlineStr"/>
    </row>
    <row r="4">
      <c r="A4" s="4" t="inlineStr">
        <is>
          <t>Objetivo</t>
        </is>
      </c>
    </row>
    <row r="5">
      <c r="A5" s="5" t="inlineStr">
        <is>
          <t>Revisar con el equipo de desarrollo la descripción de cada columna que aún no tiene descripción registrada en la base ni validada.</t>
        </is>
      </c>
    </row>
    <row r="6">
      <c r="A6" s="5" t="inlineStr">
        <is>
          <t>Las propuestas se redactaron a partir de la estructura (nombre, tipo, restricciones, valores permitidos, relaciones) y del código de las funciones, triggers y vistas que usan la columna, y del código fuente de la aplicación (entidades y migraciones). No se revisaron valores de los registros. Son propuestas: no reemplazan el conocimiento del equipo.</t>
        </is>
      </c>
    </row>
    <row r="7">
      <c r="A7" s="3" t="inlineStr"/>
    </row>
    <row r="8">
      <c r="A8" s="4" t="inlineStr">
        <is>
          <t>Cómo revisar (hoja «Matriz»)</t>
        </is>
      </c>
    </row>
    <row r="9">
      <c r="A9" s="5" t="inlineStr">
        <is>
          <t>1. Lea la propuesta, su fundamento y, si la hay, la pregunta para desarrollo.</t>
        </is>
      </c>
    </row>
    <row r="10">
      <c r="A10" s="5" t="inlineStr">
        <is>
          <t>2. Elija la decisión en la lista desplegable (celdas amarillas):</t>
        </is>
      </c>
    </row>
    <row r="11">
      <c r="A11" s="5" t="inlineStr">
        <is>
          <t xml:space="preserve">     Aprobada: la propuesta se registra tal cual.</t>
        </is>
      </c>
    </row>
    <row r="12">
      <c r="A12" s="5" t="inlineStr">
        <is>
          <t xml:space="preserve">     Aprobada con ajuste: escriba el texto correcto en «Descripción final».</t>
        </is>
      </c>
    </row>
    <row r="13">
      <c r="A13" s="5" t="inlineStr">
        <is>
          <t xml:space="preserve">     Rechazada: la propuesta no corresponde; escriba la descripción correcta en «Descripción final» o explique en «Observaciones».</t>
        </is>
      </c>
    </row>
    <row r="14">
      <c r="A14" s="5" t="inlineStr">
        <is>
          <t xml:space="preserve">     Requiere aclaración: falta información; anote la duda en «Observaciones».</t>
        </is>
      </c>
    </row>
    <row r="15">
      <c r="A15" s="5" t="inlineStr">
        <is>
          <t>3. Registre quién revisó y la fecha. «Descripción a registrar» se calcula sola.</t>
        </is>
      </c>
    </row>
    <row r="16">
      <c r="A16" s="6" t="inlineStr">
        <is>
          <t xml:space="preserve">     Ejemplo: Decisión = Aprobada con ajuste · Descripción final = «Valor de los viáticos de la comisión, en pesos colombianos, calculado como la suma de días pernoctados y no pernoctados.» · Revisado por = Equipo Viáticos · Fecha de revisión = 2026-10-23.</t>
        </is>
      </c>
    </row>
    <row r="17">
      <c r="A17" s="5" t="inlineStr">
        <is>
          <t>4. La hoja «Métricas» muestra el avance por dominio, por confianza y por uso en la lógica.</t>
        </is>
      </c>
    </row>
    <row r="18">
      <c r="A18" s="5" t="inlineStr">
        <is>
          <t>Las decisiones que ya vienen diligenciadas salen de config/propuestas/&lt;alcance&gt;_decisiones.csv (por ejemplo, aprobaciones en bloque); se pueden cambiar en la matriz.</t>
        </is>
      </c>
    </row>
    <row r="19">
      <c r="A19" s="3" t="inlineStr"/>
    </row>
    <row r="20">
      <c r="A20" s="4" t="inlineStr">
        <is>
          <t>Columnas de la matriz</t>
        </is>
      </c>
    </row>
    <row r="21">
      <c r="A21" s="5" t="inlineStr">
        <is>
          <t>Confianza: Alta (el nombre, el tipo y la lógica coinciden) · Media (el nombre es claro pero falta confirmar el uso) · Baja (el nombre es ambiguo; revisar con prioridad).</t>
        </is>
      </c>
    </row>
    <row r="22">
      <c r="A22" s="5" t="inlineStr">
        <is>
          <t>Origen: «Código fuente (verificado)» (contrastada con entidades, servicios y migraciones), «Regla estructural (redacción revisada)», «Código fuente» (redactada a partir del comentario del desarrollador en la entidad o la migración), «Regla estructural» (convención de nombre) o «Propuesta semántica» (redactada a partir del contexto de la base).</t>
        </is>
      </c>
    </row>
    <row r="23">
      <c r="A23" s="5" t="inlineStr">
        <is>
          <t>Evidencia en código: archivo y línea del repositorio de la aplicación (rama micro-frontend) donde se define la columna, con el comentario del desarrollador, los valores del enum y las validaciones declaradas.</t>
        </is>
      </c>
    </row>
    <row r="24">
      <c r="A24" s="5" t="inlineStr">
        <is>
          <t>Uso en lógica: funciones, procedimientos, triggers y vistas de la base que mencionan la columna. La lógica de la aplicación se resume en «Evidencia en código».</t>
        </is>
      </c>
    </row>
    <row r="25">
      <c r="A25" s="5" t="inlineStr">
        <is>
          <t>Catálogo: la columna apunta a una tabla de catálogo, tiene valores permitidos (CHECK o tipo enumerado) o pertenece a una tabla de catálogo.</t>
        </is>
      </c>
    </row>
    <row r="26">
      <c r="A26" s="3" t="inlineStr"/>
    </row>
    <row r="27">
      <c r="A27" s="4" t="inlineStr">
        <is>
          <t>Después de la revisión</t>
        </is>
      </c>
    </row>
    <row r="28">
      <c r="A28" s="7" t="inlineStr">
        <is>
          <t>python herramientas/matriz_descripciones.py incorporar --matriz &lt;este archivo&gt;  → lleva las aprobadas a config/descripciones.csv (estado validada).</t>
        </is>
      </c>
    </row>
    <row r="29">
      <c r="A29" s="5" t="inlineStr">
        <is>
          <t>Las validadas se publican en el portal y quedan listas para registrarse en la base con un lote COMMENT ON (con reversa), cuando haya autorización.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8" t="inlineStr">
        <is>
          <t>Métricas de la revisión · Base completa</t>
        </is>
      </c>
    </row>
    <row r="3">
      <c r="A3" s="9" t="inlineStr">
        <is>
          <t>Avance general</t>
        </is>
      </c>
    </row>
    <row r="4">
      <c r="A4" s="10" t="inlineStr">
        <is>
          <t>Indicador</t>
        </is>
      </c>
      <c r="B4" s="10" t="inlineStr">
        <is>
          <t>Valor</t>
        </is>
      </c>
    </row>
    <row r="5">
      <c r="A5" s="11" t="inlineStr">
        <is>
          <t>Columnas en la matriz</t>
        </is>
      </c>
      <c r="B5" s="11">
        <f>COUNTA(Matriz!$A$2:$A$2433)</f>
        <v/>
      </c>
    </row>
    <row r="6">
      <c r="A6" s="11" t="inlineStr">
        <is>
          <t>Pendiente</t>
        </is>
      </c>
      <c r="B6" s="11">
        <f>COUNTIF(Matriz!$V$2:$V$2433,"Pendiente")</f>
        <v/>
      </c>
    </row>
    <row r="7">
      <c r="A7" s="11" t="inlineStr">
        <is>
          <t>Aprobada</t>
        </is>
      </c>
      <c r="B7" s="11">
        <f>COUNTIF(Matriz!$V$2:$V$2433,"Aprobada")</f>
        <v/>
      </c>
    </row>
    <row r="8">
      <c r="A8" s="11" t="inlineStr">
        <is>
          <t>Aprobada con ajuste</t>
        </is>
      </c>
      <c r="B8" s="11">
        <f>COUNTIF(Matriz!$V$2:$V$2433,"Aprobada con ajuste")</f>
        <v/>
      </c>
    </row>
    <row r="9">
      <c r="A9" s="11" t="inlineStr">
        <is>
          <t>Rechazada</t>
        </is>
      </c>
      <c r="B9" s="11">
        <f>COUNTIF(Matriz!$V$2:$V$2433,"Rechazada")</f>
        <v/>
      </c>
    </row>
    <row r="10">
      <c r="A10" s="11" t="inlineStr">
        <is>
          <t>Requiere aclaración</t>
        </is>
      </c>
      <c r="B10" s="11">
        <f>COUNTIF(Matriz!$V$2:$V$2433,"Requiere aclaración")</f>
        <v/>
      </c>
    </row>
    <row r="11">
      <c r="A11" s="11" t="inlineStr">
        <is>
          <t>Revisadas (decisión distinta de Pendiente)</t>
        </is>
      </c>
      <c r="B11" s="11">
        <f>B5-B6</f>
        <v/>
      </c>
    </row>
    <row r="12">
      <c r="A12" s="11" t="inlineStr">
        <is>
          <t>% revisado</t>
        </is>
      </c>
      <c r="B12" s="12">
        <f>IF(B5=0,0,B11/B5)</f>
        <v/>
      </c>
    </row>
    <row r="13">
      <c r="A13" s="11" t="inlineStr">
        <is>
          <t>Con descripción a registrar</t>
        </is>
      </c>
      <c r="B13" s="11">
        <f>SUMPRODUCT(--(Matriz!$AA$2:$AA$2433&lt;&gt;""))</f>
        <v/>
      </c>
    </row>
    <row r="14">
      <c r="A14" s="11" t="inlineStr">
        <is>
          <t>Ajustes sin texto en «Descripción final»</t>
        </is>
      </c>
      <c r="B14" s="11">
        <f>SUMPRODUCT(((Matriz!$V$2:$V$2433="Aprobada con ajuste")+(Matriz!$V$2:$V$2433="Rechazada"))*(Matriz!$W$2:$W$2433=""))</f>
        <v/>
      </c>
    </row>
    <row r="16">
      <c r="A16" s="9" t="inlineStr">
        <is>
          <t>Cobertura de descripciones de columnas (indicador K02, meta ≥ 95 %)</t>
        </is>
      </c>
    </row>
    <row r="17">
      <c r="A17" s="10" t="inlineStr">
        <is>
          <t>Concepto</t>
        </is>
      </c>
      <c r="B17" s="10" t="inlineStr">
        <is>
          <t>Valor</t>
        </is>
      </c>
    </row>
    <row r="18">
      <c r="A18" s="11" t="inlineStr">
        <is>
          <t>Columnas del alcance</t>
        </is>
      </c>
      <c r="B18" s="11" t="n">
        <v>5700</v>
      </c>
    </row>
    <row r="19">
      <c r="A19" s="11" t="inlineStr">
        <is>
          <t>Con descripción registrada en la base (COMMENT)</t>
        </is>
      </c>
      <c r="B19" s="11" t="n">
        <v>604</v>
      </c>
    </row>
    <row r="20">
      <c r="A20" s="11" t="inlineStr">
        <is>
          <t>Validadas antes de esta matriz (config/descripciones.csv)</t>
        </is>
      </c>
      <c r="B20" s="11" t="n">
        <v>2664</v>
      </c>
    </row>
    <row r="21">
      <c r="A21" s="11" t="inlineStr">
        <is>
          <t>Con descripción a registrar en esta matriz</t>
        </is>
      </c>
      <c r="B21" s="11">
        <f>B13</f>
        <v/>
      </c>
    </row>
    <row r="22">
      <c r="A22" s="11" t="inlineStr">
        <is>
          <t>Cobertura actual</t>
        </is>
      </c>
      <c r="B22" s="12">
        <f>(B19+B20)/B18</f>
        <v/>
      </c>
    </row>
    <row r="23">
      <c r="A23" s="11" t="inlineStr">
        <is>
          <t>Cobertura al incorporar la matriz</t>
        </is>
      </c>
      <c r="B23" s="12">
        <f>(B19+B20+B21)/B18</f>
        <v/>
      </c>
    </row>
    <row r="24">
      <c r="A24" s="11" t="inlineStr">
        <is>
          <t>Columnas que faltan para la meta de 95 %</t>
        </is>
      </c>
      <c r="B24" s="11">
        <f>MAX(0,ROUNDUP(0.95*B18,0)-(B19+B20+B21))</f>
        <v/>
      </c>
    </row>
    <row r="25">
      <c r="A25" s="13" t="inlineStr">
        <is>
          <t>Columnas del alcance, base y validadas: cifras fijas de la extracción del 2026-10-22 y de config/descripciones.csv.</t>
        </is>
      </c>
    </row>
    <row r="27">
      <c r="A27" s="9" t="inlineStr">
        <is>
          <t>Avance por dominio</t>
        </is>
      </c>
    </row>
    <row r="28">
      <c r="A28" s="10" t="inlineStr">
        <is>
          <t>Dominio</t>
        </is>
      </c>
      <c r="B28" s="10" t="inlineStr">
        <is>
          <t>Esquema</t>
        </is>
      </c>
      <c r="C28" s="10" t="inlineStr">
        <is>
          <t>Columnas</t>
        </is>
      </c>
      <c r="D28" s="10" t="inlineStr">
        <is>
          <t>Aprobadas</t>
        </is>
      </c>
      <c r="E28" s="10" t="inlineStr">
        <is>
          <t>Rechazadas</t>
        </is>
      </c>
      <c r="F28" s="10" t="inlineStr">
        <is>
          <t>Por aclarar</t>
        </is>
      </c>
      <c r="G28" s="10" t="inlineStr">
        <is>
          <t>Pendientes</t>
        </is>
      </c>
      <c r="H28" s="10" t="inlineStr">
        <is>
          <t>% revisado</t>
        </is>
      </c>
    </row>
    <row r="29">
      <c r="A29" s="11" t="inlineStr">
        <is>
          <t>Identidad y acceso</t>
        </is>
      </c>
      <c r="B29" s="11" t="inlineStr">
        <is>
          <t>auth</t>
        </is>
      </c>
      <c r="C29" s="11">
        <f>COUNTIF(Matriz!$C$2:$C$2433,B29)</f>
        <v/>
      </c>
      <c r="D29" s="11">
        <f>COUNTIFS(Matriz!$C$2:$C$2433,B29,Matriz!$V$2:$V$2433,"Aprobada")+COUNTIFS(Matriz!$C$2:$C$2433,B29,Matriz!$V$2:$V$2433,"Aprobada con ajuste")</f>
        <v/>
      </c>
      <c r="E29" s="11">
        <f>COUNTIFS(Matriz!$C$2:$C$2433,B29,Matriz!$V$2:$V$2433,"Rechazada")</f>
        <v/>
      </c>
      <c r="F29" s="11">
        <f>COUNTIFS(Matriz!$C$2:$C$2433,B29,Matriz!$V$2:$V$2433,"Requiere aclaración")</f>
        <v/>
      </c>
      <c r="G29" s="11">
        <f>COUNTIFS(Matriz!$C$2:$C$2433,B29,Matriz!$V$2:$V$2433,"Pendiente")</f>
        <v/>
      </c>
      <c r="H29" s="12">
        <f>IF(C29=0,0,(C29-G29)/C29)</f>
        <v/>
      </c>
    </row>
    <row r="30">
      <c r="A30" s="11" t="inlineStr">
        <is>
          <t>Registro académico</t>
        </is>
      </c>
      <c r="B30" s="11" t="inlineStr">
        <is>
          <t>academic_registration</t>
        </is>
      </c>
      <c r="C30" s="11">
        <f>COUNTIF(Matriz!$C$2:$C$2433,B30)</f>
        <v/>
      </c>
      <c r="D30" s="11">
        <f>COUNTIFS(Matriz!$C$2:$C$2433,B30,Matriz!$V$2:$V$2433,"Aprobada")+COUNTIFS(Matriz!$C$2:$C$2433,B30,Matriz!$V$2:$V$2433,"Aprobada con ajuste")</f>
        <v/>
      </c>
      <c r="E30" s="11">
        <f>COUNTIFS(Matriz!$C$2:$C$2433,B30,Matriz!$V$2:$V$2433,"Rechazada")</f>
        <v/>
      </c>
      <c r="F30" s="11">
        <f>COUNTIFS(Matriz!$C$2:$C$2433,B30,Matriz!$V$2:$V$2433,"Requiere aclaración")</f>
        <v/>
      </c>
      <c r="G30" s="11">
        <f>COUNTIFS(Matriz!$C$2:$C$2433,B30,Matriz!$V$2:$V$2433,"Pendiente")</f>
        <v/>
      </c>
      <c r="H30" s="12">
        <f>IF(C30=0,0,(C30-G30)/C30)</f>
        <v/>
      </c>
    </row>
    <row r="31">
      <c r="A31" s="11" t="inlineStr">
        <is>
          <t>Plan de trabajo académico</t>
        </is>
      </c>
      <c r="B31" s="11" t="inlineStr">
        <is>
          <t>academic_work_plan</t>
        </is>
      </c>
      <c r="C31" s="11">
        <f>COUNTIF(Matriz!$C$2:$C$2433,B31)</f>
        <v/>
      </c>
      <c r="D31" s="11">
        <f>COUNTIFS(Matriz!$C$2:$C$2433,B31,Matriz!$V$2:$V$2433,"Aprobada")+COUNTIFS(Matriz!$C$2:$C$2433,B31,Matriz!$V$2:$V$2433,"Aprobada con ajuste")</f>
        <v/>
      </c>
      <c r="E31" s="11">
        <f>COUNTIFS(Matriz!$C$2:$C$2433,B31,Matriz!$V$2:$V$2433,"Rechazada")</f>
        <v/>
      </c>
      <c r="F31" s="11">
        <f>COUNTIFS(Matriz!$C$2:$C$2433,B31,Matriz!$V$2:$V$2433,"Requiere aclaración")</f>
        <v/>
      </c>
      <c r="G31" s="11">
        <f>COUNTIFS(Matriz!$C$2:$C$2433,B31,Matriz!$V$2:$V$2433,"Pendiente")</f>
        <v/>
      </c>
      <c r="H31" s="12">
        <f>IF(C31=0,0,(C31-G31)/C31)</f>
        <v/>
      </c>
    </row>
    <row r="32">
      <c r="A32" s="11" t="inlineStr">
        <is>
          <t>Certificaciones</t>
        </is>
      </c>
      <c r="B32" s="11" t="inlineStr">
        <is>
          <t>certification</t>
        </is>
      </c>
      <c r="C32" s="11">
        <f>COUNTIF(Matriz!$C$2:$C$2433,B32)</f>
        <v/>
      </c>
      <c r="D32" s="11">
        <f>COUNTIFS(Matriz!$C$2:$C$2433,B32,Matriz!$V$2:$V$2433,"Aprobada")+COUNTIFS(Matriz!$C$2:$C$2433,B32,Matriz!$V$2:$V$2433,"Aprobada con ajuste")</f>
        <v/>
      </c>
      <c r="E32" s="11">
        <f>COUNTIFS(Matriz!$C$2:$C$2433,B32,Matriz!$V$2:$V$2433,"Rechazada")</f>
        <v/>
      </c>
      <c r="F32" s="11">
        <f>COUNTIFS(Matriz!$C$2:$C$2433,B32,Matriz!$V$2:$V$2433,"Requiere aclaración")</f>
        <v/>
      </c>
      <c r="G32" s="11">
        <f>COUNTIFS(Matriz!$C$2:$C$2433,B32,Matriz!$V$2:$V$2433,"Pendiente")</f>
        <v/>
      </c>
      <c r="H32" s="12">
        <f>IF(C32=0,0,(C32-G32)/C32)</f>
        <v/>
      </c>
    </row>
    <row r="33">
      <c r="A33" s="11" t="inlineStr">
        <is>
          <t>Gestión jurídica</t>
        </is>
      </c>
      <c r="B33" s="11" t="inlineStr">
        <is>
          <t>legal_management</t>
        </is>
      </c>
      <c r="C33" s="11">
        <f>COUNTIF(Matriz!$C$2:$C$2433,B33)</f>
        <v/>
      </c>
      <c r="D33" s="11">
        <f>COUNTIFS(Matriz!$C$2:$C$2433,B33,Matriz!$V$2:$V$2433,"Aprobada")+COUNTIFS(Matriz!$C$2:$C$2433,B33,Matriz!$V$2:$V$2433,"Aprobada con ajuste")</f>
        <v/>
      </c>
      <c r="E33" s="11">
        <f>COUNTIFS(Matriz!$C$2:$C$2433,B33,Matriz!$V$2:$V$2433,"Rechazada")</f>
        <v/>
      </c>
      <c r="F33" s="11">
        <f>COUNTIFS(Matriz!$C$2:$C$2433,B33,Matriz!$V$2:$V$2433,"Requiere aclaración")</f>
        <v/>
      </c>
      <c r="G33" s="11">
        <f>COUNTIFS(Matriz!$C$2:$C$2433,B33,Matriz!$V$2:$V$2433,"Pendiente")</f>
        <v/>
      </c>
      <c r="H33" s="12">
        <f>IF(C33=0,0,(C33-G33)/C33)</f>
        <v/>
      </c>
    </row>
    <row r="34">
      <c r="A34" s="11" t="inlineStr">
        <is>
          <t>Control interno</t>
        </is>
      </c>
      <c r="B34" s="11" t="inlineStr">
        <is>
          <t>control_interno</t>
        </is>
      </c>
      <c r="C34" s="11">
        <f>COUNTIF(Matriz!$C$2:$C$2433,B34)</f>
        <v/>
      </c>
      <c r="D34" s="11">
        <f>COUNTIFS(Matriz!$C$2:$C$2433,B34,Matriz!$V$2:$V$2433,"Aprobada")+COUNTIFS(Matriz!$C$2:$C$2433,B34,Matriz!$V$2:$V$2433,"Aprobada con ajuste")</f>
        <v/>
      </c>
      <c r="E34" s="11">
        <f>COUNTIFS(Matriz!$C$2:$C$2433,B34,Matriz!$V$2:$V$2433,"Rechazada")</f>
        <v/>
      </c>
      <c r="F34" s="11">
        <f>COUNTIFS(Matriz!$C$2:$C$2433,B34,Matriz!$V$2:$V$2433,"Requiere aclaración")</f>
        <v/>
      </c>
      <c r="G34" s="11">
        <f>COUNTIFS(Matriz!$C$2:$C$2433,B34,Matriz!$V$2:$V$2433,"Pendiente")</f>
        <v/>
      </c>
      <c r="H34" s="12">
        <f>IF(C34=0,0,(C34-G34)/C34)</f>
        <v/>
      </c>
    </row>
    <row r="35">
      <c r="A35" s="11" t="inlineStr">
        <is>
          <t>Control disciplinario interno</t>
        </is>
      </c>
      <c r="B35" s="11" t="inlineStr">
        <is>
          <t>internal_disciplinary_control</t>
        </is>
      </c>
      <c r="C35" s="11">
        <f>COUNTIF(Matriz!$C$2:$C$2433,B35)</f>
        <v/>
      </c>
      <c r="D35" s="11">
        <f>COUNTIFS(Matriz!$C$2:$C$2433,B35,Matriz!$V$2:$V$2433,"Aprobada")+COUNTIFS(Matriz!$C$2:$C$2433,B35,Matriz!$V$2:$V$2433,"Aprobada con ajuste")</f>
        <v/>
      </c>
      <c r="E35" s="11">
        <f>COUNTIFS(Matriz!$C$2:$C$2433,B35,Matriz!$V$2:$V$2433,"Rechazada")</f>
        <v/>
      </c>
      <c r="F35" s="11">
        <f>COUNTIFS(Matriz!$C$2:$C$2433,B35,Matriz!$V$2:$V$2433,"Requiere aclaración")</f>
        <v/>
      </c>
      <c r="G35" s="11">
        <f>COUNTIFS(Matriz!$C$2:$C$2433,B35,Matriz!$V$2:$V$2433,"Pendiente")</f>
        <v/>
      </c>
      <c r="H35" s="12">
        <f>IF(C35=0,0,(C35-G35)/C35)</f>
        <v/>
      </c>
    </row>
    <row r="36">
      <c r="A36" s="11" t="inlineStr">
        <is>
          <t>Requerimientos</t>
        </is>
      </c>
      <c r="B36" s="11" t="inlineStr">
        <is>
          <t>requerimientos_oc</t>
        </is>
      </c>
      <c r="C36" s="11">
        <f>COUNTIF(Matriz!$C$2:$C$2433,B36)</f>
        <v/>
      </c>
      <c r="D36" s="11">
        <f>COUNTIFS(Matriz!$C$2:$C$2433,B36,Matriz!$V$2:$V$2433,"Aprobada")+COUNTIFS(Matriz!$C$2:$C$2433,B36,Matriz!$V$2:$V$2433,"Aprobada con ajuste")</f>
        <v/>
      </c>
      <c r="E36" s="11">
        <f>COUNTIFS(Matriz!$C$2:$C$2433,B36,Matriz!$V$2:$V$2433,"Rechazada")</f>
        <v/>
      </c>
      <c r="F36" s="11">
        <f>COUNTIFS(Matriz!$C$2:$C$2433,B36,Matriz!$V$2:$V$2433,"Requiere aclaración")</f>
        <v/>
      </c>
      <c r="G36" s="11">
        <f>COUNTIFS(Matriz!$C$2:$C$2433,B36,Matriz!$V$2:$V$2433,"Pendiente")</f>
        <v/>
      </c>
      <c r="H36" s="12">
        <f>IF(C36=0,0,(C36-G36)/C36)</f>
        <v/>
      </c>
    </row>
    <row r="37">
      <c r="A37" s="11" t="inlineStr">
        <is>
          <t>Notificaciones</t>
        </is>
      </c>
      <c r="B37" s="11" t="inlineStr">
        <is>
          <t>notifications</t>
        </is>
      </c>
      <c r="C37" s="11">
        <f>COUNTIF(Matriz!$C$2:$C$2433,B37)</f>
        <v/>
      </c>
      <c r="D37" s="11">
        <f>COUNTIFS(Matriz!$C$2:$C$2433,B37,Matriz!$V$2:$V$2433,"Aprobada")+COUNTIFS(Matriz!$C$2:$C$2433,B37,Matriz!$V$2:$V$2433,"Aprobada con ajuste")</f>
        <v/>
      </c>
      <c r="E37" s="11">
        <f>COUNTIFS(Matriz!$C$2:$C$2433,B37,Matriz!$V$2:$V$2433,"Rechazada")</f>
        <v/>
      </c>
      <c r="F37" s="11">
        <f>COUNTIFS(Matriz!$C$2:$C$2433,B37,Matriz!$V$2:$V$2433,"Requiere aclaración")</f>
        <v/>
      </c>
      <c r="G37" s="11">
        <f>COUNTIFS(Matriz!$C$2:$C$2433,B37,Matriz!$V$2:$V$2433,"Pendiente")</f>
        <v/>
      </c>
      <c r="H37" s="12">
        <f>IF(C37=0,0,(C37-G37)/C37)</f>
        <v/>
      </c>
    </row>
    <row r="38">
      <c r="A38" s="11" t="inlineStr">
        <is>
          <t>Auditoría y trazabilidad</t>
        </is>
      </c>
      <c r="B38" s="11" t="inlineStr">
        <is>
          <t>audit</t>
        </is>
      </c>
      <c r="C38" s="11">
        <f>COUNTIF(Matriz!$C$2:$C$2433,B38)</f>
        <v/>
      </c>
      <c r="D38" s="11">
        <f>COUNTIFS(Matriz!$C$2:$C$2433,B38,Matriz!$V$2:$V$2433,"Aprobada")+COUNTIFS(Matriz!$C$2:$C$2433,B38,Matriz!$V$2:$V$2433,"Aprobada con ajuste")</f>
        <v/>
      </c>
      <c r="E38" s="11">
        <f>COUNTIFS(Matriz!$C$2:$C$2433,B38,Matriz!$V$2:$V$2433,"Rechazada")</f>
        <v/>
      </c>
      <c r="F38" s="11">
        <f>COUNTIFS(Matriz!$C$2:$C$2433,B38,Matriz!$V$2:$V$2433,"Requiere aclaración")</f>
        <v/>
      </c>
      <c r="G38" s="11">
        <f>COUNTIFS(Matriz!$C$2:$C$2433,B38,Matriz!$V$2:$V$2433,"Pendiente")</f>
        <v/>
      </c>
      <c r="H38" s="12">
        <f>IF(C38=0,0,(C38-G38)/C38)</f>
        <v/>
      </c>
    </row>
    <row r="39">
      <c r="A39" s="11" t="inlineStr">
        <is>
          <t>Esquema público</t>
        </is>
      </c>
      <c r="B39" s="11" t="inlineStr">
        <is>
          <t>public</t>
        </is>
      </c>
      <c r="C39" s="11">
        <f>COUNTIF(Matriz!$C$2:$C$2433,B39)</f>
        <v/>
      </c>
      <c r="D39" s="11">
        <f>COUNTIFS(Matriz!$C$2:$C$2433,B39,Matriz!$V$2:$V$2433,"Aprobada")+COUNTIFS(Matriz!$C$2:$C$2433,B39,Matriz!$V$2:$V$2433,"Aprobada con ajuste")</f>
        <v/>
      </c>
      <c r="E39" s="11">
        <f>COUNTIFS(Matriz!$C$2:$C$2433,B39,Matriz!$V$2:$V$2433,"Rechazada")</f>
        <v/>
      </c>
      <c r="F39" s="11">
        <f>COUNTIFS(Matriz!$C$2:$C$2433,B39,Matriz!$V$2:$V$2433,"Requiere aclaración")</f>
        <v/>
      </c>
      <c r="G39" s="11">
        <f>COUNTIFS(Matriz!$C$2:$C$2433,B39,Matriz!$V$2:$V$2433,"Pendiente")</f>
        <v/>
      </c>
      <c r="H39" s="12">
        <f>IF(C39=0,0,(C39-G39)/C39)</f>
        <v/>
      </c>
    </row>
    <row r="40">
      <c r="A40" s="14" t="inlineStr">
        <is>
          <t>Total</t>
        </is>
      </c>
      <c r="B40" s="14" t="inlineStr"/>
      <c r="C40" s="14">
        <f>SUM(C29:C39)</f>
        <v/>
      </c>
      <c r="D40" s="14">
        <f>SUM(D29:D39)</f>
        <v/>
      </c>
      <c r="E40" s="14">
        <f>SUM(E29:E39)</f>
        <v/>
      </c>
      <c r="F40" s="14">
        <f>SUM(F29:F39)</f>
        <v/>
      </c>
      <c r="G40" s="14">
        <f>SUM(G29:G39)</f>
        <v/>
      </c>
      <c r="H40" s="15">
        <f>IF(C40=0,0,(C40-G40)/C40)</f>
        <v/>
      </c>
    </row>
    <row r="42">
      <c r="A42" s="9" t="inlineStr">
        <is>
          <t>Avance por confianza y origen de la propuesta</t>
        </is>
      </c>
    </row>
    <row r="43">
      <c r="A43" s="10" t="inlineStr">
        <is>
          <t>Grupo</t>
        </is>
      </c>
      <c r="B43" s="10" t="inlineStr">
        <is>
          <t>Columnas</t>
        </is>
      </c>
      <c r="C43" s="10" t="inlineStr">
        <is>
          <t>Aprobadas</t>
        </is>
      </c>
      <c r="D43" s="10" t="inlineStr">
        <is>
          <t>Pendientes</t>
        </is>
      </c>
      <c r="E43" s="10" t="inlineStr">
        <is>
          <t>% revisado</t>
        </is>
      </c>
    </row>
    <row r="44">
      <c r="A44" s="11" t="inlineStr">
        <is>
          <t>Confianza Alta</t>
        </is>
      </c>
      <c r="B44" s="11">
        <f>COUNTIF(Matriz!$S$2:$S$2433,"Alta")</f>
        <v/>
      </c>
      <c r="C44" s="11">
        <f>COUNTIFS(Matriz!$S$2:$S$2433,"Alta",Matriz!$V$2:$V$2433,"Aprobada")+COUNTIFS(Matriz!$S$2:$S$2433,"Alta",Matriz!$V$2:$V$2433,"Aprobada con ajuste")</f>
        <v/>
      </c>
      <c r="D44" s="11">
        <f>COUNTIFS(Matriz!$S$2:$S$2433,"Alta",Matriz!$V$2:$V$2433,"Pendiente")</f>
        <v/>
      </c>
      <c r="E44" s="12">
        <f>IF(B44=0,0,(B44-D44)/B44)</f>
        <v/>
      </c>
    </row>
    <row r="45">
      <c r="A45" s="11" t="inlineStr">
        <is>
          <t>Confianza Media</t>
        </is>
      </c>
      <c r="B45" s="11">
        <f>COUNTIF(Matriz!$S$2:$S$2433,"Media")</f>
        <v/>
      </c>
      <c r="C45" s="11">
        <f>COUNTIFS(Matriz!$S$2:$S$2433,"Media",Matriz!$V$2:$V$2433,"Aprobada")+COUNTIFS(Matriz!$S$2:$S$2433,"Media",Matriz!$V$2:$V$2433,"Aprobada con ajuste")</f>
        <v/>
      </c>
      <c r="D45" s="11">
        <f>COUNTIFS(Matriz!$S$2:$S$2433,"Media",Matriz!$V$2:$V$2433,"Pendiente")</f>
        <v/>
      </c>
      <c r="E45" s="12">
        <f>IF(B45=0,0,(B45-D45)/B45)</f>
        <v/>
      </c>
    </row>
    <row r="46">
      <c r="A46" s="11" t="inlineStr">
        <is>
          <t>Confianza Baja</t>
        </is>
      </c>
      <c r="B46" s="11">
        <f>COUNTIF(Matriz!$S$2:$S$2433,"Baja")</f>
        <v/>
      </c>
      <c r="C46" s="11">
        <f>COUNTIFS(Matriz!$S$2:$S$2433,"Baja",Matriz!$V$2:$V$2433,"Aprobada")+COUNTIFS(Matriz!$S$2:$S$2433,"Baja",Matriz!$V$2:$V$2433,"Aprobada con ajuste")</f>
        <v/>
      </c>
      <c r="D46" s="11">
        <f>COUNTIFS(Matriz!$S$2:$S$2433,"Baja",Matriz!$V$2:$V$2433,"Pendiente")</f>
        <v/>
      </c>
      <c r="E46" s="12">
        <f>IF(B46=0,0,(B46-D46)/B46)</f>
        <v/>
      </c>
    </row>
    <row r="47">
      <c r="A47" s="11" t="inlineStr">
        <is>
          <t>Origen: Código fuente</t>
        </is>
      </c>
      <c r="B47" s="11">
        <f>COUNTIF(Matriz!$Q$2:$Q$2433,"Código fuente")</f>
        <v/>
      </c>
      <c r="C47" s="11">
        <f>COUNTIFS(Matriz!$Q$2:$Q$2433,"Código fuente",Matriz!$V$2:$V$2433,"Aprobada")+COUNTIFS(Matriz!$Q$2:$Q$2433,"Código fuente",Matriz!$V$2:$V$2433,"Aprobada con ajuste")</f>
        <v/>
      </c>
      <c r="D47" s="11">
        <f>COUNTIFS(Matriz!$Q$2:$Q$2433,"Código fuente",Matriz!$V$2:$V$2433,"Pendiente")</f>
        <v/>
      </c>
      <c r="E47" s="12">
        <f>IF(B47=0,0,(B47-D47)/B47)</f>
        <v/>
      </c>
    </row>
    <row r="48">
      <c r="A48" s="11" t="inlineStr">
        <is>
          <t>Origen: Regla estructural</t>
        </is>
      </c>
      <c r="B48" s="11">
        <f>COUNTIF(Matriz!$Q$2:$Q$2433,"Regla estructural")</f>
        <v/>
      </c>
      <c r="C48" s="11">
        <f>COUNTIFS(Matriz!$Q$2:$Q$2433,"Regla estructural",Matriz!$V$2:$V$2433,"Aprobada")+COUNTIFS(Matriz!$Q$2:$Q$2433,"Regla estructural",Matriz!$V$2:$V$2433,"Aprobada con ajuste")</f>
        <v/>
      </c>
      <c r="D48" s="11">
        <f>COUNTIFS(Matriz!$Q$2:$Q$2433,"Regla estructural",Matriz!$V$2:$V$2433,"Pendiente")</f>
        <v/>
      </c>
      <c r="E48" s="12">
        <f>IF(B48=0,0,(B48-D48)/B48)</f>
        <v/>
      </c>
    </row>
    <row r="49">
      <c r="A49" s="11" t="inlineStr">
        <is>
          <t>Origen: Propuesta semántica</t>
        </is>
      </c>
      <c r="B49" s="11">
        <f>COUNTIF(Matriz!$Q$2:$Q$2433,"Propuesta semántica")</f>
        <v/>
      </c>
      <c r="C49" s="11">
        <f>COUNTIFS(Matriz!$Q$2:$Q$2433,"Propuesta semántica",Matriz!$V$2:$V$2433,"Aprobada")+COUNTIFS(Matriz!$Q$2:$Q$2433,"Propuesta semántica",Matriz!$V$2:$V$2433,"Aprobada con ajuste")</f>
        <v/>
      </c>
      <c r="D49" s="11">
        <f>COUNTIFS(Matriz!$Q$2:$Q$2433,"Propuesta semántica",Matriz!$V$2:$V$2433,"Pendiente")</f>
        <v/>
      </c>
      <c r="E49" s="12">
        <f>IF(B49=0,0,(B49-D49)/B49)</f>
        <v/>
      </c>
    </row>
    <row r="50">
      <c r="A50" s="11" t="inlineStr">
        <is>
          <t>Con evidencia en código</t>
        </is>
      </c>
      <c r="B50" s="11">
        <f>COUNTIF(Matriz!$P$2:$P$2433,"?*")</f>
        <v/>
      </c>
      <c r="C50" s="11">
        <f>COUNTIFS(Matriz!$P$2:$P$2433,"?*",Matriz!$V$2:$V$2433,"Aprobada")+COUNTIFS(Matriz!$P$2:$P$2433,"?*",Matriz!$V$2:$V$2433,"Aprobada con ajuste")</f>
        <v/>
      </c>
      <c r="D50" s="11">
        <f>COUNTIFS(Matriz!$P$2:$P$2433,"?*",Matriz!$V$2:$V$2433,"Pendiente")</f>
        <v/>
      </c>
      <c r="E50" s="12">
        <f>IF(B50=0,0,(B50-D50)/B50)</f>
        <v/>
      </c>
    </row>
    <row r="51">
      <c r="A51" s="11" t="inlineStr">
        <is>
          <t>Usadas en lógica de la base</t>
        </is>
      </c>
      <c r="B51" s="11">
        <f>COUNTIF(Matriz!$M$2:$M$2433,"Sí")</f>
        <v/>
      </c>
      <c r="C51" s="11">
        <f>COUNTIFS(Matriz!$M$2:$M$2433,"Sí",Matriz!$V$2:$V$2433,"Aprobada")+COUNTIFS(Matriz!$M$2:$M$2433,"Sí",Matriz!$V$2:$V$2433,"Aprobada con ajuste")</f>
        <v/>
      </c>
      <c r="D51" s="11">
        <f>COUNTIFS(Matriz!$M$2:$M$2433,"Sí",Matriz!$V$2:$V$2433,"Pendiente")</f>
        <v/>
      </c>
      <c r="E51" s="12">
        <f>IF(B51=0,0,(B51-D51)/B51)</f>
        <v/>
      </c>
    </row>
    <row r="52">
      <c r="A52" s="11" t="inlineStr">
        <is>
          <t>Relacionadas con catálogo</t>
        </is>
      </c>
      <c r="B52" s="11">
        <f>COUNTIF(Matriz!$L$2:$L$2433,"Sí")</f>
        <v/>
      </c>
      <c r="C52" s="11">
        <f>COUNTIFS(Matriz!$L$2:$L$2433,"Sí",Matriz!$V$2:$V$2433,"Aprobada")+COUNTIFS(Matriz!$L$2:$L$2433,"Sí",Matriz!$V$2:$V$2433,"Aprobada con ajuste")</f>
        <v/>
      </c>
      <c r="D52" s="11">
        <f>COUNTIFS(Matriz!$L$2:$L$2433,"Sí",Matriz!$V$2:$V$2433,"Pendiente")</f>
        <v/>
      </c>
      <c r="E52" s="12">
        <f>IF(B52=0,0,(B52-D52)/B52)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433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8" customWidth="1" min="3" max="3"/>
    <col width="24" customWidth="1" min="4" max="4"/>
    <col width="9" customWidth="1" min="5" max="5"/>
    <col width="24" customWidth="1" min="6" max="6"/>
    <col width="18" customWidth="1" min="7" max="7"/>
    <col width="8" customWidth="1" min="8" max="8"/>
    <col width="16" customWidth="1" min="9" max="9"/>
    <col width="26" customWidth="1" min="10" max="10"/>
    <col width="26" customWidth="1" min="11" max="11"/>
    <col width="9" customWidth="1" min="12" max="12"/>
    <col width="9" customWidth="1" min="13" max="13"/>
    <col width="40" customWidth="1" min="14" max="14"/>
    <col width="18" customWidth="1" min="15" max="15"/>
    <col width="50" customWidth="1" min="16" max="16"/>
    <col width="13" customWidth="1" min="17" max="17"/>
    <col width="46" customWidth="1" min="18" max="18"/>
    <col width="10" customWidth="1" min="19" max="19"/>
    <col width="34" customWidth="1" min="20" max="20"/>
    <col width="34" customWidth="1" min="21" max="21"/>
    <col width="18" customWidth="1" min="22" max="22"/>
    <col width="40" customWidth="1" min="23" max="23"/>
    <col width="16" customWidth="1" min="24" max="24"/>
    <col width="12" customWidth="1" min="25" max="25"/>
    <col width="30" customWidth="1" min="26" max="26"/>
    <col width="40" customWidth="1" min="27" max="27"/>
  </cols>
  <sheetData>
    <row r="1" ht="34" customHeight="1">
      <c r="A1" s="16" t="inlineStr">
        <is>
          <t>ID</t>
        </is>
      </c>
      <c r="B1" s="16" t="inlineStr">
        <is>
          <t>Dominio</t>
        </is>
      </c>
      <c r="C1" s="16" t="inlineStr">
        <is>
          <t>Esquema</t>
        </is>
      </c>
      <c r="D1" s="16" t="inlineStr">
        <is>
          <t>Tabla</t>
        </is>
      </c>
      <c r="E1" s="16" t="inlineStr">
        <is>
          <t>Filas en QA</t>
        </is>
      </c>
      <c r="F1" s="16" t="inlineStr">
        <is>
          <t>Columna</t>
        </is>
      </c>
      <c r="G1" s="16" t="inlineStr">
        <is>
          <t>Tipo de dato</t>
        </is>
      </c>
      <c r="H1" s="16" t="inlineStr">
        <is>
          <t>Admite nulos</t>
        </is>
      </c>
      <c r="I1" s="16" t="inlineStr">
        <is>
          <t>Restricciones</t>
        </is>
      </c>
      <c r="J1" s="16" t="inlineStr">
        <is>
          <t>Valores permitidos</t>
        </is>
      </c>
      <c r="K1" s="16" t="inlineStr">
        <is>
          <t>Referencia (FK)</t>
        </is>
      </c>
      <c r="L1" s="16" t="inlineStr">
        <is>
          <t>Catálogo</t>
        </is>
      </c>
      <c r="M1" s="16" t="inlineStr">
        <is>
          <t>Uso en lógica</t>
        </is>
      </c>
      <c r="N1" s="16" t="inlineStr">
        <is>
          <t>Detalle del uso</t>
        </is>
      </c>
      <c r="O1" s="16" t="inlineStr">
        <is>
          <t>Índices</t>
        </is>
      </c>
      <c r="P1" s="16" t="inlineStr">
        <is>
          <t>Evidencia en código</t>
        </is>
      </c>
      <c r="Q1" s="16" t="inlineStr">
        <is>
          <t>Origen</t>
        </is>
      </c>
      <c r="R1" s="16" t="inlineStr">
        <is>
          <t>Propuesta de descripción</t>
        </is>
      </c>
      <c r="S1" s="16" t="inlineStr">
        <is>
          <t>Confianza</t>
        </is>
      </c>
      <c r="T1" s="16" t="inlineStr">
        <is>
          <t>Fundamento</t>
        </is>
      </c>
      <c r="U1" s="16" t="inlineStr">
        <is>
          <t>Pregunta para desarrollo</t>
        </is>
      </c>
      <c r="V1" s="17" t="inlineStr">
        <is>
          <t>Decisión</t>
        </is>
      </c>
      <c r="W1" s="17" t="inlineStr">
        <is>
          <t>Descripción final</t>
        </is>
      </c>
      <c r="X1" s="17" t="inlineStr">
        <is>
          <t>Revisado por</t>
        </is>
      </c>
      <c r="Y1" s="17" t="inlineStr">
        <is>
          <t>Fecha de revisión</t>
        </is>
      </c>
      <c r="Z1" s="17" t="inlineStr">
        <is>
          <t>Observaciones</t>
        </is>
      </c>
      <c r="AA1" s="17" t="inlineStr">
        <is>
          <t>Descripción a registrar</t>
        </is>
      </c>
    </row>
    <row r="2">
      <c r="A2" s="18" t="inlineStr">
        <is>
          <t>C0001</t>
        </is>
      </c>
      <c r="B2" s="18" t="inlineStr">
        <is>
          <t>Identidad y acceso</t>
        </is>
      </c>
      <c r="C2" s="18" t="inlineStr">
        <is>
          <t>auth</t>
        </is>
      </c>
      <c r="D2" s="18" t="inlineStr">
        <is>
          <t>acreditaciones_programa</t>
        </is>
      </c>
      <c r="E2" s="18" t="n">
        <v>5</v>
      </c>
      <c r="F2" s="18" t="inlineStr">
        <is>
          <t>tipo</t>
        </is>
      </c>
      <c r="G2" s="18" t="inlineStr">
        <is>
          <t>text</t>
        </is>
      </c>
      <c r="H2" s="18" t="inlineStr">
        <is>
          <t>No</t>
        </is>
      </c>
      <c r="I2" s="18" t="inlineStr"/>
      <c r="J2" s="18" t="inlineStr"/>
      <c r="K2" s="18" t="inlineStr"/>
      <c r="L2" s="18" t="inlineStr">
        <is>
          <t>No</t>
        </is>
      </c>
      <c r="M2" s="18" t="inlineStr">
        <is>
          <t>No</t>
        </is>
      </c>
      <c r="N2" s="18" t="inlineStr"/>
      <c r="O2" s="18" t="inlineStr"/>
      <c r="P2" s="18" t="inlineStr">
        <is>
          <t>db/migrations/old/006_create_programas_academicos.sql:49: Alta Calidad, Internacional, etc.</t>
        </is>
      </c>
      <c r="Q2" s="18" t="inlineStr">
        <is>
          <t>Código fuente</t>
        </is>
      </c>
      <c r="R2" s="18" t="inlineStr">
        <is>
          <t>Tipo de acreditación del programa académico (por ejemplo, Alta Calidad, Internacional).</t>
        </is>
      </c>
      <c r="S2" s="18" t="inlineStr">
        <is>
          <t>Alta</t>
        </is>
      </c>
      <c r="T2" s="18" t="inlineStr">
        <is>
          <t>código: db/migrations/old/006_create_programas_academicos.sql:49</t>
        </is>
      </c>
      <c r="U2" s="18" t="inlineStr"/>
      <c r="V2" s="19" t="inlineStr">
        <is>
          <t>Pendiente</t>
        </is>
      </c>
      <c r="W2" s="19" t="inlineStr"/>
      <c r="X2" s="19" t="inlineStr"/>
      <c r="Y2" s="20" t="n"/>
      <c r="Z2" s="19" t="inlineStr"/>
      <c r="AA2" s="18">
        <f>IF(OR(V2="Aprobada"),R2,IF(AND(OR(V2="Aprobada con ajuste",V2="Rechazada"),W2&lt;&gt;""),W2,""))</f>
        <v/>
      </c>
    </row>
    <row r="3">
      <c r="A3" s="18" t="inlineStr">
        <is>
          <t>C0002</t>
        </is>
      </c>
      <c r="B3" s="18" t="inlineStr">
        <is>
          <t>Identidad y acceso</t>
        </is>
      </c>
      <c r="C3" s="18" t="inlineStr">
        <is>
          <t>auth</t>
        </is>
      </c>
      <c r="D3" s="18" t="inlineStr">
        <is>
          <t>acreditaciones_programa</t>
        </is>
      </c>
      <c r="E3" s="18" t="n">
        <v>5</v>
      </c>
      <c r="F3" s="18" t="inlineStr">
        <is>
          <t>vigencia</t>
        </is>
      </c>
      <c r="G3" s="18" t="inlineStr">
        <is>
          <t>date</t>
        </is>
      </c>
      <c r="H3" s="18" t="inlineStr">
        <is>
          <t>No</t>
        </is>
      </c>
      <c r="I3" s="18" t="inlineStr"/>
      <c r="J3" s="18" t="inlineStr"/>
      <c r="K3" s="18" t="inlineStr"/>
      <c r="L3" s="18" t="inlineStr">
        <is>
          <t>No</t>
        </is>
      </c>
      <c r="M3" s="18" t="inlineStr">
        <is>
          <t>No</t>
        </is>
      </c>
      <c r="N3" s="18" t="inlineStr"/>
      <c r="O3" s="18" t="inlineStr"/>
      <c r="P3" s="18" t="inlineStr"/>
      <c r="Q3" s="18" t="inlineStr">
        <is>
          <t>Regla estructural</t>
        </is>
      </c>
      <c r="R3" s="18" t="inlineStr">
        <is>
          <t>Vigencia (año).</t>
        </is>
      </c>
      <c r="S3" s="18" t="inlineStr">
        <is>
          <t>Media</t>
        </is>
      </c>
      <c r="T3" s="18" t="inlineStr">
        <is>
          <t>Convención de nombre de la columna.</t>
        </is>
      </c>
      <c r="U3" s="18" t="inlineStr"/>
      <c r="V3" s="19" t="inlineStr">
        <is>
          <t>Pendiente</t>
        </is>
      </c>
      <c r="W3" s="19" t="inlineStr"/>
      <c r="X3" s="19" t="inlineStr"/>
      <c r="Y3" s="20" t="n"/>
      <c r="Z3" s="19" t="inlineStr"/>
      <c r="AA3" s="18">
        <f>IF(OR(V3="Aprobada"),R3,IF(AND(OR(V3="Aprobada con ajuste",V3="Rechazada"),W3&lt;&gt;""),W3,""))</f>
        <v/>
      </c>
    </row>
    <row r="4">
      <c r="A4" s="18" t="inlineStr">
        <is>
          <t>C0003</t>
        </is>
      </c>
      <c r="B4" s="18" t="inlineStr">
        <is>
          <t>Identidad y acceso</t>
        </is>
      </c>
      <c r="C4" s="18" t="inlineStr">
        <is>
          <t>auth</t>
        </is>
      </c>
      <c r="D4" s="18" t="inlineStr">
        <is>
          <t>cargos</t>
        </is>
      </c>
      <c r="E4" s="18" t="n">
        <v>17</v>
      </c>
      <c r="F4" s="18" t="inlineStr">
        <is>
          <t>cod_cargo</t>
        </is>
      </c>
      <c r="G4" s="18" t="inlineStr">
        <is>
          <t>character varying(50)</t>
        </is>
      </c>
      <c r="H4" s="18" t="inlineStr">
        <is>
          <t>No</t>
        </is>
      </c>
      <c r="I4" s="18" t="inlineStr">
        <is>
          <t>Única</t>
        </is>
      </c>
      <c r="J4" s="18" t="inlineStr"/>
      <c r="K4" s="18" t="inlineStr"/>
      <c r="L4" s="18" t="inlineStr">
        <is>
          <t>No</t>
        </is>
      </c>
      <c r="M4" s="18" t="inlineStr">
        <is>
          <t>No</t>
        </is>
      </c>
      <c r="N4" s="18" t="inlineStr"/>
      <c r="O4" s="18" t="inlineStr">
        <is>
          <t>cargos_cod_cargo_key, idx_cargos_codigo</t>
        </is>
      </c>
      <c r="P4" s="18" t="inlineStr">
        <is>
          <t>Mapeada en auth-service/src/users/cargo.entity.ts:19 (Cargo.codCargo) | Validación: IsString, MaxLength(50, { message: 'El código de cargo no puede exceder 50 caracteres' })</t>
        </is>
      </c>
      <c r="Q4" s="18" t="inlineStr">
        <is>
          <t>Propuesta semántica</t>
        </is>
      </c>
      <c r="R4" s="18" t="inlineStr">
        <is>
          <t>Código del cargo; es único en la tabla (máximo 50 caracteres).</t>
        </is>
      </c>
      <c r="S4" s="18" t="inlineStr">
        <is>
          <t>Alta</t>
        </is>
      </c>
      <c r="T4" s="18" t="inlineStr">
        <is>
          <t>nombre + tipo + columnas vecinas + restricción única + validaciones</t>
        </is>
      </c>
      <c r="U4" s="18" t="inlineStr"/>
      <c r="V4" s="19" t="inlineStr">
        <is>
          <t>Pendiente</t>
        </is>
      </c>
      <c r="W4" s="19" t="inlineStr"/>
      <c r="X4" s="19" t="inlineStr"/>
      <c r="Y4" s="20" t="n"/>
      <c r="Z4" s="19" t="inlineStr"/>
      <c r="AA4" s="18">
        <f>IF(OR(V4="Aprobada"),R4,IF(AND(OR(V4="Aprobada con ajuste",V4="Rechazada"),W4&lt;&gt;""),W4,""))</f>
        <v/>
      </c>
    </row>
    <row r="5">
      <c r="A5" s="18" t="inlineStr">
        <is>
          <t>C0004</t>
        </is>
      </c>
      <c r="B5" s="18" t="inlineStr">
        <is>
          <t>Identidad y acceso</t>
        </is>
      </c>
      <c r="C5" s="18" t="inlineStr">
        <is>
          <t>auth</t>
        </is>
      </c>
      <c r="D5" s="18" t="inlineStr">
        <is>
          <t>cargos</t>
        </is>
      </c>
      <c r="E5" s="18" t="n">
        <v>17</v>
      </c>
      <c r="F5" s="18" t="inlineStr">
        <is>
          <t>nom_cargo</t>
        </is>
      </c>
      <c r="G5" s="18" t="inlineStr">
        <is>
          <t>character varying(250)</t>
        </is>
      </c>
      <c r="H5" s="18" t="inlineStr">
        <is>
          <t>No</t>
        </is>
      </c>
      <c r="I5" s="18" t="inlineStr"/>
      <c r="J5" s="18" t="inlineStr"/>
      <c r="K5" s="18" t="inlineStr"/>
      <c r="L5" s="18" t="inlineStr">
        <is>
          <t>No</t>
        </is>
      </c>
      <c r="M5" s="18" t="inlineStr">
        <is>
          <t>No</t>
        </is>
      </c>
      <c r="N5" s="18" t="inlineStr"/>
      <c r="O5" s="18" t="inlineStr">
        <is>
          <t>idx_cargos_nombre</t>
        </is>
      </c>
      <c r="P5" s="18" t="inlineStr">
        <is>
          <t>Mapeada en auth-service/src/users/cargo.entity.ts:22 (Cargo.nomCargo) | Validación: IsString, MaxLength(250, { message: 'El nombre de cargo no puede exceder 250 caracteres' })</t>
        </is>
      </c>
      <c r="Q5" s="18" t="inlineStr">
        <is>
          <t>Propuesta semántica</t>
        </is>
      </c>
      <c r="R5" s="18" t="inlineStr">
        <is>
          <t>Nombre del cargo (máximo 250 caracteres).</t>
        </is>
      </c>
      <c r="S5" s="18" t="inlineStr">
        <is>
          <t>Alta</t>
        </is>
      </c>
      <c r="T5" s="18" t="inlineStr">
        <is>
          <t>nombre + tipo + columnas vecinas + validaciones</t>
        </is>
      </c>
      <c r="U5" s="18" t="inlineStr"/>
      <c r="V5" s="19" t="inlineStr">
        <is>
          <t>Pendiente</t>
        </is>
      </c>
      <c r="W5" s="19" t="inlineStr"/>
      <c r="X5" s="19" t="inlineStr"/>
      <c r="Y5" s="20" t="n"/>
      <c r="Z5" s="19" t="inlineStr"/>
      <c r="AA5" s="18">
        <f>IF(OR(V5="Aprobada"),R5,IF(AND(OR(V5="Aprobada con ajuste",V5="Rechazada"),W5&lt;&gt;""),W5,""))</f>
        <v/>
      </c>
    </row>
    <row r="6">
      <c r="A6" s="18" t="inlineStr">
        <is>
          <t>C0005</t>
        </is>
      </c>
      <c r="B6" s="18" t="inlineStr">
        <is>
          <t>Identidad y acceso</t>
        </is>
      </c>
      <c r="C6" s="18" t="inlineStr">
        <is>
          <t>auth</t>
        </is>
      </c>
      <c r="D6" s="18" t="inlineStr">
        <is>
          <t>cargos</t>
        </is>
      </c>
      <c r="E6" s="18" t="n">
        <v>17</v>
      </c>
      <c r="F6" s="18" t="inlineStr">
        <is>
          <t>descripcion</t>
        </is>
      </c>
      <c r="G6" s="18" t="inlineStr">
        <is>
          <t>character varying(500)</t>
        </is>
      </c>
      <c r="H6" s="18" t="inlineStr">
        <is>
          <t>Sí</t>
        </is>
      </c>
      <c r="I6" s="18" t="inlineStr"/>
      <c r="J6" s="18" t="inlineStr"/>
      <c r="K6" s="18" t="inlineStr"/>
      <c r="L6" s="18" t="inlineStr">
        <is>
          <t>No</t>
        </is>
      </c>
      <c r="M6" s="18" t="inlineStr">
        <is>
          <t>No</t>
        </is>
      </c>
      <c r="N6" s="18" t="inlineStr"/>
      <c r="O6" s="18" t="inlineStr"/>
      <c r="P6" s="18" t="inlineStr">
        <is>
          <t>Mapeada en auth-service/src/users/cargo.entity.ts:25 (Cargo.descripcion) | Validación: IsOptional, IsString, MaxLength(150), MaxLength(150, { message: 'La descripción no puede superar 150 caracteres' }), MaxLength(500)</t>
        </is>
      </c>
      <c r="Q6" s="18" t="inlineStr">
        <is>
          <t>Regla estructural</t>
        </is>
      </c>
      <c r="R6" s="18" t="inlineStr">
        <is>
          <t>Descripción del registro de cargos.</t>
        </is>
      </c>
      <c r="S6" s="18" t="inlineStr">
        <is>
          <t>Media</t>
        </is>
      </c>
      <c r="T6" s="18" t="inlineStr">
        <is>
          <t>Convención de nombre de la columna.</t>
        </is>
      </c>
      <c r="U6" s="18" t="inlineStr"/>
      <c r="V6" s="19" t="inlineStr">
        <is>
          <t>Pendiente</t>
        </is>
      </c>
      <c r="W6" s="19" t="inlineStr"/>
      <c r="X6" s="19" t="inlineStr"/>
      <c r="Y6" s="20" t="n"/>
      <c r="Z6" s="19" t="inlineStr"/>
      <c r="AA6" s="18">
        <f>IF(OR(V6="Aprobada"),R6,IF(AND(OR(V6="Aprobada con ajuste",V6="Rechazada"),W6&lt;&gt;""),W6,""))</f>
        <v/>
      </c>
    </row>
    <row r="7">
      <c r="A7" s="18" t="inlineStr">
        <is>
          <t>C0006</t>
        </is>
      </c>
      <c r="B7" s="18" t="inlineStr">
        <is>
          <t>Identidad y acceso</t>
        </is>
      </c>
      <c r="C7" s="18" t="inlineStr">
        <is>
          <t>auth</t>
        </is>
      </c>
      <c r="D7" s="18" t="inlineStr">
        <is>
          <t>cargos</t>
        </is>
      </c>
      <c r="E7" s="18" t="n">
        <v>17</v>
      </c>
      <c r="F7" s="18" t="inlineStr">
        <is>
          <t>nivel_jerarquico</t>
        </is>
      </c>
      <c r="G7" s="18" t="inlineStr">
        <is>
          <t>character varying(50)</t>
        </is>
      </c>
      <c r="H7" s="18" t="inlineStr">
        <is>
          <t>Sí</t>
        </is>
      </c>
      <c r="I7" s="18" t="inlineStr"/>
      <c r="J7" s="18" t="inlineStr"/>
      <c r="K7" s="18" t="inlineStr"/>
      <c r="L7" s="18" t="inlineStr">
        <is>
          <t>No</t>
        </is>
      </c>
      <c r="M7" s="18" t="inlineStr">
        <is>
          <t>No</t>
        </is>
      </c>
      <c r="N7" s="18" t="inlineStr"/>
      <c r="O7" s="18" t="inlineStr"/>
      <c r="P7" s="18" t="inlineStr">
        <is>
          <t>Mapeada en auth-service/src/users/cargo.entity.ts:28 (Cargo.nivelJerarquico) | Validación: IsOptional, IsString, MaxLength(50)</t>
        </is>
      </c>
      <c r="Q7" s="18" t="inlineStr">
        <is>
          <t>Propuesta semántica</t>
        </is>
      </c>
      <c r="R7" s="18" t="inlineStr">
        <is>
          <t>Nivel jerárquico del cargo. Por defecto, Profesional.</t>
        </is>
      </c>
      <c r="S7" s="18" t="inlineStr">
        <is>
          <t>Media</t>
        </is>
      </c>
      <c r="T7" s="18" t="inlineStr">
        <is>
          <t>nombre + tipo + columnas vecinas + defecto</t>
        </is>
      </c>
      <c r="U7" s="18" t="inlineStr">
        <is>
          <t>¿Qué valores toma el nivel jerárquico (Directivo, Asesor, Profesional, Técnico, Asistencial)?</t>
        </is>
      </c>
      <c r="V7" s="19" t="inlineStr">
        <is>
          <t>Pendiente</t>
        </is>
      </c>
      <c r="W7" s="19" t="inlineStr"/>
      <c r="X7" s="19" t="inlineStr"/>
      <c r="Y7" s="20" t="n"/>
      <c r="Z7" s="19" t="inlineStr"/>
      <c r="AA7" s="18">
        <f>IF(OR(V7="Aprobada"),R7,IF(AND(OR(V7="Aprobada con ajuste",V7="Rechazada"),W7&lt;&gt;""),W7,""))</f>
        <v/>
      </c>
    </row>
    <row r="8">
      <c r="A8" s="18" t="inlineStr">
        <is>
          <t>C0007</t>
        </is>
      </c>
      <c r="B8" s="18" t="inlineStr">
        <is>
          <t>Identidad y acceso</t>
        </is>
      </c>
      <c r="C8" s="18" t="inlineStr">
        <is>
          <t>auth</t>
        </is>
      </c>
      <c r="D8" s="18" t="inlineStr">
        <is>
          <t>cargos</t>
        </is>
      </c>
      <c r="E8" s="18" t="n">
        <v>17</v>
      </c>
      <c r="F8" s="18" t="inlineStr">
        <is>
          <t>activo</t>
        </is>
      </c>
      <c r="G8" s="18" t="inlineStr">
        <is>
          <t>boolean</t>
        </is>
      </c>
      <c r="H8" s="18" t="inlineStr">
        <is>
          <t>No</t>
        </is>
      </c>
      <c r="I8" s="18" t="inlineStr"/>
      <c r="J8" s="18" t="inlineStr"/>
      <c r="K8" s="18" t="inlineStr"/>
      <c r="L8" s="18" t="inlineStr">
        <is>
          <t>No</t>
        </is>
      </c>
      <c r="M8" s="18" t="inlineStr">
        <is>
          <t>No</t>
        </is>
      </c>
      <c r="N8" s="18" t="inlineStr"/>
      <c r="O8" s="18" t="inlineStr">
        <is>
          <t>idx_cargos_activo</t>
        </is>
      </c>
      <c r="P8" s="18" t="inlineStr">
        <is>
          <t>Mapeada en auth-service/src/users/cargo.entity.ts:36 (Cargo.activo) | Validación: IsBoolean, IsOptional</t>
        </is>
      </c>
      <c r="Q8" s="18" t="inlineStr">
        <is>
          <t>Regla estructural</t>
        </is>
      </c>
      <c r="R8" s="18" t="inlineStr">
        <is>
          <t>Indica si el registro está activo.</t>
        </is>
      </c>
      <c r="S8" s="18" t="inlineStr">
        <is>
          <t>Media</t>
        </is>
      </c>
      <c r="T8" s="18" t="inlineStr">
        <is>
          <t>Convención de nombre de la columna.</t>
        </is>
      </c>
      <c r="U8" s="18" t="inlineStr"/>
      <c r="V8" s="19" t="inlineStr">
        <is>
          <t>Pendiente</t>
        </is>
      </c>
      <c r="W8" s="19" t="inlineStr"/>
      <c r="X8" s="19" t="inlineStr"/>
      <c r="Y8" s="20" t="n"/>
      <c r="Z8" s="19" t="inlineStr"/>
      <c r="AA8" s="18">
        <f>IF(OR(V8="Aprobada"),R8,IF(AND(OR(V8="Aprobada con ajuste",V8="Rechazada"),W8&lt;&gt;""),W8,""))</f>
        <v/>
      </c>
    </row>
    <row r="9">
      <c r="A9" s="18" t="inlineStr">
        <is>
          <t>C0008</t>
        </is>
      </c>
      <c r="B9" s="18" t="inlineStr">
        <is>
          <t>Identidad y acceso</t>
        </is>
      </c>
      <c r="C9" s="18" t="inlineStr">
        <is>
          <t>auth</t>
        </is>
      </c>
      <c r="D9" s="18" t="inlineStr">
        <is>
          <t>carpeta_digital</t>
        </is>
      </c>
      <c r="E9" s="18" t="n">
        <v>409</v>
      </c>
      <c r="F9" s="18" t="inlineStr">
        <is>
          <t>nombre_carpeta</t>
        </is>
      </c>
      <c r="G9" s="18" t="inlineStr">
        <is>
          <t>character varying(255)</t>
        </is>
      </c>
      <c r="H9" s="18" t="inlineStr">
        <is>
          <t>Sí</t>
        </is>
      </c>
      <c r="I9" s="18" t="inlineStr"/>
      <c r="J9" s="18" t="inlineStr"/>
      <c r="K9" s="18" t="inlineStr"/>
      <c r="L9" s="18" t="inlineStr">
        <is>
          <t>No</t>
        </is>
      </c>
      <c r="M9" s="18" t="inlineStr">
        <is>
          <t>No</t>
        </is>
      </c>
      <c r="N9" s="18" t="inlineStr"/>
      <c r="O9" s="18" t="inlineStr"/>
      <c r="P9" s="18" t="inlineStr">
        <is>
          <t>Mapeada en auth-service/src/carpeta-digital/carpeta-digital.entity.ts:24 (CarpetaDigital.nombreCarpeta)</t>
        </is>
      </c>
      <c r="Q9" s="18" t="inlineStr">
        <is>
          <t>Propuesta semántica</t>
        </is>
      </c>
      <c r="R9" s="18" t="inlineStr">
        <is>
          <t>Nombre de la carpeta digital de la persona.</t>
        </is>
      </c>
      <c r="S9" s="18" t="inlineStr">
        <is>
          <t>Alta</t>
        </is>
      </c>
      <c r="T9" s="18" t="inlineStr">
        <is>
          <t>nombre + tipo + columnas vecinas</t>
        </is>
      </c>
      <c r="U9" s="18" t="inlineStr"/>
      <c r="V9" s="19" t="inlineStr">
        <is>
          <t>Pendiente</t>
        </is>
      </c>
      <c r="W9" s="19" t="inlineStr"/>
      <c r="X9" s="19" t="inlineStr"/>
      <c r="Y9" s="20" t="n"/>
      <c r="Z9" s="19" t="inlineStr"/>
      <c r="AA9" s="18">
        <f>IF(OR(V9="Aprobada"),R9,IF(AND(OR(V9="Aprobada con ajuste",V9="Rechazada"),W9&lt;&gt;""),W9,""))</f>
        <v/>
      </c>
    </row>
    <row r="10">
      <c r="A10" s="18" t="inlineStr">
        <is>
          <t>C0009</t>
        </is>
      </c>
      <c r="B10" s="18" t="inlineStr">
        <is>
          <t>Identidad y acceso</t>
        </is>
      </c>
      <c r="C10" s="18" t="inlineStr">
        <is>
          <t>auth</t>
        </is>
      </c>
      <c r="D10" s="18" t="inlineStr">
        <is>
          <t>carpeta_digital</t>
        </is>
      </c>
      <c r="E10" s="18" t="n">
        <v>409</v>
      </c>
      <c r="F10" s="18" t="inlineStr">
        <is>
          <t>estado</t>
        </is>
      </c>
      <c r="G10" s="18" t="inlineStr">
        <is>
          <t>character varying(30)</t>
        </is>
      </c>
      <c r="H10" s="18" t="inlineStr">
        <is>
          <t>No</t>
        </is>
      </c>
      <c r="I10" s="18" t="inlineStr"/>
      <c r="J10" s="18" t="inlineStr"/>
      <c r="K10" s="18" t="inlineStr"/>
      <c r="L10" s="18" t="inlineStr">
        <is>
          <t>No</t>
        </is>
      </c>
      <c r="M10" s="18" t="inlineStr">
        <is>
          <t>No</t>
        </is>
      </c>
      <c r="N10" s="18" t="inlineStr"/>
      <c r="O10" s="18" t="inlineStr">
        <is>
          <t>idx_carpeta_digital_estado</t>
        </is>
      </c>
      <c r="P10" s="18" t="inlineStr">
        <is>
          <t>Mapeada en auth-service/src/carpeta-digital/carpeta-digital.entity.ts:27 (CarpetaDigital.estado) | Validación: IsOptional, IsString</t>
        </is>
      </c>
      <c r="Q10" s="18" t="inlineStr">
        <is>
          <t>Regla estructural</t>
        </is>
      </c>
      <c r="R10" s="18" t="inlineStr">
        <is>
          <t>Estado del registro de carpeta_digital.</t>
        </is>
      </c>
      <c r="S10" s="18" t="inlineStr">
        <is>
          <t>Media</t>
        </is>
      </c>
      <c r="T10" s="18" t="inlineStr">
        <is>
          <t>Convención de nombre de la columna.</t>
        </is>
      </c>
      <c r="U10" s="18" t="inlineStr"/>
      <c r="V10" s="19" t="inlineStr">
        <is>
          <t>Pendiente</t>
        </is>
      </c>
      <c r="W10" s="19" t="inlineStr"/>
      <c r="X10" s="19" t="inlineStr"/>
      <c r="Y10" s="20" t="n"/>
      <c r="Z10" s="19" t="inlineStr"/>
      <c r="AA10" s="18">
        <f>IF(OR(V10="Aprobada"),R10,IF(AND(OR(V10="Aprobada con ajuste",V10="Rechazada"),W10&lt;&gt;""),W10,""))</f>
        <v/>
      </c>
    </row>
    <row r="11">
      <c r="A11" s="18" t="inlineStr">
        <is>
          <t>C0010</t>
        </is>
      </c>
      <c r="B11" s="18" t="inlineStr">
        <is>
          <t>Identidad y acceso</t>
        </is>
      </c>
      <c r="C11" s="18" t="inlineStr">
        <is>
          <t>auth</t>
        </is>
      </c>
      <c r="D11" s="18" t="inlineStr">
        <is>
          <t>carpeta_digital</t>
        </is>
      </c>
      <c r="E11" s="18" t="n">
        <v>409</v>
      </c>
      <c r="F11" s="18" t="inlineStr">
        <is>
          <t>metadata</t>
        </is>
      </c>
      <c r="G11" s="18" t="inlineStr">
        <is>
          <t>jsonb</t>
        </is>
      </c>
      <c r="H11" s="18" t="inlineStr">
        <is>
          <t>Sí</t>
        </is>
      </c>
      <c r="I11" s="18" t="inlineStr"/>
      <c r="J11" s="18" t="inlineStr"/>
      <c r="K11" s="18" t="inlineStr"/>
      <c r="L11" s="18" t="inlineStr">
        <is>
          <t>No</t>
        </is>
      </c>
      <c r="M11" s="18" t="inlineStr">
        <is>
          <t>No</t>
        </is>
      </c>
      <c r="N11" s="18" t="inlineStr"/>
      <c r="O11" s="18" t="inlineStr"/>
      <c r="P11" s="18" t="inlineStr">
        <is>
          <t>Mapeada en auth-service/src/carpeta-digital/carpeta-digital.entity.ts:30 (CarpetaDigital.metadata)</t>
        </is>
      </c>
      <c r="Q11" s="18" t="inlineStr">
        <is>
          <t>Regla estructural</t>
        </is>
      </c>
      <c r="R11" s="18" t="inlineStr">
        <is>
          <t>Metadatos adicionales en formato JSON.</t>
        </is>
      </c>
      <c r="S11" s="18" t="inlineStr">
        <is>
          <t>Media</t>
        </is>
      </c>
      <c r="T11" s="18" t="inlineStr">
        <is>
          <t>Convención de nombre de la columna.</t>
        </is>
      </c>
      <c r="U11" s="18" t="inlineStr"/>
      <c r="V11" s="19" t="inlineStr">
        <is>
          <t>Pendiente</t>
        </is>
      </c>
      <c r="W11" s="19" t="inlineStr"/>
      <c r="X11" s="19" t="inlineStr"/>
      <c r="Y11" s="20" t="n"/>
      <c r="Z11" s="19" t="inlineStr"/>
      <c r="AA11" s="18">
        <f>IF(OR(V11="Aprobada"),R11,IF(AND(OR(V11="Aprobada con ajuste",V11="Rechazada"),W11&lt;&gt;""),W11,""))</f>
        <v/>
      </c>
    </row>
    <row r="12">
      <c r="A12" s="18" t="inlineStr">
        <is>
          <t>C0011</t>
        </is>
      </c>
      <c r="B12" s="18" t="inlineStr">
        <is>
          <t>Identidad y acceso</t>
        </is>
      </c>
      <c r="C12" s="18" t="inlineStr">
        <is>
          <t>auth</t>
        </is>
      </c>
      <c r="D12" s="18" t="inlineStr">
        <is>
          <t>dependencias</t>
        </is>
      </c>
      <c r="E12" s="18" t="n">
        <v>7</v>
      </c>
      <c r="F12" s="18" t="inlineStr">
        <is>
          <t>id_empresa</t>
        </is>
      </c>
      <c r="G12" s="18" t="inlineStr">
        <is>
          <t>numeric(11,0)</t>
        </is>
      </c>
      <c r="H12" s="18" t="inlineStr">
        <is>
          <t>No</t>
        </is>
      </c>
      <c r="I12" s="18" t="inlineStr"/>
      <c r="J12" s="18" t="inlineStr"/>
      <c r="K12" s="18" t="inlineStr"/>
      <c r="L12" s="18" t="inlineStr">
        <is>
          <t>No</t>
        </is>
      </c>
      <c r="M12" s="18" t="inlineStr">
        <is>
          <t>No</t>
        </is>
      </c>
      <c r="N12" s="18" t="inlineStr"/>
      <c r="O12" s="18" t="inlineStr"/>
      <c r="P12" s="18" t="inlineStr">
        <is>
          <t>Mapeada en auth-service/src/users/dependencia.entity.ts:52 (Dependencia.idEmpresa)</t>
        </is>
      </c>
      <c r="Q12" s="18" t="inlineStr">
        <is>
          <t>Propuesta semántica</t>
        </is>
      </c>
      <c r="R12" s="18" t="inlineStr">
        <is>
          <t>Identificador de la empresa o entidad a la que pertenece la dependencia. Por defecto, 1.</t>
        </is>
      </c>
      <c r="S12" s="18" t="inlineStr">
        <is>
          <t>Media</t>
        </is>
      </c>
      <c r="T12" s="18" t="inlineStr">
        <is>
          <t>nombre + tipo + columnas vecinas + documentación de la entidad</t>
        </is>
      </c>
      <c r="U12" s="18" t="inlineStr">
        <is>
          <t>¿Qué tabla identifica id_empresa y hay más de una empresa registrada?</t>
        </is>
      </c>
      <c r="V12" s="19" t="inlineStr">
        <is>
          <t>Pendiente</t>
        </is>
      </c>
      <c r="W12" s="19" t="inlineStr"/>
      <c r="X12" s="19" t="inlineStr"/>
      <c r="Y12" s="20" t="n"/>
      <c r="Z12" s="19" t="inlineStr"/>
      <c r="AA12" s="18">
        <f>IF(OR(V12="Aprobada"),R12,IF(AND(OR(V12="Aprobada con ajuste",V12="Rechazada"),W12&lt;&gt;""),W12,""))</f>
        <v/>
      </c>
    </row>
    <row r="13">
      <c r="A13" s="18" t="inlineStr">
        <is>
          <t>C0012</t>
        </is>
      </c>
      <c r="B13" s="18" t="inlineStr">
        <is>
          <t>Identidad y acceso</t>
        </is>
      </c>
      <c r="C13" s="18" t="inlineStr">
        <is>
          <t>auth</t>
        </is>
      </c>
      <c r="D13" s="18" t="inlineStr">
        <is>
          <t>dependencias</t>
        </is>
      </c>
      <c r="E13" s="18" t="n">
        <v>7</v>
      </c>
      <c r="F13" s="18" t="inlineStr">
        <is>
          <t>cod_dependencia</t>
        </is>
      </c>
      <c r="G13" s="18" t="inlineStr">
        <is>
          <t>character varying(20)</t>
        </is>
      </c>
      <c r="H13" s="18" t="inlineStr">
        <is>
          <t>No</t>
        </is>
      </c>
      <c r="I13" s="18" t="inlineStr">
        <is>
          <t>Única</t>
        </is>
      </c>
      <c r="J13" s="18" t="inlineStr"/>
      <c r="K13" s="18" t="inlineStr"/>
      <c r="L13" s="18" t="inlineStr">
        <is>
          <t>No</t>
        </is>
      </c>
      <c r="M13" s="18" t="inlineStr">
        <is>
          <t>No</t>
        </is>
      </c>
      <c r="N13" s="18" t="inlineStr"/>
      <c r="O13" s="18" t="inlineStr">
        <is>
          <t>dependencias_cod_dependencia_key</t>
        </is>
      </c>
      <c r="P13" s="18" t="inlineStr">
        <is>
          <t>Mapeada en auth-service/src/users/dependencia.entity.ts:55 (Dependencia.codDependencia) | Validación: IsOptional, IsString, MaxLength(20), MaxLength(20, { message: 'El código de dependencia no puede exceder 20 caracteres' })</t>
        </is>
      </c>
      <c r="Q13" s="18" t="inlineStr">
        <is>
          <t>Propuesta semántica</t>
        </is>
      </c>
      <c r="R13" s="18" t="inlineStr">
        <is>
          <t>Código de la dependencia; es único en la tabla (máximo 20 caracteres).</t>
        </is>
      </c>
      <c r="S13" s="18" t="inlineStr">
        <is>
          <t>Alta</t>
        </is>
      </c>
      <c r="T13" s="18" t="inlineStr">
        <is>
          <t>nombre + tipo + columnas vecinas + restricción única + validaciones</t>
        </is>
      </c>
      <c r="U13" s="18" t="inlineStr"/>
      <c r="V13" s="19" t="inlineStr">
        <is>
          <t>Pendiente</t>
        </is>
      </c>
      <c r="W13" s="19" t="inlineStr"/>
      <c r="X13" s="19" t="inlineStr"/>
      <c r="Y13" s="20" t="n"/>
      <c r="Z13" s="19" t="inlineStr"/>
      <c r="AA13" s="18">
        <f>IF(OR(V13="Aprobada"),R13,IF(AND(OR(V13="Aprobada con ajuste",V13="Rechazada"),W13&lt;&gt;""),W13,""))</f>
        <v/>
      </c>
    </row>
    <row r="14">
      <c r="A14" s="18" t="inlineStr">
        <is>
          <t>C0013</t>
        </is>
      </c>
      <c r="B14" s="18" t="inlineStr">
        <is>
          <t>Identidad y acceso</t>
        </is>
      </c>
      <c r="C14" s="18" t="inlineStr">
        <is>
          <t>auth</t>
        </is>
      </c>
      <c r="D14" s="18" t="inlineStr">
        <is>
          <t>dependencias</t>
        </is>
      </c>
      <c r="E14" s="18" t="n">
        <v>7</v>
      </c>
      <c r="F14" s="18" t="inlineStr">
        <is>
          <t>nom_dependencia</t>
        </is>
      </c>
      <c r="G14" s="18" t="inlineStr">
        <is>
          <t>character varying(250)</t>
        </is>
      </c>
      <c r="H14" s="18" t="inlineStr">
        <is>
          <t>No</t>
        </is>
      </c>
      <c r="I14" s="18" t="inlineStr"/>
      <c r="J14" s="18" t="inlineStr"/>
      <c r="K14" s="18" t="inlineStr"/>
      <c r="L14" s="18" t="inlineStr">
        <is>
          <t>No</t>
        </is>
      </c>
      <c r="M14" s="18" t="inlineStr">
        <is>
          <t>No</t>
        </is>
      </c>
      <c r="N14" s="18" t="inlineStr"/>
      <c r="O14" s="18" t="inlineStr"/>
      <c r="P14" s="18" t="inlineStr">
        <is>
          <t>Mapeada en auth-service/src/users/dependencia.entity.ts:58 (Dependencia.nomDependencia) | Validación: IsOptional, IsString, MaxLength(250), MaxLength(250, { message: 'El nombre de dependencia no puede exceder 250 caracteres' })</t>
        </is>
      </c>
      <c r="Q14" s="18" t="inlineStr">
        <is>
          <t>Propuesta semántica</t>
        </is>
      </c>
      <c r="R14" s="18" t="inlineStr">
        <is>
          <t>Nombre de la dependencia (máximo 250 caracteres).</t>
        </is>
      </c>
      <c r="S14" s="18" t="inlineStr">
        <is>
          <t>Alta</t>
        </is>
      </c>
      <c r="T14" s="18" t="inlineStr">
        <is>
          <t>nombre + tipo + columnas vecinas + validaciones</t>
        </is>
      </c>
      <c r="U14" s="18" t="inlineStr"/>
      <c r="V14" s="19" t="inlineStr">
        <is>
          <t>Pendiente</t>
        </is>
      </c>
      <c r="W14" s="19" t="inlineStr"/>
      <c r="X14" s="19" t="inlineStr"/>
      <c r="Y14" s="20" t="n"/>
      <c r="Z14" s="19" t="inlineStr"/>
      <c r="AA14" s="18">
        <f>IF(OR(V14="Aprobada"),R14,IF(AND(OR(V14="Aprobada con ajuste",V14="Rechazada"),W14&lt;&gt;""),W14,""))</f>
        <v/>
      </c>
    </row>
    <row r="15">
      <c r="A15" s="18" t="inlineStr">
        <is>
          <t>C0014</t>
        </is>
      </c>
      <c r="B15" s="18" t="inlineStr">
        <is>
          <t>Identidad y acceso</t>
        </is>
      </c>
      <c r="C15" s="18" t="inlineStr">
        <is>
          <t>auth</t>
        </is>
      </c>
      <c r="D15" s="18" t="inlineStr">
        <is>
          <t>dependencias</t>
        </is>
      </c>
      <c r="E15" s="18" t="n">
        <v>7</v>
      </c>
      <c r="F15" s="18" t="inlineStr">
        <is>
          <t>dir_dependencia</t>
        </is>
      </c>
      <c r="G15" s="18" t="inlineStr">
        <is>
          <t>character varying(250)</t>
        </is>
      </c>
      <c r="H15" s="18" t="inlineStr">
        <is>
          <t>Sí</t>
        </is>
      </c>
      <c r="I15" s="18" t="inlineStr"/>
      <c r="J15" s="18" t="inlineStr"/>
      <c r="K15" s="18" t="inlineStr"/>
      <c r="L15" s="18" t="inlineStr">
        <is>
          <t>No</t>
        </is>
      </c>
      <c r="M15" s="18" t="inlineStr">
        <is>
          <t>No</t>
        </is>
      </c>
      <c r="N15" s="18" t="inlineStr"/>
      <c r="O15" s="18" t="inlineStr"/>
      <c r="P15" s="18" t="inlineStr">
        <is>
          <t>Mapeada en auth-service/src/users/dependencia.entity.ts:61 (Dependencia.dirDependencia) | Validación: IsOptional, IsString, MaxLength(250)</t>
        </is>
      </c>
      <c r="Q15" s="18" t="inlineStr">
        <is>
          <t>Propuesta semántica</t>
        </is>
      </c>
      <c r="R15" s="18" t="inlineStr">
        <is>
          <t>Dirección física de la dependencia.</t>
        </is>
      </c>
      <c r="S15" s="18" t="inlineStr">
        <is>
          <t>Media</t>
        </is>
      </c>
      <c r="T15" s="18" t="inlineStr">
        <is>
          <t>nombre + tipo + columnas vecinas (dir_email, url_dependencia)</t>
        </is>
      </c>
      <c r="U15" s="18" t="inlineStr">
        <is>
          <t>¿dir_dependencia es la dirección postal de la dependencia?</t>
        </is>
      </c>
      <c r="V15" s="19" t="inlineStr">
        <is>
          <t>Pendiente</t>
        </is>
      </c>
      <c r="W15" s="19" t="inlineStr"/>
      <c r="X15" s="19" t="inlineStr"/>
      <c r="Y15" s="20" t="n"/>
      <c r="Z15" s="19" t="inlineStr"/>
      <c r="AA15" s="18">
        <f>IF(OR(V15="Aprobada"),R15,IF(AND(OR(V15="Aprobada con ajuste",V15="Rechazada"),W15&lt;&gt;""),W15,""))</f>
        <v/>
      </c>
    </row>
    <row r="16">
      <c r="A16" s="18" t="inlineStr">
        <is>
          <t>C0015</t>
        </is>
      </c>
      <c r="B16" s="18" t="inlineStr">
        <is>
          <t>Identidad y acceso</t>
        </is>
      </c>
      <c r="C16" s="18" t="inlineStr">
        <is>
          <t>auth</t>
        </is>
      </c>
      <c r="D16" s="18" t="inlineStr">
        <is>
          <t>dependencias</t>
        </is>
      </c>
      <c r="E16" s="18" t="n">
        <v>7</v>
      </c>
      <c r="F16" s="18" t="inlineStr">
        <is>
          <t>dir_email</t>
        </is>
      </c>
      <c r="G16" s="18" t="inlineStr">
        <is>
          <t>character varying(250)</t>
        </is>
      </c>
      <c r="H16" s="18" t="inlineStr">
        <is>
          <t>Sí</t>
        </is>
      </c>
      <c r="I16" s="18" t="inlineStr"/>
      <c r="J16" s="18" t="inlineStr"/>
      <c r="K16" s="18" t="inlineStr"/>
      <c r="L16" s="18" t="inlineStr">
        <is>
          <t>No</t>
        </is>
      </c>
      <c r="M16" s="18" t="inlineStr">
        <is>
          <t>No</t>
        </is>
      </c>
      <c r="N16" s="18" t="inlineStr"/>
      <c r="O16" s="18" t="inlineStr"/>
      <c r="P16" s="18" t="inlineStr">
        <is>
          <t>Mapeada en auth-service/src/users/dependencia.entity.ts:64 (Dependencia.dirEmail) | Validación: IsEmail, IsEmail({}, { message: 'El email institucional no es válido' }), IsOptional, MaxLength(250)</t>
        </is>
      </c>
      <c r="Q16" s="18" t="inlineStr">
        <is>
          <t>Propuesta semántica</t>
        </is>
      </c>
      <c r="R16" s="18" t="inlineStr">
        <is>
          <t>Correo electrónico institucional de la dependencia.</t>
        </is>
      </c>
      <c r="S16" s="18" t="inlineStr">
        <is>
          <t>Alta</t>
        </is>
      </c>
      <c r="T16" s="18" t="inlineStr">
        <is>
          <t>nombre + tipo + columnas vecinas + validación IsEmail</t>
        </is>
      </c>
      <c r="U16" s="18" t="inlineStr"/>
      <c r="V16" s="19" t="inlineStr">
        <is>
          <t>Pendiente</t>
        </is>
      </c>
      <c r="W16" s="19" t="inlineStr"/>
      <c r="X16" s="19" t="inlineStr"/>
      <c r="Y16" s="20" t="n"/>
      <c r="Z16" s="19" t="inlineStr"/>
      <c r="AA16" s="18">
        <f>IF(OR(V16="Aprobada"),R16,IF(AND(OR(V16="Aprobada con ajuste",V16="Rechazada"),W16&lt;&gt;""),W16,""))</f>
        <v/>
      </c>
    </row>
    <row r="17">
      <c r="A17" s="18" t="inlineStr">
        <is>
          <t>C0016</t>
        </is>
      </c>
      <c r="B17" s="18" t="inlineStr">
        <is>
          <t>Identidad y acceso</t>
        </is>
      </c>
      <c r="C17" s="18" t="inlineStr">
        <is>
          <t>auth</t>
        </is>
      </c>
      <c r="D17" s="18" t="inlineStr">
        <is>
          <t>dependencias</t>
        </is>
      </c>
      <c r="E17" s="18" t="n">
        <v>7</v>
      </c>
      <c r="F17" s="18" t="inlineStr">
        <is>
          <t>url_dependencia</t>
        </is>
      </c>
      <c r="G17" s="18" t="inlineStr">
        <is>
          <t>character varying(250)</t>
        </is>
      </c>
      <c r="H17" s="18" t="inlineStr">
        <is>
          <t>Sí</t>
        </is>
      </c>
      <c r="I17" s="18" t="inlineStr"/>
      <c r="J17" s="18" t="inlineStr"/>
      <c r="K17" s="18" t="inlineStr"/>
      <c r="L17" s="18" t="inlineStr">
        <is>
          <t>No</t>
        </is>
      </c>
      <c r="M17" s="18" t="inlineStr">
        <is>
          <t>No</t>
        </is>
      </c>
      <c r="N17" s="18" t="inlineStr"/>
      <c r="O17" s="18" t="inlineStr"/>
      <c r="P17" s="18" t="inlineStr">
        <is>
          <t>Mapeada en auth-service/src/users/dependencia.entity.ts:67 (Dependencia.urlDependencia) | Validación: IsOptional, IsString, MaxLength(250)</t>
        </is>
      </c>
      <c r="Q17" s="18" t="inlineStr">
        <is>
          <t>Propuesta semántica</t>
        </is>
      </c>
      <c r="R17" s="18" t="inlineStr">
        <is>
          <t>Dirección web (URL) de la dependencia.</t>
        </is>
      </c>
      <c r="S17" s="18" t="inlineStr">
        <is>
          <t>Alta</t>
        </is>
      </c>
      <c r="T17" s="18" t="inlineStr">
        <is>
          <t>nombre + tipo + columnas vecinas</t>
        </is>
      </c>
      <c r="U17" s="18" t="inlineStr"/>
      <c r="V17" s="19" t="inlineStr">
        <is>
          <t>Pendiente</t>
        </is>
      </c>
      <c r="W17" s="19" t="inlineStr"/>
      <c r="X17" s="19" t="inlineStr"/>
      <c r="Y17" s="20" t="n"/>
      <c r="Z17" s="19" t="inlineStr"/>
      <c r="AA17" s="18">
        <f>IF(OR(V17="Aprobada"),R17,IF(AND(OR(V17="Aprobada con ajuste",V17="Rechazada"),W17&lt;&gt;""),W17,""))</f>
        <v/>
      </c>
    </row>
    <row r="18">
      <c r="A18" s="18" t="inlineStr">
        <is>
          <t>C0017</t>
        </is>
      </c>
      <c r="B18" s="18" t="inlineStr">
        <is>
          <t>Identidad y acceso</t>
        </is>
      </c>
      <c r="C18" s="18" t="inlineStr">
        <is>
          <t>auth</t>
        </is>
      </c>
      <c r="D18" s="18" t="inlineStr">
        <is>
          <t>dependencias</t>
        </is>
      </c>
      <c r="E18" s="18" t="n">
        <v>7</v>
      </c>
      <c r="F18" s="18" t="inlineStr">
        <is>
          <t>id_geopolitica</t>
        </is>
      </c>
      <c r="G18" s="18" t="inlineStr">
        <is>
          <t>numeric(11,0)</t>
        </is>
      </c>
      <c r="H18" s="18" t="inlineStr">
        <is>
          <t>Sí</t>
        </is>
      </c>
      <c r="I18" s="18" t="inlineStr"/>
      <c r="J18" s="18" t="inlineStr"/>
      <c r="K18" s="18" t="inlineStr"/>
      <c r="L18" s="18" t="inlineStr">
        <is>
          <t>No</t>
        </is>
      </c>
      <c r="M18" s="18" t="inlineStr">
        <is>
          <t>No</t>
        </is>
      </c>
      <c r="N18" s="18" t="inlineStr"/>
      <c r="O18" s="18" t="inlineStr"/>
      <c r="P18" s="18" t="inlineStr">
        <is>
          <t>Mapeada en auth-service/src/users/dependencia.entity.ts:70 (Dependencia.idGeopolitica) | Validación: IsNumber, IsOptional</t>
        </is>
      </c>
      <c r="Q18" s="18" t="inlineStr">
        <is>
          <t>Propuesta semántica</t>
        </is>
      </c>
      <c r="R18" s="18" t="inlineStr">
        <is>
          <t>Identificador de la división geopolítica (ciudad o municipio) donde se ubica la dependencia.</t>
        </is>
      </c>
      <c r="S18" s="18" t="inlineStr">
        <is>
          <t>Media</t>
        </is>
      </c>
      <c r="T18" s="18" t="inlineStr">
        <is>
          <t>nombre + tipo + columnas vecinas (auth.geopolitica)</t>
        </is>
      </c>
      <c r="U18" s="18" t="inlineStr">
        <is>
          <t>¿id_geopolitica referencia a auth.geopolitica.id_geopolitica?</t>
        </is>
      </c>
      <c r="V18" s="19" t="inlineStr">
        <is>
          <t>Pendiente</t>
        </is>
      </c>
      <c r="W18" s="19" t="inlineStr"/>
      <c r="X18" s="19" t="inlineStr"/>
      <c r="Y18" s="20" t="n"/>
      <c r="Z18" s="19" t="inlineStr"/>
      <c r="AA18" s="18">
        <f>IF(OR(V18="Aprobada"),R18,IF(AND(OR(V18="Aprobada con ajuste",V18="Rechazada"),W18&lt;&gt;""),W18,""))</f>
        <v/>
      </c>
    </row>
    <row r="19">
      <c r="A19" s="18" t="inlineStr">
        <is>
          <t>C0018</t>
        </is>
      </c>
      <c r="B19" s="18" t="inlineStr">
        <is>
          <t>Identidad y acceso</t>
        </is>
      </c>
      <c r="C19" s="18" t="inlineStr">
        <is>
          <t>auth</t>
        </is>
      </c>
      <c r="D19" s="18" t="inlineStr">
        <is>
          <t>dependencias</t>
        </is>
      </c>
      <c r="E19" s="18" t="n">
        <v>7</v>
      </c>
      <c r="F19" s="18" t="inlineStr">
        <is>
          <t>id_sede</t>
        </is>
      </c>
      <c r="G19" s="18" t="inlineStr">
        <is>
          <t>numeric(11,0)</t>
        </is>
      </c>
      <c r="H19" s="18" t="inlineStr">
        <is>
          <t>Sí</t>
        </is>
      </c>
      <c r="I19" s="18" t="inlineStr"/>
      <c r="J19" s="18" t="inlineStr"/>
      <c r="K19" s="18" t="inlineStr"/>
      <c r="L19" s="18" t="inlineStr">
        <is>
          <t>No</t>
        </is>
      </c>
      <c r="M19" s="18" t="inlineStr">
        <is>
          <t>No</t>
        </is>
      </c>
      <c r="N19" s="18" t="inlineStr"/>
      <c r="O19" s="18" t="inlineStr"/>
      <c r="P19" s="18" t="inlineStr">
        <is>
          <t>Mapeada en auth-service/src/users/dependencia.entity.ts:73 (Dependencia.idSede) | Validación: IsNumber, IsOptional</t>
        </is>
      </c>
      <c r="Q19" s="18" t="inlineStr">
        <is>
          <t>Regla estructural</t>
        </is>
      </c>
      <c r="R19" s="18" t="inlineStr">
        <is>
          <t>Referencia al registro de auth.sedes (id_sede); relación sin llave foránea declarada.</t>
        </is>
      </c>
      <c r="S19" s="18" t="inlineStr">
        <is>
          <t>Media</t>
        </is>
      </c>
      <c r="T19" s="18" t="inlineStr">
        <is>
          <t>Convención de nombre de la columna.</t>
        </is>
      </c>
      <c r="U19" s="18" t="inlineStr"/>
      <c r="V19" s="19" t="inlineStr">
        <is>
          <t>Pendiente</t>
        </is>
      </c>
      <c r="W19" s="19" t="inlineStr"/>
      <c r="X19" s="19" t="inlineStr"/>
      <c r="Y19" s="20" t="n"/>
      <c r="Z19" s="19" t="inlineStr"/>
      <c r="AA19" s="18">
        <f>IF(OR(V19="Aprobada"),R19,IF(AND(OR(V19="Aprobada con ajuste",V19="Rechazada"),W19&lt;&gt;""),W19,""))</f>
        <v/>
      </c>
    </row>
    <row r="20">
      <c r="A20" s="18" t="inlineStr">
        <is>
          <t>C0019</t>
        </is>
      </c>
      <c r="B20" s="18" t="inlineStr">
        <is>
          <t>Identidad y acceso</t>
        </is>
      </c>
      <c r="C20" s="18" t="inlineStr">
        <is>
          <t>auth</t>
        </is>
      </c>
      <c r="D20" s="18" t="inlineStr">
        <is>
          <t>dependencias</t>
        </is>
      </c>
      <c r="E20" s="18" t="n">
        <v>7</v>
      </c>
      <c r="F20" s="18" t="inlineStr">
        <is>
          <t>id_cargo</t>
        </is>
      </c>
      <c r="G20" s="18" t="inlineStr">
        <is>
          <t>numeric(11,0)</t>
        </is>
      </c>
      <c r="H20" s="18" t="inlineStr">
        <is>
          <t>Sí</t>
        </is>
      </c>
      <c r="I20" s="18" t="inlineStr"/>
      <c r="J20" s="18" t="inlineStr"/>
      <c r="K20" s="18" t="inlineStr"/>
      <c r="L20" s="18" t="inlineStr">
        <is>
          <t>No</t>
        </is>
      </c>
      <c r="M20" s="18" t="inlineStr">
        <is>
          <t>No</t>
        </is>
      </c>
      <c r="N20" s="18" t="inlineStr"/>
      <c r="O20" s="18" t="inlineStr"/>
      <c r="P20" s="18" t="inlineStr">
        <is>
          <t>Mapeada en auth-service/src/users/dependencia.entity.ts:76 (Dependencia.idCargo) | Validación: IsNumber, IsOptional</t>
        </is>
      </c>
      <c r="Q20" s="18" t="inlineStr">
        <is>
          <t>Propuesta semántica</t>
        </is>
      </c>
      <c r="R20" s="18" t="inlineStr">
        <is>
          <t>Identificador del cargo asociado a la dependencia.</t>
        </is>
      </c>
      <c r="S20" s="18" t="inlineStr">
        <is>
          <t>Baja</t>
        </is>
      </c>
      <c r="T20" s="18" t="inlineStr">
        <is>
          <t>nombre + tipo + columnas vecinas (auth.cargos)</t>
        </is>
      </c>
      <c r="U20" s="18" t="inlineStr">
        <is>
          <t>¿id_cargo es el cargo del jefe de la dependencia? ¿Referencia a auth.cargos?</t>
        </is>
      </c>
      <c r="V20" s="19" t="inlineStr">
        <is>
          <t>Pendiente</t>
        </is>
      </c>
      <c r="W20" s="19" t="inlineStr"/>
      <c r="X20" s="19" t="inlineStr"/>
      <c r="Y20" s="20" t="n"/>
      <c r="Z20" s="19" t="inlineStr"/>
      <c r="AA20" s="18">
        <f>IF(OR(V20="Aprobada"),R20,IF(AND(OR(V20="Aprobada con ajuste",V20="Rechazada"),W20&lt;&gt;""),W20,""))</f>
        <v/>
      </c>
    </row>
    <row r="21">
      <c r="A21" s="18" t="inlineStr">
        <is>
          <t>C0020</t>
        </is>
      </c>
      <c r="B21" s="18" t="inlineStr">
        <is>
          <t>Identidad y acceso</t>
        </is>
      </c>
      <c r="C21" s="18" t="inlineStr">
        <is>
          <t>auth</t>
        </is>
      </c>
      <c r="D21" s="18" t="inlineStr">
        <is>
          <t>dependencias</t>
        </is>
      </c>
      <c r="E21" s="18" t="n">
        <v>7</v>
      </c>
      <c r="F21" s="18" t="inlineStr">
        <is>
          <t>id_tercero</t>
        </is>
      </c>
      <c r="G21" s="18" t="inlineStr">
        <is>
          <t>numeric(11,0)</t>
        </is>
      </c>
      <c r="H21" s="18" t="inlineStr">
        <is>
          <t>Sí</t>
        </is>
      </c>
      <c r="I21" s="18" t="inlineStr"/>
      <c r="J21" s="18" t="inlineStr"/>
      <c r="K21" s="18" t="inlineStr"/>
      <c r="L21" s="18" t="inlineStr">
        <is>
          <t>No</t>
        </is>
      </c>
      <c r="M21" s="18" t="inlineStr">
        <is>
          <t>No</t>
        </is>
      </c>
      <c r="N21" s="18" t="inlineStr"/>
      <c r="O21" s="18" t="inlineStr"/>
      <c r="P21" s="18" t="inlineStr">
        <is>
          <t>Mapeada en auth-service/src/users/dependencia.entity.ts:79 (Dependencia.idTercero) | Validación: IsNumber, IsOptional</t>
        </is>
      </c>
      <c r="Q21" s="18" t="inlineStr">
        <is>
          <t>Propuesta semántica</t>
        </is>
      </c>
      <c r="R21" s="18" t="inlineStr">
        <is>
          <t>Identificador del tercero asociado a la dependencia.</t>
        </is>
      </c>
      <c r="S21" s="18" t="inlineStr">
        <is>
          <t>Baja</t>
        </is>
      </c>
      <c r="T21" s="18" t="inlineStr">
        <is>
          <t>nombre + tipo + columnas vecinas</t>
        </is>
      </c>
      <c r="U21" s="18" t="inlineStr">
        <is>
          <t>¿Qué representa el tercero (responsable de la dependencia) y a qué tabla referencia?</t>
        </is>
      </c>
      <c r="V21" s="19" t="inlineStr">
        <is>
          <t>Pendiente</t>
        </is>
      </c>
      <c r="W21" s="19" t="inlineStr"/>
      <c r="X21" s="19" t="inlineStr"/>
      <c r="Y21" s="20" t="n"/>
      <c r="Z21" s="19" t="inlineStr"/>
      <c r="AA21" s="18">
        <f>IF(OR(V21="Aprobada"),R21,IF(AND(OR(V21="Aprobada con ajuste",V21="Rechazada"),W21&lt;&gt;""),W21,""))</f>
        <v/>
      </c>
    </row>
    <row r="22">
      <c r="A22" s="18" t="inlineStr">
        <is>
          <t>C0021</t>
        </is>
      </c>
      <c r="B22" s="18" t="inlineStr">
        <is>
          <t>Identidad y acceso</t>
        </is>
      </c>
      <c r="C22" s="18" t="inlineStr">
        <is>
          <t>auth</t>
        </is>
      </c>
      <c r="D22" s="18" t="inlineStr">
        <is>
          <t>dependencias</t>
        </is>
      </c>
      <c r="E22" s="18" t="n">
        <v>7</v>
      </c>
      <c r="F22" s="18" t="inlineStr">
        <is>
          <t>tip_unidad</t>
        </is>
      </c>
      <c r="G22" s="18" t="inlineStr">
        <is>
          <t>numeric(1,0)</t>
        </is>
      </c>
      <c r="H22" s="18" t="inlineStr">
        <is>
          <t>Sí</t>
        </is>
      </c>
      <c r="I22" s="18" t="inlineStr"/>
      <c r="J22" s="18" t="inlineStr"/>
      <c r="K22" s="18" t="inlineStr"/>
      <c r="L22" s="18" t="inlineStr">
        <is>
          <t>No</t>
        </is>
      </c>
      <c r="M22" s="18" t="inlineStr">
        <is>
          <t>No</t>
        </is>
      </c>
      <c r="N22" s="18" t="inlineStr"/>
      <c r="O22" s="18" t="inlineStr"/>
      <c r="P22" s="18" t="inlineStr">
        <is>
          <t>Mapeada en auth-service/src/users/dependencia.entity.ts:82 (Dependencia.tipUnidad) | Validación: IsNumber, IsOptional</t>
        </is>
      </c>
      <c r="Q22" s="18" t="inlineStr">
        <is>
          <t>Propuesta semántica</t>
        </is>
      </c>
      <c r="R22" s="18" t="inlineStr">
        <is>
          <t>Código del tipo de unidad organizacional de la dependencia.</t>
        </is>
      </c>
      <c r="S22" s="18" t="inlineStr">
        <is>
          <t>Baja</t>
        </is>
      </c>
      <c r="T22" s="18" t="inlineStr">
        <is>
          <t>nombre + tipo + columnas vecinas (gen_tip_unidad)</t>
        </is>
      </c>
      <c r="U22" s="18" t="inlineStr">
        <is>
          <t>¿Qué valores toma tip_unidad y qué significa cada uno?</t>
        </is>
      </c>
      <c r="V22" s="19" t="inlineStr">
        <is>
          <t>Pendiente</t>
        </is>
      </c>
      <c r="W22" s="19" t="inlineStr"/>
      <c r="X22" s="19" t="inlineStr"/>
      <c r="Y22" s="20" t="n"/>
      <c r="Z22" s="19" t="inlineStr"/>
      <c r="AA22" s="18">
        <f>IF(OR(V22="Aprobada"),R22,IF(AND(OR(V22="Aprobada con ajuste",V22="Rechazada"),W22&lt;&gt;""),W22,""))</f>
        <v/>
      </c>
    </row>
    <row r="23">
      <c r="A23" s="18" t="inlineStr">
        <is>
          <t>C0022</t>
        </is>
      </c>
      <c r="B23" s="18" t="inlineStr">
        <is>
          <t>Identidad y acceso</t>
        </is>
      </c>
      <c r="C23" s="18" t="inlineStr">
        <is>
          <t>auth</t>
        </is>
      </c>
      <c r="D23" s="18" t="inlineStr">
        <is>
          <t>dependencias</t>
        </is>
      </c>
      <c r="E23" s="18" t="n">
        <v>7</v>
      </c>
      <c r="F23" s="18" t="inlineStr">
        <is>
          <t>gen_tip_unidad</t>
        </is>
      </c>
      <c r="G23" s="18" t="inlineStr">
        <is>
          <t>character varying(6)</t>
        </is>
      </c>
      <c r="H23" s="18" t="inlineStr">
        <is>
          <t>Sí</t>
        </is>
      </c>
      <c r="I23" s="18" t="inlineStr"/>
      <c r="J23" s="18" t="inlineStr"/>
      <c r="K23" s="18" t="inlineStr"/>
      <c r="L23" s="18" t="inlineStr">
        <is>
          <t>No</t>
        </is>
      </c>
      <c r="M23" s="18" t="inlineStr">
        <is>
          <t>No</t>
        </is>
      </c>
      <c r="N23" s="18" t="inlineStr"/>
      <c r="O23" s="18" t="inlineStr"/>
      <c r="P23" s="18" t="inlineStr">
        <is>
          <t>Mapeada en auth-service/src/users/dependencia.entity.ts:85 (Dependencia.genTipUnidad) | Validación: IsOptional, IsString, MaxLength(6)</t>
        </is>
      </c>
      <c r="Q23" s="18" t="inlineStr">
        <is>
          <t>Propuesta semántica</t>
        </is>
      </c>
      <c r="R23" s="18" t="inlineStr">
        <is>
          <t>Código del grupo de parámetros que define los tipos de unidad. Por defecto, TIUORG (tipo de unidad organizacional).</t>
        </is>
      </c>
      <c r="S23" s="18" t="inlineStr">
        <is>
          <t>Baja</t>
        </is>
      </c>
      <c r="T23" s="18" t="inlineStr">
        <is>
          <t>nombre + tipo + columnas vecinas + defecto</t>
        </is>
      </c>
      <c r="U23" s="18" t="inlineStr">
        <is>
          <t>¿gen_tip_unidad es el código de la lista genérica a la que pertenece tip_unidad?</t>
        </is>
      </c>
      <c r="V23" s="19" t="inlineStr">
        <is>
          <t>Pendiente</t>
        </is>
      </c>
      <c r="W23" s="19" t="inlineStr"/>
      <c r="X23" s="19" t="inlineStr"/>
      <c r="Y23" s="20" t="n"/>
      <c r="Z23" s="19" t="inlineStr"/>
      <c r="AA23" s="18">
        <f>IF(OR(V23="Aprobada"),R23,IF(AND(OR(V23="Aprobada con ajuste",V23="Rechazada"),W23&lt;&gt;""),W23,""))</f>
        <v/>
      </c>
    </row>
    <row r="24">
      <c r="A24" s="18" t="inlineStr">
        <is>
          <t>C0023</t>
        </is>
      </c>
      <c r="B24" s="18" t="inlineStr">
        <is>
          <t>Identidad y acceso</t>
        </is>
      </c>
      <c r="C24" s="18" t="inlineStr">
        <is>
          <t>auth</t>
        </is>
      </c>
      <c r="D24" s="18" t="inlineStr">
        <is>
          <t>dependencias</t>
        </is>
      </c>
      <c r="E24" s="18" t="n">
        <v>7</v>
      </c>
      <c r="F24" s="18" t="inlineStr">
        <is>
          <t>descripcion</t>
        </is>
      </c>
      <c r="G24" s="18" t="inlineStr">
        <is>
          <t>character varying(500)</t>
        </is>
      </c>
      <c r="H24" s="18" t="inlineStr">
        <is>
          <t>Sí</t>
        </is>
      </c>
      <c r="I24" s="18" t="inlineStr"/>
      <c r="J24" s="18" t="inlineStr"/>
      <c r="K24" s="18" t="inlineStr"/>
      <c r="L24" s="18" t="inlineStr">
        <is>
          <t>No</t>
        </is>
      </c>
      <c r="M24" s="18" t="inlineStr">
        <is>
          <t>No</t>
        </is>
      </c>
      <c r="N24" s="18" t="inlineStr"/>
      <c r="O24" s="18" t="inlineStr"/>
      <c r="P24" s="18" t="inlineStr">
        <is>
          <t>Mapeada en auth-service/src/users/dependencia.entity.ts:88 (Dependencia.descripcion) | Validación: IsOptional, IsString, MaxLength(150), MaxLength(150, { message: 'La descripción no puede superar 150 caracteres' }), MaxLength(500)</t>
        </is>
      </c>
      <c r="Q24" s="18" t="inlineStr">
        <is>
          <t>Regla estructural</t>
        </is>
      </c>
      <c r="R24" s="18" t="inlineStr">
        <is>
          <t>Descripción del registro de dependencias.</t>
        </is>
      </c>
      <c r="S24" s="18" t="inlineStr">
        <is>
          <t>Media</t>
        </is>
      </c>
      <c r="T24" s="18" t="inlineStr">
        <is>
          <t>Convención de nombre de la columna.</t>
        </is>
      </c>
      <c r="U24" s="18" t="inlineStr"/>
      <c r="V24" s="19" t="inlineStr">
        <is>
          <t>Pendiente</t>
        </is>
      </c>
      <c r="W24" s="19" t="inlineStr"/>
      <c r="X24" s="19" t="inlineStr"/>
      <c r="Y24" s="20" t="n"/>
      <c r="Z24" s="19" t="inlineStr"/>
      <c r="AA24" s="18">
        <f>IF(OR(V24="Aprobada"),R24,IF(AND(OR(V24="Aprobada con ajuste",V24="Rechazada"),W24&lt;&gt;""),W24,""))</f>
        <v/>
      </c>
    </row>
    <row r="25">
      <c r="A25" s="18" t="inlineStr">
        <is>
          <t>C0024</t>
        </is>
      </c>
      <c r="B25" s="18" t="inlineStr">
        <is>
          <t>Identidad y acceso</t>
        </is>
      </c>
      <c r="C25" s="18" t="inlineStr">
        <is>
          <t>auth</t>
        </is>
      </c>
      <c r="D25" s="18" t="inlineStr">
        <is>
          <t>dependencias</t>
        </is>
      </c>
      <c r="E25" s="18" t="n">
        <v>7</v>
      </c>
      <c r="F25" s="18" t="inlineStr">
        <is>
          <t>activo</t>
        </is>
      </c>
      <c r="G25" s="18" t="inlineStr">
        <is>
          <t>boolean</t>
        </is>
      </c>
      <c r="H25" s="18" t="inlineStr">
        <is>
          <t>No</t>
        </is>
      </c>
      <c r="I25" s="18" t="inlineStr"/>
      <c r="J25" s="18" t="inlineStr"/>
      <c r="K25" s="18" t="inlineStr"/>
      <c r="L25" s="18" t="inlineStr">
        <is>
          <t>No</t>
        </is>
      </c>
      <c r="M25" s="18" t="inlineStr">
        <is>
          <t>No</t>
        </is>
      </c>
      <c r="N25" s="18" t="inlineStr"/>
      <c r="O25" s="18" t="inlineStr">
        <is>
          <t>idx_dependencias_activo</t>
        </is>
      </c>
      <c r="P25" s="18" t="inlineStr">
        <is>
          <t>Mapeada en auth-service/src/users/dependencia.entity.ts:91 (Dependencia.activo) | Validación: IsBoolean, IsOptional</t>
        </is>
      </c>
      <c r="Q25" s="18" t="inlineStr">
        <is>
          <t>Regla estructural</t>
        </is>
      </c>
      <c r="R25" s="18" t="inlineStr">
        <is>
          <t>Indica si el registro está activo.</t>
        </is>
      </c>
      <c r="S25" s="18" t="inlineStr">
        <is>
          <t>Media</t>
        </is>
      </c>
      <c r="T25" s="18" t="inlineStr">
        <is>
          <t>Convención de nombre de la columna.</t>
        </is>
      </c>
      <c r="U25" s="18" t="inlineStr"/>
      <c r="V25" s="19" t="inlineStr">
        <is>
          <t>Pendiente</t>
        </is>
      </c>
      <c r="W25" s="19" t="inlineStr"/>
      <c r="X25" s="19" t="inlineStr"/>
      <c r="Y25" s="20" t="n"/>
      <c r="Z25" s="19" t="inlineStr"/>
      <c r="AA25" s="18">
        <f>IF(OR(V25="Aprobada"),R25,IF(AND(OR(V25="Aprobada con ajuste",V25="Rechazada"),W25&lt;&gt;""),W25,""))</f>
        <v/>
      </c>
    </row>
    <row r="26">
      <c r="A26" s="18" t="inlineStr">
        <is>
          <t>C0025</t>
        </is>
      </c>
      <c r="B26" s="18" t="inlineStr">
        <is>
          <t>Identidad y acceso</t>
        </is>
      </c>
      <c r="C26" s="18" t="inlineStr">
        <is>
          <t>auth</t>
        </is>
      </c>
      <c r="D26" s="18" t="inlineStr">
        <is>
          <t>dependencias_cargos</t>
        </is>
      </c>
      <c r="E26" s="18" t="n">
        <v>30</v>
      </c>
      <c r="F26" s="18" t="inlineStr">
        <is>
          <t>activo</t>
        </is>
      </c>
      <c r="G26" s="18" t="inlineStr">
        <is>
          <t>boolean</t>
        </is>
      </c>
      <c r="H26" s="18" t="inlineStr">
        <is>
          <t>No</t>
        </is>
      </c>
      <c r="I26" s="18" t="inlineStr"/>
      <c r="J26" s="18" t="inlineStr"/>
      <c r="K26" s="18" t="inlineStr"/>
      <c r="L26" s="18" t="inlineStr">
        <is>
          <t>No</t>
        </is>
      </c>
      <c r="M26" s="18" t="inlineStr">
        <is>
          <t>No</t>
        </is>
      </c>
      <c r="N26" s="18" t="inlineStr"/>
      <c r="O26" s="18" t="inlineStr">
        <is>
          <t>idx_dep_cargos_activo</t>
        </is>
      </c>
      <c r="P26" s="18" t="inlineStr">
        <is>
          <t>Mapeada en auth-service/src/users/dependencia-cargo.entity.ts:29 (DependenciaCargo.activo) | Validación: IsBoolean, IsOptional</t>
        </is>
      </c>
      <c r="Q26" s="18" t="inlineStr">
        <is>
          <t>Regla estructural</t>
        </is>
      </c>
      <c r="R26" s="18" t="inlineStr">
        <is>
          <t>Indica si el registro está activo.</t>
        </is>
      </c>
      <c r="S26" s="18" t="inlineStr">
        <is>
          <t>Media</t>
        </is>
      </c>
      <c r="T26" s="18" t="inlineStr">
        <is>
          <t>Convención de nombre de la columna.</t>
        </is>
      </c>
      <c r="U26" s="18" t="inlineStr"/>
      <c r="V26" s="19" t="inlineStr">
        <is>
          <t>Pendiente</t>
        </is>
      </c>
      <c r="W26" s="19" t="inlineStr"/>
      <c r="X26" s="19" t="inlineStr"/>
      <c r="Y26" s="20" t="n"/>
      <c r="Z26" s="19" t="inlineStr"/>
      <c r="AA26" s="18">
        <f>IF(OR(V26="Aprobada"),R26,IF(AND(OR(V26="Aprobada con ajuste",V26="Rechazada"),W26&lt;&gt;""),W26,""))</f>
        <v/>
      </c>
    </row>
    <row r="27">
      <c r="A27" s="18" t="inlineStr">
        <is>
          <t>C0026</t>
        </is>
      </c>
      <c r="B27" s="18" t="inlineStr">
        <is>
          <t>Identidad y acceso</t>
        </is>
      </c>
      <c r="C27" s="18" t="inlineStr">
        <is>
          <t>auth</t>
        </is>
      </c>
      <c r="D27" s="18" t="inlineStr">
        <is>
          <t>documento_carpeta_digital</t>
        </is>
      </c>
      <c r="E27" s="18" t="n">
        <v>0</v>
      </c>
      <c r="F27" s="18" t="inlineStr">
        <is>
          <t>nombre</t>
        </is>
      </c>
      <c r="G27" s="18" t="inlineStr">
        <is>
          <t>character varying(255)</t>
        </is>
      </c>
      <c r="H27" s="18" t="inlineStr">
        <is>
          <t>No</t>
        </is>
      </c>
      <c r="I27" s="18" t="inlineStr"/>
      <c r="J27" s="18" t="inlineStr"/>
      <c r="K27" s="18" t="inlineStr"/>
      <c r="L27" s="18" t="inlineStr">
        <is>
          <t>No</t>
        </is>
      </c>
      <c r="M27" s="18" t="inlineStr">
        <is>
          <t>No</t>
        </is>
      </c>
      <c r="N27" s="18" t="inlineStr"/>
      <c r="O27" s="18" t="inlineStr"/>
      <c r="P27" s="18" t="inlineStr">
        <is>
          <t>db/migrations/339_create_documento_carpeta_digital.sql:29: Metadatos del archivo | Validación: IsOptional, IsString</t>
        </is>
      </c>
      <c r="Q27" s="18" t="inlineStr">
        <is>
          <t>Código fuente</t>
        </is>
      </c>
      <c r="R27" s="18" t="inlineStr">
        <is>
          <t>Nombre del archivo del documento cargado en la Carpeta Digital.</t>
        </is>
      </c>
      <c r="S27" s="18" t="inlineStr">
        <is>
          <t>Media</t>
        </is>
      </c>
      <c r="T27" s="18" t="inlineStr">
        <is>
          <t>código: db/migrations/339_create_documento_carpeta_digital.sql:29</t>
        </is>
      </c>
      <c r="U27" s="18" t="inlineStr">
        <is>
          <t>¿nombre guarda el nombre original del archivo o un nombre descriptivo del documento?</t>
        </is>
      </c>
      <c r="V27" s="19" t="inlineStr">
        <is>
          <t>Pendiente</t>
        </is>
      </c>
      <c r="W27" s="19" t="inlineStr"/>
      <c r="X27" s="19" t="inlineStr"/>
      <c r="Y27" s="20" t="n"/>
      <c r="Z27" s="19" t="inlineStr"/>
      <c r="AA27" s="18">
        <f>IF(OR(V27="Aprobada"),R27,IF(AND(OR(V27="Aprobada con ajuste",V27="Rechazada"),W27&lt;&gt;""),W27,""))</f>
        <v/>
      </c>
    </row>
    <row r="28">
      <c r="A28" s="18" t="inlineStr">
        <is>
          <t>C0027</t>
        </is>
      </c>
      <c r="B28" s="18" t="inlineStr">
        <is>
          <t>Identidad y acceso</t>
        </is>
      </c>
      <c r="C28" s="18" t="inlineStr">
        <is>
          <t>auth</t>
        </is>
      </c>
      <c r="D28" s="18" t="inlineStr">
        <is>
          <t>documento_carpeta_digital</t>
        </is>
      </c>
      <c r="E28" s="18" t="n">
        <v>0</v>
      </c>
      <c r="F28" s="18" t="inlineStr">
        <is>
          <t>categoria</t>
        </is>
      </c>
      <c r="G28" s="18" t="inlineStr">
        <is>
          <t>character varying(80)</t>
        </is>
      </c>
      <c r="H28" s="18" t="inlineStr">
        <is>
          <t>No</t>
        </is>
      </c>
      <c r="I28" s="18" t="inlineStr"/>
      <c r="J28" s="18" t="inlineStr"/>
      <c r="K28" s="18" t="inlineStr"/>
      <c r="L28" s="18" t="inlineStr">
        <is>
          <t>No</t>
        </is>
      </c>
      <c r="M28" s="18" t="inlineStr">
        <is>
          <t>No</t>
        </is>
      </c>
      <c r="N28" s="18" t="inlineStr"/>
      <c r="O28" s="18" t="inlineStr"/>
      <c r="P28" s="18" t="inlineStr">
        <is>
          <t>Mapeada en auth-service/src/carpeta-digital/documento-carpeta-digital.entity.ts:43 (DocumentoCarpetaDigital.categoria)</t>
        </is>
      </c>
      <c r="Q28" s="18" t="inlineStr">
        <is>
          <t>Propuesta semántica</t>
        </is>
      </c>
      <c r="R28" s="18" t="inlineStr">
        <is>
          <t>Categoría del documento en la carpeta digital. Por defecto, otros.</t>
        </is>
      </c>
      <c r="S28" s="18" t="inlineStr">
        <is>
          <t>Media</t>
        </is>
      </c>
      <c r="T28" s="18" t="inlineStr">
        <is>
          <t>nombre + tipo + columnas vecinas + defecto</t>
        </is>
      </c>
      <c r="U28" s="18" t="inlineStr">
        <is>
          <t>¿Qué categorías se usan y de qué catálogo provienen?</t>
        </is>
      </c>
      <c r="V28" s="19" t="inlineStr">
        <is>
          <t>Pendiente</t>
        </is>
      </c>
      <c r="W28" s="19" t="inlineStr"/>
      <c r="X28" s="19" t="inlineStr"/>
      <c r="Y28" s="20" t="n"/>
      <c r="Z28" s="19" t="inlineStr"/>
      <c r="AA28" s="18">
        <f>IF(OR(V28="Aprobada"),R28,IF(AND(OR(V28="Aprobada con ajuste",V28="Rechazada"),W28&lt;&gt;""),W28,""))</f>
        <v/>
      </c>
    </row>
    <row r="29">
      <c r="A29" s="18" t="inlineStr">
        <is>
          <t>C0028</t>
        </is>
      </c>
      <c r="B29" s="18" t="inlineStr">
        <is>
          <t>Identidad y acceso</t>
        </is>
      </c>
      <c r="C29" s="18" t="inlineStr">
        <is>
          <t>auth</t>
        </is>
      </c>
      <c r="D29" s="18" t="inlineStr">
        <is>
          <t>documento_carpeta_digital</t>
        </is>
      </c>
      <c r="E29" s="18" t="n">
        <v>0</v>
      </c>
      <c r="F29" s="18" t="inlineStr">
        <is>
          <t>tipo_archivo</t>
        </is>
      </c>
      <c r="G29" s="18" t="inlineStr">
        <is>
          <t>character varying(40)</t>
        </is>
      </c>
      <c r="H29" s="18" t="inlineStr">
        <is>
          <t>Sí</t>
        </is>
      </c>
      <c r="I29" s="18" t="inlineStr"/>
      <c r="J29" s="18" t="inlineStr"/>
      <c r="K29" s="18" t="inlineStr"/>
      <c r="L29" s="18" t="inlineStr">
        <is>
          <t>No</t>
        </is>
      </c>
      <c r="M29" s="18" t="inlineStr">
        <is>
          <t>No</t>
        </is>
      </c>
      <c r="N29" s="18" t="inlineStr"/>
      <c r="O29" s="18" t="inlineStr"/>
      <c r="P29" s="18" t="inlineStr">
        <is>
          <t>Mapeada en auth-service/src/carpeta-digital/documento-carpeta-digital.entity.ts:46 (DocumentoCarpetaDigital.tipoArchivo)</t>
        </is>
      </c>
      <c r="Q29" s="18" t="inlineStr">
        <is>
          <t>Propuesta semántica</t>
        </is>
      </c>
      <c r="R29" s="18" t="inlineStr">
        <is>
          <t>Tipo o formato del archivo subido (por ejemplo, pdf).</t>
        </is>
      </c>
      <c r="S29" s="18" t="inlineStr">
        <is>
          <t>Media</t>
        </is>
      </c>
      <c r="T29" s="18" t="inlineStr">
        <is>
          <t>nombre + tipo + columnas vecinas</t>
        </is>
      </c>
      <c r="U29" s="18" t="inlineStr">
        <is>
          <t>¿Se guarda la extensión o el tipo MIME del archivo?</t>
        </is>
      </c>
      <c r="V29" s="19" t="inlineStr">
        <is>
          <t>Pendiente</t>
        </is>
      </c>
      <c r="W29" s="19" t="inlineStr"/>
      <c r="X29" s="19" t="inlineStr"/>
      <c r="Y29" s="20" t="n"/>
      <c r="Z29" s="19" t="inlineStr"/>
      <c r="AA29" s="18">
        <f>IF(OR(V29="Aprobada"),R29,IF(AND(OR(V29="Aprobada con ajuste",V29="Rechazada"),W29&lt;&gt;""),W29,""))</f>
        <v/>
      </c>
    </row>
    <row r="30">
      <c r="A30" s="18" t="inlineStr">
        <is>
          <t>C0029</t>
        </is>
      </c>
      <c r="B30" s="18" t="inlineStr">
        <is>
          <t>Identidad y acceso</t>
        </is>
      </c>
      <c r="C30" s="18" t="inlineStr">
        <is>
          <t>auth</t>
        </is>
      </c>
      <c r="D30" s="18" t="inlineStr">
        <is>
          <t>documento_carpeta_digital</t>
        </is>
      </c>
      <c r="E30" s="18" t="n">
        <v>0</v>
      </c>
      <c r="F30" s="18" t="inlineStr">
        <is>
          <t>tamano_bytes</t>
        </is>
      </c>
      <c r="G30" s="18" t="inlineStr">
        <is>
          <t>bigint</t>
        </is>
      </c>
      <c r="H30" s="18" t="inlineStr">
        <is>
          <t>Sí</t>
        </is>
      </c>
      <c r="I30" s="18" t="inlineStr"/>
      <c r="J30" s="18" t="inlineStr"/>
      <c r="K30" s="18" t="inlineStr"/>
      <c r="L30" s="18" t="inlineStr">
        <is>
          <t>No</t>
        </is>
      </c>
      <c r="M30" s="18" t="inlineStr">
        <is>
          <t>No</t>
        </is>
      </c>
      <c r="N30" s="18" t="inlineStr"/>
      <c r="O30" s="18" t="inlineStr"/>
      <c r="P30" s="18" t="inlineStr">
        <is>
          <t>Mapeada en auth-service/src/carpeta-digital/documento-carpeta-digital.entity.ts:49 (DocumentoCarpetaDigital.tamanoBytes)</t>
        </is>
      </c>
      <c r="Q30" s="18" t="inlineStr">
        <is>
          <t>Regla estructural</t>
        </is>
      </c>
      <c r="R30" s="18" t="inlineStr">
        <is>
          <t>Tamaño del archivo en bytes.</t>
        </is>
      </c>
      <c r="S30" s="18" t="inlineStr">
        <is>
          <t>Media</t>
        </is>
      </c>
      <c r="T30" s="18" t="inlineStr">
        <is>
          <t>Convención de nombre de la columna.</t>
        </is>
      </c>
      <c r="U30" s="18" t="inlineStr"/>
      <c r="V30" s="19" t="inlineStr">
        <is>
          <t>Pendiente</t>
        </is>
      </c>
      <c r="W30" s="19" t="inlineStr"/>
      <c r="X30" s="19" t="inlineStr"/>
      <c r="Y30" s="20" t="n"/>
      <c r="Z30" s="19" t="inlineStr"/>
      <c r="AA30" s="18">
        <f>IF(OR(V30="Aprobada"),R30,IF(AND(OR(V30="Aprobada con ajuste",V30="Rechazada"),W30&lt;&gt;""),W30,""))</f>
        <v/>
      </c>
    </row>
    <row r="31">
      <c r="A31" s="18" t="inlineStr">
        <is>
          <t>C0030</t>
        </is>
      </c>
      <c r="B31" s="18" t="inlineStr">
        <is>
          <t>Identidad y acceso</t>
        </is>
      </c>
      <c r="C31" s="18" t="inlineStr">
        <is>
          <t>auth</t>
        </is>
      </c>
      <c r="D31" s="18" t="inlineStr">
        <is>
          <t>documento_carpeta_digital</t>
        </is>
      </c>
      <c r="E31" s="18" t="n">
        <v>0</v>
      </c>
      <c r="F31" s="18" t="inlineStr">
        <is>
          <t>estado</t>
        </is>
      </c>
      <c r="G31" s="18" t="inlineStr">
        <is>
          <t>character varying(30)</t>
        </is>
      </c>
      <c r="H31" s="18" t="inlineStr">
        <is>
          <t>No</t>
        </is>
      </c>
      <c r="I31" s="18" t="inlineStr">
        <is>
          <t>CHECK</t>
        </is>
      </c>
      <c r="J31" s="18" t="inlineStr">
        <is>
          <t>pendiente, rechazado, validado, vencido</t>
        </is>
      </c>
      <c r="K31" s="18" t="inlineStr"/>
      <c r="L31" s="18" t="inlineStr">
        <is>
          <t>Sí</t>
        </is>
      </c>
      <c r="M31" s="18" t="inlineStr">
        <is>
          <t>No</t>
        </is>
      </c>
      <c r="N31" s="18" t="inlineStr"/>
      <c r="O31" s="18" t="inlineStr">
        <is>
          <t>idx_documento_cd_estado</t>
        </is>
      </c>
      <c r="P31" s="18" t="inlineStr">
        <is>
          <t>db/migrations/339_create_documento_carpeta_digital.sql:36: Estado de validación | Validación: IsOptional, IsString</t>
        </is>
      </c>
      <c r="Q31" s="18" t="inlineStr">
        <is>
          <t>Código fuente</t>
        </is>
      </c>
      <c r="R31" s="18" t="inlineStr">
        <is>
          <t>Estado de validación del documento. Valores permitidos: pendiente, validado, rechazado, vencido; por defecto pendiente.</t>
        </is>
      </c>
      <c r="S31" s="18" t="inlineStr">
        <is>
          <t>Alta</t>
        </is>
      </c>
      <c r="T31" s="18" t="inlineStr">
        <is>
          <t>código: db/migrations/339_create_documento_carpeta_digital.sql:36</t>
        </is>
      </c>
      <c r="U31" s="18" t="inlineStr"/>
      <c r="V31" s="19" t="inlineStr">
        <is>
          <t>Pendiente</t>
        </is>
      </c>
      <c r="W31" s="19" t="inlineStr"/>
      <c r="X31" s="19" t="inlineStr"/>
      <c r="Y31" s="20" t="n"/>
      <c r="Z31" s="19" t="inlineStr"/>
      <c r="AA31" s="18">
        <f>IF(OR(V31="Aprobada"),R31,IF(AND(OR(V31="Aprobada con ajuste",V31="Rechazada"),W31&lt;&gt;""),W31,""))</f>
        <v/>
      </c>
    </row>
    <row r="32">
      <c r="A32" s="18" t="inlineStr">
        <is>
          <t>C0031</t>
        </is>
      </c>
      <c r="B32" s="18" t="inlineStr">
        <is>
          <t>Identidad y acceso</t>
        </is>
      </c>
      <c r="C32" s="18" t="inlineStr">
        <is>
          <t>auth</t>
        </is>
      </c>
      <c r="D32" s="18" t="inlineStr">
        <is>
          <t>documento_carpeta_digital</t>
        </is>
      </c>
      <c r="E32" s="18" t="n">
        <v>0</v>
      </c>
      <c r="F32" s="18" t="inlineStr">
        <is>
          <t>comentarios</t>
        </is>
      </c>
      <c r="G32" s="18" t="inlineStr">
        <is>
          <t>text</t>
        </is>
      </c>
      <c r="H32" s="18" t="inlineStr">
        <is>
          <t>Sí</t>
        </is>
      </c>
      <c r="I32" s="18" t="inlineStr"/>
      <c r="J32" s="18" t="inlineStr"/>
      <c r="K32" s="18" t="inlineStr"/>
      <c r="L32" s="18" t="inlineStr">
        <is>
          <t>No</t>
        </is>
      </c>
      <c r="M32" s="18" t="inlineStr">
        <is>
          <t>No</t>
        </is>
      </c>
      <c r="N32" s="18" t="inlineStr"/>
      <c r="O32" s="18" t="inlineStr"/>
      <c r="P32" s="18" t="inlineStr">
        <is>
          <t>Mapeada en auth-service/src/carpeta-digital/documento-carpeta-digital.entity.ts:58 (DocumentoCarpetaDigital.comentarios)</t>
        </is>
      </c>
      <c r="Q32" s="18" t="inlineStr">
        <is>
          <t>Propuesta semántica</t>
        </is>
      </c>
      <c r="R32" s="18" t="inlineStr">
        <is>
          <t>Comentarios sobre el documento, como observaciones de la validación.</t>
        </is>
      </c>
      <c r="S32" s="18" t="inlineStr">
        <is>
          <t>Media</t>
        </is>
      </c>
      <c r="T32" s="18" t="inlineStr">
        <is>
          <t>nombre + tipo + columnas vecinas (estado, validado_por)</t>
        </is>
      </c>
      <c r="U32" s="18" t="inlineStr">
        <is>
          <t>¿Los comentarios los escribe quien valida, quien sube el documento o ambos?</t>
        </is>
      </c>
      <c r="V32" s="19" t="inlineStr">
        <is>
          <t>Pendiente</t>
        </is>
      </c>
      <c r="W32" s="19" t="inlineStr"/>
      <c r="X32" s="19" t="inlineStr"/>
      <c r="Y32" s="20" t="n"/>
      <c r="Z32" s="19" t="inlineStr"/>
      <c r="AA32" s="18">
        <f>IF(OR(V32="Aprobada"),R32,IF(AND(OR(V32="Aprobada con ajuste",V32="Rechazada"),W32&lt;&gt;""),W32,""))</f>
        <v/>
      </c>
    </row>
    <row r="33">
      <c r="A33" s="18" t="inlineStr">
        <is>
          <t>C0032</t>
        </is>
      </c>
      <c r="B33" s="18" t="inlineStr">
        <is>
          <t>Identidad y acceso</t>
        </is>
      </c>
      <c r="C33" s="18" t="inlineStr">
        <is>
          <t>auth</t>
        </is>
      </c>
      <c r="D33" s="18" t="inlineStr">
        <is>
          <t>documento_carpeta_digital</t>
        </is>
      </c>
      <c r="E33" s="18" t="n">
        <v>0</v>
      </c>
      <c r="F33" s="18" t="inlineStr">
        <is>
          <t>validado_por</t>
        </is>
      </c>
      <c r="G33" s="18" t="inlineStr">
        <is>
          <t>uuid</t>
        </is>
      </c>
      <c r="H33" s="18" t="inlineStr">
        <is>
          <t>Sí</t>
        </is>
      </c>
      <c r="I33" s="18" t="inlineStr"/>
      <c r="J33" s="18" t="inlineStr"/>
      <c r="K33" s="18" t="inlineStr"/>
      <c r="L33" s="18" t="inlineStr">
        <is>
          <t>No</t>
        </is>
      </c>
      <c r="M33" s="18" t="inlineStr">
        <is>
          <t>No</t>
        </is>
      </c>
      <c r="N33" s="18" t="inlineStr"/>
      <c r="O33" s="18" t="inlineStr"/>
      <c r="P33" s="18" t="inlineStr">
        <is>
          <t>Mapeada en auth-service/src/carpeta-digital/documento-carpeta-digital.entity.ts:61 (DocumentoCarpetaDigital.validadoPor)</t>
        </is>
      </c>
      <c r="Q33" s="18" t="inlineStr">
        <is>
          <t>Regla estructural</t>
        </is>
      </c>
      <c r="R33" s="18" t="inlineStr">
        <is>
          <t>Usuario que realizó la validación.</t>
        </is>
      </c>
      <c r="S33" s="18" t="inlineStr">
        <is>
          <t>Media</t>
        </is>
      </c>
      <c r="T33" s="18" t="inlineStr">
        <is>
          <t>Convención de nombre de la columna.</t>
        </is>
      </c>
      <c r="U33" s="18" t="inlineStr"/>
      <c r="V33" s="19" t="inlineStr">
        <is>
          <t>Pendiente</t>
        </is>
      </c>
      <c r="W33" s="19" t="inlineStr"/>
      <c r="X33" s="19" t="inlineStr"/>
      <c r="Y33" s="20" t="n"/>
      <c r="Z33" s="19" t="inlineStr"/>
      <c r="AA33" s="18">
        <f>IF(OR(V33="Aprobada"),R33,IF(AND(OR(V33="Aprobada con ajuste",V33="Rechazada"),W33&lt;&gt;""),W33,""))</f>
        <v/>
      </c>
    </row>
    <row r="34">
      <c r="A34" s="18" t="inlineStr">
        <is>
          <t>C0033</t>
        </is>
      </c>
      <c r="B34" s="18" t="inlineStr">
        <is>
          <t>Identidad y acceso</t>
        </is>
      </c>
      <c r="C34" s="18" t="inlineStr">
        <is>
          <t>auth</t>
        </is>
      </c>
      <c r="D34" s="18" t="inlineStr">
        <is>
          <t>documento_carpeta_digital</t>
        </is>
      </c>
      <c r="E34" s="18" t="n">
        <v>0</v>
      </c>
      <c r="F34" s="18" t="inlineStr">
        <is>
          <t>fecha_validacion</t>
        </is>
      </c>
      <c r="G34" s="18" t="inlineStr">
        <is>
          <t>timestamp without time zone</t>
        </is>
      </c>
      <c r="H34" s="18" t="inlineStr">
        <is>
          <t>Sí</t>
        </is>
      </c>
      <c r="I34" s="18" t="inlineStr"/>
      <c r="J34" s="18" t="inlineStr"/>
      <c r="K34" s="18" t="inlineStr"/>
      <c r="L34" s="18" t="inlineStr">
        <is>
          <t>No</t>
        </is>
      </c>
      <c r="M34" s="18" t="inlineStr">
        <is>
          <t>No</t>
        </is>
      </c>
      <c r="N34" s="18" t="inlineStr"/>
      <c r="O34" s="18" t="inlineStr"/>
      <c r="P34" s="18" t="inlineStr">
        <is>
          <t>Mapeada en auth-service/src/carpeta-digital/documento-carpeta-digital.entity.ts:64 (DocumentoCarpetaDigital.fechaValidacion)</t>
        </is>
      </c>
      <c r="Q34" s="18" t="inlineStr">
        <is>
          <t>Regla estructural</t>
        </is>
      </c>
      <c r="R34" s="18" t="inlineStr">
        <is>
          <t>Fecha de validación.</t>
        </is>
      </c>
      <c r="S34" s="18" t="inlineStr">
        <is>
          <t>Media</t>
        </is>
      </c>
      <c r="T34" s="18" t="inlineStr">
        <is>
          <t>Convención de nombre de la columna.</t>
        </is>
      </c>
      <c r="U34" s="18" t="inlineStr"/>
      <c r="V34" s="19" t="inlineStr">
        <is>
          <t>Pendiente</t>
        </is>
      </c>
      <c r="W34" s="19" t="inlineStr"/>
      <c r="X34" s="19" t="inlineStr"/>
      <c r="Y34" s="20" t="n"/>
      <c r="Z34" s="19" t="inlineStr"/>
      <c r="AA34" s="18">
        <f>IF(OR(V34="Aprobada"),R34,IF(AND(OR(V34="Aprobada con ajuste",V34="Rechazada"),W34&lt;&gt;""),W34,""))</f>
        <v/>
      </c>
    </row>
    <row r="35">
      <c r="A35" s="18" t="inlineStr">
        <is>
          <t>C0034</t>
        </is>
      </c>
      <c r="B35" s="18" t="inlineStr">
        <is>
          <t>Identidad y acceso</t>
        </is>
      </c>
      <c r="C35" s="18" t="inlineStr">
        <is>
          <t>auth</t>
        </is>
      </c>
      <c r="D35" s="18" t="inlineStr">
        <is>
          <t>documento_carpeta_digital</t>
        </is>
      </c>
      <c r="E35" s="18" t="n">
        <v>0</v>
      </c>
      <c r="F35" s="18" t="inlineStr">
        <is>
          <t>fecha_subida</t>
        </is>
      </c>
      <c r="G35" s="18" t="inlineStr">
        <is>
          <t>timestamp without time zone</t>
        </is>
      </c>
      <c r="H35" s="18" t="inlineStr">
        <is>
          <t>No</t>
        </is>
      </c>
      <c r="I35" s="18" t="inlineStr"/>
      <c r="J35" s="18" t="inlineStr"/>
      <c r="K35" s="18" t="inlineStr"/>
      <c r="L35" s="18" t="inlineStr">
        <is>
          <t>No</t>
        </is>
      </c>
      <c r="M35" s="18" t="inlineStr">
        <is>
          <t>No</t>
        </is>
      </c>
      <c r="N35" s="18" t="inlineStr"/>
      <c r="O35" s="18" t="inlineStr"/>
      <c r="P35" s="18" t="inlineStr">
        <is>
          <t>db/migrations/339_create_documento_carpeta_digital.sql:42: Fechas</t>
        </is>
      </c>
      <c r="Q35" s="18" t="inlineStr">
        <is>
          <t>Código fuente</t>
        </is>
      </c>
      <c r="R35" s="18" t="inlineStr">
        <is>
          <t>Fecha y hora en que la persona cargó el documento; por defecto el momento de creación.</t>
        </is>
      </c>
      <c r="S35" s="18" t="inlineStr">
        <is>
          <t>Alta</t>
        </is>
      </c>
      <c r="T35" s="18" t="inlineStr">
        <is>
          <t>código: db/migrations/339_create_documento_carpeta_digital.sql:42</t>
        </is>
      </c>
      <c r="U35" s="18" t="inlineStr"/>
      <c r="V35" s="19" t="inlineStr">
        <is>
          <t>Pendiente</t>
        </is>
      </c>
      <c r="W35" s="19" t="inlineStr"/>
      <c r="X35" s="19" t="inlineStr"/>
      <c r="Y35" s="20" t="n"/>
      <c r="Z35" s="19" t="inlineStr"/>
      <c r="AA35" s="18">
        <f>IF(OR(V35="Aprobada"),R35,IF(AND(OR(V35="Aprobada con ajuste",V35="Rechazada"),W35&lt;&gt;""),W35,""))</f>
        <v/>
      </c>
    </row>
    <row r="36">
      <c r="A36" s="18" t="inlineStr">
        <is>
          <t>C0035</t>
        </is>
      </c>
      <c r="B36" s="18" t="inlineStr">
        <is>
          <t>Identidad y acceso</t>
        </is>
      </c>
      <c r="C36" s="18" t="inlineStr">
        <is>
          <t>auth</t>
        </is>
      </c>
      <c r="D36" s="18" t="inlineStr">
        <is>
          <t>documento_carpeta_digital</t>
        </is>
      </c>
      <c r="E36" s="18" t="n">
        <v>0</v>
      </c>
      <c r="F36" s="18" t="inlineStr">
        <is>
          <t>fecha_vencimiento</t>
        </is>
      </c>
      <c r="G36" s="18" t="inlineStr">
        <is>
          <t>timestamp without time zone</t>
        </is>
      </c>
      <c r="H36" s="18" t="inlineStr">
        <is>
          <t>Sí</t>
        </is>
      </c>
      <c r="I36" s="18" t="inlineStr"/>
      <c r="J36" s="18" t="inlineStr"/>
      <c r="K36" s="18" t="inlineStr"/>
      <c r="L36" s="18" t="inlineStr">
        <is>
          <t>No</t>
        </is>
      </c>
      <c r="M36" s="18" t="inlineStr">
        <is>
          <t>No</t>
        </is>
      </c>
      <c r="N36" s="18" t="inlineStr"/>
      <c r="O36" s="18" t="inlineStr"/>
      <c r="P36" s="18" t="inlineStr">
        <is>
          <t>Mapeada en auth-service/src/carpeta-digital/documento-carpeta-digital.entity.ts:70 (DocumentoCarpetaDigital.fechaVencimiento)</t>
        </is>
      </c>
      <c r="Q36" s="18" t="inlineStr">
        <is>
          <t>Regla estructural</t>
        </is>
      </c>
      <c r="R36" s="18" t="inlineStr">
        <is>
          <t>Fecha de vencimiento.</t>
        </is>
      </c>
      <c r="S36" s="18" t="inlineStr">
        <is>
          <t>Media</t>
        </is>
      </c>
      <c r="T36" s="18" t="inlineStr">
        <is>
          <t>Convención de nombre de la columna.</t>
        </is>
      </c>
      <c r="U36" s="18" t="inlineStr"/>
      <c r="V36" s="19" t="inlineStr">
        <is>
          <t>Pendiente</t>
        </is>
      </c>
      <c r="W36" s="19" t="inlineStr"/>
      <c r="X36" s="19" t="inlineStr"/>
      <c r="Y36" s="20" t="n"/>
      <c r="Z36" s="19" t="inlineStr"/>
      <c r="AA36" s="18">
        <f>IF(OR(V36="Aprobada"),R36,IF(AND(OR(V36="Aprobada con ajuste",V36="Rechazada"),W36&lt;&gt;""),W36,""))</f>
        <v/>
      </c>
    </row>
    <row r="37">
      <c r="A37" s="18" t="inlineStr">
        <is>
          <t>C0036</t>
        </is>
      </c>
      <c r="B37" s="18" t="inlineStr">
        <is>
          <t>Identidad y acceso</t>
        </is>
      </c>
      <c r="C37" s="18" t="inlineStr">
        <is>
          <t>auth</t>
        </is>
      </c>
      <c r="D37" s="18" t="inlineStr">
        <is>
          <t>festivos_colombia</t>
        </is>
      </c>
      <c r="E37" s="18" t="n">
        <v>18</v>
      </c>
      <c r="F37" s="18" t="inlineStr">
        <is>
          <t>fecha</t>
        </is>
      </c>
      <c r="G37" s="18" t="inlineStr">
        <is>
          <t>date</t>
        </is>
      </c>
      <c r="H37" s="18" t="inlineStr">
        <is>
          <t>No</t>
        </is>
      </c>
      <c r="I37" s="18" t="inlineStr">
        <is>
          <t>Única</t>
        </is>
      </c>
      <c r="J37" s="18" t="inlineStr"/>
      <c r="K37" s="18" t="inlineStr"/>
      <c r="L37" s="18" t="inlineStr">
        <is>
          <t>No</t>
        </is>
      </c>
      <c r="M37" s="18" t="inlineStr">
        <is>
          <t>No</t>
        </is>
      </c>
      <c r="N37" s="18" t="inlineStr"/>
      <c r="O37" s="18" t="inlineStr">
        <is>
          <t>festivos_colombia_fecha_key, idx_auth_festivos_fecha</t>
        </is>
      </c>
      <c r="P37" s="18" t="inlineStr">
        <is>
          <t>Mapeada en travel-expenses-service/src/entities/festivo-colombia.entity.ts:21 (FestivoColombiaEntity.fecha)</t>
        </is>
      </c>
      <c r="Q37" s="18" t="inlineStr">
        <is>
          <t>Propuesta semántica</t>
        </is>
      </c>
      <c r="R37" s="18" t="inlineStr">
        <is>
          <t>Fecha del día festivo; es única en la tabla.</t>
        </is>
      </c>
      <c r="S37" s="18" t="inlineStr">
        <is>
          <t>Alta</t>
        </is>
      </c>
      <c r="T37" s="18" t="inlineStr">
        <is>
          <t>documentación de la entidad + restricción única</t>
        </is>
      </c>
      <c r="U37" s="18" t="inlineStr"/>
      <c r="V37" s="19" t="inlineStr">
        <is>
          <t>Pendiente</t>
        </is>
      </c>
      <c r="W37" s="19" t="inlineStr"/>
      <c r="X37" s="19" t="inlineStr"/>
      <c r="Y37" s="20" t="n"/>
      <c r="Z37" s="19" t="inlineStr"/>
      <c r="AA37" s="18">
        <f>IF(OR(V37="Aprobada"),R37,IF(AND(OR(V37="Aprobada con ajuste",V37="Rechazada"),W37&lt;&gt;""),W37,""))</f>
        <v/>
      </c>
    </row>
    <row r="38">
      <c r="A38" s="18" t="inlineStr">
        <is>
          <t>C0037</t>
        </is>
      </c>
      <c r="B38" s="18" t="inlineStr">
        <is>
          <t>Identidad y acceso</t>
        </is>
      </c>
      <c r="C38" s="18" t="inlineStr">
        <is>
          <t>auth</t>
        </is>
      </c>
      <c r="D38" s="18" t="inlineStr">
        <is>
          <t>festivos_colombia</t>
        </is>
      </c>
      <c r="E38" s="18" t="n">
        <v>18</v>
      </c>
      <c r="F38" s="18" t="inlineStr">
        <is>
          <t>descripcion</t>
        </is>
      </c>
      <c r="G38" s="18" t="inlineStr">
        <is>
          <t>character varying(150)</t>
        </is>
      </c>
      <c r="H38" s="18" t="inlineStr">
        <is>
          <t>No</t>
        </is>
      </c>
      <c r="I38" s="18" t="inlineStr"/>
      <c r="J38" s="18" t="inlineStr"/>
      <c r="K38" s="18" t="inlineStr"/>
      <c r="L38" s="18" t="inlineStr">
        <is>
          <t>No</t>
        </is>
      </c>
      <c r="M38" s="18" t="inlineStr">
        <is>
          <t>No</t>
        </is>
      </c>
      <c r="N38" s="18" t="inlineStr"/>
      <c r="O38" s="18" t="inlineStr"/>
      <c r="P38" s="18" t="inlineStr">
        <is>
          <t>Mapeada en travel-expenses-service/src/entities/festivo-colombia.entity.ts:24 (FestivoColombiaEntity.descripcion) | Validación: IsOptional, IsString, Length(0, 255)</t>
        </is>
      </c>
      <c r="Q38" s="18" t="inlineStr">
        <is>
          <t>Regla estructural</t>
        </is>
      </c>
      <c r="R38" s="18" t="inlineStr">
        <is>
          <t>Descripción del registro de festivos_colombia.</t>
        </is>
      </c>
      <c r="S38" s="18" t="inlineStr">
        <is>
          <t>Media</t>
        </is>
      </c>
      <c r="T38" s="18" t="inlineStr">
        <is>
          <t>Convención de nombre de la columna.</t>
        </is>
      </c>
      <c r="U38" s="18" t="inlineStr"/>
      <c r="V38" s="19" t="inlineStr">
        <is>
          <t>Pendiente</t>
        </is>
      </c>
      <c r="W38" s="19" t="inlineStr"/>
      <c r="X38" s="19" t="inlineStr"/>
      <c r="Y38" s="20" t="n"/>
      <c r="Z38" s="19" t="inlineStr"/>
      <c r="AA38" s="18">
        <f>IF(OR(V38="Aprobada"),R38,IF(AND(OR(V38="Aprobada con ajuste",V38="Rechazada"),W38&lt;&gt;""),W38,""))</f>
        <v/>
      </c>
    </row>
    <row r="39">
      <c r="A39" s="18" t="inlineStr">
        <is>
          <t>C0038</t>
        </is>
      </c>
      <c r="B39" s="18" t="inlineStr">
        <is>
          <t>Identidad y acceso</t>
        </is>
      </c>
      <c r="C39" s="18" t="inlineStr">
        <is>
          <t>auth</t>
        </is>
      </c>
      <c r="D39" s="18" t="inlineStr">
        <is>
          <t>festivos_colombia</t>
        </is>
      </c>
      <c r="E39" s="18" t="n">
        <v>18</v>
      </c>
      <c r="F39" s="18" t="inlineStr">
        <is>
          <t>origen</t>
        </is>
      </c>
      <c r="G39" s="18" t="inlineStr">
        <is>
          <t>character varying(150)</t>
        </is>
      </c>
      <c r="H39" s="18" t="inlineStr">
        <is>
          <t>Sí</t>
        </is>
      </c>
      <c r="I39" s="18" t="inlineStr"/>
      <c r="J39" s="18" t="inlineStr"/>
      <c r="K39" s="18" t="inlineStr"/>
      <c r="L39" s="18" t="inlineStr">
        <is>
          <t>No</t>
        </is>
      </c>
      <c r="M39" s="18" t="inlineStr">
        <is>
          <t>No</t>
        </is>
      </c>
      <c r="N39" s="18" t="inlineStr"/>
      <c r="O39" s="18" t="inlineStr"/>
      <c r="P39" s="18" t="inlineStr">
        <is>
          <t>Mapeada en auth-service/src/settings/festivo-colombia.entity.ts:26 (FestivoColombia.origen) | Validación: IsOptional, IsString, MaxLength(150)</t>
        </is>
      </c>
      <c r="Q39" s="18" t="inlineStr">
        <is>
          <t>Propuesta semántica</t>
        </is>
      </c>
      <c r="R39" s="18" t="inlineStr">
        <is>
          <t>Norma que establece el festivo. Por defecto, Ley 51/1983.</t>
        </is>
      </c>
      <c r="S39" s="18" t="inlineStr">
        <is>
          <t>Media</t>
        </is>
      </c>
      <c r="T39" s="18" t="inlineStr">
        <is>
          <t>nombre + tipo + columnas vecinas + defecto</t>
        </is>
      </c>
      <c r="U39" s="18" t="inlineStr">
        <is>
          <t>¿origen guarda siempre la norma legal o también la fuente de carga?</t>
        </is>
      </c>
      <c r="V39" s="19" t="inlineStr">
        <is>
          <t>Pendiente</t>
        </is>
      </c>
      <c r="W39" s="19" t="inlineStr"/>
      <c r="X39" s="19" t="inlineStr"/>
      <c r="Y39" s="20" t="n"/>
      <c r="Z39" s="19" t="inlineStr"/>
      <c r="AA39" s="18">
        <f>IF(OR(V39="Aprobada"),R39,IF(AND(OR(V39="Aprobada con ajuste",V39="Rechazada"),W39&lt;&gt;""),W39,""))</f>
        <v/>
      </c>
    </row>
    <row r="40">
      <c r="A40" s="18" t="inlineStr">
        <is>
          <t>C0039</t>
        </is>
      </c>
      <c r="B40" s="18" t="inlineStr">
        <is>
          <t>Identidad y acceso</t>
        </is>
      </c>
      <c r="C40" s="18" t="inlineStr">
        <is>
          <t>auth</t>
        </is>
      </c>
      <c r="D40" s="18" t="inlineStr">
        <is>
          <t>festivos_colombia</t>
        </is>
      </c>
      <c r="E40" s="18" t="n">
        <v>18</v>
      </c>
      <c r="F40" s="18" t="inlineStr">
        <is>
          <t>regla</t>
        </is>
      </c>
      <c r="G40" s="18" t="inlineStr">
        <is>
          <t>character varying(50)</t>
        </is>
      </c>
      <c r="H40" s="18" t="inlineStr">
        <is>
          <t>Sí</t>
        </is>
      </c>
      <c r="I40" s="18" t="inlineStr"/>
      <c r="J40" s="18" t="inlineStr"/>
      <c r="K40" s="18" t="inlineStr"/>
      <c r="L40" s="18" t="inlineStr">
        <is>
          <t>No</t>
        </is>
      </c>
      <c r="M40" s="18" t="inlineStr">
        <is>
          <t>No</t>
        </is>
      </c>
      <c r="N40" s="18" t="inlineStr"/>
      <c r="O40" s="18" t="inlineStr"/>
      <c r="P40" s="18" t="inlineStr">
        <is>
          <t>Mapeada en auth-service/src/settings/festivo-colombia.entity.ts:35 (FestivoColombia.regla) | Validación: IsOptional, IsString, MaxLength(50)</t>
        </is>
      </c>
      <c r="Q40" s="18" t="inlineStr">
        <is>
          <t>Propuesta semántica</t>
        </is>
      </c>
      <c r="R40" s="18" t="inlineStr">
        <is>
          <t>Regla con la que se determina la fecha del festivo. Por defecto, fixed (fecha fija).</t>
        </is>
      </c>
      <c r="S40" s="18" t="inlineStr">
        <is>
          <t>Media</t>
        </is>
      </c>
      <c r="T40" s="18" t="inlineStr">
        <is>
          <t>nombre + tipo + columnas vecinas + defecto</t>
        </is>
      </c>
      <c r="U40" s="18" t="inlineStr">
        <is>
          <t>¿Qué otros valores toma regla (por ejemplo, traslado al lunes o basado en Pascua)?</t>
        </is>
      </c>
      <c r="V40" s="19" t="inlineStr">
        <is>
          <t>Pendiente</t>
        </is>
      </c>
      <c r="W40" s="19" t="inlineStr"/>
      <c r="X40" s="19" t="inlineStr"/>
      <c r="Y40" s="20" t="n"/>
      <c r="Z40" s="19" t="inlineStr"/>
      <c r="AA40" s="18">
        <f>IF(OR(V40="Aprobada"),R40,IF(AND(OR(V40="Aprobada con ajuste",V40="Rechazada"),W40&lt;&gt;""),W40,""))</f>
        <v/>
      </c>
    </row>
    <row r="41">
      <c r="A41" s="18" t="inlineStr">
        <is>
          <t>C0040</t>
        </is>
      </c>
      <c r="B41" s="18" t="inlineStr">
        <is>
          <t>Identidad y acceso</t>
        </is>
      </c>
      <c r="C41" s="18" t="inlineStr">
        <is>
          <t>auth</t>
        </is>
      </c>
      <c r="D41" s="18" t="inlineStr">
        <is>
          <t>geopolitica</t>
        </is>
      </c>
      <c r="E41" s="18" t="n">
        <v>1155</v>
      </c>
      <c r="F41" s="18" t="inlineStr">
        <is>
          <t>cod_geopolitica</t>
        </is>
      </c>
      <c r="G41" s="18" t="inlineStr">
        <is>
          <t>character varying(20)</t>
        </is>
      </c>
      <c r="H41" s="18" t="inlineStr">
        <is>
          <t>No</t>
        </is>
      </c>
      <c r="I41" s="18" t="inlineStr"/>
      <c r="J41" s="18" t="inlineStr"/>
      <c r="K41" s="18" t="inlineStr"/>
      <c r="L41" s="18" t="inlineStr">
        <is>
          <t>No</t>
        </is>
      </c>
      <c r="M41" s="18" t="inlineStr">
        <is>
          <t>No</t>
        </is>
      </c>
      <c r="N41" s="18" t="inlineStr"/>
      <c r="O41" s="18" t="inlineStr"/>
      <c r="P41" s="18" t="inlineStr">
        <is>
          <t>Mapeada en auth-service/src/users/geopolitica.entity.ts:15 (Geopolitica.codGeopolitica)</t>
        </is>
      </c>
      <c r="Q41" s="18" t="inlineStr">
        <is>
          <t>Propuesta semántica</t>
        </is>
      </c>
      <c r="R41" s="18" t="inlineStr">
        <is>
          <t>Código de la división geopolítica.</t>
        </is>
      </c>
      <c r="S41" s="18" t="inlineStr">
        <is>
          <t>Media</t>
        </is>
      </c>
      <c r="T41" s="18" t="inlineStr">
        <is>
          <t>nombre + tipo + columnas vecinas</t>
        </is>
      </c>
      <c r="U41" s="18" t="inlineStr">
        <is>
          <t>¿cod_geopolitica es el código DANE (Divipola) o un código interno?</t>
        </is>
      </c>
      <c r="V41" s="19" t="inlineStr">
        <is>
          <t>Pendiente</t>
        </is>
      </c>
      <c r="W41" s="19" t="inlineStr"/>
      <c r="X41" s="19" t="inlineStr"/>
      <c r="Y41" s="20" t="n"/>
      <c r="Z41" s="19" t="inlineStr"/>
      <c r="AA41" s="18">
        <f>IF(OR(V41="Aprobada"),R41,IF(AND(OR(V41="Aprobada con ajuste",V41="Rechazada"),W41&lt;&gt;""),W41,""))</f>
        <v/>
      </c>
    </row>
    <row r="42">
      <c r="A42" s="18" t="inlineStr">
        <is>
          <t>C0041</t>
        </is>
      </c>
      <c r="B42" s="18" t="inlineStr">
        <is>
          <t>Identidad y acceso</t>
        </is>
      </c>
      <c r="C42" s="18" t="inlineStr">
        <is>
          <t>auth</t>
        </is>
      </c>
      <c r="D42" s="18" t="inlineStr">
        <is>
          <t>geopolitica</t>
        </is>
      </c>
      <c r="E42" s="18" t="n">
        <v>1155</v>
      </c>
      <c r="F42" s="18" t="inlineStr">
        <is>
          <t>cod_pais</t>
        </is>
      </c>
      <c r="G42" s="18" t="inlineStr">
        <is>
          <t>smallint</t>
        </is>
      </c>
      <c r="H42" s="18" t="inlineStr">
        <is>
          <t>Sí</t>
        </is>
      </c>
      <c r="I42" s="18" t="inlineStr"/>
      <c r="J42" s="18" t="inlineStr"/>
      <c r="K42" s="18" t="inlineStr"/>
      <c r="L42" s="18" t="inlineStr">
        <is>
          <t>No</t>
        </is>
      </c>
      <c r="M42" s="18" t="inlineStr">
        <is>
          <t>No</t>
        </is>
      </c>
      <c r="N42" s="18" t="inlineStr"/>
      <c r="O42" s="18" t="inlineStr"/>
      <c r="P42" s="18" t="inlineStr">
        <is>
          <t>Mapeada en auth-service/src/users/geopolitica.entity.ts:18 (Geopolitica.codPais)</t>
        </is>
      </c>
      <c r="Q42" s="18" t="inlineStr">
        <is>
          <t>Propuesta semántica</t>
        </is>
      </c>
      <c r="R42" s="18" t="inlineStr">
        <is>
          <t>Código del país de la división geopolítica.</t>
        </is>
      </c>
      <c r="S42" s="18" t="inlineStr">
        <is>
          <t>Media</t>
        </is>
      </c>
      <c r="T42" s="18" t="inlineStr">
        <is>
          <t>nombre + tipo + columnas vecinas</t>
        </is>
      </c>
      <c r="U42" s="18" t="inlineStr">
        <is>
          <t>¿Qué codificación sigue cod_pais?</t>
        </is>
      </c>
      <c r="V42" s="19" t="inlineStr">
        <is>
          <t>Pendiente</t>
        </is>
      </c>
      <c r="W42" s="19" t="inlineStr"/>
      <c r="X42" s="19" t="inlineStr"/>
      <c r="Y42" s="20" t="n"/>
      <c r="Z42" s="19" t="inlineStr"/>
      <c r="AA42" s="18">
        <f>IF(OR(V42="Aprobada"),R42,IF(AND(OR(V42="Aprobada con ajuste",V42="Rechazada"),W42&lt;&gt;""),W42,""))</f>
        <v/>
      </c>
    </row>
    <row r="43">
      <c r="A43" s="18" t="inlineStr">
        <is>
          <t>C0042</t>
        </is>
      </c>
      <c r="B43" s="18" t="inlineStr">
        <is>
          <t>Identidad y acceso</t>
        </is>
      </c>
      <c r="C43" s="18" t="inlineStr">
        <is>
          <t>auth</t>
        </is>
      </c>
      <c r="D43" s="18" t="inlineStr">
        <is>
          <t>geopolitica</t>
        </is>
      </c>
      <c r="E43" s="18" t="n">
        <v>1155</v>
      </c>
      <c r="F43" s="18" t="inlineStr">
        <is>
          <t>cod_departamento</t>
        </is>
      </c>
      <c r="G43" s="18" t="inlineStr">
        <is>
          <t>smallint</t>
        </is>
      </c>
      <c r="H43" s="18" t="inlineStr">
        <is>
          <t>Sí</t>
        </is>
      </c>
      <c r="I43" s="18" t="inlineStr"/>
      <c r="J43" s="18" t="inlineStr"/>
      <c r="K43" s="18" t="inlineStr"/>
      <c r="L43" s="18" t="inlineStr">
        <is>
          <t>No</t>
        </is>
      </c>
      <c r="M43" s="18" t="inlineStr">
        <is>
          <t>No</t>
        </is>
      </c>
      <c r="N43" s="18" t="inlineStr"/>
      <c r="O43" s="18" t="inlineStr"/>
      <c r="P43" s="18" t="inlineStr">
        <is>
          <t>Mapeada en auth-service/src/users/geopolitica.entity.ts:21 (Geopolitica.codDepartamento)</t>
        </is>
      </c>
      <c r="Q43" s="18" t="inlineStr">
        <is>
          <t>Propuesta semántica</t>
        </is>
      </c>
      <c r="R43" s="18" t="inlineStr">
        <is>
          <t>Código del departamento de la división geopolítica.</t>
        </is>
      </c>
      <c r="S43" s="18" t="inlineStr">
        <is>
          <t>Media</t>
        </is>
      </c>
      <c r="T43" s="18" t="inlineStr">
        <is>
          <t>nombre + tipo + columnas vecinas</t>
        </is>
      </c>
      <c r="U43" s="18" t="inlineStr">
        <is>
          <t>¿Es el código DANE del departamento?</t>
        </is>
      </c>
      <c r="V43" s="19" t="inlineStr">
        <is>
          <t>Pendiente</t>
        </is>
      </c>
      <c r="W43" s="19" t="inlineStr"/>
      <c r="X43" s="19" t="inlineStr"/>
      <c r="Y43" s="20" t="n"/>
      <c r="Z43" s="19" t="inlineStr"/>
      <c r="AA43" s="18">
        <f>IF(OR(V43="Aprobada"),R43,IF(AND(OR(V43="Aprobada con ajuste",V43="Rechazada"),W43&lt;&gt;""),W43,""))</f>
        <v/>
      </c>
    </row>
    <row r="44">
      <c r="A44" s="18" t="inlineStr">
        <is>
          <t>C0043</t>
        </is>
      </c>
      <c r="B44" s="18" t="inlineStr">
        <is>
          <t>Identidad y acceso</t>
        </is>
      </c>
      <c r="C44" s="18" t="inlineStr">
        <is>
          <t>auth</t>
        </is>
      </c>
      <c r="D44" s="18" t="inlineStr">
        <is>
          <t>geopolitica</t>
        </is>
      </c>
      <c r="E44" s="18" t="n">
        <v>1155</v>
      </c>
      <c r="F44" s="18" t="inlineStr">
        <is>
          <t>cod_ciudad</t>
        </is>
      </c>
      <c r="G44" s="18" t="inlineStr">
        <is>
          <t>smallint</t>
        </is>
      </c>
      <c r="H44" s="18" t="inlineStr">
        <is>
          <t>Sí</t>
        </is>
      </c>
      <c r="I44" s="18" t="inlineStr"/>
      <c r="J44" s="18" t="inlineStr"/>
      <c r="K44" s="18" t="inlineStr"/>
      <c r="L44" s="18" t="inlineStr">
        <is>
          <t>No</t>
        </is>
      </c>
      <c r="M44" s="18" t="inlineStr">
        <is>
          <t>No</t>
        </is>
      </c>
      <c r="N44" s="18" t="inlineStr"/>
      <c r="O44" s="18" t="inlineStr"/>
      <c r="P44" s="18" t="inlineStr">
        <is>
          <t>Mapeada en auth-service/src/users/geopolitica.entity.ts:24 (Geopolitica.codCiudad)</t>
        </is>
      </c>
      <c r="Q44" s="18" t="inlineStr">
        <is>
          <t>Propuesta semántica</t>
        </is>
      </c>
      <c r="R44" s="18" t="inlineStr">
        <is>
          <t>Código de la ciudad o municipio de la división geopolítica.</t>
        </is>
      </c>
      <c r="S44" s="18" t="inlineStr">
        <is>
          <t>Media</t>
        </is>
      </c>
      <c r="T44" s="18" t="inlineStr">
        <is>
          <t>nombre + tipo + columnas vecinas</t>
        </is>
      </c>
      <c r="U44" s="18" t="inlineStr">
        <is>
          <t>¿Es el código DANE del municipio?</t>
        </is>
      </c>
      <c r="V44" s="19" t="inlineStr">
        <is>
          <t>Pendiente</t>
        </is>
      </c>
      <c r="W44" s="19" t="inlineStr"/>
      <c r="X44" s="19" t="inlineStr"/>
      <c r="Y44" s="20" t="n"/>
      <c r="Z44" s="19" t="inlineStr"/>
      <c r="AA44" s="18">
        <f>IF(OR(V44="Aprobada"),R44,IF(AND(OR(V44="Aprobada con ajuste",V44="Rechazada"),W44&lt;&gt;""),W44,""))</f>
        <v/>
      </c>
    </row>
    <row r="45">
      <c r="A45" s="18" t="inlineStr">
        <is>
          <t>C0044</t>
        </is>
      </c>
      <c r="B45" s="18" t="inlineStr">
        <is>
          <t>Identidad y acceso</t>
        </is>
      </c>
      <c r="C45" s="18" t="inlineStr">
        <is>
          <t>auth</t>
        </is>
      </c>
      <c r="D45" s="18" t="inlineStr">
        <is>
          <t>geopolitica</t>
        </is>
      </c>
      <c r="E45" s="18" t="n">
        <v>1155</v>
      </c>
      <c r="F45" s="18" t="inlineStr">
        <is>
          <t>nom_div_geopolitica</t>
        </is>
      </c>
      <c r="G45" s="18" t="inlineStr">
        <is>
          <t>character varying(250)</t>
        </is>
      </c>
      <c r="H45" s="18" t="inlineStr">
        <is>
          <t>Sí</t>
        </is>
      </c>
      <c r="I45" s="18" t="inlineStr"/>
      <c r="J45" s="18" t="inlineStr"/>
      <c r="K45" s="18" t="inlineStr"/>
      <c r="L45" s="18" t="inlineStr">
        <is>
          <t>No</t>
        </is>
      </c>
      <c r="M45" s="18" t="inlineStr">
        <is>
          <t>No</t>
        </is>
      </c>
      <c r="N45" s="18" t="inlineStr"/>
      <c r="O45" s="18" t="inlineStr"/>
      <c r="P45" s="18" t="inlineStr">
        <is>
          <t>Mapeada en auth-service/src/users/geopolitica.entity.ts:27 (Geopolitica.nomDivGeopolitica)</t>
        </is>
      </c>
      <c r="Q45" s="18" t="inlineStr">
        <is>
          <t>Propuesta semántica</t>
        </is>
      </c>
      <c r="R45" s="18" t="inlineStr">
        <is>
          <t>Nombre de la división geopolítica.</t>
        </is>
      </c>
      <c r="S45" s="18" t="inlineStr">
        <is>
          <t>Alta</t>
        </is>
      </c>
      <c r="T45" s="18" t="inlineStr">
        <is>
          <t>nombre + tipo + columnas vecinas</t>
        </is>
      </c>
      <c r="U45" s="18" t="inlineStr"/>
      <c r="V45" s="19" t="inlineStr">
        <is>
          <t>Pendiente</t>
        </is>
      </c>
      <c r="W45" s="19" t="inlineStr"/>
      <c r="X45" s="19" t="inlineStr"/>
      <c r="Y45" s="20" t="n"/>
      <c r="Z45" s="19" t="inlineStr"/>
      <c r="AA45" s="18">
        <f>IF(OR(V45="Aprobada"),R45,IF(AND(OR(V45="Aprobada con ajuste",V45="Rechazada"),W45&lt;&gt;""),W45,""))</f>
        <v/>
      </c>
    </row>
    <row r="46">
      <c r="A46" s="18" t="inlineStr">
        <is>
          <t>C0045</t>
        </is>
      </c>
      <c r="B46" s="18" t="inlineStr">
        <is>
          <t>Identidad y acceso</t>
        </is>
      </c>
      <c r="C46" s="18" t="inlineStr">
        <is>
          <t>auth</t>
        </is>
      </c>
      <c r="D46" s="18" t="inlineStr">
        <is>
          <t>geopolitica</t>
        </is>
      </c>
      <c r="E46" s="18" t="n">
        <v>1155</v>
      </c>
      <c r="F46" s="18" t="inlineStr">
        <is>
          <t>num_habitantes</t>
        </is>
      </c>
      <c r="G46" s="18" t="inlineStr">
        <is>
          <t>bigint</t>
        </is>
      </c>
      <c r="H46" s="18" t="inlineStr">
        <is>
          <t>Sí</t>
        </is>
      </c>
      <c r="I46" s="18" t="inlineStr"/>
      <c r="J46" s="18" t="inlineStr"/>
      <c r="K46" s="18" t="inlineStr"/>
      <c r="L46" s="18" t="inlineStr">
        <is>
          <t>No</t>
        </is>
      </c>
      <c r="M46" s="18" t="inlineStr">
        <is>
          <t>No</t>
        </is>
      </c>
      <c r="N46" s="18" t="inlineStr"/>
      <c r="O46" s="18" t="inlineStr"/>
      <c r="P46" s="18" t="inlineStr">
        <is>
          <t>Mapeada en auth-service/src/users/geopolitica.entity.ts:30 (Geopolitica.numHabitantes)</t>
        </is>
      </c>
      <c r="Q46" s="18" t="inlineStr">
        <is>
          <t>Propuesta semántica</t>
        </is>
      </c>
      <c r="R46" s="18" t="inlineStr">
        <is>
          <t>Número de habitantes de la división geopolítica.</t>
        </is>
      </c>
      <c r="S46" s="18" t="inlineStr">
        <is>
          <t>Alta</t>
        </is>
      </c>
      <c r="T46" s="18" t="inlineStr">
        <is>
          <t>nombre + tipo + columnas vecinas</t>
        </is>
      </c>
      <c r="U46" s="18" t="inlineStr"/>
      <c r="V46" s="19" t="inlineStr">
        <is>
          <t>Pendiente</t>
        </is>
      </c>
      <c r="W46" s="19" t="inlineStr"/>
      <c r="X46" s="19" t="inlineStr"/>
      <c r="Y46" s="20" t="n"/>
      <c r="Z46" s="19" t="inlineStr"/>
      <c r="AA46" s="18">
        <f>IF(OR(V46="Aprobada"),R46,IF(AND(OR(V46="Aprobada con ajuste",V46="Rechazada"),W46&lt;&gt;""),W46,""))</f>
        <v/>
      </c>
    </row>
    <row r="47">
      <c r="A47" s="18" t="inlineStr">
        <is>
          <t>C0046</t>
        </is>
      </c>
      <c r="B47" s="18" t="inlineStr">
        <is>
          <t>Identidad y acceso</t>
        </is>
      </c>
      <c r="C47" s="18" t="inlineStr">
        <is>
          <t>auth</t>
        </is>
      </c>
      <c r="D47" s="18" t="inlineStr">
        <is>
          <t>geopolitica</t>
        </is>
      </c>
      <c r="E47" s="18" t="n">
        <v>1155</v>
      </c>
      <c r="F47" s="18" t="inlineStr">
        <is>
          <t>tip_division</t>
        </is>
      </c>
      <c r="G47" s="18" t="inlineStr">
        <is>
          <t>character varying(6)</t>
        </is>
      </c>
      <c r="H47" s="18" t="inlineStr">
        <is>
          <t>Sí</t>
        </is>
      </c>
      <c r="I47" s="18" t="inlineStr"/>
      <c r="J47" s="18" t="inlineStr"/>
      <c r="K47" s="18" t="inlineStr"/>
      <c r="L47" s="18" t="inlineStr">
        <is>
          <t>No</t>
        </is>
      </c>
      <c r="M47" s="18" t="inlineStr">
        <is>
          <t>No</t>
        </is>
      </c>
      <c r="N47" s="18" t="inlineStr"/>
      <c r="O47" s="18" t="inlineStr"/>
      <c r="P47" s="18" t="inlineStr">
        <is>
          <t>Mapeada en auth-service/src/users/geopolitica.entity.ts:33 (Geopolitica.tipDivision)</t>
        </is>
      </c>
      <c r="Q47" s="18" t="inlineStr">
        <is>
          <t>Propuesta semántica</t>
        </is>
      </c>
      <c r="R47" s="18" t="inlineStr">
        <is>
          <t>Código del tipo de división geopolítica (país, departamento, municipio).</t>
        </is>
      </c>
      <c r="S47" s="18" t="inlineStr">
        <is>
          <t>Media</t>
        </is>
      </c>
      <c r="T47" s="18" t="inlineStr">
        <is>
          <t>nombre + tipo + columnas vecinas</t>
        </is>
      </c>
      <c r="U47" s="18" t="inlineStr">
        <is>
          <t>¿Qué valores toma tip_division?</t>
        </is>
      </c>
      <c r="V47" s="19" t="inlineStr">
        <is>
          <t>Pendiente</t>
        </is>
      </c>
      <c r="W47" s="19" t="inlineStr"/>
      <c r="X47" s="19" t="inlineStr"/>
      <c r="Y47" s="20" t="n"/>
      <c r="Z47" s="19" t="inlineStr"/>
      <c r="AA47" s="18">
        <f>IF(OR(V47="Aprobada"),R47,IF(AND(OR(V47="Aprobada con ajuste",V47="Rechazada"),W47&lt;&gt;""),W47,""))</f>
        <v/>
      </c>
    </row>
    <row r="48">
      <c r="A48" s="18" t="inlineStr">
        <is>
          <t>C0047</t>
        </is>
      </c>
      <c r="B48" s="18" t="inlineStr">
        <is>
          <t>Identidad y acceso</t>
        </is>
      </c>
      <c r="C48" s="18" t="inlineStr">
        <is>
          <t>auth</t>
        </is>
      </c>
      <c r="D48" s="18" t="inlineStr">
        <is>
          <t>geopolitica</t>
        </is>
      </c>
      <c r="E48" s="18" t="n">
        <v>1155</v>
      </c>
      <c r="F48" s="18" t="inlineStr">
        <is>
          <t>cod_division</t>
        </is>
      </c>
      <c r="G48" s="18" t="inlineStr">
        <is>
          <t>character varying(6)</t>
        </is>
      </c>
      <c r="H48" s="18" t="inlineStr">
        <is>
          <t>Sí</t>
        </is>
      </c>
      <c r="I48" s="18" t="inlineStr"/>
      <c r="J48" s="18" t="inlineStr"/>
      <c r="K48" s="18" t="inlineStr"/>
      <c r="L48" s="18" t="inlineStr">
        <is>
          <t>No</t>
        </is>
      </c>
      <c r="M48" s="18" t="inlineStr">
        <is>
          <t>No</t>
        </is>
      </c>
      <c r="N48" s="18" t="inlineStr"/>
      <c r="O48" s="18" t="inlineStr"/>
      <c r="P48" s="18" t="inlineStr">
        <is>
          <t>Mapeada en auth-service/src/users/geopolitica.entity.ts:36 (Geopolitica.codDivision)</t>
        </is>
      </c>
      <c r="Q48" s="18" t="inlineStr">
        <is>
          <t>Propuesta semántica</t>
        </is>
      </c>
      <c r="R48" s="18" t="inlineStr">
        <is>
          <t>Código de la clase de división geopolítica.</t>
        </is>
      </c>
      <c r="S48" s="18" t="inlineStr">
        <is>
          <t>Baja</t>
        </is>
      </c>
      <c r="T48" s="18" t="inlineStr">
        <is>
          <t>nombre + tipo + columnas vecinas (tip_division)</t>
        </is>
      </c>
      <c r="U48" s="18" t="inlineStr">
        <is>
          <t>¿En qué se diferencia cod_division de tip_division?</t>
        </is>
      </c>
      <c r="V48" s="19" t="inlineStr">
        <is>
          <t>Pendiente</t>
        </is>
      </c>
      <c r="W48" s="19" t="inlineStr"/>
      <c r="X48" s="19" t="inlineStr"/>
      <c r="Y48" s="20" t="n"/>
      <c r="Z48" s="19" t="inlineStr"/>
      <c r="AA48" s="18">
        <f>IF(OR(V48="Aprobada"),R48,IF(AND(OR(V48="Aprobada con ajuste",V48="Rechazada"),W48&lt;&gt;""),W48,""))</f>
        <v/>
      </c>
    </row>
    <row r="49">
      <c r="A49" s="18" t="inlineStr">
        <is>
          <t>C0048</t>
        </is>
      </c>
      <c r="B49" s="18" t="inlineStr">
        <is>
          <t>Identidad y acceso</t>
        </is>
      </c>
      <c r="C49" s="18" t="inlineStr">
        <is>
          <t>auth</t>
        </is>
      </c>
      <c r="D49" s="18" t="inlineStr">
        <is>
          <t>geopolitica</t>
        </is>
      </c>
      <c r="E49" s="18" t="n">
        <v>1155</v>
      </c>
      <c r="F49" s="18" t="inlineStr">
        <is>
          <t>cod_zon_geografica</t>
        </is>
      </c>
      <c r="G49" s="18" t="inlineStr">
        <is>
          <t>character varying(6)</t>
        </is>
      </c>
      <c r="H49" s="18" t="inlineStr">
        <is>
          <t>Sí</t>
        </is>
      </c>
      <c r="I49" s="18" t="inlineStr"/>
      <c r="J49" s="18" t="inlineStr"/>
      <c r="K49" s="18" t="inlineStr"/>
      <c r="L49" s="18" t="inlineStr">
        <is>
          <t>No</t>
        </is>
      </c>
      <c r="M49" s="18" t="inlineStr">
        <is>
          <t>No</t>
        </is>
      </c>
      <c r="N49" s="18" t="inlineStr"/>
      <c r="O49" s="18" t="inlineStr"/>
      <c r="P49" s="18" t="inlineStr">
        <is>
          <t>Mapeada en auth-service/src/users/geopolitica.entity.ts:39 (Geopolitica.codZonGeografica)</t>
        </is>
      </c>
      <c r="Q49" s="18" t="inlineStr">
        <is>
          <t>Propuesta semántica</t>
        </is>
      </c>
      <c r="R49" s="18" t="inlineStr">
        <is>
          <t>Código de la zona geográfica a la que pertenece la división.</t>
        </is>
      </c>
      <c r="S49" s="18" t="inlineStr">
        <is>
          <t>Baja</t>
        </is>
      </c>
      <c r="T49" s="18" t="inlineStr">
        <is>
          <t>nombre + tipo + columnas vecinas</t>
        </is>
      </c>
      <c r="U49" s="18" t="inlineStr">
        <is>
          <t>¿Qué valores toma la zona geográfica y de qué catálogo provienen?</t>
        </is>
      </c>
      <c r="V49" s="19" t="inlineStr">
        <is>
          <t>Pendiente</t>
        </is>
      </c>
      <c r="W49" s="19" t="inlineStr"/>
      <c r="X49" s="19" t="inlineStr"/>
      <c r="Y49" s="20" t="n"/>
      <c r="Z49" s="19" t="inlineStr"/>
      <c r="AA49" s="18">
        <f>IF(OR(V49="Aprobada"),R49,IF(AND(OR(V49="Aprobada con ajuste",V49="Rechazada"),W49&lt;&gt;""),W49,""))</f>
        <v/>
      </c>
    </row>
    <row r="50">
      <c r="A50" s="18" t="inlineStr">
        <is>
          <t>C0049</t>
        </is>
      </c>
      <c r="B50" s="18" t="inlineStr">
        <is>
          <t>Identidad y acceso</t>
        </is>
      </c>
      <c r="C50" s="18" t="inlineStr">
        <is>
          <t>auth</t>
        </is>
      </c>
      <c r="D50" s="18" t="inlineStr">
        <is>
          <t>geopolitica</t>
        </is>
      </c>
      <c r="E50" s="18" t="n">
        <v>1155</v>
      </c>
      <c r="F50" s="18" t="inlineStr">
        <is>
          <t>fec_ult_act</t>
        </is>
      </c>
      <c r="G50" s="18" t="inlineStr">
        <is>
          <t>date</t>
        </is>
      </c>
      <c r="H50" s="18" t="inlineStr">
        <is>
          <t>Sí</t>
        </is>
      </c>
      <c r="I50" s="18" t="inlineStr"/>
      <c r="J50" s="18" t="inlineStr"/>
      <c r="K50" s="18" t="inlineStr"/>
      <c r="L50" s="18" t="inlineStr">
        <is>
          <t>No</t>
        </is>
      </c>
      <c r="M50" s="18" t="inlineStr">
        <is>
          <t>No</t>
        </is>
      </c>
      <c r="N50" s="18" t="inlineStr"/>
      <c r="O50" s="18" t="inlineStr"/>
      <c r="P50" s="18" t="inlineStr">
        <is>
          <t>Mapeada en auth-service/src/users/geopolitica.entity.ts:42 (Geopolitica.fecUltAct)</t>
        </is>
      </c>
      <c r="Q50" s="18" t="inlineStr">
        <is>
          <t>Propuesta semántica</t>
        </is>
      </c>
      <c r="R50" s="18" t="inlineStr">
        <is>
          <t>Fecha de la última actualización del registro.</t>
        </is>
      </c>
      <c r="S50" s="18" t="inlineStr">
        <is>
          <t>Alta</t>
        </is>
      </c>
      <c r="T50" s="18" t="inlineStr">
        <is>
          <t>nombre + tipo + columnas vecinas</t>
        </is>
      </c>
      <c r="U50" s="18" t="inlineStr"/>
      <c r="V50" s="19" t="inlineStr">
        <is>
          <t>Pendiente</t>
        </is>
      </c>
      <c r="W50" s="19" t="inlineStr"/>
      <c r="X50" s="19" t="inlineStr"/>
      <c r="Y50" s="20" t="n"/>
      <c r="Z50" s="19" t="inlineStr"/>
      <c r="AA50" s="18">
        <f>IF(OR(V50="Aprobada"),R50,IF(AND(OR(V50="Aprobada con ajuste",V50="Rechazada"),W50&lt;&gt;""),W50,""))</f>
        <v/>
      </c>
    </row>
    <row r="51">
      <c r="A51" s="18" t="inlineStr">
        <is>
          <t>C0050</t>
        </is>
      </c>
      <c r="B51" s="18" t="inlineStr">
        <is>
          <t>Identidad y acceso</t>
        </is>
      </c>
      <c r="C51" s="18" t="inlineStr">
        <is>
          <t>auth</t>
        </is>
      </c>
      <c r="D51" s="18" t="inlineStr">
        <is>
          <t>geopolitica</t>
        </is>
      </c>
      <c r="E51" s="18" t="n">
        <v>1155</v>
      </c>
      <c r="F51" s="18" t="inlineStr">
        <is>
          <t>fec_creacion</t>
        </is>
      </c>
      <c r="G51" s="18" t="inlineStr">
        <is>
          <t>date</t>
        </is>
      </c>
      <c r="H51" s="18" t="inlineStr">
        <is>
          <t>Sí</t>
        </is>
      </c>
      <c r="I51" s="18" t="inlineStr"/>
      <c r="J51" s="18" t="inlineStr"/>
      <c r="K51" s="18" t="inlineStr"/>
      <c r="L51" s="18" t="inlineStr">
        <is>
          <t>No</t>
        </is>
      </c>
      <c r="M51" s="18" t="inlineStr">
        <is>
          <t>No</t>
        </is>
      </c>
      <c r="N51" s="18" t="inlineStr"/>
      <c r="O51" s="18" t="inlineStr"/>
      <c r="P51" s="18" t="inlineStr">
        <is>
          <t>Mapeada en auth-service/src/users/geopolitica.entity.ts:45 (Geopolitica.fecCreacion)</t>
        </is>
      </c>
      <c r="Q51" s="18" t="inlineStr">
        <is>
          <t>Propuesta semántica</t>
        </is>
      </c>
      <c r="R51" s="18" t="inlineStr">
        <is>
          <t>Fecha de creación del registro.</t>
        </is>
      </c>
      <c r="S51" s="18" t="inlineStr">
        <is>
          <t>Alta</t>
        </is>
      </c>
      <c r="T51" s="18" t="inlineStr">
        <is>
          <t>nombre + tipo + columnas vecinas</t>
        </is>
      </c>
      <c r="U51" s="18" t="inlineStr"/>
      <c r="V51" s="19" t="inlineStr">
        <is>
          <t>Pendiente</t>
        </is>
      </c>
      <c r="W51" s="19" t="inlineStr"/>
      <c r="X51" s="19" t="inlineStr"/>
      <c r="Y51" s="20" t="n"/>
      <c r="Z51" s="19" t="inlineStr"/>
      <c r="AA51" s="18">
        <f>IF(OR(V51="Aprobada"),R51,IF(AND(OR(V51="Aprobada con ajuste",V51="Rechazada"),W51&lt;&gt;""),W51,""))</f>
        <v/>
      </c>
    </row>
    <row r="52">
      <c r="A52" s="18" t="inlineStr">
        <is>
          <t>C0051</t>
        </is>
      </c>
      <c r="B52" s="18" t="inlineStr">
        <is>
          <t>Identidad y acceso</t>
        </is>
      </c>
      <c r="C52" s="18" t="inlineStr">
        <is>
          <t>auth</t>
        </is>
      </c>
      <c r="D52" s="18" t="inlineStr">
        <is>
          <t>geopolitica</t>
        </is>
      </c>
      <c r="E52" s="18" t="n">
        <v>1155</v>
      </c>
      <c r="F52" s="18" t="inlineStr">
        <is>
          <t>usu_creacion</t>
        </is>
      </c>
      <c r="G52" s="18" t="inlineStr">
        <is>
          <t>character varying(20)</t>
        </is>
      </c>
      <c r="H52" s="18" t="inlineStr">
        <is>
          <t>Sí</t>
        </is>
      </c>
      <c r="I52" s="18" t="inlineStr"/>
      <c r="J52" s="18" t="inlineStr"/>
      <c r="K52" s="18" t="inlineStr"/>
      <c r="L52" s="18" t="inlineStr">
        <is>
          <t>No</t>
        </is>
      </c>
      <c r="M52" s="18" t="inlineStr">
        <is>
          <t>No</t>
        </is>
      </c>
      <c r="N52" s="18" t="inlineStr"/>
      <c r="O52" s="18" t="inlineStr"/>
      <c r="P52" s="18" t="inlineStr">
        <is>
          <t>Mapeada en auth-service/src/users/geopolitica.entity.ts:48 (Geopolitica.usuCreacion)</t>
        </is>
      </c>
      <c r="Q52" s="18" t="inlineStr">
        <is>
          <t>Propuesta semántica</t>
        </is>
      </c>
      <c r="R52" s="18" t="inlineStr">
        <is>
          <t>Usuario que creó el registro.</t>
        </is>
      </c>
      <c r="S52" s="18" t="inlineStr">
        <is>
          <t>Media</t>
        </is>
      </c>
      <c r="T52" s="18" t="inlineStr">
        <is>
          <t>nombre + tipo + columnas vecinas</t>
        </is>
      </c>
      <c r="U52" s="18" t="inlineStr">
        <is>
          <t>¿usu_creacion guarda el nombre de usuario del sistema de origen?</t>
        </is>
      </c>
      <c r="V52" s="19" t="inlineStr">
        <is>
          <t>Pendiente</t>
        </is>
      </c>
      <c r="W52" s="19" t="inlineStr"/>
      <c r="X52" s="19" t="inlineStr"/>
      <c r="Y52" s="20" t="n"/>
      <c r="Z52" s="19" t="inlineStr"/>
      <c r="AA52" s="18">
        <f>IF(OR(V52="Aprobada"),R52,IF(AND(OR(V52="Aprobada con ajuste",V52="Rechazada"),W52&lt;&gt;""),W52,""))</f>
        <v/>
      </c>
    </row>
    <row r="53">
      <c r="A53" s="18" t="inlineStr">
        <is>
          <t>C0052</t>
        </is>
      </c>
      <c r="B53" s="18" t="inlineStr">
        <is>
          <t>Identidad y acceso</t>
        </is>
      </c>
      <c r="C53" s="18" t="inlineStr">
        <is>
          <t>auth</t>
        </is>
      </c>
      <c r="D53" s="18" t="inlineStr">
        <is>
          <t>geopolitica</t>
        </is>
      </c>
      <c r="E53" s="18" t="n">
        <v>1155</v>
      </c>
      <c r="F53" s="18" t="inlineStr">
        <is>
          <t>usu_actualizacion</t>
        </is>
      </c>
      <c r="G53" s="18" t="inlineStr">
        <is>
          <t>character varying(20)</t>
        </is>
      </c>
      <c r="H53" s="18" t="inlineStr">
        <is>
          <t>Sí</t>
        </is>
      </c>
      <c r="I53" s="18" t="inlineStr"/>
      <c r="J53" s="18" t="inlineStr"/>
      <c r="K53" s="18" t="inlineStr"/>
      <c r="L53" s="18" t="inlineStr">
        <is>
          <t>No</t>
        </is>
      </c>
      <c r="M53" s="18" t="inlineStr">
        <is>
          <t>No</t>
        </is>
      </c>
      <c r="N53" s="18" t="inlineStr"/>
      <c r="O53" s="18" t="inlineStr"/>
      <c r="P53" s="18" t="inlineStr">
        <is>
          <t>Mapeada en auth-service/src/users/geopolitica.entity.ts:51 (Geopolitica.usuActualizacion)</t>
        </is>
      </c>
      <c r="Q53" s="18" t="inlineStr">
        <is>
          <t>Propuesta semántica</t>
        </is>
      </c>
      <c r="R53" s="18" t="inlineStr">
        <is>
          <t>Usuario que hizo la última actualización del registro.</t>
        </is>
      </c>
      <c r="S53" s="18" t="inlineStr">
        <is>
          <t>Media</t>
        </is>
      </c>
      <c r="T53" s="18" t="inlineStr">
        <is>
          <t>nombre + tipo + columnas vecinas</t>
        </is>
      </c>
      <c r="U53" s="18" t="inlineStr">
        <is>
          <t>¿usu_actualizacion guarda el nombre de usuario del sistema de origen?</t>
        </is>
      </c>
      <c r="V53" s="19" t="inlineStr">
        <is>
          <t>Pendiente</t>
        </is>
      </c>
      <c r="W53" s="19" t="inlineStr"/>
      <c r="X53" s="19" t="inlineStr"/>
      <c r="Y53" s="20" t="n"/>
      <c r="Z53" s="19" t="inlineStr"/>
      <c r="AA53" s="18">
        <f>IF(OR(V53="Aprobada"),R53,IF(AND(OR(V53="Aprobada con ajuste",V53="Rechazada"),W53&lt;&gt;""),W53,""))</f>
        <v/>
      </c>
    </row>
    <row r="54">
      <c r="A54" s="18" t="inlineStr">
        <is>
          <t>C0053</t>
        </is>
      </c>
      <c r="B54" s="18" t="inlineStr">
        <is>
          <t>Identidad y acceso</t>
        </is>
      </c>
      <c r="C54" s="18" t="inlineStr">
        <is>
          <t>auth</t>
        </is>
      </c>
      <c r="D54" s="18" t="inlineStr">
        <is>
          <t>geopolitica</t>
        </is>
      </c>
      <c r="E54" s="18" t="n">
        <v>1155</v>
      </c>
      <c r="F54" s="18" t="inlineStr">
        <is>
          <t>cod_intl_pais</t>
        </is>
      </c>
      <c r="G54" s="18" t="inlineStr">
        <is>
          <t>character varying(3)</t>
        </is>
      </c>
      <c r="H54" s="18" t="inlineStr">
        <is>
          <t>Sí</t>
        </is>
      </c>
      <c r="I54" s="18" t="inlineStr"/>
      <c r="J54" s="18" t="inlineStr"/>
      <c r="K54" s="18" t="inlineStr"/>
      <c r="L54" s="18" t="inlineStr">
        <is>
          <t>No</t>
        </is>
      </c>
      <c r="M54" s="18" t="inlineStr">
        <is>
          <t>No</t>
        </is>
      </c>
      <c r="N54" s="18" t="inlineStr"/>
      <c r="O54" s="18" t="inlineStr"/>
      <c r="P54" s="18" t="inlineStr"/>
      <c r="Q54" s="18" t="inlineStr">
        <is>
          <t>Propuesta semántica</t>
        </is>
      </c>
      <c r="R54" s="18" t="inlineStr">
        <is>
          <t>Código internacional del país (tres caracteres).</t>
        </is>
      </c>
      <c r="S54" s="18" t="inlineStr">
        <is>
          <t>Media</t>
        </is>
      </c>
      <c r="T54" s="18" t="inlineStr">
        <is>
          <t>nombre + tipo + columnas vecinas</t>
        </is>
      </c>
      <c r="U54" s="18" t="inlineStr">
        <is>
          <t>¿Sigue ISO 3166-1 (alfa-3 o numérico)?</t>
        </is>
      </c>
      <c r="V54" s="19" t="inlineStr">
        <is>
          <t>Pendiente</t>
        </is>
      </c>
      <c r="W54" s="19" t="inlineStr"/>
      <c r="X54" s="19" t="inlineStr"/>
      <c r="Y54" s="20" t="n"/>
      <c r="Z54" s="19" t="inlineStr"/>
      <c r="AA54" s="18">
        <f>IF(OR(V54="Aprobada"),R54,IF(AND(OR(V54="Aprobada con ajuste",V54="Rechazada"),W54&lt;&gt;""),W54,""))</f>
        <v/>
      </c>
    </row>
    <row r="55">
      <c r="A55" s="18" t="inlineStr">
        <is>
          <t>C0054</t>
        </is>
      </c>
      <c r="B55" s="18" t="inlineStr">
        <is>
          <t>Identidad y acceso</t>
        </is>
      </c>
      <c r="C55" s="18" t="inlineStr">
        <is>
          <t>auth</t>
        </is>
      </c>
      <c r="D55" s="18" t="inlineStr">
        <is>
          <t>geopolitica</t>
        </is>
      </c>
      <c r="E55" s="18" t="n">
        <v>1155</v>
      </c>
      <c r="F55" s="18" t="inlineStr">
        <is>
          <t>cod_unso</t>
        </is>
      </c>
      <c r="G55" s="18" t="inlineStr">
        <is>
          <t>character varying(3)</t>
        </is>
      </c>
      <c r="H55" s="18" t="inlineStr">
        <is>
          <t>Sí</t>
        </is>
      </c>
      <c r="I55" s="18" t="inlineStr"/>
      <c r="J55" s="18" t="inlineStr"/>
      <c r="K55" s="18" t="inlineStr"/>
      <c r="L55" s="18" t="inlineStr">
        <is>
          <t>No</t>
        </is>
      </c>
      <c r="M55" s="18" t="inlineStr">
        <is>
          <t>No</t>
        </is>
      </c>
      <c r="N55" s="18" t="inlineStr"/>
      <c r="O55" s="18" t="inlineStr"/>
      <c r="P55" s="18" t="inlineStr"/>
      <c r="Q55" s="18" t="inlineStr">
        <is>
          <t>Propuesta semántica</t>
        </is>
      </c>
      <c r="R55" s="18" t="inlineStr">
        <is>
          <t>Código del país según la clasificación de las Naciones Unidas.</t>
        </is>
      </c>
      <c r="S55" s="18" t="inlineStr">
        <is>
          <t>Baja</t>
        </is>
      </c>
      <c r="T55" s="18" t="inlineStr">
        <is>
          <t>nombre + tipo + columnas vecinas</t>
        </is>
      </c>
      <c r="U55" s="18" t="inlineStr">
        <is>
          <t>¿Qué significa UNSO y qué codificación sigue?</t>
        </is>
      </c>
      <c r="V55" s="19" t="inlineStr">
        <is>
          <t>Pendiente</t>
        </is>
      </c>
      <c r="W55" s="19" t="inlineStr"/>
      <c r="X55" s="19" t="inlineStr"/>
      <c r="Y55" s="20" t="n"/>
      <c r="Z55" s="19" t="inlineStr"/>
      <c r="AA55" s="18">
        <f>IF(OR(V55="Aprobada"),R55,IF(AND(OR(V55="Aprobada con ajuste",V55="Rechazada"),W55&lt;&gt;""),W55,""))</f>
        <v/>
      </c>
    </row>
    <row r="56">
      <c r="A56" s="18" t="inlineStr">
        <is>
          <t>C0055</t>
        </is>
      </c>
      <c r="B56" s="18" t="inlineStr">
        <is>
          <t>Identidad y acceso</t>
        </is>
      </c>
      <c r="C56" s="18" t="inlineStr">
        <is>
          <t>auth</t>
        </is>
      </c>
      <c r="D56" s="18" t="inlineStr">
        <is>
          <t>geopolitica</t>
        </is>
      </c>
      <c r="E56" s="18" t="n">
        <v>1155</v>
      </c>
      <c r="F56" s="18" t="inlineStr">
        <is>
          <t>cod_dian</t>
        </is>
      </c>
      <c r="G56" s="18" t="inlineStr">
        <is>
          <t>character varying(3)</t>
        </is>
      </c>
      <c r="H56" s="18" t="inlineStr">
        <is>
          <t>Sí</t>
        </is>
      </c>
      <c r="I56" s="18" t="inlineStr"/>
      <c r="J56" s="18" t="inlineStr"/>
      <c r="K56" s="18" t="inlineStr"/>
      <c r="L56" s="18" t="inlineStr">
        <is>
          <t>No</t>
        </is>
      </c>
      <c r="M56" s="18" t="inlineStr">
        <is>
          <t>No</t>
        </is>
      </c>
      <c r="N56" s="18" t="inlineStr"/>
      <c r="O56" s="18" t="inlineStr"/>
      <c r="P56" s="18" t="inlineStr"/>
      <c r="Q56" s="18" t="inlineStr">
        <is>
          <t>Propuesta semántica</t>
        </is>
      </c>
      <c r="R56" s="18" t="inlineStr">
        <is>
          <t>Código del país o división asignado por la DIAN.</t>
        </is>
      </c>
      <c r="S56" s="18" t="inlineStr">
        <is>
          <t>Media</t>
        </is>
      </c>
      <c r="T56" s="18" t="inlineStr">
        <is>
          <t>nombre + tipo + columnas vecinas</t>
        </is>
      </c>
      <c r="U56" s="18" t="inlineStr">
        <is>
          <t>¿Es el código de país de la DIAN usado en información exógena?</t>
        </is>
      </c>
      <c r="V56" s="19" t="inlineStr">
        <is>
          <t>Pendiente</t>
        </is>
      </c>
      <c r="W56" s="19" t="inlineStr"/>
      <c r="X56" s="19" t="inlineStr"/>
      <c r="Y56" s="20" t="n"/>
      <c r="Z56" s="19" t="inlineStr"/>
      <c r="AA56" s="18">
        <f>IF(OR(V56="Aprobada"),R56,IF(AND(OR(V56="Aprobada con ajuste",V56="Rechazada"),W56&lt;&gt;""),W56,""))</f>
        <v/>
      </c>
    </row>
    <row r="57">
      <c r="A57" s="18" t="inlineStr">
        <is>
          <t>C0056</t>
        </is>
      </c>
      <c r="B57" s="18" t="inlineStr">
        <is>
          <t>Identidad y acceso</t>
        </is>
      </c>
      <c r="C57" s="18" t="inlineStr">
        <is>
          <t>auth</t>
        </is>
      </c>
      <c r="D57" s="18" t="inlineStr">
        <is>
          <t>geopolitica</t>
        </is>
      </c>
      <c r="E57" s="18" t="n">
        <v>1155</v>
      </c>
      <c r="F57" s="18" t="inlineStr">
        <is>
          <t>cod_lat</t>
        </is>
      </c>
      <c r="G57" s="18" t="inlineStr">
        <is>
          <t>numeric(11,8)</t>
        </is>
      </c>
      <c r="H57" s="18" t="inlineStr">
        <is>
          <t>Sí</t>
        </is>
      </c>
      <c r="I57" s="18" t="inlineStr"/>
      <c r="J57" s="18" t="inlineStr"/>
      <c r="K57" s="18" t="inlineStr"/>
      <c r="L57" s="18" t="inlineStr">
        <is>
          <t>No</t>
        </is>
      </c>
      <c r="M57" s="18" t="inlineStr">
        <is>
          <t>No</t>
        </is>
      </c>
      <c r="N57" s="18" t="inlineStr"/>
      <c r="O57" s="18" t="inlineStr"/>
      <c r="P57" s="18" t="inlineStr">
        <is>
          <t>Mapeada en auth-service/src/users/geopolitica.entity.ts:54 (Geopolitica.codLat)</t>
        </is>
      </c>
      <c r="Q57" s="18" t="inlineStr">
        <is>
          <t>Propuesta semántica</t>
        </is>
      </c>
      <c r="R57" s="18" t="inlineStr">
        <is>
          <t>Latitud geográfica de la división, en grados decimales.</t>
        </is>
      </c>
      <c r="S57" s="18" t="inlineStr">
        <is>
          <t>Alta</t>
        </is>
      </c>
      <c r="T57" s="18" t="inlineStr">
        <is>
          <t>nombre + tipo + columnas vecinas (cod_lon)</t>
        </is>
      </c>
      <c r="U57" s="18" t="inlineStr"/>
      <c r="V57" s="19" t="inlineStr">
        <is>
          <t>Pendiente</t>
        </is>
      </c>
      <c r="W57" s="19" t="inlineStr"/>
      <c r="X57" s="19" t="inlineStr"/>
      <c r="Y57" s="20" t="n"/>
      <c r="Z57" s="19" t="inlineStr"/>
      <c r="AA57" s="18">
        <f>IF(OR(V57="Aprobada"),R57,IF(AND(OR(V57="Aprobada con ajuste",V57="Rechazada"),W57&lt;&gt;""),W57,""))</f>
        <v/>
      </c>
    </row>
    <row r="58">
      <c r="A58" s="18" t="inlineStr">
        <is>
          <t>C0057</t>
        </is>
      </c>
      <c r="B58" s="18" t="inlineStr">
        <is>
          <t>Identidad y acceso</t>
        </is>
      </c>
      <c r="C58" s="18" t="inlineStr">
        <is>
          <t>auth</t>
        </is>
      </c>
      <c r="D58" s="18" t="inlineStr">
        <is>
          <t>geopolitica</t>
        </is>
      </c>
      <c r="E58" s="18" t="n">
        <v>1155</v>
      </c>
      <c r="F58" s="18" t="inlineStr">
        <is>
          <t>cod_lon</t>
        </is>
      </c>
      <c r="G58" s="18" t="inlineStr">
        <is>
          <t>numeric(11,8)</t>
        </is>
      </c>
      <c r="H58" s="18" t="inlineStr">
        <is>
          <t>Sí</t>
        </is>
      </c>
      <c r="I58" s="18" t="inlineStr"/>
      <c r="J58" s="18" t="inlineStr"/>
      <c r="K58" s="18" t="inlineStr"/>
      <c r="L58" s="18" t="inlineStr">
        <is>
          <t>No</t>
        </is>
      </c>
      <c r="M58" s="18" t="inlineStr">
        <is>
          <t>No</t>
        </is>
      </c>
      <c r="N58" s="18" t="inlineStr"/>
      <c r="O58" s="18" t="inlineStr"/>
      <c r="P58" s="18" t="inlineStr">
        <is>
          <t>Mapeada en auth-service/src/users/geopolitica.entity.ts:57 (Geopolitica.codLon)</t>
        </is>
      </c>
      <c r="Q58" s="18" t="inlineStr">
        <is>
          <t>Propuesta semántica</t>
        </is>
      </c>
      <c r="R58" s="18" t="inlineStr">
        <is>
          <t>Longitud geográfica de la división, en grados decimales.</t>
        </is>
      </c>
      <c r="S58" s="18" t="inlineStr">
        <is>
          <t>Alta</t>
        </is>
      </c>
      <c r="T58" s="18" t="inlineStr">
        <is>
          <t>nombre + tipo + columnas vecinas (cod_lat)</t>
        </is>
      </c>
      <c r="U58" s="18" t="inlineStr"/>
      <c r="V58" s="19" t="inlineStr">
        <is>
          <t>Pendiente</t>
        </is>
      </c>
      <c r="W58" s="19" t="inlineStr"/>
      <c r="X58" s="19" t="inlineStr"/>
      <c r="Y58" s="20" t="n"/>
      <c r="Z58" s="19" t="inlineStr"/>
      <c r="AA58" s="18">
        <f>IF(OR(V58="Aprobada"),R58,IF(AND(OR(V58="Aprobada con ajuste",V58="Rechazada"),W58&lt;&gt;""),W58,""))</f>
        <v/>
      </c>
    </row>
    <row r="59">
      <c r="A59" s="18" t="inlineStr">
        <is>
          <t>C0058</t>
        </is>
      </c>
      <c r="B59" s="18" t="inlineStr">
        <is>
          <t>Identidad y acceso</t>
        </is>
      </c>
      <c r="C59" s="18" t="inlineStr">
        <is>
          <t>auth</t>
        </is>
      </c>
      <c r="D59" s="18" t="inlineStr">
        <is>
          <t>geopolitica</t>
        </is>
      </c>
      <c r="E59" s="18" t="n">
        <v>1155</v>
      </c>
      <c r="F59" s="18" t="inlineStr">
        <is>
          <t>cod_idioma</t>
        </is>
      </c>
      <c r="G59" s="18" t="inlineStr">
        <is>
          <t>character varying(3)</t>
        </is>
      </c>
      <c r="H59" s="18" t="inlineStr">
        <is>
          <t>Sí</t>
        </is>
      </c>
      <c r="I59" s="18" t="inlineStr"/>
      <c r="J59" s="18" t="inlineStr"/>
      <c r="K59" s="18" t="inlineStr"/>
      <c r="L59" s="18" t="inlineStr">
        <is>
          <t>No</t>
        </is>
      </c>
      <c r="M59" s="18" t="inlineStr">
        <is>
          <t>No</t>
        </is>
      </c>
      <c r="N59" s="18" t="inlineStr"/>
      <c r="O59" s="18" t="inlineStr"/>
      <c r="P59" s="18" t="inlineStr"/>
      <c r="Q59" s="18" t="inlineStr">
        <is>
          <t>Propuesta semántica</t>
        </is>
      </c>
      <c r="R59" s="18" t="inlineStr">
        <is>
          <t>Código del idioma principal de la división geopolítica.</t>
        </is>
      </c>
      <c r="S59" s="18" t="inlineStr">
        <is>
          <t>Media</t>
        </is>
      </c>
      <c r="T59" s="18" t="inlineStr">
        <is>
          <t>nombre + tipo + columnas vecinas (nom_idioma)</t>
        </is>
      </c>
      <c r="U59" s="18" t="inlineStr">
        <is>
          <t>¿Sigue ISO 639?</t>
        </is>
      </c>
      <c r="V59" s="19" t="inlineStr">
        <is>
          <t>Pendiente</t>
        </is>
      </c>
      <c r="W59" s="19" t="inlineStr"/>
      <c r="X59" s="19" t="inlineStr"/>
      <c r="Y59" s="20" t="n"/>
      <c r="Z59" s="19" t="inlineStr"/>
      <c r="AA59" s="18">
        <f>IF(OR(V59="Aprobada"),R59,IF(AND(OR(V59="Aprobada con ajuste",V59="Rechazada"),W59&lt;&gt;""),W59,""))</f>
        <v/>
      </c>
    </row>
    <row r="60">
      <c r="A60" s="18" t="inlineStr">
        <is>
          <t>C0059</t>
        </is>
      </c>
      <c r="B60" s="18" t="inlineStr">
        <is>
          <t>Identidad y acceso</t>
        </is>
      </c>
      <c r="C60" s="18" t="inlineStr">
        <is>
          <t>auth</t>
        </is>
      </c>
      <c r="D60" s="18" t="inlineStr">
        <is>
          <t>geopolitica</t>
        </is>
      </c>
      <c r="E60" s="18" t="n">
        <v>1155</v>
      </c>
      <c r="F60" s="18" t="inlineStr">
        <is>
          <t>nom_idioma</t>
        </is>
      </c>
      <c r="G60" s="18" t="inlineStr">
        <is>
          <t>character varying(250)</t>
        </is>
      </c>
      <c r="H60" s="18" t="inlineStr">
        <is>
          <t>Sí</t>
        </is>
      </c>
      <c r="I60" s="18" t="inlineStr"/>
      <c r="J60" s="18" t="inlineStr"/>
      <c r="K60" s="18" t="inlineStr"/>
      <c r="L60" s="18" t="inlineStr">
        <is>
          <t>No</t>
        </is>
      </c>
      <c r="M60" s="18" t="inlineStr">
        <is>
          <t>No</t>
        </is>
      </c>
      <c r="N60" s="18" t="inlineStr"/>
      <c r="O60" s="18" t="inlineStr"/>
      <c r="P60" s="18" t="inlineStr"/>
      <c r="Q60" s="18" t="inlineStr">
        <is>
          <t>Propuesta semántica</t>
        </is>
      </c>
      <c r="R60" s="18" t="inlineStr">
        <is>
          <t>Nombre del idioma principal de la división geopolítica.</t>
        </is>
      </c>
      <c r="S60" s="18" t="inlineStr">
        <is>
          <t>Media</t>
        </is>
      </c>
      <c r="T60" s="18" t="inlineStr">
        <is>
          <t>nombre + tipo + columnas vecinas (cod_idioma)</t>
        </is>
      </c>
      <c r="U60" s="18" t="inlineStr">
        <is>
          <t>¿Se usa este dato en algún módulo?</t>
        </is>
      </c>
      <c r="V60" s="19" t="inlineStr">
        <is>
          <t>Pendiente</t>
        </is>
      </c>
      <c r="W60" s="19" t="inlineStr"/>
      <c r="X60" s="19" t="inlineStr"/>
      <c r="Y60" s="20" t="n"/>
      <c r="Z60" s="19" t="inlineStr"/>
      <c r="AA60" s="18">
        <f>IF(OR(V60="Aprobada"),R60,IF(AND(OR(V60="Aprobada con ajuste",V60="Rechazada"),W60&lt;&gt;""),W60,""))</f>
        <v/>
      </c>
    </row>
    <row r="61">
      <c r="A61" s="18" t="inlineStr">
        <is>
          <t>C0060</t>
        </is>
      </c>
      <c r="B61" s="18" t="inlineStr">
        <is>
          <t>Identidad y acceso</t>
        </is>
      </c>
      <c r="C61" s="18" t="inlineStr">
        <is>
          <t>auth</t>
        </is>
      </c>
      <c r="D61" s="18" t="inlineStr">
        <is>
          <t>geopolitica</t>
        </is>
      </c>
      <c r="E61" s="18" t="n">
        <v>1155</v>
      </c>
      <c r="F61" s="18" t="inlineStr">
        <is>
          <t>cod_idm</t>
        </is>
      </c>
      <c r="G61" s="18" t="inlineStr">
        <is>
          <t>character varying(3)</t>
        </is>
      </c>
      <c r="H61" s="18" t="inlineStr">
        <is>
          <t>Sí</t>
        </is>
      </c>
      <c r="I61" s="18" t="inlineStr"/>
      <c r="J61" s="18" t="inlineStr"/>
      <c r="K61" s="18" t="inlineStr"/>
      <c r="L61" s="18" t="inlineStr">
        <is>
          <t>No</t>
        </is>
      </c>
      <c r="M61" s="18" t="inlineStr">
        <is>
          <t>No</t>
        </is>
      </c>
      <c r="N61" s="18" t="inlineStr"/>
      <c r="O61" s="18" t="inlineStr"/>
      <c r="P61" s="18" t="inlineStr"/>
      <c r="Q61" s="18" t="inlineStr">
        <is>
          <t>Propuesta semántica</t>
        </is>
      </c>
      <c r="R61" s="18" t="inlineStr">
        <is>
          <t>Código de idioma abreviado de la división geopolítica.</t>
        </is>
      </c>
      <c r="S61" s="18" t="inlineStr">
        <is>
          <t>Baja</t>
        </is>
      </c>
      <c r="T61" s="18" t="inlineStr">
        <is>
          <t>nombre + tipo + columnas vecinas (cod_idioma)</t>
        </is>
      </c>
      <c r="U61" s="18" t="inlineStr">
        <is>
          <t>¿En qué se diferencia cod_idm de cod_idioma?</t>
        </is>
      </c>
      <c r="V61" s="19" t="inlineStr">
        <is>
          <t>Pendiente</t>
        </is>
      </c>
      <c r="W61" s="19" t="inlineStr"/>
      <c r="X61" s="19" t="inlineStr"/>
      <c r="Y61" s="20" t="n"/>
      <c r="Z61" s="19" t="inlineStr"/>
      <c r="AA61" s="18">
        <f>IF(OR(V61="Aprobada"),R61,IF(AND(OR(V61="Aprobada con ajuste",V61="Rechazada"),W61&lt;&gt;""),W61,""))</f>
        <v/>
      </c>
    </row>
    <row r="62">
      <c r="A62" s="18" t="inlineStr">
        <is>
          <t>C0061</t>
        </is>
      </c>
      <c r="B62" s="18" t="inlineStr">
        <is>
          <t>Identidad y acceso</t>
        </is>
      </c>
      <c r="C62" s="18" t="inlineStr">
        <is>
          <t>auth</t>
        </is>
      </c>
      <c r="D62" s="18" t="inlineStr">
        <is>
          <t>geopolitica</t>
        </is>
      </c>
      <c r="E62" s="18" t="n">
        <v>1155</v>
      </c>
      <c r="F62" s="18" t="inlineStr">
        <is>
          <t>nom_div_geopolitica_tot</t>
        </is>
      </c>
      <c r="G62" s="18" t="inlineStr">
        <is>
          <t>character varying(200)</t>
        </is>
      </c>
      <c r="H62" s="18" t="inlineStr">
        <is>
          <t>Sí</t>
        </is>
      </c>
      <c r="I62" s="18" t="inlineStr"/>
      <c r="J62" s="18" t="inlineStr"/>
      <c r="K62" s="18" t="inlineStr"/>
      <c r="L62" s="18" t="inlineStr">
        <is>
          <t>No</t>
        </is>
      </c>
      <c r="M62" s="18" t="inlineStr">
        <is>
          <t>No</t>
        </is>
      </c>
      <c r="N62" s="18" t="inlineStr"/>
      <c r="O62" s="18" t="inlineStr"/>
      <c r="P62" s="18" t="inlineStr"/>
      <c r="Q62" s="18" t="inlineStr">
        <is>
          <t>Propuesta semántica</t>
        </is>
      </c>
      <c r="R62" s="18" t="inlineStr">
        <is>
          <t>Nombre completo de la división geopolítica con su jerarquía (por ejemplo, municipio, departamento y país).</t>
        </is>
      </c>
      <c r="S62" s="18" t="inlineStr">
        <is>
          <t>Media</t>
        </is>
      </c>
      <c r="T62" s="18" t="inlineStr">
        <is>
          <t>nombre + tipo + columnas vecinas (nom_div_geopolitica)</t>
        </is>
      </c>
      <c r="U62" s="18" t="inlineStr">
        <is>
          <t>¿El nombre total concatena la jerarquía de la división?</t>
        </is>
      </c>
      <c r="V62" s="19" t="inlineStr">
        <is>
          <t>Pendiente</t>
        </is>
      </c>
      <c r="W62" s="19" t="inlineStr"/>
      <c r="X62" s="19" t="inlineStr"/>
      <c r="Y62" s="20" t="n"/>
      <c r="Z62" s="19" t="inlineStr"/>
      <c r="AA62" s="18">
        <f>IF(OR(V62="Aprobada"),R62,IF(AND(OR(V62="Aprobada con ajuste",V62="Rechazada"),W62&lt;&gt;""),W62,""))</f>
        <v/>
      </c>
    </row>
    <row r="63">
      <c r="A63" s="18" t="inlineStr">
        <is>
          <t>C0062</t>
        </is>
      </c>
      <c r="B63" s="18" t="inlineStr">
        <is>
          <t>Identidad y acceso</t>
        </is>
      </c>
      <c r="C63" s="18" t="inlineStr">
        <is>
          <t>auth</t>
        </is>
      </c>
      <c r="D63" s="18" t="inlineStr">
        <is>
          <t>geopolitica</t>
        </is>
      </c>
      <c r="E63" s="18" t="n">
        <v>1155</v>
      </c>
      <c r="F63" s="18" t="inlineStr">
        <is>
          <t>cod_are_tel</t>
        </is>
      </c>
      <c r="G63" s="18" t="inlineStr">
        <is>
          <t>character varying(6)</t>
        </is>
      </c>
      <c r="H63" s="18" t="inlineStr">
        <is>
          <t>Sí</t>
        </is>
      </c>
      <c r="I63" s="18" t="inlineStr"/>
      <c r="J63" s="18" t="inlineStr"/>
      <c r="K63" s="18" t="inlineStr"/>
      <c r="L63" s="18" t="inlineStr">
        <is>
          <t>No</t>
        </is>
      </c>
      <c r="M63" s="18" t="inlineStr">
        <is>
          <t>No</t>
        </is>
      </c>
      <c r="N63" s="18" t="inlineStr"/>
      <c r="O63" s="18" t="inlineStr"/>
      <c r="P63" s="18" t="inlineStr"/>
      <c r="Q63" s="18" t="inlineStr">
        <is>
          <t>Propuesta semántica</t>
        </is>
      </c>
      <c r="R63" s="18" t="inlineStr">
        <is>
          <t>Código de área telefónica (indicativo) de la división geopolítica.</t>
        </is>
      </c>
      <c r="S63" s="18" t="inlineStr">
        <is>
          <t>Media</t>
        </is>
      </c>
      <c r="T63" s="18" t="inlineStr">
        <is>
          <t>nombre + tipo + columnas vecinas</t>
        </is>
      </c>
      <c r="U63" s="18" t="inlineStr">
        <is>
          <t>¿Es el indicativo telefónico nacional o internacional?</t>
        </is>
      </c>
      <c r="V63" s="19" t="inlineStr">
        <is>
          <t>Pendiente</t>
        </is>
      </c>
      <c r="W63" s="19" t="inlineStr"/>
      <c r="X63" s="19" t="inlineStr"/>
      <c r="Y63" s="20" t="n"/>
      <c r="Z63" s="19" t="inlineStr"/>
      <c r="AA63" s="18">
        <f>IF(OR(V63="Aprobada"),R63,IF(AND(OR(V63="Aprobada con ajuste",V63="Rechazada"),W63&lt;&gt;""),W63,""))</f>
        <v/>
      </c>
    </row>
    <row r="64">
      <c r="A64" s="18" t="inlineStr">
        <is>
          <t>C0063</t>
        </is>
      </c>
      <c r="B64" s="18" t="inlineStr">
        <is>
          <t>Identidad y acceso</t>
        </is>
      </c>
      <c r="C64" s="18" t="inlineStr">
        <is>
          <t>auth</t>
        </is>
      </c>
      <c r="D64" s="18" t="inlineStr">
        <is>
          <t>geopolitica</t>
        </is>
      </c>
      <c r="E64" s="18" t="n">
        <v>1155</v>
      </c>
      <c r="F64" s="18" t="inlineStr">
        <is>
          <t>cod_pais_defecto</t>
        </is>
      </c>
      <c r="G64" s="18" t="inlineStr">
        <is>
          <t>character varying(3)</t>
        </is>
      </c>
      <c r="H64" s="18" t="inlineStr">
        <is>
          <t>Sí</t>
        </is>
      </c>
      <c r="I64" s="18" t="inlineStr"/>
      <c r="J64" s="18" t="inlineStr"/>
      <c r="K64" s="18" t="inlineStr"/>
      <c r="L64" s="18" t="inlineStr">
        <is>
          <t>No</t>
        </is>
      </c>
      <c r="M64" s="18" t="inlineStr">
        <is>
          <t>No</t>
        </is>
      </c>
      <c r="N64" s="18" t="inlineStr"/>
      <c r="O64" s="18" t="inlineStr"/>
      <c r="P64" s="18" t="inlineStr"/>
      <c r="Q64" s="18" t="inlineStr">
        <is>
          <t>Propuesta semántica</t>
        </is>
      </c>
      <c r="R64" s="18" t="inlineStr">
        <is>
          <t>Código del país por defecto asociado a la división geopolítica.</t>
        </is>
      </c>
      <c r="S64" s="18" t="inlineStr">
        <is>
          <t>Baja</t>
        </is>
      </c>
      <c r="T64" s="18" t="inlineStr">
        <is>
          <t>nombre + tipo + columnas vecinas</t>
        </is>
      </c>
      <c r="U64" s="18" t="inlineStr">
        <is>
          <t>¿Para qué se usa cod_pais_defecto?</t>
        </is>
      </c>
      <c r="V64" s="19" t="inlineStr">
        <is>
          <t>Pendiente</t>
        </is>
      </c>
      <c r="W64" s="19" t="inlineStr"/>
      <c r="X64" s="19" t="inlineStr"/>
      <c r="Y64" s="20" t="n"/>
      <c r="Z64" s="19" t="inlineStr"/>
      <c r="AA64" s="18">
        <f>IF(OR(V64="Aprobada"),R64,IF(AND(OR(V64="Aprobada con ajuste",V64="Rechazada"),W64&lt;&gt;""),W64,""))</f>
        <v/>
      </c>
    </row>
    <row r="65">
      <c r="A65" s="18" t="inlineStr">
        <is>
          <t>C0064</t>
        </is>
      </c>
      <c r="B65" s="18" t="inlineStr">
        <is>
          <t>Identidad y acceso</t>
        </is>
      </c>
      <c r="C65" s="18" t="inlineStr">
        <is>
          <t>auth</t>
        </is>
      </c>
      <c r="D65" s="18" t="inlineStr">
        <is>
          <t>geopolitica</t>
        </is>
      </c>
      <c r="E65" s="18" t="n">
        <v>1155</v>
      </c>
      <c r="F65" s="18" t="inlineStr">
        <is>
          <t>ind_oculto</t>
        </is>
      </c>
      <c r="G65" s="18" t="inlineStr">
        <is>
          <t>smallint</t>
        </is>
      </c>
      <c r="H65" s="18" t="inlineStr">
        <is>
          <t>No</t>
        </is>
      </c>
      <c r="I65" s="18" t="inlineStr"/>
      <c r="J65" s="18" t="inlineStr"/>
      <c r="K65" s="18" t="inlineStr"/>
      <c r="L65" s="18" t="inlineStr">
        <is>
          <t>No</t>
        </is>
      </c>
      <c r="M65" s="18" t="inlineStr">
        <is>
          <t>No</t>
        </is>
      </c>
      <c r="N65" s="18" t="inlineStr"/>
      <c r="O65" s="18" t="inlineStr"/>
      <c r="P65" s="18" t="inlineStr">
        <is>
          <t>Mapeada en auth-service/src/users/geopolitica.entity.ts:70 (Geopolitica.indOculto)</t>
        </is>
      </c>
      <c r="Q65" s="18" t="inlineStr">
        <is>
          <t>Propuesta semántica</t>
        </is>
      </c>
      <c r="R65" s="18" t="inlineStr">
        <is>
          <t>Indicador de si la división geopolítica se oculta en las listas de selección.</t>
        </is>
      </c>
      <c r="S65" s="18" t="inlineStr">
        <is>
          <t>Media</t>
        </is>
      </c>
      <c r="T65" s="18" t="inlineStr">
        <is>
          <t>nombre + tipo + columnas vecinas (smallint)</t>
        </is>
      </c>
      <c r="U65" s="18" t="inlineStr">
        <is>
          <t>¿Qué valores toma ind_oculto (0 y 1)?</t>
        </is>
      </c>
      <c r="V65" s="19" t="inlineStr">
        <is>
          <t>Pendiente</t>
        </is>
      </c>
      <c r="W65" s="19" t="inlineStr"/>
      <c r="X65" s="19" t="inlineStr"/>
      <c r="Y65" s="20" t="n"/>
      <c r="Z65" s="19" t="inlineStr"/>
      <c r="AA65" s="18">
        <f>IF(OR(V65="Aprobada"),R65,IF(AND(OR(V65="Aprobada con ajuste",V65="Rechazada"),W65&lt;&gt;""),W65,""))</f>
        <v/>
      </c>
    </row>
    <row r="66">
      <c r="A66" s="18" t="inlineStr">
        <is>
          <t>C0065</t>
        </is>
      </c>
      <c r="B66" s="18" t="inlineStr">
        <is>
          <t>Identidad y acceso</t>
        </is>
      </c>
      <c r="C66" s="18" t="inlineStr">
        <is>
          <t>auth</t>
        </is>
      </c>
      <c r="D66" s="18" t="inlineStr">
        <is>
          <t>migrations_db_log</t>
        </is>
      </c>
      <c r="E66" s="18" t="n">
        <v>1221</v>
      </c>
      <c r="F66" s="18" t="inlineStr">
        <is>
          <t>executed_at</t>
        </is>
      </c>
      <c r="G66" s="18" t="inlineStr">
        <is>
          <t>timestamp without time zone</t>
        </is>
      </c>
      <c r="H66" s="18" t="inlineStr">
        <is>
          <t>Sí</t>
        </is>
      </c>
      <c r="I66" s="18" t="inlineStr"/>
      <c r="J66" s="18" t="inlineStr"/>
      <c r="K66" s="18" t="inlineStr"/>
      <c r="L66" s="18" t="inlineStr">
        <is>
          <t>Sí</t>
        </is>
      </c>
      <c r="M66" s="18" t="inlineStr">
        <is>
          <t>No</t>
        </is>
      </c>
      <c r="N66" s="18" t="inlineStr"/>
      <c r="O66" s="18" t="inlineStr"/>
      <c r="P66" s="18" t="inlineStr"/>
      <c r="Q66" s="18" t="inlineStr">
        <is>
          <t>Propuesta semántica</t>
        </is>
      </c>
      <c r="R66" s="18" t="inlineStr">
        <is>
          <t>Fecha y hora en que se ejecutó el archivo de migración. Por defecto, la fecha y hora del registro.</t>
        </is>
      </c>
      <c r="S66" s="18" t="inlineStr">
        <is>
          <t>Alta</t>
        </is>
      </c>
      <c r="T66" s="18" t="inlineStr">
        <is>
          <t>nombre + tipo + columnas vecinas (filename) + defecto now()</t>
        </is>
      </c>
      <c r="U66" s="18" t="inlineStr"/>
      <c r="V66" s="19" t="inlineStr">
        <is>
          <t>Pendiente</t>
        </is>
      </c>
      <c r="W66" s="19" t="inlineStr"/>
      <c r="X66" s="19" t="inlineStr"/>
      <c r="Y66" s="20" t="n"/>
      <c r="Z66" s="19" t="inlineStr"/>
      <c r="AA66" s="18">
        <f>IF(OR(V66="Aprobada"),R66,IF(AND(OR(V66="Aprobada con ajuste",V66="Rechazada"),W66&lt;&gt;""),W66,""))</f>
        <v/>
      </c>
    </row>
    <row r="67">
      <c r="A67" s="18" t="inlineStr">
        <is>
          <t>C0066</t>
        </is>
      </c>
      <c r="B67" s="18" t="inlineStr">
        <is>
          <t>Identidad y acceso</t>
        </is>
      </c>
      <c r="C67" s="18" t="inlineStr">
        <is>
          <t>auth</t>
        </is>
      </c>
      <c r="D67" s="18" t="inlineStr">
        <is>
          <t>module</t>
        </is>
      </c>
      <c r="E67" s="18" t="n">
        <v>23</v>
      </c>
      <c r="F67" s="18" t="inlineStr">
        <is>
          <t>code</t>
        </is>
      </c>
      <c r="G67" s="18" t="inlineStr">
        <is>
          <t>character varying(50)</t>
        </is>
      </c>
      <c r="H67" s="18" t="inlineStr">
        <is>
          <t>No</t>
        </is>
      </c>
      <c r="I67" s="18" t="inlineStr">
        <is>
          <t>Única</t>
        </is>
      </c>
      <c r="J67" s="18" t="inlineStr"/>
      <c r="K67" s="18" t="inlineStr"/>
      <c r="L67" s="18" t="inlineStr">
        <is>
          <t>No</t>
        </is>
      </c>
      <c r="M67" s="18" t="inlineStr">
        <is>
          <t>Sí</t>
        </is>
      </c>
      <c r="N67" s="18" t="inlineStr">
        <is>
          <t>Vista hiring.roles_del_modulo</t>
        </is>
      </c>
      <c r="O67" s="18" t="inlineStr">
        <is>
          <t>module_code_key</t>
        </is>
      </c>
      <c r="P67" s="18" t="inlineStr">
        <is>
          <t>Mapeada en auth-service/src/users/module.entity.ts:9 (Module.code) | Validación: IsString, Matches(/^\d{6}$/, { message: 'El código debe tener 6 dígitos' })</t>
        </is>
      </c>
      <c r="Q67" s="18" t="inlineStr">
        <is>
          <t>Regla estructural</t>
        </is>
      </c>
      <c r="R67" s="18" t="inlineStr">
        <is>
          <t>Código del registro de module. Único en la tabla.</t>
        </is>
      </c>
      <c r="S67" s="18" t="inlineStr">
        <is>
          <t>Media</t>
        </is>
      </c>
      <c r="T67" s="18" t="inlineStr">
        <is>
          <t>Convención de nombre de la columna.</t>
        </is>
      </c>
      <c r="U67" s="18" t="inlineStr"/>
      <c r="V67" s="19" t="inlineStr">
        <is>
          <t>Pendiente</t>
        </is>
      </c>
      <c r="W67" s="19" t="inlineStr"/>
      <c r="X67" s="19" t="inlineStr"/>
      <c r="Y67" s="20" t="n"/>
      <c r="Z67" s="19" t="inlineStr"/>
      <c r="AA67" s="18">
        <f>IF(OR(V67="Aprobada"),R67,IF(AND(OR(V67="Aprobada con ajuste",V67="Rechazada"),W67&lt;&gt;""),W67,""))</f>
        <v/>
      </c>
    </row>
    <row r="68">
      <c r="A68" s="18" t="inlineStr">
        <is>
          <t>C0067</t>
        </is>
      </c>
      <c r="B68" s="18" t="inlineStr">
        <is>
          <t>Identidad y acceso</t>
        </is>
      </c>
      <c r="C68" s="18" t="inlineStr">
        <is>
          <t>auth</t>
        </is>
      </c>
      <c r="D68" s="18" t="inlineStr">
        <is>
          <t>module</t>
        </is>
      </c>
      <c r="E68" s="18" t="n">
        <v>23</v>
      </c>
      <c r="F68" s="18" t="inlineStr">
        <is>
          <t>name</t>
        </is>
      </c>
      <c r="G68" s="18" t="inlineStr">
        <is>
          <t>character varying(100)</t>
        </is>
      </c>
      <c r="H68" s="18" t="inlineStr">
        <is>
          <t>No</t>
        </is>
      </c>
      <c r="I68" s="18" t="inlineStr"/>
      <c r="J68" s="18" t="inlineStr"/>
      <c r="K68" s="18" t="inlineStr"/>
      <c r="L68" s="18" t="inlineStr">
        <is>
          <t>No</t>
        </is>
      </c>
      <c r="M68" s="18" t="inlineStr">
        <is>
          <t>Sí</t>
        </is>
      </c>
      <c r="N68" s="18" t="inlineStr">
        <is>
          <t>Vista hiring.roles_del_modulo</t>
        </is>
      </c>
      <c r="O68" s="18" t="inlineStr"/>
      <c r="P68" s="18" t="inlineStr">
        <is>
          <t>Mapeada en auth-service/src/users/module.entity.ts:12 (Module.name) | Validación: IsOptional, IsString</t>
        </is>
      </c>
      <c r="Q68" s="18" t="inlineStr">
        <is>
          <t>Regla estructural</t>
        </is>
      </c>
      <c r="R68" s="18" t="inlineStr">
        <is>
          <t>Nombre del registro de module.</t>
        </is>
      </c>
      <c r="S68" s="18" t="inlineStr">
        <is>
          <t>Media</t>
        </is>
      </c>
      <c r="T68" s="18" t="inlineStr">
        <is>
          <t>Convención de nombre de la columna.</t>
        </is>
      </c>
      <c r="U68" s="18" t="inlineStr"/>
      <c r="V68" s="19" t="inlineStr">
        <is>
          <t>Pendiente</t>
        </is>
      </c>
      <c r="W68" s="19" t="inlineStr"/>
      <c r="X68" s="19" t="inlineStr"/>
      <c r="Y68" s="20" t="n"/>
      <c r="Z68" s="19" t="inlineStr"/>
      <c r="AA68" s="18">
        <f>IF(OR(V68="Aprobada"),R68,IF(AND(OR(V68="Aprobada con ajuste",V68="Rechazada"),W68&lt;&gt;""),W68,""))</f>
        <v/>
      </c>
    </row>
    <row r="69">
      <c r="A69" s="18" t="inlineStr">
        <is>
          <t>C0068</t>
        </is>
      </c>
      <c r="B69" s="18" t="inlineStr">
        <is>
          <t>Identidad y acceso</t>
        </is>
      </c>
      <c r="C69" s="18" t="inlineStr">
        <is>
          <t>auth</t>
        </is>
      </c>
      <c r="D69" s="18" t="inlineStr">
        <is>
          <t>module</t>
        </is>
      </c>
      <c r="E69" s="18" t="n">
        <v>23</v>
      </c>
      <c r="F69" s="18" t="inlineStr">
        <is>
          <t>description</t>
        </is>
      </c>
      <c r="G69" s="18" t="inlineStr">
        <is>
          <t>text</t>
        </is>
      </c>
      <c r="H69" s="18" t="inlineStr">
        <is>
          <t>Sí</t>
        </is>
      </c>
      <c r="I69" s="18" t="inlineStr"/>
      <c r="J69" s="18" t="inlineStr"/>
      <c r="K69" s="18" t="inlineStr"/>
      <c r="L69" s="18" t="inlineStr">
        <is>
          <t>No</t>
        </is>
      </c>
      <c r="M69" s="18" t="inlineStr">
        <is>
          <t>No</t>
        </is>
      </c>
      <c r="N69" s="18" t="inlineStr"/>
      <c r="O69" s="18" t="inlineStr"/>
      <c r="P69" s="18" t="inlineStr">
        <is>
          <t>Mapeada en auth-service/src/users/module.entity.ts:15 (Module.description) | Validación: IsOptional, IsString</t>
        </is>
      </c>
      <c r="Q69" s="18" t="inlineStr">
        <is>
          <t>Regla estructural</t>
        </is>
      </c>
      <c r="R69" s="18" t="inlineStr">
        <is>
          <t>Descripción del registro de module.</t>
        </is>
      </c>
      <c r="S69" s="18" t="inlineStr">
        <is>
          <t>Media</t>
        </is>
      </c>
      <c r="T69" s="18" t="inlineStr">
        <is>
          <t>Convención de nombre de la columna.</t>
        </is>
      </c>
      <c r="U69" s="18" t="inlineStr"/>
      <c r="V69" s="19" t="inlineStr">
        <is>
          <t>Pendiente</t>
        </is>
      </c>
      <c r="W69" s="19" t="inlineStr"/>
      <c r="X69" s="19" t="inlineStr"/>
      <c r="Y69" s="20" t="n"/>
      <c r="Z69" s="19" t="inlineStr"/>
      <c r="AA69" s="18">
        <f>IF(OR(V69="Aprobada"),R69,IF(AND(OR(V69="Aprobada con ajuste",V69="Rechazada"),W69&lt;&gt;""),W69,""))</f>
        <v/>
      </c>
    </row>
    <row r="70">
      <c r="A70" s="18" t="inlineStr">
        <is>
          <t>C0069</t>
        </is>
      </c>
      <c r="B70" s="18" t="inlineStr">
        <is>
          <t>Identidad y acceso</t>
        </is>
      </c>
      <c r="C70" s="18" t="inlineStr">
        <is>
          <t>auth</t>
        </is>
      </c>
      <c r="D70" s="18" t="inlineStr">
        <is>
          <t>module</t>
        </is>
      </c>
      <c r="E70" s="18" t="n">
        <v>23</v>
      </c>
      <c r="F70" s="18" t="inlineStr">
        <is>
          <t>icon</t>
        </is>
      </c>
      <c r="G70" s="18" t="inlineStr">
        <is>
          <t>character varying(50)</t>
        </is>
      </c>
      <c r="H70" s="18" t="inlineStr">
        <is>
          <t>Sí</t>
        </is>
      </c>
      <c r="I70" s="18" t="inlineStr"/>
      <c r="J70" s="18" t="inlineStr"/>
      <c r="K70" s="18" t="inlineStr"/>
      <c r="L70" s="18" t="inlineStr">
        <is>
          <t>No</t>
        </is>
      </c>
      <c r="M70" s="18" t="inlineStr">
        <is>
          <t>No</t>
        </is>
      </c>
      <c r="N70" s="18" t="inlineStr"/>
      <c r="O70" s="18" t="inlineStr"/>
      <c r="P70" s="18" t="inlineStr">
        <is>
          <t>Mapeada en auth-service/src/users/module.entity.ts:18 (Module.icon) | Validación: IsOptional, IsString</t>
        </is>
      </c>
      <c r="Q70" s="18" t="inlineStr">
        <is>
          <t>Propuesta semántica</t>
        </is>
      </c>
      <c r="R70" s="18" t="inlineStr">
        <is>
          <t>Nombre del ícono con que se muestra el módulo en la interfaz. Por defecto, Shield.</t>
        </is>
      </c>
      <c r="S70" s="18" t="inlineStr">
        <is>
          <t>Alta</t>
        </is>
      </c>
      <c r="T70" s="18" t="inlineStr">
        <is>
          <t>nombre + tipo + columnas vecinas + defecto</t>
        </is>
      </c>
      <c r="U70" s="18" t="inlineStr"/>
      <c r="V70" s="19" t="inlineStr">
        <is>
          <t>Pendiente</t>
        </is>
      </c>
      <c r="W70" s="19" t="inlineStr"/>
      <c r="X70" s="19" t="inlineStr"/>
      <c r="Y70" s="20" t="n"/>
      <c r="Z70" s="19" t="inlineStr"/>
      <c r="AA70" s="18">
        <f>IF(OR(V70="Aprobada"),R70,IF(AND(OR(V70="Aprobada con ajuste",V70="Rechazada"),W70&lt;&gt;""),W70,""))</f>
        <v/>
      </c>
    </row>
    <row r="71">
      <c r="A71" s="18" t="inlineStr">
        <is>
          <t>C0070</t>
        </is>
      </c>
      <c r="B71" s="18" t="inlineStr">
        <is>
          <t>Identidad y acceso</t>
        </is>
      </c>
      <c r="C71" s="18" t="inlineStr">
        <is>
          <t>auth</t>
        </is>
      </c>
      <c r="D71" s="18" t="inlineStr">
        <is>
          <t>module</t>
        </is>
      </c>
      <c r="E71" s="18" t="n">
        <v>23</v>
      </c>
      <c r="F71" s="18" t="inlineStr">
        <is>
          <t>color</t>
        </is>
      </c>
      <c r="G71" s="18" t="inlineStr">
        <is>
          <t>character varying(20)</t>
        </is>
      </c>
      <c r="H71" s="18" t="inlineStr">
        <is>
          <t>Sí</t>
        </is>
      </c>
      <c r="I71" s="18" t="inlineStr"/>
      <c r="J71" s="18" t="inlineStr"/>
      <c r="K71" s="18" t="inlineStr"/>
      <c r="L71" s="18" t="inlineStr">
        <is>
          <t>No</t>
        </is>
      </c>
      <c r="M71" s="18" t="inlineStr">
        <is>
          <t>No</t>
        </is>
      </c>
      <c r="N71" s="18" t="inlineStr"/>
      <c r="O71" s="18" t="inlineStr"/>
      <c r="P71" s="18" t="inlineStr">
        <is>
          <t>Mapeada en auth-service/src/users/module.entity.ts:21 (Module.color) | Validación: IsOptional, IsString</t>
        </is>
      </c>
      <c r="Q71" s="18" t="inlineStr">
        <is>
          <t>Propuesta semántica</t>
        </is>
      </c>
      <c r="R71" s="18" t="inlineStr">
        <is>
          <t>Color del módulo en la interfaz, en formato hexadecimal. Por defecto, #003DA5.</t>
        </is>
      </c>
      <c r="S71" s="18" t="inlineStr">
        <is>
          <t>Alta</t>
        </is>
      </c>
      <c r="T71" s="18" t="inlineStr">
        <is>
          <t>nombre + tipo + columnas vecinas + defecto</t>
        </is>
      </c>
      <c r="U71" s="18" t="inlineStr"/>
      <c r="V71" s="19" t="inlineStr">
        <is>
          <t>Pendiente</t>
        </is>
      </c>
      <c r="W71" s="19" t="inlineStr"/>
      <c r="X71" s="19" t="inlineStr"/>
      <c r="Y71" s="20" t="n"/>
      <c r="Z71" s="19" t="inlineStr"/>
      <c r="AA71" s="18">
        <f>IF(OR(V71="Aprobada"),R71,IF(AND(OR(V71="Aprobada con ajuste",V71="Rechazada"),W71&lt;&gt;""),W71,""))</f>
        <v/>
      </c>
    </row>
    <row r="72">
      <c r="A72" s="18" t="inlineStr">
        <is>
          <t>C0071</t>
        </is>
      </c>
      <c r="B72" s="18" t="inlineStr">
        <is>
          <t>Identidad y acceso</t>
        </is>
      </c>
      <c r="C72" s="18" t="inlineStr">
        <is>
          <t>auth</t>
        </is>
      </c>
      <c r="D72" s="18" t="inlineStr">
        <is>
          <t>module</t>
        </is>
      </c>
      <c r="E72" s="18" t="n">
        <v>23</v>
      </c>
      <c r="F72" s="18" t="inlineStr">
        <is>
          <t>display_order</t>
        </is>
      </c>
      <c r="G72" s="18" t="inlineStr">
        <is>
          <t>integer</t>
        </is>
      </c>
      <c r="H72" s="18" t="inlineStr">
        <is>
          <t>Sí</t>
        </is>
      </c>
      <c r="I72" s="18" t="inlineStr"/>
      <c r="J72" s="18" t="inlineStr"/>
      <c r="K72" s="18" t="inlineStr"/>
      <c r="L72" s="18" t="inlineStr">
        <is>
          <t>No</t>
        </is>
      </c>
      <c r="M72" s="18" t="inlineStr">
        <is>
          <t>No</t>
        </is>
      </c>
      <c r="N72" s="18" t="inlineStr"/>
      <c r="O72" s="18" t="inlineStr"/>
      <c r="P72" s="18" t="inlineStr">
        <is>
          <t>Mapeada en auth-service/src/users/module.entity.ts:24 (Module.display_order) | Validación: IsNumber, IsOptional</t>
        </is>
      </c>
      <c r="Q72" s="18" t="inlineStr">
        <is>
          <t>Propuesta semántica</t>
        </is>
      </c>
      <c r="R72" s="18" t="inlineStr">
        <is>
          <t>Posición del módulo en las listas de presentación. Por defecto, 0.</t>
        </is>
      </c>
      <c r="S72" s="18" t="inlineStr">
        <is>
          <t>Alta</t>
        </is>
      </c>
      <c r="T72" s="18" t="inlineStr">
        <is>
          <t>nombre + tipo + columnas vecinas + defecto</t>
        </is>
      </c>
      <c r="U72" s="18" t="inlineStr"/>
      <c r="V72" s="19" t="inlineStr">
        <is>
          <t>Pendiente</t>
        </is>
      </c>
      <c r="W72" s="19" t="inlineStr"/>
      <c r="X72" s="19" t="inlineStr"/>
      <c r="Y72" s="20" t="n"/>
      <c r="Z72" s="19" t="inlineStr"/>
      <c r="AA72" s="18">
        <f>IF(OR(V72="Aprobada"),R72,IF(AND(OR(V72="Aprobada con ajuste",V72="Rechazada"),W72&lt;&gt;""),W72,""))</f>
        <v/>
      </c>
    </row>
    <row r="73">
      <c r="A73" s="18" t="inlineStr">
        <is>
          <t>C0072</t>
        </is>
      </c>
      <c r="B73" s="18" t="inlineStr">
        <is>
          <t>Identidad y acceso</t>
        </is>
      </c>
      <c r="C73" s="18" t="inlineStr">
        <is>
          <t>auth</t>
        </is>
      </c>
      <c r="D73" s="18" t="inlineStr">
        <is>
          <t>module</t>
        </is>
      </c>
      <c r="E73" s="18" t="n">
        <v>23</v>
      </c>
      <c r="F73" s="18" t="inlineStr">
        <is>
          <t>category</t>
        </is>
      </c>
      <c r="G73" s="18" t="inlineStr">
        <is>
          <t>character varying(30)</t>
        </is>
      </c>
      <c r="H73" s="18" t="inlineStr">
        <is>
          <t>No</t>
        </is>
      </c>
      <c r="I73" s="18" t="inlineStr"/>
      <c r="J73" s="18" t="inlineStr"/>
      <c r="K73" s="18" t="inlineStr"/>
      <c r="L73" s="18" t="inlineStr">
        <is>
          <t>No</t>
        </is>
      </c>
      <c r="M73" s="18" t="inlineStr">
        <is>
          <t>No</t>
        </is>
      </c>
      <c r="N73" s="18" t="inlineStr"/>
      <c r="O73" s="18" t="inlineStr"/>
      <c r="P73" s="18" t="inlineStr">
        <is>
          <t>db/init/old/001_schema_auth.sql:475: backoffice | portal | Validación: IsIn(['backoffice', 'portal']), IsOptional</t>
        </is>
      </c>
      <c r="Q73" s="18" t="inlineStr">
        <is>
          <t>Código fuente</t>
        </is>
      </c>
      <c r="R73" s="18" t="inlineStr">
        <is>
          <t>Categoría del módulo según la aplicación donde se presenta. Valores previstos: backoffice, portal; por defecto backoffice.</t>
        </is>
      </c>
      <c r="S73" s="18" t="inlineStr">
        <is>
          <t>Alta</t>
        </is>
      </c>
      <c r="T73" s="18" t="inlineStr">
        <is>
          <t>código: db/init/old/001_schema_auth.sql:475</t>
        </is>
      </c>
      <c r="U73" s="18" t="inlineStr"/>
      <c r="V73" s="19" t="inlineStr">
        <is>
          <t>Pendiente</t>
        </is>
      </c>
      <c r="W73" s="19" t="inlineStr"/>
      <c r="X73" s="19" t="inlineStr"/>
      <c r="Y73" s="20" t="n"/>
      <c r="Z73" s="19" t="inlineStr"/>
      <c r="AA73" s="18">
        <f>IF(OR(V73="Aprobada"),R73,IF(AND(OR(V73="Aprobada con ajuste",V73="Rechazada"),W73&lt;&gt;""),W73,""))</f>
        <v/>
      </c>
    </row>
    <row r="74">
      <c r="A74" s="18" t="inlineStr">
        <is>
          <t>C0073</t>
        </is>
      </c>
      <c r="B74" s="18" t="inlineStr">
        <is>
          <t>Identidad y acceso</t>
        </is>
      </c>
      <c r="C74" s="18" t="inlineStr">
        <is>
          <t>auth</t>
        </is>
      </c>
      <c r="D74" s="18" t="inlineStr">
        <is>
          <t>module</t>
        </is>
      </c>
      <c r="E74" s="18" t="n">
        <v>23</v>
      </c>
      <c r="F74" s="18" t="inlineStr">
        <is>
          <t>is_active</t>
        </is>
      </c>
      <c r="G74" s="18" t="inlineStr">
        <is>
          <t>boolean</t>
        </is>
      </c>
      <c r="H74" s="18" t="inlineStr">
        <is>
          <t>Sí</t>
        </is>
      </c>
      <c r="I74" s="18" t="inlineStr"/>
      <c r="J74" s="18" t="inlineStr"/>
      <c r="K74" s="18" t="inlineStr"/>
      <c r="L74" s="18" t="inlineStr">
        <is>
          <t>No</t>
        </is>
      </c>
      <c r="M74" s="18" t="inlineStr">
        <is>
          <t>Sí</t>
        </is>
      </c>
      <c r="N74" s="18" t="inlineStr">
        <is>
          <t>Vista hiring.roles_del_modulo</t>
        </is>
      </c>
      <c r="O74" s="18" t="inlineStr"/>
      <c r="P74" s="18" t="inlineStr">
        <is>
          <t>Mapeada en auth-service/src/users/module.entity.ts:30 (Module.is_active) | Validación: IsBoolean, IsOptional</t>
        </is>
      </c>
      <c r="Q74" s="18" t="inlineStr">
        <is>
          <t>Regla estructural</t>
        </is>
      </c>
      <c r="R74" s="18" t="inlineStr">
        <is>
          <t>Indica si el registro está activo.</t>
        </is>
      </c>
      <c r="S74" s="18" t="inlineStr">
        <is>
          <t>Media</t>
        </is>
      </c>
      <c r="T74" s="18" t="inlineStr">
        <is>
          <t>Convención de nombre de la columna.</t>
        </is>
      </c>
      <c r="U74" s="18" t="inlineStr"/>
      <c r="V74" s="19" t="inlineStr">
        <is>
          <t>Pendiente</t>
        </is>
      </c>
      <c r="W74" s="19" t="inlineStr"/>
      <c r="X74" s="19" t="inlineStr"/>
      <c r="Y74" s="20" t="n"/>
      <c r="Z74" s="19" t="inlineStr"/>
      <c r="AA74" s="18">
        <f>IF(OR(V74="Aprobada"),R74,IF(AND(OR(V74="Aprobada con ajuste",V74="Rechazada"),W74&lt;&gt;""),W74,""))</f>
        <v/>
      </c>
    </row>
    <row r="75">
      <c r="A75" s="18" t="inlineStr">
        <is>
          <t>C0074</t>
        </is>
      </c>
      <c r="B75" s="18" t="inlineStr">
        <is>
          <t>Identidad y acceso</t>
        </is>
      </c>
      <c r="C75" s="18" t="inlineStr">
        <is>
          <t>auth</t>
        </is>
      </c>
      <c r="D75" s="18" t="inlineStr">
        <is>
          <t>permission</t>
        </is>
      </c>
      <c r="E75" s="18" t="n">
        <v>704</v>
      </c>
      <c r="F75" s="18" t="inlineStr">
        <is>
          <t>code</t>
        </is>
      </c>
      <c r="G75" s="18" t="inlineStr">
        <is>
          <t>character varying(100)</t>
        </is>
      </c>
      <c r="H75" s="18" t="inlineStr">
        <is>
          <t>No</t>
        </is>
      </c>
      <c r="I75" s="18" t="inlineStr">
        <is>
          <t>Única</t>
        </is>
      </c>
      <c r="J75" s="18" t="inlineStr"/>
      <c r="K75" s="18" t="inlineStr"/>
      <c r="L75" s="18" t="inlineStr">
        <is>
          <t>No</t>
        </is>
      </c>
      <c r="M75" s="18" t="inlineStr">
        <is>
          <t>Sí</t>
        </is>
      </c>
      <c r="N75" s="18" t="inlineStr">
        <is>
          <t>Vista hiring.roles_del_modulo</t>
        </is>
      </c>
      <c r="O75" s="18" t="inlineStr">
        <is>
          <t>permission_code_key</t>
        </is>
      </c>
      <c r="P75" s="18" t="inlineStr">
        <is>
          <t>Mapeada en auth-service/src/users/permission.entity.ts:10 (Permission.code) | Validación: IsString, Matches(/^\d{6}$/, { message: 'El código debe tener 6 dígitos' })</t>
        </is>
      </c>
      <c r="Q75" s="18" t="inlineStr">
        <is>
          <t>Regla estructural</t>
        </is>
      </c>
      <c r="R75" s="18" t="inlineStr">
        <is>
          <t>Código del registro de permission. Único en la tabla.</t>
        </is>
      </c>
      <c r="S75" s="18" t="inlineStr">
        <is>
          <t>Media</t>
        </is>
      </c>
      <c r="T75" s="18" t="inlineStr">
        <is>
          <t>Convención de nombre de la columna.</t>
        </is>
      </c>
      <c r="U75" s="18" t="inlineStr"/>
      <c r="V75" s="19" t="inlineStr">
        <is>
          <t>Pendiente</t>
        </is>
      </c>
      <c r="W75" s="19" t="inlineStr"/>
      <c r="X75" s="19" t="inlineStr"/>
      <c r="Y75" s="20" t="n"/>
      <c r="Z75" s="19" t="inlineStr"/>
      <c r="AA75" s="18">
        <f>IF(OR(V75="Aprobada"),R75,IF(AND(OR(V75="Aprobada con ajuste",V75="Rechazada"),W75&lt;&gt;""),W75,""))</f>
        <v/>
      </c>
    </row>
    <row r="76">
      <c r="A76" s="18" t="inlineStr">
        <is>
          <t>C0075</t>
        </is>
      </c>
      <c r="B76" s="18" t="inlineStr">
        <is>
          <t>Identidad y acceso</t>
        </is>
      </c>
      <c r="C76" s="18" t="inlineStr">
        <is>
          <t>auth</t>
        </is>
      </c>
      <c r="D76" s="18" t="inlineStr">
        <is>
          <t>permission</t>
        </is>
      </c>
      <c r="E76" s="18" t="n">
        <v>704</v>
      </c>
      <c r="F76" s="18" t="inlineStr">
        <is>
          <t>name</t>
        </is>
      </c>
      <c r="G76" s="18" t="inlineStr">
        <is>
          <t>character varying(150)</t>
        </is>
      </c>
      <c r="H76" s="18" t="inlineStr">
        <is>
          <t>No</t>
        </is>
      </c>
      <c r="I76" s="18" t="inlineStr"/>
      <c r="J76" s="18" t="inlineStr"/>
      <c r="K76" s="18" t="inlineStr"/>
      <c r="L76" s="18" t="inlineStr">
        <is>
          <t>No</t>
        </is>
      </c>
      <c r="M76" s="18" t="inlineStr">
        <is>
          <t>Sí</t>
        </is>
      </c>
      <c r="N76" s="18" t="inlineStr">
        <is>
          <t>Vista hiring.roles_del_modulo</t>
        </is>
      </c>
      <c r="O76" s="18" t="inlineStr"/>
      <c r="P76" s="18" t="inlineStr">
        <is>
          <t>Mapeada en auth-service/src/users/permission.entity.ts:13 (Permission.name) | Validación: IsOptional, IsString</t>
        </is>
      </c>
      <c r="Q76" s="18" t="inlineStr">
        <is>
          <t>Regla estructural</t>
        </is>
      </c>
      <c r="R76" s="18" t="inlineStr">
        <is>
          <t>Nombre del registro de permission.</t>
        </is>
      </c>
      <c r="S76" s="18" t="inlineStr">
        <is>
          <t>Media</t>
        </is>
      </c>
      <c r="T76" s="18" t="inlineStr">
        <is>
          <t>Convención de nombre de la columna.</t>
        </is>
      </c>
      <c r="U76" s="18" t="inlineStr"/>
      <c r="V76" s="19" t="inlineStr">
        <is>
          <t>Pendiente</t>
        </is>
      </c>
      <c r="W76" s="19" t="inlineStr"/>
      <c r="X76" s="19" t="inlineStr"/>
      <c r="Y76" s="20" t="n"/>
      <c r="Z76" s="19" t="inlineStr"/>
      <c r="AA76" s="18">
        <f>IF(OR(V76="Aprobada"),R76,IF(AND(OR(V76="Aprobada con ajuste",V76="Rechazada"),W76&lt;&gt;""),W76,""))</f>
        <v/>
      </c>
    </row>
    <row r="77">
      <c r="A77" s="18" t="inlineStr">
        <is>
          <t>C0076</t>
        </is>
      </c>
      <c r="B77" s="18" t="inlineStr">
        <is>
          <t>Identidad y acceso</t>
        </is>
      </c>
      <c r="C77" s="18" t="inlineStr">
        <is>
          <t>auth</t>
        </is>
      </c>
      <c r="D77" s="18" t="inlineStr">
        <is>
          <t>permission</t>
        </is>
      </c>
      <c r="E77" s="18" t="n">
        <v>704</v>
      </c>
      <c r="F77" s="18" t="inlineStr">
        <is>
          <t>description</t>
        </is>
      </c>
      <c r="G77" s="18" t="inlineStr">
        <is>
          <t>text</t>
        </is>
      </c>
      <c r="H77" s="18" t="inlineStr">
        <is>
          <t>Sí</t>
        </is>
      </c>
      <c r="I77" s="18" t="inlineStr"/>
      <c r="J77" s="18" t="inlineStr"/>
      <c r="K77" s="18" t="inlineStr"/>
      <c r="L77" s="18" t="inlineStr">
        <is>
          <t>No</t>
        </is>
      </c>
      <c r="M77" s="18" t="inlineStr">
        <is>
          <t>No</t>
        </is>
      </c>
      <c r="N77" s="18" t="inlineStr"/>
      <c r="O77" s="18" t="inlineStr"/>
      <c r="P77" s="18" t="inlineStr">
        <is>
          <t>Mapeada en auth-service/src/users/permission.entity.ts:16 (Permission.description) | Validación: IsOptional, IsString</t>
        </is>
      </c>
      <c r="Q77" s="18" t="inlineStr">
        <is>
          <t>Regla estructural</t>
        </is>
      </c>
      <c r="R77" s="18" t="inlineStr">
        <is>
          <t>Descripción del registro de permission.</t>
        </is>
      </c>
      <c r="S77" s="18" t="inlineStr">
        <is>
          <t>Media</t>
        </is>
      </c>
      <c r="T77" s="18" t="inlineStr">
        <is>
          <t>Convención de nombre de la columna.</t>
        </is>
      </c>
      <c r="U77" s="18" t="inlineStr"/>
      <c r="V77" s="19" t="inlineStr">
        <is>
          <t>Pendiente</t>
        </is>
      </c>
      <c r="W77" s="19" t="inlineStr"/>
      <c r="X77" s="19" t="inlineStr"/>
      <c r="Y77" s="20" t="n"/>
      <c r="Z77" s="19" t="inlineStr"/>
      <c r="AA77" s="18">
        <f>IF(OR(V77="Aprobada"),R77,IF(AND(OR(V77="Aprobada con ajuste",V77="Rechazada"),W77&lt;&gt;""),W77,""))</f>
        <v/>
      </c>
    </row>
    <row r="78">
      <c r="A78" s="18" t="inlineStr">
        <is>
          <t>C0077</t>
        </is>
      </c>
      <c r="B78" s="18" t="inlineStr">
        <is>
          <t>Identidad y acceso</t>
        </is>
      </c>
      <c r="C78" s="18" t="inlineStr">
        <is>
          <t>auth</t>
        </is>
      </c>
      <c r="D78" s="18" t="inlineStr">
        <is>
          <t>permission</t>
        </is>
      </c>
      <c r="E78" s="18" t="n">
        <v>704</v>
      </c>
      <c r="F78" s="18" t="inlineStr">
        <is>
          <t>is_active</t>
        </is>
      </c>
      <c r="G78" s="18" t="inlineStr">
        <is>
          <t>boolean</t>
        </is>
      </c>
      <c r="H78" s="18" t="inlineStr">
        <is>
          <t>Sí</t>
        </is>
      </c>
      <c r="I78" s="18" t="inlineStr"/>
      <c r="J78" s="18" t="inlineStr"/>
      <c r="K78" s="18" t="inlineStr"/>
      <c r="L78" s="18" t="inlineStr">
        <is>
          <t>No</t>
        </is>
      </c>
      <c r="M78" s="18" t="inlineStr">
        <is>
          <t>Sí</t>
        </is>
      </c>
      <c r="N78" s="18" t="inlineStr">
        <is>
          <t>Vista hiring.roles_del_modulo</t>
        </is>
      </c>
      <c r="O78" s="18" t="inlineStr"/>
      <c r="P78" s="18" t="inlineStr">
        <is>
          <t>Mapeada en auth-service/src/users/permission.entity.ts:22 (Permission.is_active) | Validación: IsBoolean, IsOptional</t>
        </is>
      </c>
      <c r="Q78" s="18" t="inlineStr">
        <is>
          <t>Regla estructural</t>
        </is>
      </c>
      <c r="R78" s="18" t="inlineStr">
        <is>
          <t>Indica si el registro está activo.</t>
        </is>
      </c>
      <c r="S78" s="18" t="inlineStr">
        <is>
          <t>Media</t>
        </is>
      </c>
      <c r="T78" s="18" t="inlineStr">
        <is>
          <t>Convención de nombre de la columna.</t>
        </is>
      </c>
      <c r="U78" s="18" t="inlineStr"/>
      <c r="V78" s="19" t="inlineStr">
        <is>
          <t>Pendiente</t>
        </is>
      </c>
      <c r="W78" s="19" t="inlineStr"/>
      <c r="X78" s="19" t="inlineStr"/>
      <c r="Y78" s="20" t="n"/>
      <c r="Z78" s="19" t="inlineStr"/>
      <c r="AA78" s="18">
        <f>IF(OR(V78="Aprobada"),R78,IF(AND(OR(V78="Aprobada con ajuste",V78="Rechazada"),W78&lt;&gt;""),W78,""))</f>
        <v/>
      </c>
    </row>
    <row r="79">
      <c r="A79" s="18" t="inlineStr">
        <is>
          <t>C0078</t>
        </is>
      </c>
      <c r="B79" s="18" t="inlineStr">
        <is>
          <t>Identidad y acceso</t>
        </is>
      </c>
      <c r="C79" s="18" t="inlineStr">
        <is>
          <t>auth</t>
        </is>
      </c>
      <c r="D79" s="18" t="inlineStr">
        <is>
          <t>personas</t>
        </is>
      </c>
      <c r="E79" s="18" t="n">
        <v>409</v>
      </c>
      <c r="F79" s="18" t="inlineStr">
        <is>
          <t>num_identificacion</t>
        </is>
      </c>
      <c r="G79" s="18" t="inlineStr">
        <is>
          <t>character varying(30)</t>
        </is>
      </c>
      <c r="H79" s="18" t="inlineStr">
        <is>
          <t>No</t>
        </is>
      </c>
      <c r="I79" s="18" t="inlineStr"/>
      <c r="J79" s="18" t="inlineStr"/>
      <c r="K79" s="18" t="inlineStr"/>
      <c r="L79" s="18" t="inlineStr">
        <is>
          <t>No</t>
        </is>
      </c>
      <c r="M79" s="18" t="inlineStr">
        <is>
          <t>Sí</t>
        </is>
      </c>
      <c r="N79" s="18" t="inlineStr">
        <is>
          <t>Trigger trg_auth_personas_rund_document_immutable; Vista control_interno.v_auditor_disponibilidad</t>
        </is>
      </c>
      <c r="O79" s="18" t="inlineStr"/>
      <c r="P79" s="18" t="inlineStr">
        <is>
          <t>Mapeada en auth-service/src/users/person.entity.ts:17 (Person.identification_number) | Validación: IsString</t>
        </is>
      </c>
      <c r="Q79" s="18" t="inlineStr">
        <is>
          <t>Regla estructural</t>
        </is>
      </c>
      <c r="R79" s="18" t="inlineStr">
        <is>
          <t>Número de identificación.</t>
        </is>
      </c>
      <c r="S79" s="18" t="inlineStr">
        <is>
          <t>Media</t>
        </is>
      </c>
      <c r="T79" s="18" t="inlineStr">
        <is>
          <t>Convención de nombre de la columna.</t>
        </is>
      </c>
      <c r="U79" s="18" t="inlineStr"/>
      <c r="V79" s="19" t="inlineStr">
        <is>
          <t>Pendiente</t>
        </is>
      </c>
      <c r="W79" s="19" t="inlineStr"/>
      <c r="X79" s="19" t="inlineStr"/>
      <c r="Y79" s="20" t="n"/>
      <c r="Z79" s="19" t="inlineStr"/>
      <c r="AA79" s="18">
        <f>IF(OR(V79="Aprobada"),R79,IF(AND(OR(V79="Aprobada con ajuste",V79="Rechazada"),W79&lt;&gt;""),W79,""))</f>
        <v/>
      </c>
    </row>
    <row r="80">
      <c r="A80" s="18" t="inlineStr">
        <is>
          <t>C0079</t>
        </is>
      </c>
      <c r="B80" s="18" t="inlineStr">
        <is>
          <t>Identidad y acceso</t>
        </is>
      </c>
      <c r="C80" s="18" t="inlineStr">
        <is>
          <t>auth</t>
        </is>
      </c>
      <c r="D80" s="18" t="inlineStr">
        <is>
          <t>personas</t>
        </is>
      </c>
      <c r="E80" s="18" t="n">
        <v>409</v>
      </c>
      <c r="F80" s="18" t="inlineStr">
        <is>
          <t>tip_identificacion</t>
        </is>
      </c>
      <c r="G80" s="18" t="inlineStr">
        <is>
          <t>character varying(6)</t>
        </is>
      </c>
      <c r="H80" s="18" t="inlineStr">
        <is>
          <t>No</t>
        </is>
      </c>
      <c r="I80" s="18" t="inlineStr"/>
      <c r="J80" s="18" t="inlineStr"/>
      <c r="K80" s="18" t="inlineStr"/>
      <c r="L80" s="18" t="inlineStr">
        <is>
          <t>No</t>
        </is>
      </c>
      <c r="M80" s="18" t="inlineStr">
        <is>
          <t>Sí</t>
        </is>
      </c>
      <c r="N80" s="18" t="inlineStr">
        <is>
          <t>Vista control_interno.v_auditor_disponibilidad</t>
        </is>
      </c>
      <c r="O80" s="18" t="inlineStr"/>
      <c r="P80" s="18" t="inlineStr">
        <is>
          <t>Mapeada en auth-service/src/users/person.entity.ts:20 (Person.identification_type) | Validación: IsString</t>
        </is>
      </c>
      <c r="Q80" s="18" t="inlineStr">
        <is>
          <t>Propuesta semántica</t>
        </is>
      </c>
      <c r="R80" s="18" t="inlineStr">
        <is>
          <t>Código del tipo de documento de identidad de la persona.</t>
        </is>
      </c>
      <c r="S80" s="18" t="inlineStr">
        <is>
          <t>Media</t>
        </is>
      </c>
      <c r="T80" s="18" t="inlineStr">
        <is>
          <t>nombre + tipo + columnas vecinas (num_identificacion)</t>
        </is>
      </c>
      <c r="U80" s="18" t="inlineStr">
        <is>
          <t>¿Qué valores toma tip_identificacion (CC, CE, TI, PA…)?</t>
        </is>
      </c>
      <c r="V80" s="19" t="inlineStr">
        <is>
          <t>Pendiente</t>
        </is>
      </c>
      <c r="W80" s="19" t="inlineStr"/>
      <c r="X80" s="19" t="inlineStr"/>
      <c r="Y80" s="20" t="n"/>
      <c r="Z80" s="19" t="inlineStr"/>
      <c r="AA80" s="18">
        <f>IF(OR(V80="Aprobada"),R80,IF(AND(OR(V80="Aprobada con ajuste",V80="Rechazada"),W80&lt;&gt;""),W80,""))</f>
        <v/>
      </c>
    </row>
    <row r="81">
      <c r="A81" s="18" t="inlineStr">
        <is>
          <t>C0080</t>
        </is>
      </c>
      <c r="B81" s="18" t="inlineStr">
        <is>
          <t>Identidad y acceso</t>
        </is>
      </c>
      <c r="C81" s="18" t="inlineStr">
        <is>
          <t>auth</t>
        </is>
      </c>
      <c r="D81" s="18" t="inlineStr">
        <is>
          <t>personas</t>
        </is>
      </c>
      <c r="E81" s="18" t="n">
        <v>409</v>
      </c>
      <c r="F81" s="18" t="inlineStr">
        <is>
          <t>nom_largo</t>
        </is>
      </c>
      <c r="G81" s="18" t="inlineStr">
        <is>
          <t>character varying(1000)</t>
        </is>
      </c>
      <c r="H81" s="18" t="inlineStr">
        <is>
          <t>No</t>
        </is>
      </c>
      <c r="I81" s="18" t="inlineStr"/>
      <c r="J81" s="18" t="inlineStr"/>
      <c r="K81" s="18" t="inlineStr"/>
      <c r="L81" s="18" t="inlineStr">
        <is>
          <t>No</t>
        </is>
      </c>
      <c r="M81" s="18" t="inlineStr">
        <is>
          <t>Sí</t>
        </is>
      </c>
      <c r="N81" s="18" t="inlineStr">
        <is>
          <t>Vista control_interno.v_auditor_disponibilidad; Vista control_interno.v_auditorias_kanban_completo</t>
        </is>
      </c>
      <c r="O81" s="18" t="inlineStr"/>
      <c r="P81" s="18" t="inlineStr">
        <is>
          <t>Mapeada en auth-service/src/users/person.entity.ts:23 (Person.full_name)</t>
        </is>
      </c>
      <c r="Q81" s="18" t="inlineStr">
        <is>
          <t>Propuesta semántica</t>
        </is>
      </c>
      <c r="R81" s="18" t="inlineStr">
        <is>
          <t>Nombre completo de la persona (nombres y apellidos).</t>
        </is>
      </c>
      <c r="S81" s="18" t="inlineStr">
        <is>
          <t>Media</t>
        </is>
      </c>
      <c r="T81" s="18" t="inlineStr">
        <is>
          <t>nombre + tipo + columnas vecinas (nom_tercero, pri_apellido, seg_apellido)</t>
        </is>
      </c>
      <c r="U81" s="18" t="inlineStr">
        <is>
          <t>¿nom_largo se forma concatenando nombres y apellidos?</t>
        </is>
      </c>
      <c r="V81" s="19" t="inlineStr">
        <is>
          <t>Pendiente</t>
        </is>
      </c>
      <c r="W81" s="19" t="inlineStr"/>
      <c r="X81" s="19" t="inlineStr"/>
      <c r="Y81" s="20" t="n"/>
      <c r="Z81" s="19" t="inlineStr"/>
      <c r="AA81" s="18">
        <f>IF(OR(V81="Aprobada"),R81,IF(AND(OR(V81="Aprobada con ajuste",V81="Rechazada"),W81&lt;&gt;""),W81,""))</f>
        <v/>
      </c>
    </row>
    <row r="82">
      <c r="A82" s="18" t="inlineStr">
        <is>
          <t>C0081</t>
        </is>
      </c>
      <c r="B82" s="18" t="inlineStr">
        <is>
          <t>Identidad y acceso</t>
        </is>
      </c>
      <c r="C82" s="18" t="inlineStr">
        <is>
          <t>auth</t>
        </is>
      </c>
      <c r="D82" s="18" t="inlineStr">
        <is>
          <t>personas</t>
        </is>
      </c>
      <c r="E82" s="18" t="n">
        <v>409</v>
      </c>
      <c r="F82" s="18" t="inlineStr">
        <is>
          <t>nom_tercero</t>
        </is>
      </c>
      <c r="G82" s="18" t="inlineStr">
        <is>
          <t>character varying(250)</t>
        </is>
      </c>
      <c r="H82" s="18" t="inlineStr">
        <is>
          <t>No</t>
        </is>
      </c>
      <c r="I82" s="18" t="inlineStr"/>
      <c r="J82" s="18" t="inlineStr"/>
      <c r="K82" s="18" t="inlineStr"/>
      <c r="L82" s="18" t="inlineStr">
        <is>
          <t>No</t>
        </is>
      </c>
      <c r="M82" s="18" t="inlineStr">
        <is>
          <t>No</t>
        </is>
      </c>
      <c r="N82" s="18" t="inlineStr"/>
      <c r="O82" s="18" t="inlineStr"/>
      <c r="P82" s="18" t="inlineStr">
        <is>
          <t>Mapeada en auth-service/src/users/person.entity.ts:26 (Person.first_name) | Validación: IsString</t>
        </is>
      </c>
      <c r="Q82" s="18" t="inlineStr">
        <is>
          <t>Propuesta semántica</t>
        </is>
      </c>
      <c r="R82" s="18" t="inlineStr">
        <is>
          <t>Nombres de la persona.</t>
        </is>
      </c>
      <c r="S82" s="18" t="inlineStr">
        <is>
          <t>Media</t>
        </is>
      </c>
      <c r="T82" s="18" t="inlineStr">
        <is>
          <t>nombre + tipo + columnas vecinas (pri_apellido, seg_apellido)</t>
        </is>
      </c>
      <c r="U82" s="18" t="inlineStr">
        <is>
          <t>¿nom_tercero guarda solo los nombres o el nombre completo?</t>
        </is>
      </c>
      <c r="V82" s="19" t="inlineStr">
        <is>
          <t>Pendiente</t>
        </is>
      </c>
      <c r="W82" s="19" t="inlineStr"/>
      <c r="X82" s="19" t="inlineStr"/>
      <c r="Y82" s="20" t="n"/>
      <c r="Z82" s="19" t="inlineStr"/>
      <c r="AA82" s="18">
        <f>IF(OR(V82="Aprobada"),R82,IF(AND(OR(V82="Aprobada con ajuste",V82="Rechazada"),W82&lt;&gt;""),W82,""))</f>
        <v/>
      </c>
    </row>
    <row r="83">
      <c r="A83" s="18" t="inlineStr">
        <is>
          <t>C0082</t>
        </is>
      </c>
      <c r="B83" s="18" t="inlineStr">
        <is>
          <t>Identidad y acceso</t>
        </is>
      </c>
      <c r="C83" s="18" t="inlineStr">
        <is>
          <t>auth</t>
        </is>
      </c>
      <c r="D83" s="18" t="inlineStr">
        <is>
          <t>personas</t>
        </is>
      </c>
      <c r="E83" s="18" t="n">
        <v>409</v>
      </c>
      <c r="F83" s="18" t="inlineStr">
        <is>
          <t>pri_apellido</t>
        </is>
      </c>
      <c r="G83" s="18" t="inlineStr">
        <is>
          <t>character varying(250)</t>
        </is>
      </c>
      <c r="H83" s="18" t="inlineStr">
        <is>
          <t>Sí</t>
        </is>
      </c>
      <c r="I83" s="18" t="inlineStr"/>
      <c r="J83" s="18" t="inlineStr"/>
      <c r="K83" s="18" t="inlineStr"/>
      <c r="L83" s="18" t="inlineStr">
        <is>
          <t>No</t>
        </is>
      </c>
      <c r="M83" s="18" t="inlineStr">
        <is>
          <t>No</t>
        </is>
      </c>
      <c r="N83" s="18" t="inlineStr"/>
      <c r="O83" s="18" t="inlineStr"/>
      <c r="P83" s="18" t="inlineStr">
        <is>
          <t>Mapeada en auth-service/src/users/person.entity.ts:29 (Person.last_name) | Validación: IsString</t>
        </is>
      </c>
      <c r="Q83" s="18" t="inlineStr">
        <is>
          <t>Propuesta semántica</t>
        </is>
      </c>
      <c r="R83" s="18" t="inlineStr">
        <is>
          <t>Primer apellido de la persona.</t>
        </is>
      </c>
      <c r="S83" s="18" t="inlineStr">
        <is>
          <t>Alta</t>
        </is>
      </c>
      <c r="T83" s="18" t="inlineStr">
        <is>
          <t>nombre + tipo + columnas vecinas</t>
        </is>
      </c>
      <c r="U83" s="18" t="inlineStr"/>
      <c r="V83" s="19" t="inlineStr">
        <is>
          <t>Pendiente</t>
        </is>
      </c>
      <c r="W83" s="19" t="inlineStr"/>
      <c r="X83" s="19" t="inlineStr"/>
      <c r="Y83" s="20" t="n"/>
      <c r="Z83" s="19" t="inlineStr"/>
      <c r="AA83" s="18">
        <f>IF(OR(V83="Aprobada"),R83,IF(AND(OR(V83="Aprobada con ajuste",V83="Rechazada"),W83&lt;&gt;""),W83,""))</f>
        <v/>
      </c>
    </row>
    <row r="84">
      <c r="A84" s="18" t="inlineStr">
        <is>
          <t>C0083</t>
        </is>
      </c>
      <c r="B84" s="18" t="inlineStr">
        <is>
          <t>Identidad y acceso</t>
        </is>
      </c>
      <c r="C84" s="18" t="inlineStr">
        <is>
          <t>auth</t>
        </is>
      </c>
      <c r="D84" s="18" t="inlineStr">
        <is>
          <t>personas</t>
        </is>
      </c>
      <c r="E84" s="18" t="n">
        <v>409</v>
      </c>
      <c r="F84" s="18" t="inlineStr">
        <is>
          <t>seg_apellido</t>
        </is>
      </c>
      <c r="G84" s="18" t="inlineStr">
        <is>
          <t>character varying(250)</t>
        </is>
      </c>
      <c r="H84" s="18" t="inlineStr">
        <is>
          <t>Sí</t>
        </is>
      </c>
      <c r="I84" s="18" t="inlineStr"/>
      <c r="J84" s="18" t="inlineStr"/>
      <c r="K84" s="18" t="inlineStr"/>
      <c r="L84" s="18" t="inlineStr">
        <is>
          <t>No</t>
        </is>
      </c>
      <c r="M84" s="18" t="inlineStr">
        <is>
          <t>No</t>
        </is>
      </c>
      <c r="N84" s="18" t="inlineStr"/>
      <c r="O84" s="18" t="inlineStr"/>
      <c r="P84" s="18" t="inlineStr"/>
      <c r="Q84" s="18" t="inlineStr">
        <is>
          <t>Propuesta semántica</t>
        </is>
      </c>
      <c r="R84" s="18" t="inlineStr">
        <is>
          <t>Segundo apellido de la persona.</t>
        </is>
      </c>
      <c r="S84" s="18" t="inlineStr">
        <is>
          <t>Alta</t>
        </is>
      </c>
      <c r="T84" s="18" t="inlineStr">
        <is>
          <t>nombre + tipo + columnas vecinas</t>
        </is>
      </c>
      <c r="U84" s="18" t="inlineStr"/>
      <c r="V84" s="19" t="inlineStr">
        <is>
          <t>Pendiente</t>
        </is>
      </c>
      <c r="W84" s="19" t="inlineStr"/>
      <c r="X84" s="19" t="inlineStr"/>
      <c r="Y84" s="20" t="n"/>
      <c r="Z84" s="19" t="inlineStr"/>
      <c r="AA84" s="18">
        <f>IF(OR(V84="Aprobada"),R84,IF(AND(OR(V84="Aprobada con ajuste",V84="Rechazada"),W84&lt;&gt;""),W84,""))</f>
        <v/>
      </c>
    </row>
    <row r="85">
      <c r="A85" s="18" t="inlineStr">
        <is>
          <t>C0084</t>
        </is>
      </c>
      <c r="B85" s="18" t="inlineStr">
        <is>
          <t>Identidad y acceso</t>
        </is>
      </c>
      <c r="C85" s="18" t="inlineStr">
        <is>
          <t>auth</t>
        </is>
      </c>
      <c r="D85" s="18" t="inlineStr">
        <is>
          <t>personas</t>
        </is>
      </c>
      <c r="E85" s="18" t="n">
        <v>409</v>
      </c>
      <c r="F85" s="18" t="inlineStr">
        <is>
          <t>gen_tercero</t>
        </is>
      </c>
      <c r="G85" s="18" t="inlineStr">
        <is>
          <t>character varying(6)</t>
        </is>
      </c>
      <c r="H85" s="18" t="inlineStr">
        <is>
          <t>No</t>
        </is>
      </c>
      <c r="I85" s="18" t="inlineStr"/>
      <c r="J85" s="18" t="inlineStr"/>
      <c r="K85" s="18" t="inlineStr"/>
      <c r="L85" s="18" t="inlineStr">
        <is>
          <t>No</t>
        </is>
      </c>
      <c r="M85" s="18" t="inlineStr">
        <is>
          <t>No</t>
        </is>
      </c>
      <c r="N85" s="18" t="inlineStr"/>
      <c r="O85" s="18" t="inlineStr">
        <is>
          <t>idx_personas_gen_tercero</t>
        </is>
      </c>
      <c r="P85" s="18" t="inlineStr">
        <is>
          <t>Mapeada en auth-service/src/users/person.entity.ts:32 (Person.gender) | Validación: IsOptional, IsString</t>
        </is>
      </c>
      <c r="Q85" s="18" t="inlineStr">
        <is>
          <t>Propuesta semántica</t>
        </is>
      </c>
      <c r="R85" s="18" t="inlineStr">
        <is>
          <t>Código del género de la persona.</t>
        </is>
      </c>
      <c r="S85" s="18" t="inlineStr">
        <is>
          <t>Media</t>
        </is>
      </c>
      <c r="T85" s="18" t="inlineStr">
        <is>
          <t>nombre + tipo + columnas vecinas</t>
        </is>
      </c>
      <c r="U85" s="18" t="inlineStr">
        <is>
          <t>¿Qué valores toma gen_tercero?</t>
        </is>
      </c>
      <c r="V85" s="19" t="inlineStr">
        <is>
          <t>Pendiente</t>
        </is>
      </c>
      <c r="W85" s="19" t="inlineStr"/>
      <c r="X85" s="19" t="inlineStr"/>
      <c r="Y85" s="20" t="n"/>
      <c r="Z85" s="19" t="inlineStr"/>
      <c r="AA85" s="18">
        <f>IF(OR(V85="Aprobada"),R85,IF(AND(OR(V85="Aprobada con ajuste",V85="Rechazada"),W85&lt;&gt;""),W85,""))</f>
        <v/>
      </c>
    </row>
    <row r="86">
      <c r="A86" s="18" t="inlineStr">
        <is>
          <t>C0085</t>
        </is>
      </c>
      <c r="B86" s="18" t="inlineStr">
        <is>
          <t>Identidad y acceso</t>
        </is>
      </c>
      <c r="C86" s="18" t="inlineStr">
        <is>
          <t>auth</t>
        </is>
      </c>
      <c r="D86" s="18" t="inlineStr">
        <is>
          <t>personas</t>
        </is>
      </c>
      <c r="E86" s="18" t="n">
        <v>409</v>
      </c>
      <c r="F86" s="18" t="inlineStr">
        <is>
          <t>fec_nacimiento</t>
        </is>
      </c>
      <c r="G86" s="18" t="inlineStr">
        <is>
          <t>date</t>
        </is>
      </c>
      <c r="H86" s="18" t="inlineStr">
        <is>
          <t>Sí</t>
        </is>
      </c>
      <c r="I86" s="18" t="inlineStr"/>
      <c r="J86" s="18" t="inlineStr"/>
      <c r="K86" s="18" t="inlineStr"/>
      <c r="L86" s="18" t="inlineStr">
        <is>
          <t>No</t>
        </is>
      </c>
      <c r="M86" s="18" t="inlineStr">
        <is>
          <t>No</t>
        </is>
      </c>
      <c r="N86" s="18" t="inlineStr"/>
      <c r="O86" s="18" t="inlineStr"/>
      <c r="P86" s="18" t="inlineStr">
        <is>
          <t>Mapeada en auth-service/src/users/person.entity.ts:85 (Person.fec_nacimiento)</t>
        </is>
      </c>
      <c r="Q86" s="18" t="inlineStr">
        <is>
          <t>Propuesta semántica</t>
        </is>
      </c>
      <c r="R86" s="18" t="inlineStr">
        <is>
          <t>Fecha de nacimiento de la persona.</t>
        </is>
      </c>
      <c r="S86" s="18" t="inlineStr">
        <is>
          <t>Alta</t>
        </is>
      </c>
      <c r="T86" s="18" t="inlineStr">
        <is>
          <t>nombre + tipo + columnas vecinas</t>
        </is>
      </c>
      <c r="U86" s="18" t="inlineStr"/>
      <c r="V86" s="19" t="inlineStr">
        <is>
          <t>Pendiente</t>
        </is>
      </c>
      <c r="W86" s="19" t="inlineStr"/>
      <c r="X86" s="19" t="inlineStr"/>
      <c r="Y86" s="20" t="n"/>
      <c r="Z86" s="19" t="inlineStr"/>
      <c r="AA86" s="18">
        <f>IF(OR(V86="Aprobada"),R86,IF(AND(OR(V86="Aprobada con ajuste",V86="Rechazada"),W86&lt;&gt;""),W86,""))</f>
        <v/>
      </c>
    </row>
    <row r="87">
      <c r="A87" s="18" t="inlineStr">
        <is>
          <t>C0086</t>
        </is>
      </c>
      <c r="B87" s="18" t="inlineStr">
        <is>
          <t>Identidad y acceso</t>
        </is>
      </c>
      <c r="C87" s="18" t="inlineStr">
        <is>
          <t>auth</t>
        </is>
      </c>
      <c r="D87" s="18" t="inlineStr">
        <is>
          <t>personas</t>
        </is>
      </c>
      <c r="E87" s="18" t="n">
        <v>409</v>
      </c>
      <c r="F87" s="18" t="inlineStr">
        <is>
          <t>dir_residencia</t>
        </is>
      </c>
      <c r="G87" s="18" t="inlineStr">
        <is>
          <t>character varying(250)</t>
        </is>
      </c>
      <c r="H87" s="18" t="inlineStr">
        <is>
          <t>Sí</t>
        </is>
      </c>
      <c r="I87" s="18" t="inlineStr"/>
      <c r="J87" s="18" t="inlineStr"/>
      <c r="K87" s="18" t="inlineStr"/>
      <c r="L87" s="18" t="inlineStr">
        <is>
          <t>No</t>
        </is>
      </c>
      <c r="M87" s="18" t="inlineStr">
        <is>
          <t>No</t>
        </is>
      </c>
      <c r="N87" s="18" t="inlineStr"/>
      <c r="O87" s="18" t="inlineStr"/>
      <c r="P87" s="18" t="inlineStr">
        <is>
          <t>Mapeada en auth-service/src/users/person.entity.ts:88 (Person.dir_residencia)</t>
        </is>
      </c>
      <c r="Q87" s="18" t="inlineStr">
        <is>
          <t>Propuesta semántica</t>
        </is>
      </c>
      <c r="R87" s="18" t="inlineStr">
        <is>
          <t>Dirección de residencia de la persona.</t>
        </is>
      </c>
      <c r="S87" s="18" t="inlineStr">
        <is>
          <t>Alta</t>
        </is>
      </c>
      <c r="T87" s="18" t="inlineStr">
        <is>
          <t>nombre + tipo + columnas vecinas</t>
        </is>
      </c>
      <c r="U87" s="18" t="inlineStr"/>
      <c r="V87" s="19" t="inlineStr">
        <is>
          <t>Pendiente</t>
        </is>
      </c>
      <c r="W87" s="19" t="inlineStr"/>
      <c r="X87" s="19" t="inlineStr"/>
      <c r="Y87" s="20" t="n"/>
      <c r="Z87" s="19" t="inlineStr"/>
      <c r="AA87" s="18">
        <f>IF(OR(V87="Aprobada"),R87,IF(AND(OR(V87="Aprobada con ajuste",V87="Rechazada"),W87&lt;&gt;""),W87,""))</f>
        <v/>
      </c>
    </row>
    <row r="88">
      <c r="A88" s="18" t="inlineStr">
        <is>
          <t>C0087</t>
        </is>
      </c>
      <c r="B88" s="18" t="inlineStr">
        <is>
          <t>Identidad y acceso</t>
        </is>
      </c>
      <c r="C88" s="18" t="inlineStr">
        <is>
          <t>auth</t>
        </is>
      </c>
      <c r="D88" s="18" t="inlineStr">
        <is>
          <t>personas</t>
        </is>
      </c>
      <c r="E88" s="18" t="n">
        <v>409</v>
      </c>
      <c r="F88" s="18" t="inlineStr">
        <is>
          <t>dir_email</t>
        </is>
      </c>
      <c r="G88" s="18" t="inlineStr">
        <is>
          <t>character varying(100)</t>
        </is>
      </c>
      <c r="H88" s="18" t="inlineStr">
        <is>
          <t>Sí</t>
        </is>
      </c>
      <c r="I88" s="18" t="inlineStr"/>
      <c r="J88" s="18" t="inlineStr"/>
      <c r="K88" s="18" t="inlineStr"/>
      <c r="L88" s="18" t="inlineStr">
        <is>
          <t>No</t>
        </is>
      </c>
      <c r="M88" s="18" t="inlineStr">
        <is>
          <t>Sí</t>
        </is>
      </c>
      <c r="N88" s="18" t="inlineStr">
        <is>
          <t>Vista control_interno.v_auditor_disponibilidad; Vista control_interno.v_auditorias_kanban_completo</t>
        </is>
      </c>
      <c r="O88" s="18" t="inlineStr"/>
      <c r="P88" s="18" t="inlineStr">
        <is>
          <t>Mapeada en auth-service/src/users/person.entity.ts:35 (Person.email) | Validación: IsEmail, IsOptional, IsString</t>
        </is>
      </c>
      <c r="Q88" s="18" t="inlineStr">
        <is>
          <t>Propuesta semántica</t>
        </is>
      </c>
      <c r="R88" s="18" t="inlineStr">
        <is>
          <t>Correo electrónico de la persona.</t>
        </is>
      </c>
      <c r="S88" s="18" t="inlineStr">
        <is>
          <t>Media</t>
        </is>
      </c>
      <c r="T88" s="18" t="inlineStr">
        <is>
          <t>nombre + tipo + columnas vecinas + validación IsEmail</t>
        </is>
      </c>
      <c r="U88" s="18" t="inlineStr">
        <is>
          <t>¿Es el correo institucional o el personal?</t>
        </is>
      </c>
      <c r="V88" s="19" t="inlineStr">
        <is>
          <t>Pendiente</t>
        </is>
      </c>
      <c r="W88" s="19" t="inlineStr"/>
      <c r="X88" s="19" t="inlineStr"/>
      <c r="Y88" s="20" t="n"/>
      <c r="Z88" s="19" t="inlineStr"/>
      <c r="AA88" s="18">
        <f>IF(OR(V88="Aprobada"),R88,IF(AND(OR(V88="Aprobada con ajuste",V88="Rechazada"),W88&lt;&gt;""),W88,""))</f>
        <v/>
      </c>
    </row>
    <row r="89">
      <c r="A89" s="18" t="inlineStr">
        <is>
          <t>C0088</t>
        </is>
      </c>
      <c r="B89" s="18" t="inlineStr">
        <is>
          <t>Identidad y acceso</t>
        </is>
      </c>
      <c r="C89" s="18" t="inlineStr">
        <is>
          <t>auth</t>
        </is>
      </c>
      <c r="D89" s="18" t="inlineStr">
        <is>
          <t>personas</t>
        </is>
      </c>
      <c r="E89" s="18" t="n">
        <v>409</v>
      </c>
      <c r="F89" s="18" t="inlineStr">
        <is>
          <t>tel_celular</t>
        </is>
      </c>
      <c r="G89" s="18" t="inlineStr">
        <is>
          <t>character varying(255)</t>
        </is>
      </c>
      <c r="H89" s="18" t="inlineStr">
        <is>
          <t>Sí</t>
        </is>
      </c>
      <c r="I89" s="18" t="inlineStr"/>
      <c r="J89" s="18" t="inlineStr"/>
      <c r="K89" s="18" t="inlineStr"/>
      <c r="L89" s="18" t="inlineStr">
        <is>
          <t>No</t>
        </is>
      </c>
      <c r="M89" s="18" t="inlineStr">
        <is>
          <t>No</t>
        </is>
      </c>
      <c r="N89" s="18" t="inlineStr"/>
      <c r="O89" s="18" t="inlineStr"/>
      <c r="P89" s="18" t="inlineStr">
        <is>
          <t>Mapeada en auth-service/src/users/person.entity.ts:38 (Person.phone) | Validación: IsOptional, IsString</t>
        </is>
      </c>
      <c r="Q89" s="18" t="inlineStr">
        <is>
          <t>Propuesta semántica</t>
        </is>
      </c>
      <c r="R89" s="18" t="inlineStr">
        <is>
          <t>Número de teléfono celular de la persona.</t>
        </is>
      </c>
      <c r="S89" s="18" t="inlineStr">
        <is>
          <t>Alta</t>
        </is>
      </c>
      <c r="T89" s="18" t="inlineStr">
        <is>
          <t>nombre + tipo + columnas vecinas</t>
        </is>
      </c>
      <c r="U89" s="18" t="inlineStr"/>
      <c r="V89" s="19" t="inlineStr">
        <is>
          <t>Pendiente</t>
        </is>
      </c>
      <c r="W89" s="19" t="inlineStr"/>
      <c r="X89" s="19" t="inlineStr"/>
      <c r="Y89" s="20" t="n"/>
      <c r="Z89" s="19" t="inlineStr"/>
      <c r="AA89" s="18">
        <f>IF(OR(V89="Aprobada"),R89,IF(AND(OR(V89="Aprobada con ajuste",V89="Rechazada"),W89&lt;&gt;""),W89,""))</f>
        <v/>
      </c>
    </row>
    <row r="90">
      <c r="A90" s="18" t="inlineStr">
        <is>
          <t>C0089</t>
        </is>
      </c>
      <c r="B90" s="18" t="inlineStr">
        <is>
          <t>Identidad y acceso</t>
        </is>
      </c>
      <c r="C90" s="18" t="inlineStr">
        <is>
          <t>auth</t>
        </is>
      </c>
      <c r="D90" s="18" t="inlineStr">
        <is>
          <t>personas</t>
        </is>
      </c>
      <c r="E90" s="18" t="n">
        <v>409</v>
      </c>
      <c r="F90" s="18" t="inlineStr">
        <is>
          <t>fec_creacion</t>
        </is>
      </c>
      <c r="G90" s="18" t="inlineStr">
        <is>
          <t>timestamp with time zone</t>
        </is>
      </c>
      <c r="H90" s="18" t="inlineStr">
        <is>
          <t>Sí</t>
        </is>
      </c>
      <c r="I90" s="18" t="inlineStr"/>
      <c r="J90" s="18" t="inlineStr"/>
      <c r="K90" s="18" t="inlineStr"/>
      <c r="L90" s="18" t="inlineStr">
        <is>
          <t>No</t>
        </is>
      </c>
      <c r="M90" s="18" t="inlineStr">
        <is>
          <t>No</t>
        </is>
      </c>
      <c r="N90" s="18" t="inlineStr"/>
      <c r="O90" s="18" t="inlineStr"/>
      <c r="P90" s="18" t="inlineStr">
        <is>
          <t>Mapeada en auth-service/src/users/person.entity.ts:42 (Person.created_at)</t>
        </is>
      </c>
      <c r="Q90" s="18" t="inlineStr">
        <is>
          <t>Propuesta semántica</t>
        </is>
      </c>
      <c r="R90" s="18" t="inlineStr">
        <is>
          <t>Fecha y hora de creación del registro. Por defecto, la fecha y hora del registro.</t>
        </is>
      </c>
      <c r="S90" s="18" t="inlineStr">
        <is>
          <t>Alta</t>
        </is>
      </c>
      <c r="T90" s="18" t="inlineStr">
        <is>
          <t>nombre + tipo + columnas vecinas + defecto</t>
        </is>
      </c>
      <c r="U90" s="18" t="inlineStr"/>
      <c r="V90" s="19" t="inlineStr">
        <is>
          <t>Pendiente</t>
        </is>
      </c>
      <c r="W90" s="19" t="inlineStr"/>
      <c r="X90" s="19" t="inlineStr"/>
      <c r="Y90" s="20" t="n"/>
      <c r="Z90" s="19" t="inlineStr"/>
      <c r="AA90" s="18">
        <f>IF(OR(V90="Aprobada"),R90,IF(AND(OR(V90="Aprobada con ajuste",V90="Rechazada"),W90&lt;&gt;""),W90,""))</f>
        <v/>
      </c>
    </row>
    <row r="91">
      <c r="A91" s="18" t="inlineStr">
        <is>
          <t>C0090</t>
        </is>
      </c>
      <c r="B91" s="18" t="inlineStr">
        <is>
          <t>Identidad y acceso</t>
        </is>
      </c>
      <c r="C91" s="18" t="inlineStr">
        <is>
          <t>auth</t>
        </is>
      </c>
      <c r="D91" s="18" t="inlineStr">
        <is>
          <t>personas</t>
        </is>
      </c>
      <c r="E91" s="18" t="n">
        <v>409</v>
      </c>
      <c r="F91" s="18" t="inlineStr">
        <is>
          <t>fec_modificacion</t>
        </is>
      </c>
      <c r="G91" s="18" t="inlineStr">
        <is>
          <t>timestamp with time zone</t>
        </is>
      </c>
      <c r="H91" s="18" t="inlineStr">
        <is>
          <t>Sí</t>
        </is>
      </c>
      <c r="I91" s="18" t="inlineStr"/>
      <c r="J91" s="18" t="inlineStr"/>
      <c r="K91" s="18" t="inlineStr"/>
      <c r="L91" s="18" t="inlineStr">
        <is>
          <t>No</t>
        </is>
      </c>
      <c r="M91" s="18" t="inlineStr">
        <is>
          <t>No</t>
        </is>
      </c>
      <c r="N91" s="18" t="inlineStr"/>
      <c r="O91" s="18" t="inlineStr"/>
      <c r="P91" s="18" t="inlineStr">
        <is>
          <t>Mapeada en auth-service/src/users/person.entity.ts:45 (Person.updated_at)</t>
        </is>
      </c>
      <c r="Q91" s="18" t="inlineStr">
        <is>
          <t>Propuesta semántica</t>
        </is>
      </c>
      <c r="R91" s="18" t="inlineStr">
        <is>
          <t>Fecha y hora de la última modificación del registro.</t>
        </is>
      </c>
      <c r="S91" s="18" t="inlineStr">
        <is>
          <t>Alta</t>
        </is>
      </c>
      <c r="T91" s="18" t="inlineStr">
        <is>
          <t>nombre + tipo + columnas vecinas</t>
        </is>
      </c>
      <c r="U91" s="18" t="inlineStr"/>
      <c r="V91" s="19" t="inlineStr">
        <is>
          <t>Pendiente</t>
        </is>
      </c>
      <c r="W91" s="19" t="inlineStr"/>
      <c r="X91" s="19" t="inlineStr"/>
      <c r="Y91" s="20" t="n"/>
      <c r="Z91" s="19" t="inlineStr"/>
      <c r="AA91" s="18">
        <f>IF(OR(V91="Aprobada"),R91,IF(AND(OR(V91="Aprobada con ajuste",V91="Rechazada"),W91&lt;&gt;""),W91,""))</f>
        <v/>
      </c>
    </row>
    <row r="92">
      <c r="A92" s="18" t="inlineStr">
        <is>
          <t>C0091</t>
        </is>
      </c>
      <c r="B92" s="18" t="inlineStr">
        <is>
          <t>Identidad y acceso</t>
        </is>
      </c>
      <c r="C92" s="18" t="inlineStr">
        <is>
          <t>auth</t>
        </is>
      </c>
      <c r="D92" s="18" t="inlineStr">
        <is>
          <t>personas</t>
        </is>
      </c>
      <c r="E92" s="18" t="n">
        <v>409</v>
      </c>
      <c r="F92" s="18" t="inlineStr">
        <is>
          <t>usu_creacion</t>
        </is>
      </c>
      <c r="G92" s="18" t="inlineStr">
        <is>
          <t>character varying(20)</t>
        </is>
      </c>
      <c r="H92" s="18" t="inlineStr">
        <is>
          <t>Sí</t>
        </is>
      </c>
      <c r="I92" s="18" t="inlineStr"/>
      <c r="J92" s="18" t="inlineStr"/>
      <c r="K92" s="18" t="inlineStr"/>
      <c r="L92" s="18" t="inlineStr">
        <is>
          <t>No</t>
        </is>
      </c>
      <c r="M92" s="18" t="inlineStr">
        <is>
          <t>No</t>
        </is>
      </c>
      <c r="N92" s="18" t="inlineStr"/>
      <c r="O92" s="18" t="inlineStr"/>
      <c r="P92" s="18" t="inlineStr"/>
      <c r="Q92" s="18" t="inlineStr">
        <is>
          <t>Propuesta semántica</t>
        </is>
      </c>
      <c r="R92" s="18" t="inlineStr">
        <is>
          <t>Usuario que creó el registro.</t>
        </is>
      </c>
      <c r="S92" s="18" t="inlineStr">
        <is>
          <t>Media</t>
        </is>
      </c>
      <c r="T92" s="18" t="inlineStr">
        <is>
          <t>nombre + tipo + columnas vecinas</t>
        </is>
      </c>
      <c r="U92" s="18" t="inlineStr">
        <is>
          <t>¿usu_creacion guarda el nombre de usuario o el identificador?</t>
        </is>
      </c>
      <c r="V92" s="19" t="inlineStr">
        <is>
          <t>Pendiente</t>
        </is>
      </c>
      <c r="W92" s="19" t="inlineStr"/>
      <c r="X92" s="19" t="inlineStr"/>
      <c r="Y92" s="20" t="n"/>
      <c r="Z92" s="19" t="inlineStr"/>
      <c r="AA92" s="18">
        <f>IF(OR(V92="Aprobada"),R92,IF(AND(OR(V92="Aprobada con ajuste",V92="Rechazada"),W92&lt;&gt;""),W92,""))</f>
        <v/>
      </c>
    </row>
    <row r="93">
      <c r="A93" s="18" t="inlineStr">
        <is>
          <t>C0092</t>
        </is>
      </c>
      <c r="B93" s="18" t="inlineStr">
        <is>
          <t>Identidad y acceso</t>
        </is>
      </c>
      <c r="C93" s="18" t="inlineStr">
        <is>
          <t>auth</t>
        </is>
      </c>
      <c r="D93" s="18" t="inlineStr">
        <is>
          <t>personas</t>
        </is>
      </c>
      <c r="E93" s="18" t="n">
        <v>409</v>
      </c>
      <c r="F93" s="18" t="inlineStr">
        <is>
          <t>usu_modificacion</t>
        </is>
      </c>
      <c r="G93" s="18" t="inlineStr">
        <is>
          <t>character varying(20)</t>
        </is>
      </c>
      <c r="H93" s="18" t="inlineStr">
        <is>
          <t>Sí</t>
        </is>
      </c>
      <c r="I93" s="18" t="inlineStr"/>
      <c r="J93" s="18" t="inlineStr"/>
      <c r="K93" s="18" t="inlineStr"/>
      <c r="L93" s="18" t="inlineStr">
        <is>
          <t>No</t>
        </is>
      </c>
      <c r="M93" s="18" t="inlineStr">
        <is>
          <t>No</t>
        </is>
      </c>
      <c r="N93" s="18" t="inlineStr"/>
      <c r="O93" s="18" t="inlineStr"/>
      <c r="P93" s="18" t="inlineStr"/>
      <c r="Q93" s="18" t="inlineStr">
        <is>
          <t>Propuesta semántica</t>
        </is>
      </c>
      <c r="R93" s="18" t="inlineStr">
        <is>
          <t>Usuario que hizo la última modificación del registro.</t>
        </is>
      </c>
      <c r="S93" s="18" t="inlineStr">
        <is>
          <t>Media</t>
        </is>
      </c>
      <c r="T93" s="18" t="inlineStr">
        <is>
          <t>nombre + tipo + columnas vecinas</t>
        </is>
      </c>
      <c r="U93" s="18" t="inlineStr">
        <is>
          <t>¿usu_modificacion guarda el nombre de usuario o el identificador?</t>
        </is>
      </c>
      <c r="V93" s="19" t="inlineStr">
        <is>
          <t>Pendiente</t>
        </is>
      </c>
      <c r="W93" s="19" t="inlineStr"/>
      <c r="X93" s="19" t="inlineStr"/>
      <c r="Y93" s="20" t="n"/>
      <c r="Z93" s="19" t="inlineStr"/>
      <c r="AA93" s="18">
        <f>IF(OR(V93="Aprobada"),R93,IF(AND(OR(V93="Aprobada con ajuste",V93="Rechazada"),W93&lt;&gt;""),W93,""))</f>
        <v/>
      </c>
    </row>
    <row r="94">
      <c r="A94" s="18" t="inlineStr">
        <is>
          <t>C0093</t>
        </is>
      </c>
      <c r="B94" s="18" t="inlineStr">
        <is>
          <t>Identidad y acceso</t>
        </is>
      </c>
      <c r="C94" s="18" t="inlineStr">
        <is>
          <t>auth</t>
        </is>
      </c>
      <c r="D94" s="18" t="inlineStr">
        <is>
          <t>personas</t>
        </is>
      </c>
      <c r="E94" s="18" t="n">
        <v>409</v>
      </c>
      <c r="F94" s="18" t="inlineStr">
        <is>
          <t>id_person</t>
        </is>
      </c>
      <c r="G94" s="18" t="inlineStr">
        <is>
          <t>uuid</t>
        </is>
      </c>
      <c r="H94" s="18" t="inlineStr">
        <is>
          <t>No</t>
        </is>
      </c>
      <c r="I94" s="18" t="inlineStr">
        <is>
          <t>Única</t>
        </is>
      </c>
      <c r="J94" s="18" t="inlineStr"/>
      <c r="K94" s="18" t="inlineStr"/>
      <c r="L94" s="18" t="inlineStr">
        <is>
          <t>No</t>
        </is>
      </c>
      <c r="M94" s="18" t="inlineStr">
        <is>
          <t>Sí</t>
        </is>
      </c>
      <c r="N94" s="18" t="inlineStr">
        <is>
          <t>Función control_interno.fn_registrar_cambio_estado_auditoria; Función control_interno.fn_registrar_cambio_estado_plan_anual; Vista control_interno.v_auditor_disponibilidad; Vista control_interno.v_auditorias_kanban_completo — control_interno.fn_registrar_cambio_estado_auditoria: SELECT id_person INTO v_usuario_id | control_interno.fn_registrar_cambio_estado_plan_anual: SELECT id_person INTO v_usuario_id</t>
        </is>
      </c>
      <c r="O94" s="18" t="inlineStr">
        <is>
          <t>personas_id_person_key</t>
        </is>
      </c>
      <c r="P94" s="18" t="inlineStr">
        <is>
          <t>Mapeada en auth-service/src/users/person.entity.ts:11 (Person.id)</t>
        </is>
      </c>
      <c r="Q94" s="18" t="inlineStr">
        <is>
          <t>Propuesta semántica</t>
        </is>
      </c>
      <c r="R94" s="18" t="inlineStr">
        <is>
          <t>Identificador único (UUID) de la persona, usado por las demás tablas para enlazarla; se genera automáticamente.</t>
        </is>
      </c>
      <c r="S94" s="18" t="inlineStr">
        <is>
          <t>Alta</t>
        </is>
      </c>
      <c r="T94" s="18" t="inlineStr">
        <is>
          <t>nombre + tipo + columnas vecinas + restricción única + uso en funciones de control_interno</t>
        </is>
      </c>
      <c r="U94" s="18" t="inlineStr"/>
      <c r="V94" s="19" t="inlineStr">
        <is>
          <t>Pendiente</t>
        </is>
      </c>
      <c r="W94" s="19" t="inlineStr"/>
      <c r="X94" s="19" t="inlineStr"/>
      <c r="Y94" s="20" t="n"/>
      <c r="Z94" s="19" t="inlineStr"/>
      <c r="AA94" s="18">
        <f>IF(OR(V94="Aprobada"),R94,IF(AND(OR(V94="Aprobada con ajuste",V94="Rechazada"),W94&lt;&gt;""),W94,""))</f>
        <v/>
      </c>
    </row>
    <row r="95">
      <c r="A95" s="18" t="inlineStr">
        <is>
          <t>C0094</t>
        </is>
      </c>
      <c r="B95" s="18" t="inlineStr">
        <is>
          <t>Identidad y acceso</t>
        </is>
      </c>
      <c r="C95" s="18" t="inlineStr">
        <is>
          <t>auth</t>
        </is>
      </c>
      <c r="D95" s="18" t="inlineStr">
        <is>
          <t>personas</t>
        </is>
      </c>
      <c r="E95" s="18" t="n">
        <v>409</v>
      </c>
      <c r="F95" s="18" t="inlineStr">
        <is>
          <t>city</t>
        </is>
      </c>
      <c r="G95" s="18" t="inlineStr">
        <is>
          <t>character varying(255)</t>
        </is>
      </c>
      <c r="H95" s="18" t="inlineStr">
        <is>
          <t>Sí</t>
        </is>
      </c>
      <c r="I95" s="18" t="inlineStr"/>
      <c r="J95" s="18" t="inlineStr"/>
      <c r="K95" s="18" t="inlineStr"/>
      <c r="L95" s="18" t="inlineStr">
        <is>
          <t>No</t>
        </is>
      </c>
      <c r="M95" s="18" t="inlineStr">
        <is>
          <t>No</t>
        </is>
      </c>
      <c r="N95" s="18" t="inlineStr"/>
      <c r="O95" s="18" t="inlineStr"/>
      <c r="P95" s="18" t="inlineStr">
        <is>
          <t>Mapeada en auth-service/src/users/person.entity.ts:91 (Person.city) | Validación: IsOptional, IsString</t>
        </is>
      </c>
      <c r="Q95" s="18" t="inlineStr">
        <is>
          <t>Propuesta semántica</t>
        </is>
      </c>
      <c r="R95" s="18" t="inlineStr">
        <is>
          <t>Ciudad de la persona.</t>
        </is>
      </c>
      <c r="S95" s="18" t="inlineStr">
        <is>
          <t>Media</t>
        </is>
      </c>
      <c r="T95" s="18" t="inlineStr">
        <is>
          <t>nombre + tipo + columnas vecinas</t>
        </is>
      </c>
      <c r="U95" s="18" t="inlineStr">
        <is>
          <t>¿Es la ciudad de residencia y por qué no se usa id de auth.geopolitica?</t>
        </is>
      </c>
      <c r="V95" s="19" t="inlineStr">
        <is>
          <t>Pendiente</t>
        </is>
      </c>
      <c r="W95" s="19" t="inlineStr"/>
      <c r="X95" s="19" t="inlineStr"/>
      <c r="Y95" s="20" t="n"/>
      <c r="Z95" s="19" t="inlineStr"/>
      <c r="AA95" s="18">
        <f>IF(OR(V95="Aprobada"),R95,IF(AND(OR(V95="Aprobada con ajuste",V95="Rechazada"),W95&lt;&gt;""),W95,""))</f>
        <v/>
      </c>
    </row>
    <row r="96">
      <c r="A96" s="18" t="inlineStr">
        <is>
          <t>C0095</t>
        </is>
      </c>
      <c r="B96" s="18" t="inlineStr">
        <is>
          <t>Identidad y acceso</t>
        </is>
      </c>
      <c r="C96" s="18" t="inlineStr">
        <is>
          <t>auth</t>
        </is>
      </c>
      <c r="D96" s="18" t="inlineStr">
        <is>
          <t>programas_academicos</t>
        </is>
      </c>
      <c r="E96" s="18" t="n">
        <v>12</v>
      </c>
      <c r="F96" s="18" t="inlineStr">
        <is>
          <t>codigo</t>
        </is>
      </c>
      <c r="G96" s="18" t="inlineStr">
        <is>
          <t>text</t>
        </is>
      </c>
      <c r="H96" s="18" t="inlineStr">
        <is>
          <t>No</t>
        </is>
      </c>
      <c r="I96" s="18" t="inlineStr">
        <is>
          <t>Única</t>
        </is>
      </c>
      <c r="J96" s="18" t="inlineStr"/>
      <c r="K96" s="18" t="inlineStr"/>
      <c r="L96" s="18" t="inlineStr">
        <is>
          <t>No</t>
        </is>
      </c>
      <c r="M96" s="18" t="inlineStr">
        <is>
          <t>No</t>
        </is>
      </c>
      <c r="N96" s="18" t="inlineStr"/>
      <c r="O96" s="18" t="inlineStr">
        <is>
          <t>programas_academicos_codigo_key</t>
        </is>
      </c>
      <c r="P96" s="18" t="inlineStr"/>
      <c r="Q96" s="18" t="inlineStr">
        <is>
          <t>Regla estructural</t>
        </is>
      </c>
      <c r="R96" s="18" t="inlineStr">
        <is>
          <t>Código del registro de programas_academicos. Único en la tabla.</t>
        </is>
      </c>
      <c r="S96" s="18" t="inlineStr">
        <is>
          <t>Media</t>
        </is>
      </c>
      <c r="T96" s="18" t="inlineStr">
        <is>
          <t>Convención de nombre de la columna.</t>
        </is>
      </c>
      <c r="U96" s="18" t="inlineStr"/>
      <c r="V96" s="19" t="inlineStr">
        <is>
          <t>Pendiente</t>
        </is>
      </c>
      <c r="W96" s="19" t="inlineStr"/>
      <c r="X96" s="19" t="inlineStr"/>
      <c r="Y96" s="20" t="n"/>
      <c r="Z96" s="19" t="inlineStr"/>
      <c r="AA96" s="18">
        <f>IF(OR(V96="Aprobada"),R96,IF(AND(OR(V96="Aprobada con ajuste",V96="Rechazada"),W96&lt;&gt;""),W96,""))</f>
        <v/>
      </c>
    </row>
    <row r="97">
      <c r="A97" s="18" t="inlineStr">
        <is>
          <t>C0096</t>
        </is>
      </c>
      <c r="B97" s="18" t="inlineStr">
        <is>
          <t>Identidad y acceso</t>
        </is>
      </c>
      <c r="C97" s="18" t="inlineStr">
        <is>
          <t>auth</t>
        </is>
      </c>
      <c r="D97" s="18" t="inlineStr">
        <is>
          <t>programas_academicos</t>
        </is>
      </c>
      <c r="E97" s="18" t="n">
        <v>12</v>
      </c>
      <c r="F97" s="18" t="inlineStr">
        <is>
          <t>nombre</t>
        </is>
      </c>
      <c r="G97" s="18" t="inlineStr">
        <is>
          <t>text</t>
        </is>
      </c>
      <c r="H97" s="18" t="inlineStr">
        <is>
          <t>No</t>
        </is>
      </c>
      <c r="I97" s="18" t="inlineStr"/>
      <c r="J97" s="18" t="inlineStr"/>
      <c r="K97" s="18" t="inlineStr"/>
      <c r="L97" s="18" t="inlineStr">
        <is>
          <t>No</t>
        </is>
      </c>
      <c r="M97" s="18" t="inlineStr">
        <is>
          <t>No</t>
        </is>
      </c>
      <c r="N97" s="18" t="inlineStr"/>
      <c r="O97" s="18" t="inlineStr"/>
      <c r="P97" s="18" t="inlineStr"/>
      <c r="Q97" s="18" t="inlineStr">
        <is>
          <t>Regla estructural</t>
        </is>
      </c>
      <c r="R97" s="18" t="inlineStr">
        <is>
          <t>Nombre del registro de programas_academicos.</t>
        </is>
      </c>
      <c r="S97" s="18" t="inlineStr">
        <is>
          <t>Media</t>
        </is>
      </c>
      <c r="T97" s="18" t="inlineStr">
        <is>
          <t>Convención de nombre de la columna.</t>
        </is>
      </c>
      <c r="U97" s="18" t="inlineStr"/>
      <c r="V97" s="19" t="inlineStr">
        <is>
          <t>Pendiente</t>
        </is>
      </c>
      <c r="W97" s="19" t="inlineStr"/>
      <c r="X97" s="19" t="inlineStr"/>
      <c r="Y97" s="20" t="n"/>
      <c r="Z97" s="19" t="inlineStr"/>
      <c r="AA97" s="18">
        <f>IF(OR(V97="Aprobada"),R97,IF(AND(OR(V97="Aprobada con ajuste",V97="Rechazada"),W97&lt;&gt;""),W97,""))</f>
        <v/>
      </c>
    </row>
    <row r="98">
      <c r="A98" s="18" t="inlineStr">
        <is>
          <t>C0097</t>
        </is>
      </c>
      <c r="B98" s="18" t="inlineStr">
        <is>
          <t>Identidad y acceso</t>
        </is>
      </c>
      <c r="C98" s="18" t="inlineStr">
        <is>
          <t>auth</t>
        </is>
      </c>
      <c r="D98" s="18" t="inlineStr">
        <is>
          <t>programas_academicos</t>
        </is>
      </c>
      <c r="E98" s="18" t="n">
        <v>12</v>
      </c>
      <c r="F98" s="18" t="inlineStr">
        <is>
          <t>nivel_formacion</t>
        </is>
      </c>
      <c r="G98" s="18" t="inlineStr">
        <is>
          <t>text</t>
        </is>
      </c>
      <c r="H98" s="18" t="inlineStr">
        <is>
          <t>No</t>
        </is>
      </c>
      <c r="I98" s="18" t="inlineStr"/>
      <c r="J98" s="18" t="inlineStr"/>
      <c r="K98" s="18" t="inlineStr"/>
      <c r="L98" s="18" t="inlineStr">
        <is>
          <t>No</t>
        </is>
      </c>
      <c r="M98" s="18" t="inlineStr">
        <is>
          <t>No</t>
        </is>
      </c>
      <c r="N98" s="18" t="inlineStr"/>
      <c r="O98" s="18" t="inlineStr"/>
      <c r="P98" s="18" t="inlineStr">
        <is>
          <t>db/migrations/old/006_create_programas_academicos.sql:12: Pregrado, Especialización, Maestría, Doctorado, etc.</t>
        </is>
      </c>
      <c r="Q98" s="18" t="inlineStr">
        <is>
          <t>Código fuente</t>
        </is>
      </c>
      <c r="R98" s="18" t="inlineStr">
        <is>
          <t>Nivel de formación del programa (por ejemplo, Pregrado, Especialización, Maestría, Doctorado).</t>
        </is>
      </c>
      <c r="S98" s="18" t="inlineStr">
        <is>
          <t>Alta</t>
        </is>
      </c>
      <c r="T98" s="18" t="inlineStr">
        <is>
          <t>código: db/migrations/old/006_create_programas_academicos.sql:12</t>
        </is>
      </c>
      <c r="U98" s="18" t="inlineStr"/>
      <c r="V98" s="19" t="inlineStr">
        <is>
          <t>Pendiente</t>
        </is>
      </c>
      <c r="W98" s="19" t="inlineStr"/>
      <c r="X98" s="19" t="inlineStr"/>
      <c r="Y98" s="20" t="n"/>
      <c r="Z98" s="19" t="inlineStr"/>
      <c r="AA98" s="18">
        <f>IF(OR(V98="Aprobada"),R98,IF(AND(OR(V98="Aprobada con ajuste",V98="Rechazada"),W98&lt;&gt;""),W98,""))</f>
        <v/>
      </c>
    </row>
    <row r="99">
      <c r="A99" s="18" t="inlineStr">
        <is>
          <t>C0098</t>
        </is>
      </c>
      <c r="B99" s="18" t="inlineStr">
        <is>
          <t>Identidad y acceso</t>
        </is>
      </c>
      <c r="C99" s="18" t="inlineStr">
        <is>
          <t>auth</t>
        </is>
      </c>
      <c r="D99" s="18" t="inlineStr">
        <is>
          <t>programas_academicos</t>
        </is>
      </c>
      <c r="E99" s="18" t="n">
        <v>12</v>
      </c>
      <c r="F99" s="18" t="inlineStr">
        <is>
          <t>modalidad</t>
        </is>
      </c>
      <c r="G99" s="18" t="inlineStr">
        <is>
          <t>text</t>
        </is>
      </c>
      <c r="H99" s="18" t="inlineStr">
        <is>
          <t>No</t>
        </is>
      </c>
      <c r="I99" s="18" t="inlineStr"/>
      <c r="J99" s="18" t="inlineStr"/>
      <c r="K99" s="18" t="inlineStr"/>
      <c r="L99" s="18" t="inlineStr">
        <is>
          <t>No</t>
        </is>
      </c>
      <c r="M99" s="18" t="inlineStr">
        <is>
          <t>No</t>
        </is>
      </c>
      <c r="N99" s="18" t="inlineStr"/>
      <c r="O99" s="18" t="inlineStr"/>
      <c r="P99" s="18" t="inlineStr">
        <is>
          <t>db/migrations/old/006_create_programas_academicos.sql:13: Presencial, Virtual, Distancia, Dual</t>
        </is>
      </c>
      <c r="Q99" s="18" t="inlineStr">
        <is>
          <t>Código fuente</t>
        </is>
      </c>
      <c r="R99" s="18" t="inlineStr">
        <is>
          <t>Modalidad del programa (por ejemplo, Presencial, Virtual, Distancia, Dual).</t>
        </is>
      </c>
      <c r="S99" s="18" t="inlineStr">
        <is>
          <t>Alta</t>
        </is>
      </c>
      <c r="T99" s="18" t="inlineStr">
        <is>
          <t>código: db/migrations/old/006_create_programas_academicos.sql:13</t>
        </is>
      </c>
      <c r="U99" s="18" t="inlineStr"/>
      <c r="V99" s="19" t="inlineStr">
        <is>
          <t>Pendiente</t>
        </is>
      </c>
      <c r="W99" s="19" t="inlineStr"/>
      <c r="X99" s="19" t="inlineStr"/>
      <c r="Y99" s="20" t="n"/>
      <c r="Z99" s="19" t="inlineStr"/>
      <c r="AA99" s="18">
        <f>IF(OR(V99="Aprobada"),R99,IF(AND(OR(V99="Aprobada con ajuste",V99="Rechazada"),W99&lt;&gt;""),W99,""))</f>
        <v/>
      </c>
    </row>
    <row r="100">
      <c r="A100" s="18" t="inlineStr">
        <is>
          <t>C0099</t>
        </is>
      </c>
      <c r="B100" s="18" t="inlineStr">
        <is>
          <t>Identidad y acceso</t>
        </is>
      </c>
      <c r="C100" s="18" t="inlineStr">
        <is>
          <t>auth</t>
        </is>
      </c>
      <c r="D100" s="18" t="inlineStr">
        <is>
          <t>programas_academicos</t>
        </is>
      </c>
      <c r="E100" s="18" t="n">
        <v>12</v>
      </c>
      <c r="F100" s="18" t="inlineStr">
        <is>
          <t>jornada</t>
        </is>
      </c>
      <c r="G100" s="18" t="inlineStr">
        <is>
          <t>text</t>
        </is>
      </c>
      <c r="H100" s="18" t="inlineStr">
        <is>
          <t>No</t>
        </is>
      </c>
      <c r="I100" s="18" t="inlineStr"/>
      <c r="J100" s="18" t="inlineStr"/>
      <c r="K100" s="18" t="inlineStr"/>
      <c r="L100" s="18" t="inlineStr">
        <is>
          <t>No</t>
        </is>
      </c>
      <c r="M100" s="18" t="inlineStr">
        <is>
          <t>No</t>
        </is>
      </c>
      <c r="N100" s="18" t="inlineStr"/>
      <c r="O100" s="18" t="inlineStr"/>
      <c r="P100" s="18" t="inlineStr">
        <is>
          <t>db/migrations/old/006_create_programas_academicos.sql:14: Diurna, Nocturna, Mixta, Flexible</t>
        </is>
      </c>
      <c r="Q100" s="18" t="inlineStr">
        <is>
          <t>Código fuente</t>
        </is>
      </c>
      <c r="R100" s="18" t="inlineStr">
        <is>
          <t>Jornada del programa (por ejemplo, Diurna, Nocturna, Mixta, Flexible).</t>
        </is>
      </c>
      <c r="S100" s="18" t="inlineStr">
        <is>
          <t>Alta</t>
        </is>
      </c>
      <c r="T100" s="18" t="inlineStr">
        <is>
          <t>código: db/migrations/old/006_create_programas_academicos.sql:14</t>
        </is>
      </c>
      <c r="U100" s="18" t="inlineStr"/>
      <c r="V100" s="19" t="inlineStr">
        <is>
          <t>Pendiente</t>
        </is>
      </c>
      <c r="W100" s="19" t="inlineStr"/>
      <c r="X100" s="19" t="inlineStr"/>
      <c r="Y100" s="20" t="n"/>
      <c r="Z100" s="19" t="inlineStr"/>
      <c r="AA100" s="18">
        <f>IF(OR(V100="Aprobada"),R100,IF(AND(OR(V100="Aprobada con ajuste",V100="Rechazada"),W100&lt;&gt;""),W100,""))</f>
        <v/>
      </c>
    </row>
    <row r="101">
      <c r="A101" s="18" t="inlineStr">
        <is>
          <t>C0100</t>
        </is>
      </c>
      <c r="B101" s="18" t="inlineStr">
        <is>
          <t>Identidad y acceso</t>
        </is>
      </c>
      <c r="C101" s="18" t="inlineStr">
        <is>
          <t>auth</t>
        </is>
      </c>
      <c r="D101" s="18" t="inlineStr">
        <is>
          <t>programas_academicos</t>
        </is>
      </c>
      <c r="E101" s="18" t="n">
        <v>12</v>
      </c>
      <c r="F101" s="18" t="inlineStr">
        <is>
          <t>duracion_semestres</t>
        </is>
      </c>
      <c r="G101" s="18" t="inlineStr">
        <is>
          <t>integer</t>
        </is>
      </c>
      <c r="H101" s="18" t="inlineStr">
        <is>
          <t>No</t>
        </is>
      </c>
      <c r="I101" s="18" t="inlineStr"/>
      <c r="J101" s="18" t="inlineStr"/>
      <c r="K101" s="18" t="inlineStr"/>
      <c r="L101" s="18" t="inlineStr">
        <is>
          <t>No</t>
        </is>
      </c>
      <c r="M101" s="18" t="inlineStr">
        <is>
          <t>No</t>
        </is>
      </c>
      <c r="N101" s="18" t="inlineStr"/>
      <c r="O101" s="18" t="inlineStr"/>
      <c r="P101" s="18" t="inlineStr"/>
      <c r="Q101" s="18" t="inlineStr">
        <is>
          <t>Propuesta semántica</t>
        </is>
      </c>
      <c r="R101" s="18" t="inlineStr">
        <is>
          <t>Duración del programa académico, en semestres.</t>
        </is>
      </c>
      <c r="S101" s="18" t="inlineStr">
        <is>
          <t>Alta</t>
        </is>
      </c>
      <c r="T101" s="18" t="inlineStr">
        <is>
          <t>nombre + tipo + columnas vecinas</t>
        </is>
      </c>
      <c r="U101" s="18" t="inlineStr"/>
      <c r="V101" s="19" t="inlineStr">
        <is>
          <t>Pendiente</t>
        </is>
      </c>
      <c r="W101" s="19" t="inlineStr"/>
      <c r="X101" s="19" t="inlineStr"/>
      <c r="Y101" s="20" t="n"/>
      <c r="Z101" s="19" t="inlineStr"/>
      <c r="AA101" s="18">
        <f>IF(OR(V101="Aprobada"),R101,IF(AND(OR(V101="Aprobada con ajuste",V101="Rechazada"),W101&lt;&gt;""),W101,""))</f>
        <v/>
      </c>
    </row>
    <row r="102">
      <c r="A102" s="18" t="inlineStr">
        <is>
          <t>C0101</t>
        </is>
      </c>
      <c r="B102" s="18" t="inlineStr">
        <is>
          <t>Identidad y acceso</t>
        </is>
      </c>
      <c r="C102" s="18" t="inlineStr">
        <is>
          <t>auth</t>
        </is>
      </c>
      <c r="D102" s="18" t="inlineStr">
        <is>
          <t>programas_academicos</t>
        </is>
      </c>
      <c r="E102" s="18" t="n">
        <v>12</v>
      </c>
      <c r="F102" s="18" t="inlineStr">
        <is>
          <t>creditos</t>
        </is>
      </c>
      <c r="G102" s="18" t="inlineStr">
        <is>
          <t>integer</t>
        </is>
      </c>
      <c r="H102" s="18" t="inlineStr">
        <is>
          <t>No</t>
        </is>
      </c>
      <c r="I102" s="18" t="inlineStr"/>
      <c r="J102" s="18" t="inlineStr"/>
      <c r="K102" s="18" t="inlineStr"/>
      <c r="L102" s="18" t="inlineStr">
        <is>
          <t>No</t>
        </is>
      </c>
      <c r="M102" s="18" t="inlineStr">
        <is>
          <t>No</t>
        </is>
      </c>
      <c r="N102" s="18" t="inlineStr"/>
      <c r="O102" s="18" t="inlineStr"/>
      <c r="P102" s="18" t="inlineStr"/>
      <c r="Q102" s="18" t="inlineStr">
        <is>
          <t>Propuesta semántica</t>
        </is>
      </c>
      <c r="R102" s="18" t="inlineStr">
        <is>
          <t>Número total de créditos académicos del programa.</t>
        </is>
      </c>
      <c r="S102" s="18" t="inlineStr">
        <is>
          <t>Alta</t>
        </is>
      </c>
      <c r="T102" s="18" t="inlineStr">
        <is>
          <t>nombre + tipo + columnas vecinas</t>
        </is>
      </c>
      <c r="U102" s="18" t="inlineStr"/>
      <c r="V102" s="19" t="inlineStr">
        <is>
          <t>Pendiente</t>
        </is>
      </c>
      <c r="W102" s="19" t="inlineStr"/>
      <c r="X102" s="19" t="inlineStr"/>
      <c r="Y102" s="20" t="n"/>
      <c r="Z102" s="19" t="inlineStr"/>
      <c r="AA102" s="18">
        <f>IF(OR(V102="Aprobada"),R102,IF(AND(OR(V102="Aprobada con ajuste",V102="Rechazada"),W102&lt;&gt;""),W102,""))</f>
        <v/>
      </c>
    </row>
    <row r="103">
      <c r="A103" s="18" t="inlineStr">
        <is>
          <t>C0102</t>
        </is>
      </c>
      <c r="B103" s="18" t="inlineStr">
        <is>
          <t>Identidad y acceso</t>
        </is>
      </c>
      <c r="C103" s="18" t="inlineStr">
        <is>
          <t>auth</t>
        </is>
      </c>
      <c r="D103" s="18" t="inlineStr">
        <is>
          <t>programas_academicos</t>
        </is>
      </c>
      <c r="E103" s="18" t="n">
        <v>12</v>
      </c>
      <c r="F103" s="18" t="inlineStr">
        <is>
          <t>facultad</t>
        </is>
      </c>
      <c r="G103" s="18" t="inlineStr">
        <is>
          <t>text</t>
        </is>
      </c>
      <c r="H103" s="18" t="inlineStr">
        <is>
          <t>Sí</t>
        </is>
      </c>
      <c r="I103" s="18" t="inlineStr"/>
      <c r="J103" s="18" t="inlineStr"/>
      <c r="K103" s="18" t="inlineStr"/>
      <c r="L103" s="18" t="inlineStr">
        <is>
          <t>No</t>
        </is>
      </c>
      <c r="M103" s="18" t="inlineStr">
        <is>
          <t>No</t>
        </is>
      </c>
      <c r="N103" s="18" t="inlineStr"/>
      <c r="O103" s="18" t="inlineStr"/>
      <c r="P103" s="18" t="inlineStr"/>
      <c r="Q103" s="18" t="inlineStr">
        <is>
          <t>Propuesta semántica</t>
        </is>
      </c>
      <c r="R103" s="18" t="inlineStr">
        <is>
          <t>Nombre de la facultad a la que pertenece el programa.</t>
        </is>
      </c>
      <c r="S103" s="18" t="inlineStr">
        <is>
          <t>Media</t>
        </is>
      </c>
      <c r="T103" s="18" t="inlineStr">
        <is>
          <t>nombre + tipo + columnas vecinas</t>
        </is>
      </c>
      <c r="U103" s="18" t="inlineStr">
        <is>
          <t>¿Se guarda el nombre o el código de la facultad?</t>
        </is>
      </c>
      <c r="V103" s="19" t="inlineStr">
        <is>
          <t>Pendiente</t>
        </is>
      </c>
      <c r="W103" s="19" t="inlineStr"/>
      <c r="X103" s="19" t="inlineStr"/>
      <c r="Y103" s="20" t="n"/>
      <c r="Z103" s="19" t="inlineStr"/>
      <c r="AA103" s="18">
        <f>IF(OR(V103="Aprobada"),R103,IF(AND(OR(V103="Aprobada con ajuste",V103="Rechazada"),W103&lt;&gt;""),W103,""))</f>
        <v/>
      </c>
    </row>
    <row r="104">
      <c r="A104" s="18" t="inlineStr">
        <is>
          <t>C0103</t>
        </is>
      </c>
      <c r="B104" s="18" t="inlineStr">
        <is>
          <t>Identidad y acceso</t>
        </is>
      </c>
      <c r="C104" s="18" t="inlineStr">
        <is>
          <t>auth</t>
        </is>
      </c>
      <c r="D104" s="18" t="inlineStr">
        <is>
          <t>programas_academicos</t>
        </is>
      </c>
      <c r="E104" s="18" t="n">
        <v>12</v>
      </c>
      <c r="F104" s="18" t="inlineStr">
        <is>
          <t>estado</t>
        </is>
      </c>
      <c r="G104" s="18" t="inlineStr">
        <is>
          <t>text</t>
        </is>
      </c>
      <c r="H104" s="18" t="inlineStr">
        <is>
          <t>No</t>
        </is>
      </c>
      <c r="I104" s="18" t="inlineStr"/>
      <c r="J104" s="18" t="inlineStr"/>
      <c r="K104" s="18" t="inlineStr"/>
      <c r="L104" s="18" t="inlineStr">
        <is>
          <t>No</t>
        </is>
      </c>
      <c r="M104" s="18" t="inlineStr">
        <is>
          <t>No</t>
        </is>
      </c>
      <c r="N104" s="18" t="inlineStr"/>
      <c r="O104" s="18" t="inlineStr">
        <is>
          <t>idx_programas_estado</t>
        </is>
      </c>
      <c r="P104" s="18" t="inlineStr"/>
      <c r="Q104" s="18" t="inlineStr">
        <is>
          <t>Regla estructural</t>
        </is>
      </c>
      <c r="R104" s="18" t="inlineStr">
        <is>
          <t>Estado del registro de programas_academicos.</t>
        </is>
      </c>
      <c r="S104" s="18" t="inlineStr">
        <is>
          <t>Media</t>
        </is>
      </c>
      <c r="T104" s="18" t="inlineStr">
        <is>
          <t>Convención de nombre de la columna.</t>
        </is>
      </c>
      <c r="U104" s="18" t="inlineStr"/>
      <c r="V104" s="19" t="inlineStr">
        <is>
          <t>Pendiente</t>
        </is>
      </c>
      <c r="W104" s="19" t="inlineStr"/>
      <c r="X104" s="19" t="inlineStr"/>
      <c r="Y104" s="20" t="n"/>
      <c r="Z104" s="19" t="inlineStr"/>
      <c r="AA104" s="18">
        <f>IF(OR(V104="Aprobada"),R104,IF(AND(OR(V104="Aprobada con ajuste",V104="Rechazada"),W104&lt;&gt;""),W104,""))</f>
        <v/>
      </c>
    </row>
    <row r="105">
      <c r="A105" s="18" t="inlineStr">
        <is>
          <t>C0104</t>
        </is>
      </c>
      <c r="B105" s="18" t="inlineStr">
        <is>
          <t>Identidad y acceso</t>
        </is>
      </c>
      <c r="C105" s="18" t="inlineStr">
        <is>
          <t>auth</t>
        </is>
      </c>
      <c r="D105" s="18" t="inlineStr">
        <is>
          <t>programas_academicos</t>
        </is>
      </c>
      <c r="E105" s="18" t="n">
        <v>12</v>
      </c>
      <c r="F105" s="18" t="inlineStr">
        <is>
          <t>descripcion</t>
        </is>
      </c>
      <c r="G105" s="18" t="inlineStr">
        <is>
          <t>text</t>
        </is>
      </c>
      <c r="H105" s="18" t="inlineStr">
        <is>
          <t>Sí</t>
        </is>
      </c>
      <c r="I105" s="18" t="inlineStr"/>
      <c r="J105" s="18" t="inlineStr"/>
      <c r="K105" s="18" t="inlineStr"/>
      <c r="L105" s="18" t="inlineStr">
        <is>
          <t>No</t>
        </is>
      </c>
      <c r="M105" s="18" t="inlineStr">
        <is>
          <t>No</t>
        </is>
      </c>
      <c r="N105" s="18" t="inlineStr"/>
      <c r="O105" s="18" t="inlineStr"/>
      <c r="P105" s="18" t="inlineStr"/>
      <c r="Q105" s="18" t="inlineStr">
        <is>
          <t>Regla estructural</t>
        </is>
      </c>
      <c r="R105" s="18" t="inlineStr">
        <is>
          <t>Descripción del registro de programas_academicos.</t>
        </is>
      </c>
      <c r="S105" s="18" t="inlineStr">
        <is>
          <t>Media</t>
        </is>
      </c>
      <c r="T105" s="18" t="inlineStr">
        <is>
          <t>Convención de nombre de la columna.</t>
        </is>
      </c>
      <c r="U105" s="18" t="inlineStr"/>
      <c r="V105" s="19" t="inlineStr">
        <is>
          <t>Pendiente</t>
        </is>
      </c>
      <c r="W105" s="19" t="inlineStr"/>
      <c r="X105" s="19" t="inlineStr"/>
      <c r="Y105" s="20" t="n"/>
      <c r="Z105" s="19" t="inlineStr"/>
      <c r="AA105" s="18">
        <f>IF(OR(V105="Aprobada"),R105,IF(AND(OR(V105="Aprobada con ajuste",V105="Rechazada"),W105&lt;&gt;""),W105,""))</f>
        <v/>
      </c>
    </row>
    <row r="106">
      <c r="A106" s="18" t="inlineStr">
        <is>
          <t>C0105</t>
        </is>
      </c>
      <c r="B106" s="18" t="inlineStr">
        <is>
          <t>Identidad y acceso</t>
        </is>
      </c>
      <c r="C106" s="18" t="inlineStr">
        <is>
          <t>auth</t>
        </is>
      </c>
      <c r="D106" s="18" t="inlineStr">
        <is>
          <t>programas_academicos</t>
        </is>
      </c>
      <c r="E106" s="18" t="n">
        <v>12</v>
      </c>
      <c r="F106" s="18" t="inlineStr">
        <is>
          <t>perfil_egresado</t>
        </is>
      </c>
      <c r="G106" s="18" t="inlineStr">
        <is>
          <t>text</t>
        </is>
      </c>
      <c r="H106" s="18" t="inlineStr">
        <is>
          <t>Sí</t>
        </is>
      </c>
      <c r="I106" s="18" t="inlineStr"/>
      <c r="J106" s="18" t="inlineStr"/>
      <c r="K106" s="18" t="inlineStr"/>
      <c r="L106" s="18" t="inlineStr">
        <is>
          <t>No</t>
        </is>
      </c>
      <c r="M106" s="18" t="inlineStr">
        <is>
          <t>No</t>
        </is>
      </c>
      <c r="N106" s="18" t="inlineStr"/>
      <c r="O106" s="18" t="inlineStr"/>
      <c r="P106" s="18" t="inlineStr"/>
      <c r="Q106" s="18" t="inlineStr">
        <is>
          <t>Propuesta semántica</t>
        </is>
      </c>
      <c r="R106" s="18" t="inlineStr">
        <is>
          <t>Descripción del perfil del egresado del programa.</t>
        </is>
      </c>
      <c r="S106" s="18" t="inlineStr">
        <is>
          <t>Alta</t>
        </is>
      </c>
      <c r="T106" s="18" t="inlineStr">
        <is>
          <t>nombre + tipo + columnas vecinas</t>
        </is>
      </c>
      <c r="U106" s="18" t="inlineStr"/>
      <c r="V106" s="19" t="inlineStr">
        <is>
          <t>Pendiente</t>
        </is>
      </c>
      <c r="W106" s="19" t="inlineStr"/>
      <c r="X106" s="19" t="inlineStr"/>
      <c r="Y106" s="20" t="n"/>
      <c r="Z106" s="19" t="inlineStr"/>
      <c r="AA106" s="18">
        <f>IF(OR(V106="Aprobada"),R106,IF(AND(OR(V106="Aprobada con ajuste",V106="Rechazada"),W106&lt;&gt;""),W106,""))</f>
        <v/>
      </c>
    </row>
    <row r="107">
      <c r="A107" s="18" t="inlineStr">
        <is>
          <t>C0106</t>
        </is>
      </c>
      <c r="B107" s="18" t="inlineStr">
        <is>
          <t>Identidad y acceso</t>
        </is>
      </c>
      <c r="C107" s="18" t="inlineStr">
        <is>
          <t>auth</t>
        </is>
      </c>
      <c r="D107" s="18" t="inlineStr">
        <is>
          <t>programas_academicos</t>
        </is>
      </c>
      <c r="E107" s="18" t="n">
        <v>12</v>
      </c>
      <c r="F107" s="18" t="inlineStr">
        <is>
          <t>requisitos_ingreso</t>
        </is>
      </c>
      <c r="G107" s="18" t="inlineStr">
        <is>
          <t>text[]</t>
        </is>
      </c>
      <c r="H107" s="18" t="inlineStr">
        <is>
          <t>Sí</t>
        </is>
      </c>
      <c r="I107" s="18" t="inlineStr"/>
      <c r="J107" s="18" t="inlineStr"/>
      <c r="K107" s="18" t="inlineStr"/>
      <c r="L107" s="18" t="inlineStr">
        <is>
          <t>No</t>
        </is>
      </c>
      <c r="M107" s="18" t="inlineStr">
        <is>
          <t>No</t>
        </is>
      </c>
      <c r="N107" s="18" t="inlineStr"/>
      <c r="O107" s="18" t="inlineStr"/>
      <c r="P107" s="18" t="inlineStr"/>
      <c r="Q107" s="18" t="inlineStr">
        <is>
          <t>Propuesta semántica</t>
        </is>
      </c>
      <c r="R107" s="18" t="inlineStr">
        <is>
          <t>Lista de requisitos de ingreso al programa.</t>
        </is>
      </c>
      <c r="S107" s="18" t="inlineStr">
        <is>
          <t>Alta</t>
        </is>
      </c>
      <c r="T107" s="18" t="inlineStr">
        <is>
          <t>nombre + tipo + columnas vecinas (text[])</t>
        </is>
      </c>
      <c r="U107" s="18" t="inlineStr"/>
      <c r="V107" s="19" t="inlineStr">
        <is>
          <t>Pendiente</t>
        </is>
      </c>
      <c r="W107" s="19" t="inlineStr"/>
      <c r="X107" s="19" t="inlineStr"/>
      <c r="Y107" s="20" t="n"/>
      <c r="Z107" s="19" t="inlineStr"/>
      <c r="AA107" s="18">
        <f>IF(OR(V107="Aprobada"),R107,IF(AND(OR(V107="Aprobada con ajuste",V107="Rechazada"),W107&lt;&gt;""),W107,""))</f>
        <v/>
      </c>
    </row>
    <row r="108">
      <c r="A108" s="18" t="inlineStr">
        <is>
          <t>C0107</t>
        </is>
      </c>
      <c r="B108" s="18" t="inlineStr">
        <is>
          <t>Identidad y acceso</t>
        </is>
      </c>
      <c r="C108" s="18" t="inlineStr">
        <is>
          <t>auth</t>
        </is>
      </c>
      <c r="D108" s="18" t="inlineStr">
        <is>
          <t>programas_academicos</t>
        </is>
      </c>
      <c r="E108" s="18" t="n">
        <v>12</v>
      </c>
      <c r="F108" s="18" t="inlineStr">
        <is>
          <t>costo_matricula</t>
        </is>
      </c>
      <c r="G108" s="18" t="inlineStr">
        <is>
          <t>numeric(14,2)</t>
        </is>
      </c>
      <c r="H108" s="18" t="inlineStr">
        <is>
          <t>Sí</t>
        </is>
      </c>
      <c r="I108" s="18" t="inlineStr"/>
      <c r="J108" s="18" t="inlineStr"/>
      <c r="K108" s="18" t="inlineStr"/>
      <c r="L108" s="18" t="inlineStr">
        <is>
          <t>No</t>
        </is>
      </c>
      <c r="M108" s="18" t="inlineStr">
        <is>
          <t>No</t>
        </is>
      </c>
      <c r="N108" s="18" t="inlineStr"/>
      <c r="O108" s="18" t="inlineStr"/>
      <c r="P108" s="18" t="inlineStr"/>
      <c r="Q108" s="18" t="inlineStr">
        <is>
          <t>Propuesta semántica</t>
        </is>
      </c>
      <c r="R108" s="18" t="inlineStr">
        <is>
          <t>Valor de la matrícula del programa, en pesos colombianos.</t>
        </is>
      </c>
      <c r="S108" s="18" t="inlineStr">
        <is>
          <t>Media</t>
        </is>
      </c>
      <c r="T108" s="18" t="inlineStr">
        <is>
          <t>nombre + tipo + columnas vecinas</t>
        </is>
      </c>
      <c r="U108" s="18" t="inlineStr">
        <is>
          <t>¿El valor es por semestre y en pesos colombianos?</t>
        </is>
      </c>
      <c r="V108" s="19" t="inlineStr">
        <is>
          <t>Pendiente</t>
        </is>
      </c>
      <c r="W108" s="19" t="inlineStr"/>
      <c r="X108" s="19" t="inlineStr"/>
      <c r="Y108" s="20" t="n"/>
      <c r="Z108" s="19" t="inlineStr"/>
      <c r="AA108" s="18">
        <f>IF(OR(V108="Aprobada"),R108,IF(AND(OR(V108="Aprobada con ajuste",V108="Rechazada"),W108&lt;&gt;""),W108,""))</f>
        <v/>
      </c>
    </row>
    <row r="109">
      <c r="A109" s="18" t="inlineStr">
        <is>
          <t>C0108</t>
        </is>
      </c>
      <c r="B109" s="18" t="inlineStr">
        <is>
          <t>Identidad y acceso</t>
        </is>
      </c>
      <c r="C109" s="18" t="inlineStr">
        <is>
          <t>auth</t>
        </is>
      </c>
      <c r="D109" s="18" t="inlineStr">
        <is>
          <t>programas_academicos</t>
        </is>
      </c>
      <c r="E109" s="18" t="n">
        <v>12</v>
      </c>
      <c r="F109" s="18" t="inlineStr">
        <is>
          <t>estudiantes_activos</t>
        </is>
      </c>
      <c r="G109" s="18" t="inlineStr">
        <is>
          <t>integer</t>
        </is>
      </c>
      <c r="H109" s="18" t="inlineStr">
        <is>
          <t>Sí</t>
        </is>
      </c>
      <c r="I109" s="18" t="inlineStr"/>
      <c r="J109" s="18" t="inlineStr"/>
      <c r="K109" s="18" t="inlineStr"/>
      <c r="L109" s="18" t="inlineStr">
        <is>
          <t>No</t>
        </is>
      </c>
      <c r="M109" s="18" t="inlineStr">
        <is>
          <t>No</t>
        </is>
      </c>
      <c r="N109" s="18" t="inlineStr"/>
      <c r="O109" s="18" t="inlineStr"/>
      <c r="P109" s="18" t="inlineStr"/>
      <c r="Q109" s="18" t="inlineStr">
        <is>
          <t>Propuesta semántica</t>
        </is>
      </c>
      <c r="R109" s="18" t="inlineStr">
        <is>
          <t>Número de estudiantes activos en el programa. Por defecto, 0.</t>
        </is>
      </c>
      <c r="S109" s="18" t="inlineStr">
        <is>
          <t>Media</t>
        </is>
      </c>
      <c r="T109" s="18" t="inlineStr">
        <is>
          <t>nombre + tipo + columnas vecinas</t>
        </is>
      </c>
      <c r="U109" s="18" t="inlineStr">
        <is>
          <t>¿Este conteo se actualiza automáticamente o se registra a mano?</t>
        </is>
      </c>
      <c r="V109" s="19" t="inlineStr">
        <is>
          <t>Pendiente</t>
        </is>
      </c>
      <c r="W109" s="19" t="inlineStr"/>
      <c r="X109" s="19" t="inlineStr"/>
      <c r="Y109" s="20" t="n"/>
      <c r="Z109" s="19" t="inlineStr"/>
      <c r="AA109" s="18">
        <f>IF(OR(V109="Aprobada"),R109,IF(AND(OR(V109="Aprobada con ajuste",V109="Rechazada"),W109&lt;&gt;""),W109,""))</f>
        <v/>
      </c>
    </row>
    <row r="110">
      <c r="A110" s="18" t="inlineStr">
        <is>
          <t>C0109</t>
        </is>
      </c>
      <c r="B110" s="18" t="inlineStr">
        <is>
          <t>Identidad y acceso</t>
        </is>
      </c>
      <c r="C110" s="18" t="inlineStr">
        <is>
          <t>auth</t>
        </is>
      </c>
      <c r="D110" s="18" t="inlineStr">
        <is>
          <t>programas_academicos</t>
        </is>
      </c>
      <c r="E110" s="18" t="n">
        <v>12</v>
      </c>
      <c r="F110" s="18" t="inlineStr">
        <is>
          <t>graduados</t>
        </is>
      </c>
      <c r="G110" s="18" t="inlineStr">
        <is>
          <t>integer</t>
        </is>
      </c>
      <c r="H110" s="18" t="inlineStr">
        <is>
          <t>Sí</t>
        </is>
      </c>
      <c r="I110" s="18" t="inlineStr"/>
      <c r="J110" s="18" t="inlineStr"/>
      <c r="K110" s="18" t="inlineStr"/>
      <c r="L110" s="18" t="inlineStr">
        <is>
          <t>No</t>
        </is>
      </c>
      <c r="M110" s="18" t="inlineStr">
        <is>
          <t>No</t>
        </is>
      </c>
      <c r="N110" s="18" t="inlineStr"/>
      <c r="O110" s="18" t="inlineStr"/>
      <c r="P110" s="18" t="inlineStr"/>
      <c r="Q110" s="18" t="inlineStr">
        <is>
          <t>Propuesta semántica</t>
        </is>
      </c>
      <c r="R110" s="18" t="inlineStr">
        <is>
          <t>Número de graduados del programa. Por defecto, 0.</t>
        </is>
      </c>
      <c r="S110" s="18" t="inlineStr">
        <is>
          <t>Media</t>
        </is>
      </c>
      <c r="T110" s="18" t="inlineStr">
        <is>
          <t>nombre + tipo + columnas vecinas</t>
        </is>
      </c>
      <c r="U110" s="18" t="inlineStr">
        <is>
          <t>¿Este conteo se actualiza automáticamente o se registra a mano?</t>
        </is>
      </c>
      <c r="V110" s="19" t="inlineStr">
        <is>
          <t>Pendiente</t>
        </is>
      </c>
      <c r="W110" s="19" t="inlineStr"/>
      <c r="X110" s="19" t="inlineStr"/>
      <c r="Y110" s="20" t="n"/>
      <c r="Z110" s="19" t="inlineStr"/>
      <c r="AA110" s="18">
        <f>IF(OR(V110="Aprobada"),R110,IF(AND(OR(V110="Aprobada con ajuste",V110="Rechazada"),W110&lt;&gt;""),W110,""))</f>
        <v/>
      </c>
    </row>
    <row r="111">
      <c r="A111" s="18" t="inlineStr">
        <is>
          <t>C0110</t>
        </is>
      </c>
      <c r="B111" s="18" t="inlineStr">
        <is>
          <t>Identidad y acceso</t>
        </is>
      </c>
      <c r="C111" s="18" t="inlineStr">
        <is>
          <t>auth</t>
        </is>
      </c>
      <c r="D111" s="18" t="inlineStr">
        <is>
          <t>programas_academicos</t>
        </is>
      </c>
      <c r="E111" s="18" t="n">
        <v>12</v>
      </c>
      <c r="F111" s="18" t="inlineStr">
        <is>
          <t>docentes_asignados</t>
        </is>
      </c>
      <c r="G111" s="18" t="inlineStr">
        <is>
          <t>integer</t>
        </is>
      </c>
      <c r="H111" s="18" t="inlineStr">
        <is>
          <t>Sí</t>
        </is>
      </c>
      <c r="I111" s="18" t="inlineStr"/>
      <c r="J111" s="18" t="inlineStr"/>
      <c r="K111" s="18" t="inlineStr"/>
      <c r="L111" s="18" t="inlineStr">
        <is>
          <t>No</t>
        </is>
      </c>
      <c r="M111" s="18" t="inlineStr">
        <is>
          <t>No</t>
        </is>
      </c>
      <c r="N111" s="18" t="inlineStr"/>
      <c r="O111" s="18" t="inlineStr"/>
      <c r="P111" s="18" t="inlineStr"/>
      <c r="Q111" s="18" t="inlineStr">
        <is>
          <t>Propuesta semántica</t>
        </is>
      </c>
      <c r="R111" s="18" t="inlineStr">
        <is>
          <t>Número de docentes asignados al programa. Por defecto, 0.</t>
        </is>
      </c>
      <c r="S111" s="18" t="inlineStr">
        <is>
          <t>Media</t>
        </is>
      </c>
      <c r="T111" s="18" t="inlineStr">
        <is>
          <t>nombre + tipo + columnas vecinas</t>
        </is>
      </c>
      <c r="U111" s="18" t="inlineStr">
        <is>
          <t>¿Este conteo se actualiza automáticamente o se registra a mano?</t>
        </is>
      </c>
      <c r="V111" s="19" t="inlineStr">
        <is>
          <t>Pendiente</t>
        </is>
      </c>
      <c r="W111" s="19" t="inlineStr"/>
      <c r="X111" s="19" t="inlineStr"/>
      <c r="Y111" s="20" t="n"/>
      <c r="Z111" s="19" t="inlineStr"/>
      <c r="AA111" s="18">
        <f>IF(OR(V111="Aprobada"),R111,IF(AND(OR(V111="Aprobada con ajuste",V111="Rechazada"),W111&lt;&gt;""),W111,""))</f>
        <v/>
      </c>
    </row>
    <row r="112">
      <c r="A112" s="18" t="inlineStr">
        <is>
          <t>C0111</t>
        </is>
      </c>
      <c r="B112" s="18" t="inlineStr">
        <is>
          <t>Identidad y acceso</t>
        </is>
      </c>
      <c r="C112" s="18" t="inlineStr">
        <is>
          <t>auth</t>
        </is>
      </c>
      <c r="D112" s="18" t="inlineStr">
        <is>
          <t>programas_academicos</t>
        </is>
      </c>
      <c r="E112" s="18" t="n">
        <v>12</v>
      </c>
      <c r="F112" s="18" t="inlineStr">
        <is>
          <t>ultima_actualizacion</t>
        </is>
      </c>
      <c r="G112" s="18" t="inlineStr">
        <is>
          <t>date</t>
        </is>
      </c>
      <c r="H112" s="18" t="inlineStr">
        <is>
          <t>Sí</t>
        </is>
      </c>
      <c r="I112" s="18" t="inlineStr"/>
      <c r="J112" s="18" t="inlineStr"/>
      <c r="K112" s="18" t="inlineStr"/>
      <c r="L112" s="18" t="inlineStr">
        <is>
          <t>No</t>
        </is>
      </c>
      <c r="M112" s="18" t="inlineStr">
        <is>
          <t>No</t>
        </is>
      </c>
      <c r="N112" s="18" t="inlineStr"/>
      <c r="O112" s="18" t="inlineStr"/>
      <c r="P112" s="18" t="inlineStr"/>
      <c r="Q112" s="18" t="inlineStr">
        <is>
          <t>Propuesta semántica</t>
        </is>
      </c>
      <c r="R112" s="18" t="inlineStr">
        <is>
          <t>Fecha de la última actualización de la información del programa. Por defecto, la fecha actual.</t>
        </is>
      </c>
      <c r="S112" s="18" t="inlineStr">
        <is>
          <t>Media</t>
        </is>
      </c>
      <c r="T112" s="18" t="inlineStr">
        <is>
          <t>nombre + tipo + columnas vecinas (actualizado_en)</t>
        </is>
      </c>
      <c r="U112" s="18" t="inlineStr">
        <is>
          <t>¿En qué se diferencia de actualizado_en?</t>
        </is>
      </c>
      <c r="V112" s="19" t="inlineStr">
        <is>
          <t>Pendiente</t>
        </is>
      </c>
      <c r="W112" s="19" t="inlineStr"/>
      <c r="X112" s="19" t="inlineStr"/>
      <c r="Y112" s="20" t="n"/>
      <c r="Z112" s="19" t="inlineStr"/>
      <c r="AA112" s="18">
        <f>IF(OR(V112="Aprobada"),R112,IF(AND(OR(V112="Aprobada con ajuste",V112="Rechazada"),W112&lt;&gt;""),W112,""))</f>
        <v/>
      </c>
    </row>
    <row r="113">
      <c r="A113" s="18" t="inlineStr">
        <is>
          <t>C0112</t>
        </is>
      </c>
      <c r="B113" s="18" t="inlineStr">
        <is>
          <t>Identidad y acceso</t>
        </is>
      </c>
      <c r="C113" s="18" t="inlineStr">
        <is>
          <t>auth</t>
        </is>
      </c>
      <c r="D113" s="18" t="inlineStr">
        <is>
          <t>registros_calificados</t>
        </is>
      </c>
      <c r="E113" s="18" t="n">
        <v>12</v>
      </c>
      <c r="F113" s="18" t="inlineStr">
        <is>
          <t>numero</t>
        </is>
      </c>
      <c r="G113" s="18" t="inlineStr">
        <is>
          <t>text</t>
        </is>
      </c>
      <c r="H113" s="18" t="inlineStr">
        <is>
          <t>No</t>
        </is>
      </c>
      <c r="I113" s="18" t="inlineStr"/>
      <c r="J113" s="18" t="inlineStr"/>
      <c r="K113" s="18" t="inlineStr"/>
      <c r="L113" s="18" t="inlineStr">
        <is>
          <t>No</t>
        </is>
      </c>
      <c r="M113" s="18" t="inlineStr">
        <is>
          <t>No</t>
        </is>
      </c>
      <c r="N113" s="18" t="inlineStr"/>
      <c r="O113" s="18" t="inlineStr"/>
      <c r="P113" s="18" t="inlineStr"/>
      <c r="Q113" s="18" t="inlineStr">
        <is>
          <t>Regla estructural</t>
        </is>
      </c>
      <c r="R113" s="18" t="inlineStr">
        <is>
          <t>Número asignado al registro.</t>
        </is>
      </c>
      <c r="S113" s="18" t="inlineStr">
        <is>
          <t>Media</t>
        </is>
      </c>
      <c r="T113" s="18" t="inlineStr">
        <is>
          <t>Convención de nombre de la columna.</t>
        </is>
      </c>
      <c r="U113" s="18" t="inlineStr"/>
      <c r="V113" s="19" t="inlineStr">
        <is>
          <t>Pendiente</t>
        </is>
      </c>
      <c r="W113" s="19" t="inlineStr"/>
      <c r="X113" s="19" t="inlineStr"/>
      <c r="Y113" s="20" t="n"/>
      <c r="Z113" s="19" t="inlineStr"/>
      <c r="AA113" s="18">
        <f>IF(OR(V113="Aprobada"),R113,IF(AND(OR(V113="Aprobada con ajuste",V113="Rechazada"),W113&lt;&gt;""),W113,""))</f>
        <v/>
      </c>
    </row>
    <row r="114">
      <c r="A114" s="18" t="inlineStr">
        <is>
          <t>C0113</t>
        </is>
      </c>
      <c r="B114" s="18" t="inlineStr">
        <is>
          <t>Identidad y acceso</t>
        </is>
      </c>
      <c r="C114" s="18" t="inlineStr">
        <is>
          <t>auth</t>
        </is>
      </c>
      <c r="D114" s="18" t="inlineStr">
        <is>
          <t>registros_calificados</t>
        </is>
      </c>
      <c r="E114" s="18" t="n">
        <v>12</v>
      </c>
      <c r="F114" s="18" t="inlineStr">
        <is>
          <t>fecha_emision</t>
        </is>
      </c>
      <c r="G114" s="18" t="inlineStr">
        <is>
          <t>date</t>
        </is>
      </c>
      <c r="H114" s="18" t="inlineStr">
        <is>
          <t>No</t>
        </is>
      </c>
      <c r="I114" s="18" t="inlineStr"/>
      <c r="J114" s="18" t="inlineStr"/>
      <c r="K114" s="18" t="inlineStr"/>
      <c r="L114" s="18" t="inlineStr">
        <is>
          <t>No</t>
        </is>
      </c>
      <c r="M114" s="18" t="inlineStr">
        <is>
          <t>No</t>
        </is>
      </c>
      <c r="N114" s="18" t="inlineStr"/>
      <c r="O114" s="18" t="inlineStr"/>
      <c r="P114" s="18" t="inlineStr"/>
      <c r="Q114" s="18" t="inlineStr">
        <is>
          <t>Regla estructural</t>
        </is>
      </c>
      <c r="R114" s="18" t="inlineStr">
        <is>
          <t>Fecha de emisión.</t>
        </is>
      </c>
      <c r="S114" s="18" t="inlineStr">
        <is>
          <t>Media</t>
        </is>
      </c>
      <c r="T114" s="18" t="inlineStr">
        <is>
          <t>Convención de nombre de la columna.</t>
        </is>
      </c>
      <c r="U114" s="18" t="inlineStr"/>
      <c r="V114" s="19" t="inlineStr">
        <is>
          <t>Pendiente</t>
        </is>
      </c>
      <c r="W114" s="19" t="inlineStr"/>
      <c r="X114" s="19" t="inlineStr"/>
      <c r="Y114" s="20" t="n"/>
      <c r="Z114" s="19" t="inlineStr"/>
      <c r="AA114" s="18">
        <f>IF(OR(V114="Aprobada"),R114,IF(AND(OR(V114="Aprobada con ajuste",V114="Rechazada"),W114&lt;&gt;""),W114,""))</f>
        <v/>
      </c>
    </row>
    <row r="115">
      <c r="A115" s="18" t="inlineStr">
        <is>
          <t>C0114</t>
        </is>
      </c>
      <c r="B115" s="18" t="inlineStr">
        <is>
          <t>Identidad y acceso</t>
        </is>
      </c>
      <c r="C115" s="18" t="inlineStr">
        <is>
          <t>auth</t>
        </is>
      </c>
      <c r="D115" s="18" t="inlineStr">
        <is>
          <t>registros_calificados</t>
        </is>
      </c>
      <c r="E115" s="18" t="n">
        <v>12</v>
      </c>
      <c r="F115" s="18" t="inlineStr">
        <is>
          <t>vigencia</t>
        </is>
      </c>
      <c r="G115" s="18" t="inlineStr">
        <is>
          <t>date</t>
        </is>
      </c>
      <c r="H115" s="18" t="inlineStr">
        <is>
          <t>No</t>
        </is>
      </c>
      <c r="I115" s="18" t="inlineStr"/>
      <c r="J115" s="18" t="inlineStr"/>
      <c r="K115" s="18" t="inlineStr"/>
      <c r="L115" s="18" t="inlineStr">
        <is>
          <t>No</t>
        </is>
      </c>
      <c r="M115" s="18" t="inlineStr">
        <is>
          <t>No</t>
        </is>
      </c>
      <c r="N115" s="18" t="inlineStr"/>
      <c r="O115" s="18" t="inlineStr"/>
      <c r="P115" s="18" t="inlineStr"/>
      <c r="Q115" s="18" t="inlineStr">
        <is>
          <t>Regla estructural</t>
        </is>
      </c>
      <c r="R115" s="18" t="inlineStr">
        <is>
          <t>Vigencia (año).</t>
        </is>
      </c>
      <c r="S115" s="18" t="inlineStr">
        <is>
          <t>Media</t>
        </is>
      </c>
      <c r="T115" s="18" t="inlineStr">
        <is>
          <t>Convención de nombre de la columna.</t>
        </is>
      </c>
      <c r="U115" s="18" t="inlineStr"/>
      <c r="V115" s="19" t="inlineStr">
        <is>
          <t>Pendiente</t>
        </is>
      </c>
      <c r="W115" s="19" t="inlineStr"/>
      <c r="X115" s="19" t="inlineStr"/>
      <c r="Y115" s="20" t="n"/>
      <c r="Z115" s="19" t="inlineStr"/>
      <c r="AA115" s="18">
        <f>IF(OR(V115="Aprobada"),R115,IF(AND(OR(V115="Aprobada con ajuste",V115="Rechazada"),W115&lt;&gt;""),W115,""))</f>
        <v/>
      </c>
    </row>
    <row r="116">
      <c r="A116" s="18" t="inlineStr">
        <is>
          <t>C0115</t>
        </is>
      </c>
      <c r="B116" s="18" t="inlineStr">
        <is>
          <t>Identidad y acceso</t>
        </is>
      </c>
      <c r="C116" s="18" t="inlineStr">
        <is>
          <t>auth</t>
        </is>
      </c>
      <c r="D116" s="18" t="inlineStr">
        <is>
          <t>role</t>
        </is>
      </c>
      <c r="E116" s="18" t="n">
        <v>132</v>
      </c>
      <c r="F116" s="18" t="inlineStr">
        <is>
          <t>code</t>
        </is>
      </c>
      <c r="G116" s="18" t="inlineStr">
        <is>
          <t>character varying(50)</t>
        </is>
      </c>
      <c r="H116" s="18" t="inlineStr">
        <is>
          <t>No</t>
        </is>
      </c>
      <c r="I116" s="18" t="inlineStr">
        <is>
          <t>Única</t>
        </is>
      </c>
      <c r="J116" s="18" t="inlineStr"/>
      <c r="K116" s="18" t="inlineStr"/>
      <c r="L116" s="18" t="inlineStr">
        <is>
          <t>No</t>
        </is>
      </c>
      <c r="M116" s="18" t="inlineStr">
        <is>
          <t>Sí</t>
        </is>
      </c>
      <c r="N116" s="18" t="inlineStr">
        <is>
          <t>Vista hiring.roles_del_modulo</t>
        </is>
      </c>
      <c r="O116" s="18" t="inlineStr">
        <is>
          <t>role_code_key</t>
        </is>
      </c>
      <c r="P116" s="18" t="inlineStr">
        <is>
          <t>db/init/old/001_schema_auth.sql:452: código técnico del rol (para backend) | Validación: IsString, Matches(/^\d{6}$/, { message: 'El código debe tener 6 dígitos' })</t>
        </is>
      </c>
      <c r="Q116" s="18" t="inlineStr">
        <is>
          <t>Código fuente</t>
        </is>
      </c>
      <c r="R116" s="18" t="inlineStr">
        <is>
          <t>Código técnico único del rol, de seis dígitos, usado por el backend.</t>
        </is>
      </c>
      <c r="S116" s="18" t="inlineStr">
        <is>
          <t>Alta</t>
        </is>
      </c>
      <c r="T116" s="18" t="inlineStr">
        <is>
          <t>código: db/init/old/001_schema_auth.sql:452</t>
        </is>
      </c>
      <c r="U116" s="18" t="inlineStr"/>
      <c r="V116" s="19" t="inlineStr">
        <is>
          <t>Pendiente</t>
        </is>
      </c>
      <c r="W116" s="19" t="inlineStr"/>
      <c r="X116" s="19" t="inlineStr"/>
      <c r="Y116" s="20" t="n"/>
      <c r="Z116" s="19" t="inlineStr"/>
      <c r="AA116" s="18">
        <f>IF(OR(V116="Aprobada"),R116,IF(AND(OR(V116="Aprobada con ajuste",V116="Rechazada"),W116&lt;&gt;""),W116,""))</f>
        <v/>
      </c>
    </row>
    <row r="117">
      <c r="A117" s="18" t="inlineStr">
        <is>
          <t>C0116</t>
        </is>
      </c>
      <c r="B117" s="18" t="inlineStr">
        <is>
          <t>Identidad y acceso</t>
        </is>
      </c>
      <c r="C117" s="18" t="inlineStr">
        <is>
          <t>auth</t>
        </is>
      </c>
      <c r="D117" s="18" t="inlineStr">
        <is>
          <t>role</t>
        </is>
      </c>
      <c r="E117" s="18" t="n">
        <v>132</v>
      </c>
      <c r="F117" s="18" t="inlineStr">
        <is>
          <t>name</t>
        </is>
      </c>
      <c r="G117" s="18" t="inlineStr">
        <is>
          <t>character varying(100)</t>
        </is>
      </c>
      <c r="H117" s="18" t="inlineStr">
        <is>
          <t>No</t>
        </is>
      </c>
      <c r="I117" s="18" t="inlineStr">
        <is>
          <t>Única</t>
        </is>
      </c>
      <c r="J117" s="18" t="inlineStr"/>
      <c r="K117" s="18" t="inlineStr"/>
      <c r="L117" s="18" t="inlineStr">
        <is>
          <t>No</t>
        </is>
      </c>
      <c r="M117" s="18" t="inlineStr">
        <is>
          <t>Sí</t>
        </is>
      </c>
      <c r="N117" s="18" t="inlineStr">
        <is>
          <t>Vista hiring.roles_del_modulo</t>
        </is>
      </c>
      <c r="O117" s="18" t="inlineStr">
        <is>
          <t>role_name_key</t>
        </is>
      </c>
      <c r="P117" s="18" t="inlineStr">
        <is>
          <t>db/init/old/001_schema_auth.sql:453: nombre visible en UI | Validación: IsOptional, IsString</t>
        </is>
      </c>
      <c r="Q117" s="18" t="inlineStr">
        <is>
          <t>Código fuente</t>
        </is>
      </c>
      <c r="R117" s="18" t="inlineStr">
        <is>
          <t>Nombre único del rol que se muestra en la interfaz.</t>
        </is>
      </c>
      <c r="S117" s="18" t="inlineStr">
        <is>
          <t>Alta</t>
        </is>
      </c>
      <c r="T117" s="18" t="inlineStr">
        <is>
          <t>código: db/init/old/001_schema_auth.sql:453</t>
        </is>
      </c>
      <c r="U117" s="18" t="inlineStr"/>
      <c r="V117" s="19" t="inlineStr">
        <is>
          <t>Pendiente</t>
        </is>
      </c>
      <c r="W117" s="19" t="inlineStr"/>
      <c r="X117" s="19" t="inlineStr"/>
      <c r="Y117" s="20" t="n"/>
      <c r="Z117" s="19" t="inlineStr"/>
      <c r="AA117" s="18">
        <f>IF(OR(V117="Aprobada"),R117,IF(AND(OR(V117="Aprobada con ajuste",V117="Rechazada"),W117&lt;&gt;""),W117,""))</f>
        <v/>
      </c>
    </row>
    <row r="118">
      <c r="A118" s="18" t="inlineStr">
        <is>
          <t>C0117</t>
        </is>
      </c>
      <c r="B118" s="18" t="inlineStr">
        <is>
          <t>Identidad y acceso</t>
        </is>
      </c>
      <c r="C118" s="18" t="inlineStr">
        <is>
          <t>auth</t>
        </is>
      </c>
      <c r="D118" s="18" t="inlineStr">
        <is>
          <t>role</t>
        </is>
      </c>
      <c r="E118" s="18" t="n">
        <v>132</v>
      </c>
      <c r="F118" s="18" t="inlineStr">
        <is>
          <t>description</t>
        </is>
      </c>
      <c r="G118" s="18" t="inlineStr">
        <is>
          <t>text</t>
        </is>
      </c>
      <c r="H118" s="18" t="inlineStr">
        <is>
          <t>Sí</t>
        </is>
      </c>
      <c r="I118" s="18" t="inlineStr"/>
      <c r="J118" s="18" t="inlineStr"/>
      <c r="K118" s="18" t="inlineStr"/>
      <c r="L118" s="18" t="inlineStr">
        <is>
          <t>No</t>
        </is>
      </c>
      <c r="M118" s="18" t="inlineStr">
        <is>
          <t>No</t>
        </is>
      </c>
      <c r="N118" s="18" t="inlineStr"/>
      <c r="O118" s="18" t="inlineStr"/>
      <c r="P118" s="18" t="inlineStr">
        <is>
          <t>Mapeada en auth-service/src/users/role.entity.ts:16 (Role.description) | Validación: IsOptional, IsString</t>
        </is>
      </c>
      <c r="Q118" s="18" t="inlineStr">
        <is>
          <t>Regla estructural</t>
        </is>
      </c>
      <c r="R118" s="18" t="inlineStr">
        <is>
          <t>Descripción del registro de role.</t>
        </is>
      </c>
      <c r="S118" s="18" t="inlineStr">
        <is>
          <t>Media</t>
        </is>
      </c>
      <c r="T118" s="18" t="inlineStr">
        <is>
          <t>Convención de nombre de la columna.</t>
        </is>
      </c>
      <c r="U118" s="18" t="inlineStr"/>
      <c r="V118" s="19" t="inlineStr">
        <is>
          <t>Pendiente</t>
        </is>
      </c>
      <c r="W118" s="19" t="inlineStr"/>
      <c r="X118" s="19" t="inlineStr"/>
      <c r="Y118" s="20" t="n"/>
      <c r="Z118" s="19" t="inlineStr"/>
      <c r="AA118" s="18">
        <f>IF(OR(V118="Aprobada"),R118,IF(AND(OR(V118="Aprobada con ajuste",V118="Rechazada"),W118&lt;&gt;""),W118,""))</f>
        <v/>
      </c>
    </row>
    <row r="119">
      <c r="A119" s="18" t="inlineStr">
        <is>
          <t>C0118</t>
        </is>
      </c>
      <c r="B119" s="18" t="inlineStr">
        <is>
          <t>Identidad y acceso</t>
        </is>
      </c>
      <c r="C119" s="18" t="inlineStr">
        <is>
          <t>auth</t>
        </is>
      </c>
      <c r="D119" s="18" t="inlineStr">
        <is>
          <t>role</t>
        </is>
      </c>
      <c r="E119" s="18" t="n">
        <v>132</v>
      </c>
      <c r="F119" s="18" t="inlineStr">
        <is>
          <t>category</t>
        </is>
      </c>
      <c r="G119" s="18" t="inlineStr">
        <is>
          <t>character varying(20)</t>
        </is>
      </c>
      <c r="H119" s="18" t="inlineStr">
        <is>
          <t>No</t>
        </is>
      </c>
      <c r="I119" s="18" t="inlineStr"/>
      <c r="J119" s="18" t="inlineStr"/>
      <c r="K119" s="18" t="inlineStr"/>
      <c r="L119" s="18" t="inlineStr">
        <is>
          <t>No</t>
        </is>
      </c>
      <c r="M119" s="18" t="inlineStr">
        <is>
          <t>No</t>
        </is>
      </c>
      <c r="N119" s="18" t="inlineStr"/>
      <c r="O119" s="18" t="inlineStr"/>
      <c r="P119" s="18" t="inlineStr">
        <is>
          <t>db/init/old/001_schema_auth.sql:455: academico | administrativo | directivo | operativo | sistema | Validación: IsIn(['backoffice', 'portal']), IsOptional</t>
        </is>
      </c>
      <c r="Q119" s="18" t="inlineStr">
        <is>
          <t>Código fuente</t>
        </is>
      </c>
      <c r="R119" s="18" t="inlineStr">
        <is>
          <t>Categoría del rol. Valores previstos en el comentario SQL: academico, administrativo, directivo, operativo, sistema.</t>
        </is>
      </c>
      <c r="S119" s="18" t="inlineStr">
        <is>
          <t>Media</t>
        </is>
      </c>
      <c r="T119" s="18" t="inlineStr">
        <is>
          <t>código: db/init/old/001_schema_auth.sql:455</t>
        </is>
      </c>
      <c r="U119" s="18" t="inlineStr">
        <is>
          <t>El comentario SQL indica academico, administrativo, directivo, operativo y sistema, pero la validación acepta backoffice y portal: ¿cuáles valores están vigentes?</t>
        </is>
      </c>
      <c r="V119" s="19" t="inlineStr">
        <is>
          <t>Pendiente</t>
        </is>
      </c>
      <c r="W119" s="19" t="inlineStr"/>
      <c r="X119" s="19" t="inlineStr"/>
      <c r="Y119" s="20" t="n"/>
      <c r="Z119" s="19" t="inlineStr"/>
      <c r="AA119" s="18">
        <f>IF(OR(V119="Aprobada"),R119,IF(AND(OR(V119="Aprobada con ajuste",V119="Rechazada"),W119&lt;&gt;""),W119,""))</f>
        <v/>
      </c>
    </row>
    <row r="120">
      <c r="A120" s="18" t="inlineStr">
        <is>
          <t>C0119</t>
        </is>
      </c>
      <c r="B120" s="18" t="inlineStr">
        <is>
          <t>Identidad y acceso</t>
        </is>
      </c>
      <c r="C120" s="18" t="inlineStr">
        <is>
          <t>auth</t>
        </is>
      </c>
      <c r="D120" s="18" t="inlineStr">
        <is>
          <t>role</t>
        </is>
      </c>
      <c r="E120" s="18" t="n">
        <v>132</v>
      </c>
      <c r="F120" s="18" t="inlineStr">
        <is>
          <t>icon</t>
        </is>
      </c>
      <c r="G120" s="18" t="inlineStr">
        <is>
          <t>character varying(50)</t>
        </is>
      </c>
      <c r="H120" s="18" t="inlineStr">
        <is>
          <t>Sí</t>
        </is>
      </c>
      <c r="I120" s="18" t="inlineStr"/>
      <c r="J120" s="18" t="inlineStr"/>
      <c r="K120" s="18" t="inlineStr"/>
      <c r="L120" s="18" t="inlineStr">
        <is>
          <t>No</t>
        </is>
      </c>
      <c r="M120" s="18" t="inlineStr">
        <is>
          <t>No</t>
        </is>
      </c>
      <c r="N120" s="18" t="inlineStr"/>
      <c r="O120" s="18" t="inlineStr"/>
      <c r="P120" s="18" t="inlineStr">
        <is>
          <t>db/init/old/001_schema_auth.sql:456: ícono del rol | Validación: IsOptional, IsString</t>
        </is>
      </c>
      <c r="Q120" s="18" t="inlineStr">
        <is>
          <t>Código fuente</t>
        </is>
      </c>
      <c r="R120" s="18" t="inlineStr">
        <is>
          <t>Nombre del ícono del rol en la interfaz; por defecto Shield.</t>
        </is>
      </c>
      <c r="S120" s="18" t="inlineStr">
        <is>
          <t>Alta</t>
        </is>
      </c>
      <c r="T120" s="18" t="inlineStr">
        <is>
          <t>código: db/init/old/001_schema_auth.sql:456</t>
        </is>
      </c>
      <c r="U120" s="18" t="inlineStr"/>
      <c r="V120" s="19" t="inlineStr">
        <is>
          <t>Pendiente</t>
        </is>
      </c>
      <c r="W120" s="19" t="inlineStr"/>
      <c r="X120" s="19" t="inlineStr"/>
      <c r="Y120" s="20" t="n"/>
      <c r="Z120" s="19" t="inlineStr"/>
      <c r="AA120" s="18">
        <f>IF(OR(V120="Aprobada"),R120,IF(AND(OR(V120="Aprobada con ajuste",V120="Rechazada"),W120&lt;&gt;""),W120,""))</f>
        <v/>
      </c>
    </row>
    <row r="121">
      <c r="A121" s="18" t="inlineStr">
        <is>
          <t>C0120</t>
        </is>
      </c>
      <c r="B121" s="18" t="inlineStr">
        <is>
          <t>Identidad y acceso</t>
        </is>
      </c>
      <c r="C121" s="18" t="inlineStr">
        <is>
          <t>auth</t>
        </is>
      </c>
      <c r="D121" s="18" t="inlineStr">
        <is>
          <t>role</t>
        </is>
      </c>
      <c r="E121" s="18" t="n">
        <v>132</v>
      </c>
      <c r="F121" s="18" t="inlineStr">
        <is>
          <t>color</t>
        </is>
      </c>
      <c r="G121" s="18" t="inlineStr">
        <is>
          <t>character varying(20)</t>
        </is>
      </c>
      <c r="H121" s="18" t="inlineStr">
        <is>
          <t>Sí</t>
        </is>
      </c>
      <c r="I121" s="18" t="inlineStr"/>
      <c r="J121" s="18" t="inlineStr"/>
      <c r="K121" s="18" t="inlineStr"/>
      <c r="L121" s="18" t="inlineStr">
        <is>
          <t>No</t>
        </is>
      </c>
      <c r="M121" s="18" t="inlineStr">
        <is>
          <t>No</t>
        </is>
      </c>
      <c r="N121" s="18" t="inlineStr"/>
      <c r="O121" s="18" t="inlineStr"/>
      <c r="P121" s="18" t="inlineStr">
        <is>
          <t>db/init/old/001_schema_auth.sql:457: color del rol | Validación: IsOptional, IsString</t>
        </is>
      </c>
      <c r="Q121" s="18" t="inlineStr">
        <is>
          <t>Código fuente</t>
        </is>
      </c>
      <c r="R121" s="18" t="inlineStr">
        <is>
          <t>Color del rol en la interfaz, en código hexadecimal; por defecto #003DA5.</t>
        </is>
      </c>
      <c r="S121" s="18" t="inlineStr">
        <is>
          <t>Alta</t>
        </is>
      </c>
      <c r="T121" s="18" t="inlineStr">
        <is>
          <t>código: db/init/old/001_schema_auth.sql:457</t>
        </is>
      </c>
      <c r="U121" s="18" t="inlineStr"/>
      <c r="V121" s="19" t="inlineStr">
        <is>
          <t>Pendiente</t>
        </is>
      </c>
      <c r="W121" s="19" t="inlineStr"/>
      <c r="X121" s="19" t="inlineStr"/>
      <c r="Y121" s="20" t="n"/>
      <c r="Z121" s="19" t="inlineStr"/>
      <c r="AA121" s="18">
        <f>IF(OR(V121="Aprobada"),R121,IF(AND(OR(V121="Aprobada con ajuste",V121="Rechazada"),W121&lt;&gt;""),W121,""))</f>
        <v/>
      </c>
    </row>
    <row r="122">
      <c r="A122" s="18" t="inlineStr">
        <is>
          <t>C0121</t>
        </is>
      </c>
      <c r="B122" s="18" t="inlineStr">
        <is>
          <t>Identidad y acceso</t>
        </is>
      </c>
      <c r="C122" s="18" t="inlineStr">
        <is>
          <t>auth</t>
        </is>
      </c>
      <c r="D122" s="18" t="inlineStr">
        <is>
          <t>role</t>
        </is>
      </c>
      <c r="E122" s="18" t="n">
        <v>132</v>
      </c>
      <c r="F122" s="18" t="inlineStr">
        <is>
          <t>type</t>
        </is>
      </c>
      <c r="G122" s="18" t="inlineStr">
        <is>
          <t>character varying(20)</t>
        </is>
      </c>
      <c r="H122" s="18" t="inlineStr">
        <is>
          <t>Sí</t>
        </is>
      </c>
      <c r="I122" s="18" t="inlineStr"/>
      <c r="J122" s="18" t="inlineStr"/>
      <c r="K122" s="18" t="inlineStr"/>
      <c r="L122" s="18" t="inlineStr">
        <is>
          <t>No</t>
        </is>
      </c>
      <c r="M122" s="18" t="inlineStr">
        <is>
          <t>Sí</t>
        </is>
      </c>
      <c r="N122" s="18" t="inlineStr">
        <is>
          <t>Vista hiring.roles_del_modulo</t>
        </is>
      </c>
      <c r="O122" s="18" t="inlineStr"/>
      <c r="P122" s="18" t="inlineStr">
        <is>
          <t>db/init/old/001_schema_auth.sql:458: sistema | personalizado</t>
        </is>
      </c>
      <c r="Q122" s="18" t="inlineStr">
        <is>
          <t>Código fuente</t>
        </is>
      </c>
      <c r="R122" s="18" t="inlineStr">
        <is>
          <t>Tipo de rol. Valores previstos: sistema, personalizado; por defecto personalizado.</t>
        </is>
      </c>
      <c r="S122" s="18" t="inlineStr">
        <is>
          <t>Alta</t>
        </is>
      </c>
      <c r="T122" s="18" t="inlineStr">
        <is>
          <t>código: db/init/old/001_schema_auth.sql:458</t>
        </is>
      </c>
      <c r="U122" s="18" t="inlineStr"/>
      <c r="V122" s="19" t="inlineStr">
        <is>
          <t>Pendiente</t>
        </is>
      </c>
      <c r="W122" s="19" t="inlineStr"/>
      <c r="X122" s="19" t="inlineStr"/>
      <c r="Y122" s="20" t="n"/>
      <c r="Z122" s="19" t="inlineStr"/>
      <c r="AA122" s="18">
        <f>IF(OR(V122="Aprobada"),R122,IF(AND(OR(V122="Aprobada con ajuste",V122="Rechazada"),W122&lt;&gt;""),W122,""))</f>
        <v/>
      </c>
    </row>
    <row r="123">
      <c r="A123" s="18" t="inlineStr">
        <is>
          <t>C0122</t>
        </is>
      </c>
      <c r="B123" s="18" t="inlineStr">
        <is>
          <t>Identidad y acceso</t>
        </is>
      </c>
      <c r="C123" s="18" t="inlineStr">
        <is>
          <t>auth</t>
        </is>
      </c>
      <c r="D123" s="18" t="inlineStr">
        <is>
          <t>role</t>
        </is>
      </c>
      <c r="E123" s="18" t="n">
        <v>132</v>
      </c>
      <c r="F123" s="18" t="inlineStr">
        <is>
          <t>is_active</t>
        </is>
      </c>
      <c r="G123" s="18" t="inlineStr">
        <is>
          <t>boolean</t>
        </is>
      </c>
      <c r="H123" s="18" t="inlineStr">
        <is>
          <t>Sí</t>
        </is>
      </c>
      <c r="I123" s="18" t="inlineStr"/>
      <c r="J123" s="18" t="inlineStr"/>
      <c r="K123" s="18" t="inlineStr"/>
      <c r="L123" s="18" t="inlineStr">
        <is>
          <t>No</t>
        </is>
      </c>
      <c r="M123" s="18" t="inlineStr">
        <is>
          <t>Sí</t>
        </is>
      </c>
      <c r="N123" s="18" t="inlineStr">
        <is>
          <t>Vista hiring.roles_del_modulo</t>
        </is>
      </c>
      <c r="O123" s="18" t="inlineStr"/>
      <c r="P123" s="18" t="inlineStr">
        <is>
          <t>Mapeada en auth-service/src/users/role.entity.ts:37 (Role.is_active) | Validación: IsBoolean, IsOptional</t>
        </is>
      </c>
      <c r="Q123" s="18" t="inlineStr">
        <is>
          <t>Regla estructural</t>
        </is>
      </c>
      <c r="R123" s="18" t="inlineStr">
        <is>
          <t>Indica si el registro está activo.</t>
        </is>
      </c>
      <c r="S123" s="18" t="inlineStr">
        <is>
          <t>Media</t>
        </is>
      </c>
      <c r="T123" s="18" t="inlineStr">
        <is>
          <t>Convención de nombre de la columna.</t>
        </is>
      </c>
      <c r="U123" s="18" t="inlineStr"/>
      <c r="V123" s="19" t="inlineStr">
        <is>
          <t>Pendiente</t>
        </is>
      </c>
      <c r="W123" s="19" t="inlineStr"/>
      <c r="X123" s="19" t="inlineStr"/>
      <c r="Y123" s="20" t="n"/>
      <c r="Z123" s="19" t="inlineStr"/>
      <c r="AA123" s="18">
        <f>IF(OR(V123="Aprobada"),R123,IF(AND(OR(V123="Aprobada con ajuste",V123="Rechazada"),W123&lt;&gt;""),W123,""))</f>
        <v/>
      </c>
    </row>
    <row r="124">
      <c r="A124" s="18" t="inlineStr">
        <is>
          <t>C0123</t>
        </is>
      </c>
      <c r="B124" s="18" t="inlineStr">
        <is>
          <t>Identidad y acceso</t>
        </is>
      </c>
      <c r="C124" s="18" t="inlineStr">
        <is>
          <t>auth</t>
        </is>
      </c>
      <c r="D124" s="18" t="inlineStr">
        <is>
          <t>role</t>
        </is>
      </c>
      <c r="E124" s="18" t="n">
        <v>132</v>
      </c>
      <c r="F124" s="18" t="inlineStr">
        <is>
          <t>requires_2fa</t>
        </is>
      </c>
      <c r="G124" s="18" t="inlineStr">
        <is>
          <t>boolean</t>
        </is>
      </c>
      <c r="H124" s="18" t="inlineStr">
        <is>
          <t>Sí</t>
        </is>
      </c>
      <c r="I124" s="18" t="inlineStr"/>
      <c r="J124" s="18" t="inlineStr"/>
      <c r="K124" s="18" t="inlineStr"/>
      <c r="L124" s="18" t="inlineStr">
        <is>
          <t>No</t>
        </is>
      </c>
      <c r="M124" s="18" t="inlineStr">
        <is>
          <t>No</t>
        </is>
      </c>
      <c r="N124" s="18" t="inlineStr"/>
      <c r="O124" s="18" t="inlineStr"/>
      <c r="P124" s="18" t="inlineStr">
        <is>
          <t>db/init/old/001_schema_auth.sql:460: requiere autenticación de dos factores</t>
        </is>
      </c>
      <c r="Q124" s="18" t="inlineStr">
        <is>
          <t>Código fuente</t>
        </is>
      </c>
      <c r="R124" s="18" t="inlineStr">
        <is>
          <t>Indica si el rol requiere autenticación de dos factores; por defecto falso.</t>
        </is>
      </c>
      <c r="S124" s="18" t="inlineStr">
        <is>
          <t>Alta</t>
        </is>
      </c>
      <c r="T124" s="18" t="inlineStr">
        <is>
          <t>código: db/init/old/001_schema_auth.sql:460</t>
        </is>
      </c>
      <c r="U124" s="18" t="inlineStr"/>
      <c r="V124" s="19" t="inlineStr">
        <is>
          <t>Pendiente</t>
        </is>
      </c>
      <c r="W124" s="19" t="inlineStr"/>
      <c r="X124" s="19" t="inlineStr"/>
      <c r="Y124" s="20" t="n"/>
      <c r="Z124" s="19" t="inlineStr"/>
      <c r="AA124" s="18">
        <f>IF(OR(V124="Aprobada"),R124,IF(AND(OR(V124="Aprobada con ajuste",V124="Rechazada"),W124&lt;&gt;""),W124,""))</f>
        <v/>
      </c>
    </row>
    <row r="125">
      <c r="A125" s="18" t="inlineStr">
        <is>
          <t>C0124</t>
        </is>
      </c>
      <c r="B125" s="18" t="inlineStr">
        <is>
          <t>Identidad y acceso</t>
        </is>
      </c>
      <c r="C125" s="18" t="inlineStr">
        <is>
          <t>auth</t>
        </is>
      </c>
      <c r="D125" s="18" t="inlineStr">
        <is>
          <t>role</t>
        </is>
      </c>
      <c r="E125" s="18" t="n">
        <v>132</v>
      </c>
      <c r="F125" s="18" t="inlineStr">
        <is>
          <t>sistema_destino</t>
        </is>
      </c>
      <c r="G125" s="18" t="inlineStr">
        <is>
          <t>text</t>
        </is>
      </c>
      <c r="H125" s="18" t="inlineStr">
        <is>
          <t>Sí</t>
        </is>
      </c>
      <c r="I125" s="18" t="inlineStr"/>
      <c r="J125" s="18" t="inlineStr"/>
      <c r="K125" s="18" t="inlineStr"/>
      <c r="L125" s="18" t="inlineStr">
        <is>
          <t>No</t>
        </is>
      </c>
      <c r="M125" s="18" t="inlineStr">
        <is>
          <t>No</t>
        </is>
      </c>
      <c r="N125" s="18" t="inlineStr"/>
      <c r="O125" s="18" t="inlineStr"/>
      <c r="P125" s="18" t="inlineStr">
        <is>
          <t>Mapeada en auth-service/src/users/role.entity.ts:28 (Role.sistema_destino)</t>
        </is>
      </c>
      <c r="Q125" s="18" t="inlineStr">
        <is>
          <t>Propuesta semántica</t>
        </is>
      </c>
      <c r="R125" s="18" t="inlineStr">
        <is>
          <t>Sistema al que aplica el rol. Por defecto, Backoffice.</t>
        </is>
      </c>
      <c r="S125" s="18" t="inlineStr">
        <is>
          <t>Media</t>
        </is>
      </c>
      <c r="T125" s="18" t="inlineStr">
        <is>
          <t>nombre + tipo + columnas vecinas + defecto</t>
        </is>
      </c>
      <c r="U125" s="18" t="inlineStr">
        <is>
          <t>¿Qué otros sistemas se usan además de Backoffice (por ejemplo, portal docente o SuperApp)?</t>
        </is>
      </c>
      <c r="V125" s="19" t="inlineStr">
        <is>
          <t>Pendiente</t>
        </is>
      </c>
      <c r="W125" s="19" t="inlineStr"/>
      <c r="X125" s="19" t="inlineStr"/>
      <c r="Y125" s="20" t="n"/>
      <c r="Z125" s="19" t="inlineStr"/>
      <c r="AA125" s="18">
        <f>IF(OR(V125="Aprobada"),R125,IF(AND(OR(V125="Aprobada con ajuste",V125="Rechazada"),W125&lt;&gt;""),W125,""))</f>
        <v/>
      </c>
    </row>
    <row r="126">
      <c r="A126" s="18" t="inlineStr">
        <is>
          <t>C0125</t>
        </is>
      </c>
      <c r="B126" s="18" t="inlineStr">
        <is>
          <t>Identidad y acceso</t>
        </is>
      </c>
      <c r="C126" s="18" t="inlineStr">
        <is>
          <t>auth</t>
        </is>
      </c>
      <c r="D126" s="18" t="inlineStr">
        <is>
          <t>role</t>
        </is>
      </c>
      <c r="E126" s="18" t="n">
        <v>132</v>
      </c>
      <c r="F126" s="18" t="inlineStr">
        <is>
          <t>alcance</t>
        </is>
      </c>
      <c r="G126" s="18" t="inlineStr">
        <is>
          <t>jsonb</t>
        </is>
      </c>
      <c r="H126" s="18" t="inlineStr">
        <is>
          <t>Sí</t>
        </is>
      </c>
      <c r="I126" s="18" t="inlineStr"/>
      <c r="J126" s="18" t="inlineStr"/>
      <c r="K126" s="18" t="inlineStr"/>
      <c r="L126" s="18" t="inlineStr">
        <is>
          <t>No</t>
        </is>
      </c>
      <c r="M126" s="18" t="inlineStr">
        <is>
          <t>No</t>
        </is>
      </c>
      <c r="N126" s="18" t="inlineStr"/>
      <c r="O126" s="18" t="inlineStr"/>
      <c r="P126" s="18" t="inlineStr">
        <is>
          <t>Mapeada en auth-service/src/users/role.entity.ts:31 (Role.alcance)</t>
        </is>
      </c>
      <c r="Q126" s="18" t="inlineStr">
        <is>
          <t>Propuesta semántica</t>
        </is>
      </c>
      <c r="R126" s="18" t="inlineStr">
        <is>
          <t>Alcance del rol, en formato JSON.</t>
        </is>
      </c>
      <c r="S126" s="18" t="inlineStr">
        <is>
          <t>Baja</t>
        </is>
      </c>
      <c r="T126" s="18" t="inlineStr">
        <is>
          <t>nombre + tipo + columnas vecinas</t>
        </is>
      </c>
      <c r="U126" s="18" t="inlineStr">
        <is>
          <t>¿Qué estructura tiene el JSON de alcance (sedes, dependencias, módulos)?</t>
        </is>
      </c>
      <c r="V126" s="19" t="inlineStr">
        <is>
          <t>Pendiente</t>
        </is>
      </c>
      <c r="W126" s="19" t="inlineStr"/>
      <c r="X126" s="19" t="inlineStr"/>
      <c r="Y126" s="20" t="n"/>
      <c r="Z126" s="19" t="inlineStr"/>
      <c r="AA126" s="18">
        <f>IF(OR(V126="Aprobada"),R126,IF(AND(OR(V126="Aprobada con ajuste",V126="Rechazada"),W126&lt;&gt;""),W126,""))</f>
        <v/>
      </c>
    </row>
    <row r="127">
      <c r="A127" s="18" t="inlineStr">
        <is>
          <t>C0126</t>
        </is>
      </c>
      <c r="B127" s="18" t="inlineStr">
        <is>
          <t>Identidad y acceso</t>
        </is>
      </c>
      <c r="C127" s="18" t="inlineStr">
        <is>
          <t>auth</t>
        </is>
      </c>
      <c r="D127" s="18" t="inlineStr">
        <is>
          <t>role_permissions</t>
        </is>
      </c>
      <c r="E127" s="18" t="n">
        <v>3112</v>
      </c>
      <c r="F127" s="18" t="inlineStr">
        <is>
          <t>is_active</t>
        </is>
      </c>
      <c r="G127" s="18" t="inlineStr">
        <is>
          <t>boolean</t>
        </is>
      </c>
      <c r="H127" s="18" t="inlineStr">
        <is>
          <t>Sí</t>
        </is>
      </c>
      <c r="I127" s="18" t="inlineStr"/>
      <c r="J127" s="18" t="inlineStr"/>
      <c r="K127" s="18" t="inlineStr"/>
      <c r="L127" s="18" t="inlineStr">
        <is>
          <t>No</t>
        </is>
      </c>
      <c r="M127" s="18" t="inlineStr">
        <is>
          <t>Sí</t>
        </is>
      </c>
      <c r="N127" s="18" t="inlineStr">
        <is>
          <t>Vista hiring.roles_del_modulo</t>
        </is>
      </c>
      <c r="O127" s="18" t="inlineStr"/>
      <c r="P127" s="18" t="inlineStr"/>
      <c r="Q127" s="18" t="inlineStr">
        <is>
          <t>Regla estructural</t>
        </is>
      </c>
      <c r="R127" s="18" t="inlineStr">
        <is>
          <t>Indica si el registro está activo.</t>
        </is>
      </c>
      <c r="S127" s="18" t="inlineStr">
        <is>
          <t>Media</t>
        </is>
      </c>
      <c r="T127" s="18" t="inlineStr">
        <is>
          <t>Convención de nombre de la columna.</t>
        </is>
      </c>
      <c r="U127" s="18" t="inlineStr"/>
      <c r="V127" s="19" t="inlineStr">
        <is>
          <t>Pendiente</t>
        </is>
      </c>
      <c r="W127" s="19" t="inlineStr"/>
      <c r="X127" s="19" t="inlineStr"/>
      <c r="Y127" s="20" t="n"/>
      <c r="Z127" s="19" t="inlineStr"/>
      <c r="AA127" s="18">
        <f>IF(OR(V127="Aprobada"),R127,IF(AND(OR(V127="Aprobada con ajuste",V127="Rechazada"),W127&lt;&gt;""),W127,""))</f>
        <v/>
      </c>
    </row>
    <row r="128">
      <c r="A128" s="18" t="inlineStr">
        <is>
          <t>C0127</t>
        </is>
      </c>
      <c r="B128" s="18" t="inlineStr">
        <is>
          <t>Identidad y acceso</t>
        </is>
      </c>
      <c r="C128" s="18" t="inlineStr">
        <is>
          <t>auth</t>
        </is>
      </c>
      <c r="D128" s="18" t="inlineStr">
        <is>
          <t>seccionales</t>
        </is>
      </c>
      <c r="E128" s="18" t="n">
        <v>38</v>
      </c>
      <c r="F128" s="18" t="inlineStr">
        <is>
          <t>nom_seccional</t>
        </is>
      </c>
      <c r="G128" s="18" t="inlineStr">
        <is>
          <t>character varying(100)</t>
        </is>
      </c>
      <c r="H128" s="18" t="inlineStr">
        <is>
          <t>No</t>
        </is>
      </c>
      <c r="I128" s="18" t="inlineStr"/>
      <c r="J128" s="18" t="inlineStr"/>
      <c r="K128" s="18" t="inlineStr"/>
      <c r="L128" s="18" t="inlineStr">
        <is>
          <t>No</t>
        </is>
      </c>
      <c r="M128" s="18" t="inlineStr">
        <is>
          <t>No</t>
        </is>
      </c>
      <c r="N128" s="18" t="inlineStr"/>
      <c r="O128" s="18" t="inlineStr"/>
      <c r="P128" s="18" t="inlineStr">
        <is>
          <t>Mapeada en auth-service/src/users/seccional.entity.ts:15 (Seccional.nomSeccional) | Validación: IsOptional, IsString, MaxLength(100, { message: 'El nombre de seccional no puede exceder 100 caracteres' })</t>
        </is>
      </c>
      <c r="Q128" s="18" t="inlineStr">
        <is>
          <t>Propuesta semántica</t>
        </is>
      </c>
      <c r="R128" s="18" t="inlineStr">
        <is>
          <t>Nombre de la seccional (máximo 100 caracteres).</t>
        </is>
      </c>
      <c r="S128" s="18" t="inlineStr">
        <is>
          <t>Alta</t>
        </is>
      </c>
      <c r="T128" s="18" t="inlineStr">
        <is>
          <t>nombre + tipo + columnas vecinas + validaciones</t>
        </is>
      </c>
      <c r="U128" s="18" t="inlineStr"/>
      <c r="V128" s="19" t="inlineStr">
        <is>
          <t>Pendiente</t>
        </is>
      </c>
      <c r="W128" s="19" t="inlineStr"/>
      <c r="X128" s="19" t="inlineStr"/>
      <c r="Y128" s="20" t="n"/>
      <c r="Z128" s="19" t="inlineStr"/>
      <c r="AA128" s="18">
        <f>IF(OR(V128="Aprobada"),R128,IF(AND(OR(V128="Aprobada con ajuste",V128="Rechazada"),W128&lt;&gt;""),W128,""))</f>
        <v/>
      </c>
    </row>
    <row r="129">
      <c r="A129" s="18" t="inlineStr">
        <is>
          <t>C0128</t>
        </is>
      </c>
      <c r="B129" s="18" t="inlineStr">
        <is>
          <t>Identidad y acceso</t>
        </is>
      </c>
      <c r="C129" s="18" t="inlineStr">
        <is>
          <t>auth</t>
        </is>
      </c>
      <c r="D129" s="18" t="inlineStr">
        <is>
          <t>seccionales</t>
        </is>
      </c>
      <c r="E129" s="18" t="n">
        <v>38</v>
      </c>
      <c r="F129" s="18" t="inlineStr">
        <is>
          <t>dir_seccional</t>
        </is>
      </c>
      <c r="G129" s="18" t="inlineStr">
        <is>
          <t>character varying(250)</t>
        </is>
      </c>
      <c r="H129" s="18" t="inlineStr">
        <is>
          <t>Sí</t>
        </is>
      </c>
      <c r="I129" s="18" t="inlineStr"/>
      <c r="J129" s="18" t="inlineStr"/>
      <c r="K129" s="18" t="inlineStr"/>
      <c r="L129" s="18" t="inlineStr">
        <is>
          <t>No</t>
        </is>
      </c>
      <c r="M129" s="18" t="inlineStr">
        <is>
          <t>No</t>
        </is>
      </c>
      <c r="N129" s="18" t="inlineStr"/>
      <c r="O129" s="18" t="inlineStr"/>
      <c r="P129" s="18" t="inlineStr">
        <is>
          <t>Mapeada en auth-service/src/users/seccional.entity.ts:18 (Seccional.dirSeccional)</t>
        </is>
      </c>
      <c r="Q129" s="18" t="inlineStr">
        <is>
          <t>Propuesta semántica</t>
        </is>
      </c>
      <c r="R129" s="18" t="inlineStr">
        <is>
          <t>Dirección física de la seccional.</t>
        </is>
      </c>
      <c r="S129" s="18" t="inlineStr">
        <is>
          <t>Alta</t>
        </is>
      </c>
      <c r="T129" s="18" t="inlineStr">
        <is>
          <t>nombre + tipo + columnas vecinas</t>
        </is>
      </c>
      <c r="U129" s="18" t="inlineStr"/>
      <c r="V129" s="19" t="inlineStr">
        <is>
          <t>Pendiente</t>
        </is>
      </c>
      <c r="W129" s="19" t="inlineStr"/>
      <c r="X129" s="19" t="inlineStr"/>
      <c r="Y129" s="20" t="n"/>
      <c r="Z129" s="19" t="inlineStr"/>
      <c r="AA129" s="18">
        <f>IF(OR(V129="Aprobada"),R129,IF(AND(OR(V129="Aprobada con ajuste",V129="Rechazada"),W129&lt;&gt;""),W129,""))</f>
        <v/>
      </c>
    </row>
    <row r="130">
      <c r="A130" s="18" t="inlineStr">
        <is>
          <t>C0129</t>
        </is>
      </c>
      <c r="B130" s="18" t="inlineStr">
        <is>
          <t>Identidad y acceso</t>
        </is>
      </c>
      <c r="C130" s="18" t="inlineStr">
        <is>
          <t>auth</t>
        </is>
      </c>
      <c r="D130" s="18" t="inlineStr">
        <is>
          <t>seccionales</t>
        </is>
      </c>
      <c r="E130" s="18" t="n">
        <v>38</v>
      </c>
      <c r="F130" s="18" t="inlineStr">
        <is>
          <t>fec_creacion</t>
        </is>
      </c>
      <c r="G130" s="18" t="inlineStr">
        <is>
          <t>date</t>
        </is>
      </c>
      <c r="H130" s="18" t="inlineStr">
        <is>
          <t>Sí</t>
        </is>
      </c>
      <c r="I130" s="18" t="inlineStr"/>
      <c r="J130" s="18" t="inlineStr"/>
      <c r="K130" s="18" t="inlineStr"/>
      <c r="L130" s="18" t="inlineStr">
        <is>
          <t>No</t>
        </is>
      </c>
      <c r="M130" s="18" t="inlineStr">
        <is>
          <t>No</t>
        </is>
      </c>
      <c r="N130" s="18" t="inlineStr"/>
      <c r="O130" s="18" t="inlineStr"/>
      <c r="P130" s="18" t="inlineStr">
        <is>
          <t>Mapeada en auth-service/src/users/seccional.entity.ts:28 (Seccional.fecCreacion)</t>
        </is>
      </c>
      <c r="Q130" s="18" t="inlineStr">
        <is>
          <t>Propuesta semántica</t>
        </is>
      </c>
      <c r="R130" s="18" t="inlineStr">
        <is>
          <t>Fecha de creación del registro.</t>
        </is>
      </c>
      <c r="S130" s="18" t="inlineStr">
        <is>
          <t>Alta</t>
        </is>
      </c>
      <c r="T130" s="18" t="inlineStr">
        <is>
          <t>nombre + tipo + columnas vecinas</t>
        </is>
      </c>
      <c r="U130" s="18" t="inlineStr"/>
      <c r="V130" s="19" t="inlineStr">
        <is>
          <t>Pendiente</t>
        </is>
      </c>
      <c r="W130" s="19" t="inlineStr"/>
      <c r="X130" s="19" t="inlineStr"/>
      <c r="Y130" s="20" t="n"/>
      <c r="Z130" s="19" t="inlineStr"/>
      <c r="AA130" s="18">
        <f>IF(OR(V130="Aprobada"),R130,IF(AND(OR(V130="Aprobada con ajuste",V130="Rechazada"),W130&lt;&gt;""),W130,""))</f>
        <v/>
      </c>
    </row>
    <row r="131">
      <c r="A131" s="18" t="inlineStr">
        <is>
          <t>C0130</t>
        </is>
      </c>
      <c r="B131" s="18" t="inlineStr">
        <is>
          <t>Identidad y acceso</t>
        </is>
      </c>
      <c r="C131" s="18" t="inlineStr">
        <is>
          <t>auth</t>
        </is>
      </c>
      <c r="D131" s="18" t="inlineStr">
        <is>
          <t>seccionales</t>
        </is>
      </c>
      <c r="E131" s="18" t="n">
        <v>38</v>
      </c>
      <c r="F131" s="18" t="inlineStr">
        <is>
          <t>fec_ult_act</t>
        </is>
      </c>
      <c r="G131" s="18" t="inlineStr">
        <is>
          <t>date</t>
        </is>
      </c>
      <c r="H131" s="18" t="inlineStr">
        <is>
          <t>Sí</t>
        </is>
      </c>
      <c r="I131" s="18" t="inlineStr"/>
      <c r="J131" s="18" t="inlineStr"/>
      <c r="K131" s="18" t="inlineStr"/>
      <c r="L131" s="18" t="inlineStr">
        <is>
          <t>No</t>
        </is>
      </c>
      <c r="M131" s="18" t="inlineStr">
        <is>
          <t>No</t>
        </is>
      </c>
      <c r="N131" s="18" t="inlineStr"/>
      <c r="O131" s="18" t="inlineStr"/>
      <c r="P131" s="18" t="inlineStr">
        <is>
          <t>Mapeada en auth-service/src/users/seccional.entity.ts:31 (Seccional.fecUltAct)</t>
        </is>
      </c>
      <c r="Q131" s="18" t="inlineStr">
        <is>
          <t>Propuesta semántica</t>
        </is>
      </c>
      <c r="R131" s="18" t="inlineStr">
        <is>
          <t>Fecha de la última actualización del registro.</t>
        </is>
      </c>
      <c r="S131" s="18" t="inlineStr">
        <is>
          <t>Alta</t>
        </is>
      </c>
      <c r="T131" s="18" t="inlineStr">
        <is>
          <t>nombre + tipo + columnas vecinas</t>
        </is>
      </c>
      <c r="U131" s="18" t="inlineStr"/>
      <c r="V131" s="19" t="inlineStr">
        <is>
          <t>Pendiente</t>
        </is>
      </c>
      <c r="W131" s="19" t="inlineStr"/>
      <c r="X131" s="19" t="inlineStr"/>
      <c r="Y131" s="20" t="n"/>
      <c r="Z131" s="19" t="inlineStr"/>
      <c r="AA131" s="18">
        <f>IF(OR(V131="Aprobada"),R131,IF(AND(OR(V131="Aprobada con ajuste",V131="Rechazada"),W131&lt;&gt;""),W131,""))</f>
        <v/>
      </c>
    </row>
    <row r="132">
      <c r="A132" s="18" t="inlineStr">
        <is>
          <t>C0131</t>
        </is>
      </c>
      <c r="B132" s="18" t="inlineStr">
        <is>
          <t>Identidad y acceso</t>
        </is>
      </c>
      <c r="C132" s="18" t="inlineStr">
        <is>
          <t>auth</t>
        </is>
      </c>
      <c r="D132" s="18" t="inlineStr">
        <is>
          <t>seccionales</t>
        </is>
      </c>
      <c r="E132" s="18" t="n">
        <v>38</v>
      </c>
      <c r="F132" s="18" t="inlineStr">
        <is>
          <t>usu_creacion</t>
        </is>
      </c>
      <c r="G132" s="18" t="inlineStr">
        <is>
          <t>character varying(20)</t>
        </is>
      </c>
      <c r="H132" s="18" t="inlineStr">
        <is>
          <t>Sí</t>
        </is>
      </c>
      <c r="I132" s="18" t="inlineStr"/>
      <c r="J132" s="18" t="inlineStr"/>
      <c r="K132" s="18" t="inlineStr"/>
      <c r="L132" s="18" t="inlineStr">
        <is>
          <t>No</t>
        </is>
      </c>
      <c r="M132" s="18" t="inlineStr">
        <is>
          <t>No</t>
        </is>
      </c>
      <c r="N132" s="18" t="inlineStr"/>
      <c r="O132" s="18" t="inlineStr"/>
      <c r="P132" s="18" t="inlineStr">
        <is>
          <t>Mapeada en auth-service/src/users/seccional.entity.ts:34 (Seccional.usuCreacion)</t>
        </is>
      </c>
      <c r="Q132" s="18" t="inlineStr">
        <is>
          <t>Propuesta semántica</t>
        </is>
      </c>
      <c r="R132" s="18" t="inlineStr">
        <is>
          <t>Usuario que creó el registro.</t>
        </is>
      </c>
      <c r="S132" s="18" t="inlineStr">
        <is>
          <t>Media</t>
        </is>
      </c>
      <c r="T132" s="18" t="inlineStr">
        <is>
          <t>nombre + tipo + columnas vecinas</t>
        </is>
      </c>
      <c r="U132" s="18" t="inlineStr">
        <is>
          <t>¿usu_creacion guarda el nombre de usuario del sistema de origen?</t>
        </is>
      </c>
      <c r="V132" s="19" t="inlineStr">
        <is>
          <t>Pendiente</t>
        </is>
      </c>
      <c r="W132" s="19" t="inlineStr"/>
      <c r="X132" s="19" t="inlineStr"/>
      <c r="Y132" s="20" t="n"/>
      <c r="Z132" s="19" t="inlineStr"/>
      <c r="AA132" s="18">
        <f>IF(OR(V132="Aprobada"),R132,IF(AND(OR(V132="Aprobada con ajuste",V132="Rechazada"),W132&lt;&gt;""),W132,""))</f>
        <v/>
      </c>
    </row>
    <row r="133">
      <c r="A133" s="18" t="inlineStr">
        <is>
          <t>C0132</t>
        </is>
      </c>
      <c r="B133" s="18" t="inlineStr">
        <is>
          <t>Identidad y acceso</t>
        </is>
      </c>
      <c r="C133" s="18" t="inlineStr">
        <is>
          <t>auth</t>
        </is>
      </c>
      <c r="D133" s="18" t="inlineStr">
        <is>
          <t>seccionales</t>
        </is>
      </c>
      <c r="E133" s="18" t="n">
        <v>38</v>
      </c>
      <c r="F133" s="18" t="inlineStr">
        <is>
          <t>usu_actualizacion</t>
        </is>
      </c>
      <c r="G133" s="18" t="inlineStr">
        <is>
          <t>character varying(20)</t>
        </is>
      </c>
      <c r="H133" s="18" t="inlineStr">
        <is>
          <t>Sí</t>
        </is>
      </c>
      <c r="I133" s="18" t="inlineStr"/>
      <c r="J133" s="18" t="inlineStr"/>
      <c r="K133" s="18" t="inlineStr"/>
      <c r="L133" s="18" t="inlineStr">
        <is>
          <t>No</t>
        </is>
      </c>
      <c r="M133" s="18" t="inlineStr">
        <is>
          <t>No</t>
        </is>
      </c>
      <c r="N133" s="18" t="inlineStr"/>
      <c r="O133" s="18" t="inlineStr"/>
      <c r="P133" s="18" t="inlineStr">
        <is>
          <t>Mapeada en auth-service/src/users/seccional.entity.ts:37 (Seccional.usuActualizacion)</t>
        </is>
      </c>
      <c r="Q133" s="18" t="inlineStr">
        <is>
          <t>Propuesta semántica</t>
        </is>
      </c>
      <c r="R133" s="18" t="inlineStr">
        <is>
          <t>Usuario que hizo la última actualización del registro.</t>
        </is>
      </c>
      <c r="S133" s="18" t="inlineStr">
        <is>
          <t>Media</t>
        </is>
      </c>
      <c r="T133" s="18" t="inlineStr">
        <is>
          <t>nombre + tipo + columnas vecinas</t>
        </is>
      </c>
      <c r="U133" s="18" t="inlineStr">
        <is>
          <t>¿usu_actualizacion guarda el nombre de usuario del sistema de origen?</t>
        </is>
      </c>
      <c r="V133" s="19" t="inlineStr">
        <is>
          <t>Pendiente</t>
        </is>
      </c>
      <c r="W133" s="19" t="inlineStr"/>
      <c r="X133" s="19" t="inlineStr"/>
      <c r="Y133" s="20" t="n"/>
      <c r="Z133" s="19" t="inlineStr"/>
      <c r="AA133" s="18">
        <f>IF(OR(V133="Aprobada"),R133,IF(AND(OR(V133="Aprobada con ajuste",V133="Rechazada"),W133&lt;&gt;""),W133,""))</f>
        <v/>
      </c>
    </row>
    <row r="134">
      <c r="A134" s="18" t="inlineStr">
        <is>
          <t>C0133</t>
        </is>
      </c>
      <c r="B134" s="18" t="inlineStr">
        <is>
          <t>Identidad y acceso</t>
        </is>
      </c>
      <c r="C134" s="18" t="inlineStr">
        <is>
          <t>auth</t>
        </is>
      </c>
      <c r="D134" s="18" t="inlineStr">
        <is>
          <t>seccionales</t>
        </is>
      </c>
      <c r="E134" s="18" t="n">
        <v>38</v>
      </c>
      <c r="F134" s="18" t="inlineStr">
        <is>
          <t>cod_seccional</t>
        </is>
      </c>
      <c r="G134" s="18" t="inlineStr">
        <is>
          <t>character varying(20)</t>
        </is>
      </c>
      <c r="H134" s="18" t="inlineStr">
        <is>
          <t>Sí</t>
        </is>
      </c>
      <c r="I134" s="18" t="inlineStr"/>
      <c r="J134" s="18" t="inlineStr"/>
      <c r="K134" s="18" t="inlineStr"/>
      <c r="L134" s="18" t="inlineStr">
        <is>
          <t>No</t>
        </is>
      </c>
      <c r="M134" s="18" t="inlineStr">
        <is>
          <t>No</t>
        </is>
      </c>
      <c r="N134" s="18" t="inlineStr"/>
      <c r="O134" s="18" t="inlineStr"/>
      <c r="P134" s="18" t="inlineStr">
        <is>
          <t>Mapeada en auth-service/src/users/seccional.entity.ts:40 (Seccional.codSeccional) | Validación: IsOptional, IsString, MaxLength(20, { message: 'El código de seccional no puede exceder 20 caracteres' })</t>
        </is>
      </c>
      <c r="Q134" s="18" t="inlineStr">
        <is>
          <t>Propuesta semántica</t>
        </is>
      </c>
      <c r="R134" s="18" t="inlineStr">
        <is>
          <t>Código de la seccional (máximo 20 caracteres).</t>
        </is>
      </c>
      <c r="S134" s="18" t="inlineStr">
        <is>
          <t>Alta</t>
        </is>
      </c>
      <c r="T134" s="18" t="inlineStr">
        <is>
          <t>nombre + tipo + columnas vecinas + validaciones</t>
        </is>
      </c>
      <c r="U134" s="18" t="inlineStr"/>
      <c r="V134" s="19" t="inlineStr">
        <is>
          <t>Pendiente</t>
        </is>
      </c>
      <c r="W134" s="19" t="inlineStr"/>
      <c r="X134" s="19" t="inlineStr"/>
      <c r="Y134" s="20" t="n"/>
      <c r="Z134" s="19" t="inlineStr"/>
      <c r="AA134" s="18">
        <f>IF(OR(V134="Aprobada"),R134,IF(AND(OR(V134="Aprobada con ajuste",V134="Rechazada"),W134&lt;&gt;""),W134,""))</f>
        <v/>
      </c>
    </row>
    <row r="135">
      <c r="A135" s="18" t="inlineStr">
        <is>
          <t>C0134</t>
        </is>
      </c>
      <c r="B135" s="18" t="inlineStr">
        <is>
          <t>Identidad y acceso</t>
        </is>
      </c>
      <c r="C135" s="18" t="inlineStr">
        <is>
          <t>auth</t>
        </is>
      </c>
      <c r="D135" s="18" t="inlineStr">
        <is>
          <t>seccionales</t>
        </is>
      </c>
      <c r="E135" s="18" t="n">
        <v>38</v>
      </c>
      <c r="F135" s="18" t="inlineStr">
        <is>
          <t>id_empresa</t>
        </is>
      </c>
      <c r="G135" s="18" t="inlineStr">
        <is>
          <t>bigint</t>
        </is>
      </c>
      <c r="H135" s="18" t="inlineStr">
        <is>
          <t>Sí</t>
        </is>
      </c>
      <c r="I135" s="18" t="inlineStr"/>
      <c r="J135" s="18" t="inlineStr"/>
      <c r="K135" s="18" t="inlineStr"/>
      <c r="L135" s="18" t="inlineStr">
        <is>
          <t>No</t>
        </is>
      </c>
      <c r="M135" s="18" t="inlineStr">
        <is>
          <t>No</t>
        </is>
      </c>
      <c r="N135" s="18" t="inlineStr"/>
      <c r="O135" s="18" t="inlineStr"/>
      <c r="P135" s="18" t="inlineStr">
        <is>
          <t>Mapeada en auth-service/src/users/seccional.entity.ts:43 (Seccional.idEmpresa)</t>
        </is>
      </c>
      <c r="Q135" s="18" t="inlineStr">
        <is>
          <t>Propuesta semántica</t>
        </is>
      </c>
      <c r="R135" s="18" t="inlineStr">
        <is>
          <t>Identificador de la empresa o entidad a la que pertenece la seccional.</t>
        </is>
      </c>
      <c r="S135" s="18" t="inlineStr">
        <is>
          <t>Media</t>
        </is>
      </c>
      <c r="T135" s="18" t="inlineStr">
        <is>
          <t>nombre + tipo + columnas vecinas</t>
        </is>
      </c>
      <c r="U135" s="18" t="inlineStr">
        <is>
          <t>¿Qué tabla identifica id_empresa?</t>
        </is>
      </c>
      <c r="V135" s="19" t="inlineStr">
        <is>
          <t>Pendiente</t>
        </is>
      </c>
      <c r="W135" s="19" t="inlineStr"/>
      <c r="X135" s="19" t="inlineStr"/>
      <c r="Y135" s="20" t="n"/>
      <c r="Z135" s="19" t="inlineStr"/>
      <c r="AA135" s="18">
        <f>IF(OR(V135="Aprobada"),R135,IF(AND(OR(V135="Aprobada con ajuste",V135="Rechazada"),W135&lt;&gt;""),W135,""))</f>
        <v/>
      </c>
    </row>
    <row r="136">
      <c r="A136" s="18" t="inlineStr">
        <is>
          <t>C0135</t>
        </is>
      </c>
      <c r="B136" s="18" t="inlineStr">
        <is>
          <t>Identidad y acceso</t>
        </is>
      </c>
      <c r="C136" s="18" t="inlineStr">
        <is>
          <t>auth</t>
        </is>
      </c>
      <c r="D136" s="18" t="inlineStr">
        <is>
          <t>seccionales</t>
        </is>
      </c>
      <c r="E136" s="18" t="n">
        <v>38</v>
      </c>
      <c r="F136" s="18" t="inlineStr">
        <is>
          <t>nit_seccional</t>
        </is>
      </c>
      <c r="G136" s="18" t="inlineStr">
        <is>
          <t>character varying(15)</t>
        </is>
      </c>
      <c r="H136" s="18" t="inlineStr">
        <is>
          <t>Sí</t>
        </is>
      </c>
      <c r="I136" s="18" t="inlineStr"/>
      <c r="J136" s="18" t="inlineStr"/>
      <c r="K136" s="18" t="inlineStr"/>
      <c r="L136" s="18" t="inlineStr">
        <is>
          <t>No</t>
        </is>
      </c>
      <c r="M136" s="18" t="inlineStr">
        <is>
          <t>No</t>
        </is>
      </c>
      <c r="N136" s="18" t="inlineStr"/>
      <c r="O136" s="18" t="inlineStr"/>
      <c r="P136" s="18" t="inlineStr">
        <is>
          <t>Mapeada en auth-service/src/users/seccional.entity.ts:46 (Seccional.nitSeccional)</t>
        </is>
      </c>
      <c r="Q136" s="18" t="inlineStr">
        <is>
          <t>Propuesta semántica</t>
        </is>
      </c>
      <c r="R136" s="18" t="inlineStr">
        <is>
          <t>Número de identificación tributaria (NIT) de la seccional.</t>
        </is>
      </c>
      <c r="S136" s="18" t="inlineStr">
        <is>
          <t>Alta</t>
        </is>
      </c>
      <c r="T136" s="18" t="inlineStr">
        <is>
          <t>nombre + tipo + columnas vecinas</t>
        </is>
      </c>
      <c r="U136" s="18" t="inlineStr"/>
      <c r="V136" s="19" t="inlineStr">
        <is>
          <t>Pendiente</t>
        </is>
      </c>
      <c r="W136" s="19" t="inlineStr"/>
      <c r="X136" s="19" t="inlineStr"/>
      <c r="Y136" s="20" t="n"/>
      <c r="Z136" s="19" t="inlineStr"/>
      <c r="AA136" s="18">
        <f>IF(OR(V136="Aprobada"),R136,IF(AND(OR(V136="Aprobada con ajuste",V136="Rechazada"),W136&lt;&gt;""),W136,""))</f>
        <v/>
      </c>
    </row>
    <row r="137">
      <c r="A137" s="18" t="inlineStr">
        <is>
          <t>C0136</t>
        </is>
      </c>
      <c r="B137" s="18" t="inlineStr">
        <is>
          <t>Identidad y acceso</t>
        </is>
      </c>
      <c r="C137" s="18" t="inlineStr">
        <is>
          <t>auth</t>
        </is>
      </c>
      <c r="D137" s="18" t="inlineStr">
        <is>
          <t>seccionales</t>
        </is>
      </c>
      <c r="E137" s="18" t="n">
        <v>38</v>
      </c>
      <c r="F137" s="18" t="inlineStr">
        <is>
          <t>fir_seccional1</t>
        </is>
      </c>
      <c r="G137" s="18" t="inlineStr">
        <is>
          <t>bigint</t>
        </is>
      </c>
      <c r="H137" s="18" t="inlineStr">
        <is>
          <t>Sí</t>
        </is>
      </c>
      <c r="I137" s="18" t="inlineStr"/>
      <c r="J137" s="18" t="inlineStr"/>
      <c r="K137" s="18" t="inlineStr"/>
      <c r="L137" s="18" t="inlineStr">
        <is>
          <t>No</t>
        </is>
      </c>
      <c r="M137" s="18" t="inlineStr">
        <is>
          <t>No</t>
        </is>
      </c>
      <c r="N137" s="18" t="inlineStr"/>
      <c r="O137" s="18" t="inlineStr"/>
      <c r="P137" s="18" t="inlineStr"/>
      <c r="Q137" s="18" t="inlineStr">
        <is>
          <t>Propuesta semántica</t>
        </is>
      </c>
      <c r="R137" s="18" t="inlineStr">
        <is>
          <t>Identificador del firmante 1 asociado a la seccional para la expedición de documentos.</t>
        </is>
      </c>
      <c r="S137" s="18" t="inlineStr">
        <is>
          <t>Baja</t>
        </is>
      </c>
      <c r="T137" s="18" t="inlineStr">
        <is>
          <t>nombre + tipo + columnas vecinas (id_dep_fir_cer1–4)</t>
        </is>
      </c>
      <c r="U137" s="18" t="inlineStr">
        <is>
          <t>¿fir_seccional1 referencia a una persona, un usuario o un cargo, y en qué documentos se usa esta firma?</t>
        </is>
      </c>
      <c r="V137" s="19" t="inlineStr">
        <is>
          <t>Pendiente</t>
        </is>
      </c>
      <c r="W137" s="19" t="inlineStr"/>
      <c r="X137" s="19" t="inlineStr"/>
      <c r="Y137" s="20" t="n"/>
      <c r="Z137" s="19" t="inlineStr"/>
      <c r="AA137" s="18">
        <f>IF(OR(V137="Aprobada"),R137,IF(AND(OR(V137="Aprobada con ajuste",V137="Rechazada"),W137&lt;&gt;""),W137,""))</f>
        <v/>
      </c>
    </row>
    <row r="138">
      <c r="A138" s="18" t="inlineStr">
        <is>
          <t>C0137</t>
        </is>
      </c>
      <c r="B138" s="18" t="inlineStr">
        <is>
          <t>Identidad y acceso</t>
        </is>
      </c>
      <c r="C138" s="18" t="inlineStr">
        <is>
          <t>auth</t>
        </is>
      </c>
      <c r="D138" s="18" t="inlineStr">
        <is>
          <t>seccionales</t>
        </is>
      </c>
      <c r="E138" s="18" t="n">
        <v>38</v>
      </c>
      <c r="F138" s="18" t="inlineStr">
        <is>
          <t>fir_seccional2</t>
        </is>
      </c>
      <c r="G138" s="18" t="inlineStr">
        <is>
          <t>bigint</t>
        </is>
      </c>
      <c r="H138" s="18" t="inlineStr">
        <is>
          <t>Sí</t>
        </is>
      </c>
      <c r="I138" s="18" t="inlineStr"/>
      <c r="J138" s="18" t="inlineStr"/>
      <c r="K138" s="18" t="inlineStr"/>
      <c r="L138" s="18" t="inlineStr">
        <is>
          <t>No</t>
        </is>
      </c>
      <c r="M138" s="18" t="inlineStr">
        <is>
          <t>No</t>
        </is>
      </c>
      <c r="N138" s="18" t="inlineStr"/>
      <c r="O138" s="18" t="inlineStr"/>
      <c r="P138" s="18" t="inlineStr"/>
      <c r="Q138" s="18" t="inlineStr">
        <is>
          <t>Propuesta semántica</t>
        </is>
      </c>
      <c r="R138" s="18" t="inlineStr">
        <is>
          <t>Identificador del firmante 2 asociado a la seccional para la expedición de documentos.</t>
        </is>
      </c>
      <c r="S138" s="18" t="inlineStr">
        <is>
          <t>Baja</t>
        </is>
      </c>
      <c r="T138" s="18" t="inlineStr">
        <is>
          <t>nombre + tipo + columnas vecinas (id_dep_fir_cer1–4)</t>
        </is>
      </c>
      <c r="U138" s="18" t="inlineStr">
        <is>
          <t>¿fir_seccional2 referencia a una persona, un usuario o un cargo, y en qué documentos se usa esta firma?</t>
        </is>
      </c>
      <c r="V138" s="19" t="inlineStr">
        <is>
          <t>Pendiente</t>
        </is>
      </c>
      <c r="W138" s="19" t="inlineStr"/>
      <c r="X138" s="19" t="inlineStr"/>
      <c r="Y138" s="20" t="n"/>
      <c r="Z138" s="19" t="inlineStr"/>
      <c r="AA138" s="18">
        <f>IF(OR(V138="Aprobada"),R138,IF(AND(OR(V138="Aprobada con ajuste",V138="Rechazada"),W138&lt;&gt;""),W138,""))</f>
        <v/>
      </c>
    </row>
    <row r="139">
      <c r="A139" s="18" t="inlineStr">
        <is>
          <t>C0138</t>
        </is>
      </c>
      <c r="B139" s="18" t="inlineStr">
        <is>
          <t>Identidad y acceso</t>
        </is>
      </c>
      <c r="C139" s="18" t="inlineStr">
        <is>
          <t>auth</t>
        </is>
      </c>
      <c r="D139" s="18" t="inlineStr">
        <is>
          <t>seccionales</t>
        </is>
      </c>
      <c r="E139" s="18" t="n">
        <v>38</v>
      </c>
      <c r="F139" s="18" t="inlineStr">
        <is>
          <t>fir_seccional3</t>
        </is>
      </c>
      <c r="G139" s="18" t="inlineStr">
        <is>
          <t>bigint</t>
        </is>
      </c>
      <c r="H139" s="18" t="inlineStr">
        <is>
          <t>Sí</t>
        </is>
      </c>
      <c r="I139" s="18" t="inlineStr"/>
      <c r="J139" s="18" t="inlineStr"/>
      <c r="K139" s="18" t="inlineStr"/>
      <c r="L139" s="18" t="inlineStr">
        <is>
          <t>No</t>
        </is>
      </c>
      <c r="M139" s="18" t="inlineStr">
        <is>
          <t>No</t>
        </is>
      </c>
      <c r="N139" s="18" t="inlineStr"/>
      <c r="O139" s="18" t="inlineStr"/>
      <c r="P139" s="18" t="inlineStr"/>
      <c r="Q139" s="18" t="inlineStr">
        <is>
          <t>Propuesta semántica</t>
        </is>
      </c>
      <c r="R139" s="18" t="inlineStr">
        <is>
          <t>Identificador del firmante 3 asociado a la seccional para la expedición de documentos.</t>
        </is>
      </c>
      <c r="S139" s="18" t="inlineStr">
        <is>
          <t>Baja</t>
        </is>
      </c>
      <c r="T139" s="18" t="inlineStr">
        <is>
          <t>nombre + tipo + columnas vecinas (id_dep_fir_cer1–4)</t>
        </is>
      </c>
      <c r="U139" s="18" t="inlineStr">
        <is>
          <t>¿fir_seccional3 referencia a una persona, un usuario o un cargo, y en qué documentos se usa esta firma?</t>
        </is>
      </c>
      <c r="V139" s="19" t="inlineStr">
        <is>
          <t>Pendiente</t>
        </is>
      </c>
      <c r="W139" s="19" t="inlineStr"/>
      <c r="X139" s="19" t="inlineStr"/>
      <c r="Y139" s="20" t="n"/>
      <c r="Z139" s="19" t="inlineStr"/>
      <c r="AA139" s="18">
        <f>IF(OR(V139="Aprobada"),R139,IF(AND(OR(V139="Aprobada con ajuste",V139="Rechazada"),W139&lt;&gt;""),W139,""))</f>
        <v/>
      </c>
    </row>
    <row r="140">
      <c r="A140" s="18" t="inlineStr">
        <is>
          <t>C0139</t>
        </is>
      </c>
      <c r="B140" s="18" t="inlineStr">
        <is>
          <t>Identidad y acceso</t>
        </is>
      </c>
      <c r="C140" s="18" t="inlineStr">
        <is>
          <t>auth</t>
        </is>
      </c>
      <c r="D140" s="18" t="inlineStr">
        <is>
          <t>seccionales</t>
        </is>
      </c>
      <c r="E140" s="18" t="n">
        <v>38</v>
      </c>
      <c r="F140" s="18" t="inlineStr">
        <is>
          <t>fir_seccional4</t>
        </is>
      </c>
      <c r="G140" s="18" t="inlineStr">
        <is>
          <t>bigint</t>
        </is>
      </c>
      <c r="H140" s="18" t="inlineStr">
        <is>
          <t>Sí</t>
        </is>
      </c>
      <c r="I140" s="18" t="inlineStr"/>
      <c r="J140" s="18" t="inlineStr"/>
      <c r="K140" s="18" t="inlineStr"/>
      <c r="L140" s="18" t="inlineStr">
        <is>
          <t>No</t>
        </is>
      </c>
      <c r="M140" s="18" t="inlineStr">
        <is>
          <t>No</t>
        </is>
      </c>
      <c r="N140" s="18" t="inlineStr"/>
      <c r="O140" s="18" t="inlineStr"/>
      <c r="P140" s="18" t="inlineStr"/>
      <c r="Q140" s="18" t="inlineStr">
        <is>
          <t>Propuesta semántica</t>
        </is>
      </c>
      <c r="R140" s="18" t="inlineStr">
        <is>
          <t>Identificador del firmante 4 asociado a la seccional para la expedición de documentos.</t>
        </is>
      </c>
      <c r="S140" s="18" t="inlineStr">
        <is>
          <t>Baja</t>
        </is>
      </c>
      <c r="T140" s="18" t="inlineStr">
        <is>
          <t>nombre + tipo + columnas vecinas (id_dep_fir_cer1–4)</t>
        </is>
      </c>
      <c r="U140" s="18" t="inlineStr">
        <is>
          <t>¿fir_seccional4 referencia a una persona, un usuario o un cargo, y en qué documentos se usa esta firma?</t>
        </is>
      </c>
      <c r="V140" s="19" t="inlineStr">
        <is>
          <t>Pendiente</t>
        </is>
      </c>
      <c r="W140" s="19" t="inlineStr"/>
      <c r="X140" s="19" t="inlineStr"/>
      <c r="Y140" s="20" t="n"/>
      <c r="Z140" s="19" t="inlineStr"/>
      <c r="AA140" s="18">
        <f>IF(OR(V140="Aprobada"),R140,IF(AND(OR(V140="Aprobada con ajuste",V140="Rechazada"),W140&lt;&gt;""),W140,""))</f>
        <v/>
      </c>
    </row>
    <row r="141">
      <c r="A141" s="18" t="inlineStr">
        <is>
          <t>C0140</t>
        </is>
      </c>
      <c r="B141" s="18" t="inlineStr">
        <is>
          <t>Identidad y acceso</t>
        </is>
      </c>
      <c r="C141" s="18" t="inlineStr">
        <is>
          <t>auth</t>
        </is>
      </c>
      <c r="D141" s="18" t="inlineStr">
        <is>
          <t>seccionales</t>
        </is>
      </c>
      <c r="E141" s="18" t="n">
        <v>38</v>
      </c>
      <c r="F141" s="18" t="inlineStr">
        <is>
          <t>id_dep_fir_cer1</t>
        </is>
      </c>
      <c r="G141" s="18" t="inlineStr">
        <is>
          <t>bigint</t>
        </is>
      </c>
      <c r="H141" s="18" t="inlineStr">
        <is>
          <t>Sí</t>
        </is>
      </c>
      <c r="I141" s="18" t="inlineStr"/>
      <c r="J141" s="18" t="inlineStr"/>
      <c r="K141" s="18" t="inlineStr"/>
      <c r="L141" s="18" t="inlineStr">
        <is>
          <t>No</t>
        </is>
      </c>
      <c r="M141" s="18" t="inlineStr">
        <is>
          <t>No</t>
        </is>
      </c>
      <c r="N141" s="18" t="inlineStr"/>
      <c r="O141" s="18" t="inlineStr"/>
      <c r="P141" s="18" t="inlineStr"/>
      <c r="Q141" s="18" t="inlineStr">
        <is>
          <t>Propuesta semántica</t>
        </is>
      </c>
      <c r="R141" s="18" t="inlineStr">
        <is>
          <t>Identificador de la dependencia del firmante 1 de certificados de la seccional.</t>
        </is>
      </c>
      <c r="S141" s="18" t="inlineStr">
        <is>
          <t>Baja</t>
        </is>
      </c>
      <c r="T141" s="18" t="inlineStr">
        <is>
          <t>nombre + tipo + columnas vecinas (fir_seccional1–4)</t>
        </is>
      </c>
      <c r="U141" s="18" t="inlineStr">
        <is>
          <t>¿id_dep_fir_cer1 referencia a auth.dependencias.id_dependencia y qué certificados firma?</t>
        </is>
      </c>
      <c r="V141" s="19" t="inlineStr">
        <is>
          <t>Pendiente</t>
        </is>
      </c>
      <c r="W141" s="19" t="inlineStr"/>
      <c r="X141" s="19" t="inlineStr"/>
      <c r="Y141" s="20" t="n"/>
      <c r="Z141" s="19" t="inlineStr"/>
      <c r="AA141" s="18">
        <f>IF(OR(V141="Aprobada"),R141,IF(AND(OR(V141="Aprobada con ajuste",V141="Rechazada"),W141&lt;&gt;""),W141,""))</f>
        <v/>
      </c>
    </row>
    <row r="142">
      <c r="A142" s="18" t="inlineStr">
        <is>
          <t>C0141</t>
        </is>
      </c>
      <c r="B142" s="18" t="inlineStr">
        <is>
          <t>Identidad y acceso</t>
        </is>
      </c>
      <c r="C142" s="18" t="inlineStr">
        <is>
          <t>auth</t>
        </is>
      </c>
      <c r="D142" s="18" t="inlineStr">
        <is>
          <t>seccionales</t>
        </is>
      </c>
      <c r="E142" s="18" t="n">
        <v>38</v>
      </c>
      <c r="F142" s="18" t="inlineStr">
        <is>
          <t>id_dep_fir_cer2</t>
        </is>
      </c>
      <c r="G142" s="18" t="inlineStr">
        <is>
          <t>bigint</t>
        </is>
      </c>
      <c r="H142" s="18" t="inlineStr">
        <is>
          <t>Sí</t>
        </is>
      </c>
      <c r="I142" s="18" t="inlineStr"/>
      <c r="J142" s="18" t="inlineStr"/>
      <c r="K142" s="18" t="inlineStr"/>
      <c r="L142" s="18" t="inlineStr">
        <is>
          <t>No</t>
        </is>
      </c>
      <c r="M142" s="18" t="inlineStr">
        <is>
          <t>No</t>
        </is>
      </c>
      <c r="N142" s="18" t="inlineStr"/>
      <c r="O142" s="18" t="inlineStr"/>
      <c r="P142" s="18" t="inlineStr"/>
      <c r="Q142" s="18" t="inlineStr">
        <is>
          <t>Propuesta semántica</t>
        </is>
      </c>
      <c r="R142" s="18" t="inlineStr">
        <is>
          <t>Identificador de la dependencia del firmante 2 de certificados de la seccional.</t>
        </is>
      </c>
      <c r="S142" s="18" t="inlineStr">
        <is>
          <t>Baja</t>
        </is>
      </c>
      <c r="T142" s="18" t="inlineStr">
        <is>
          <t>nombre + tipo + columnas vecinas (fir_seccional1–4)</t>
        </is>
      </c>
      <c r="U142" s="18" t="inlineStr">
        <is>
          <t>¿id_dep_fir_cer2 referencia a auth.dependencias.id_dependencia y qué certificados firma?</t>
        </is>
      </c>
      <c r="V142" s="19" t="inlineStr">
        <is>
          <t>Pendiente</t>
        </is>
      </c>
      <c r="W142" s="19" t="inlineStr"/>
      <c r="X142" s="19" t="inlineStr"/>
      <c r="Y142" s="20" t="n"/>
      <c r="Z142" s="19" t="inlineStr"/>
      <c r="AA142" s="18">
        <f>IF(OR(V142="Aprobada"),R142,IF(AND(OR(V142="Aprobada con ajuste",V142="Rechazada"),W142&lt;&gt;""),W142,""))</f>
        <v/>
      </c>
    </row>
    <row r="143">
      <c r="A143" s="18" t="inlineStr">
        <is>
          <t>C0142</t>
        </is>
      </c>
      <c r="B143" s="18" t="inlineStr">
        <is>
          <t>Identidad y acceso</t>
        </is>
      </c>
      <c r="C143" s="18" t="inlineStr">
        <is>
          <t>auth</t>
        </is>
      </c>
      <c r="D143" s="18" t="inlineStr">
        <is>
          <t>seccionales</t>
        </is>
      </c>
      <c r="E143" s="18" t="n">
        <v>38</v>
      </c>
      <c r="F143" s="18" t="inlineStr">
        <is>
          <t>id_dep_fir_cer3</t>
        </is>
      </c>
      <c r="G143" s="18" t="inlineStr">
        <is>
          <t>bigint</t>
        </is>
      </c>
      <c r="H143" s="18" t="inlineStr">
        <is>
          <t>Sí</t>
        </is>
      </c>
      <c r="I143" s="18" t="inlineStr"/>
      <c r="J143" s="18" t="inlineStr"/>
      <c r="K143" s="18" t="inlineStr"/>
      <c r="L143" s="18" t="inlineStr">
        <is>
          <t>No</t>
        </is>
      </c>
      <c r="M143" s="18" t="inlineStr">
        <is>
          <t>No</t>
        </is>
      </c>
      <c r="N143" s="18" t="inlineStr"/>
      <c r="O143" s="18" t="inlineStr"/>
      <c r="P143" s="18" t="inlineStr"/>
      <c r="Q143" s="18" t="inlineStr">
        <is>
          <t>Propuesta semántica</t>
        </is>
      </c>
      <c r="R143" s="18" t="inlineStr">
        <is>
          <t>Identificador de la dependencia del firmante 3 de certificados de la seccional.</t>
        </is>
      </c>
      <c r="S143" s="18" t="inlineStr">
        <is>
          <t>Baja</t>
        </is>
      </c>
      <c r="T143" s="18" t="inlineStr">
        <is>
          <t>nombre + tipo + columnas vecinas (fir_seccional1–4)</t>
        </is>
      </c>
      <c r="U143" s="18" t="inlineStr">
        <is>
          <t>¿id_dep_fir_cer3 referencia a auth.dependencias.id_dependencia y qué certificados firma?</t>
        </is>
      </c>
      <c r="V143" s="19" t="inlineStr">
        <is>
          <t>Pendiente</t>
        </is>
      </c>
      <c r="W143" s="19" t="inlineStr"/>
      <c r="X143" s="19" t="inlineStr"/>
      <c r="Y143" s="20" t="n"/>
      <c r="Z143" s="19" t="inlineStr"/>
      <c r="AA143" s="18">
        <f>IF(OR(V143="Aprobada"),R143,IF(AND(OR(V143="Aprobada con ajuste",V143="Rechazada"),W143&lt;&gt;""),W143,""))</f>
        <v/>
      </c>
    </row>
    <row r="144">
      <c r="A144" s="18" t="inlineStr">
        <is>
          <t>C0143</t>
        </is>
      </c>
      <c r="B144" s="18" t="inlineStr">
        <is>
          <t>Identidad y acceso</t>
        </is>
      </c>
      <c r="C144" s="18" t="inlineStr">
        <is>
          <t>auth</t>
        </is>
      </c>
      <c r="D144" s="18" t="inlineStr">
        <is>
          <t>seccionales</t>
        </is>
      </c>
      <c r="E144" s="18" t="n">
        <v>38</v>
      </c>
      <c r="F144" s="18" t="inlineStr">
        <is>
          <t>id_dep_fir_cer4</t>
        </is>
      </c>
      <c r="G144" s="18" t="inlineStr">
        <is>
          <t>bigint</t>
        </is>
      </c>
      <c r="H144" s="18" t="inlineStr">
        <is>
          <t>Sí</t>
        </is>
      </c>
      <c r="I144" s="18" t="inlineStr"/>
      <c r="J144" s="18" t="inlineStr"/>
      <c r="K144" s="18" t="inlineStr"/>
      <c r="L144" s="18" t="inlineStr">
        <is>
          <t>No</t>
        </is>
      </c>
      <c r="M144" s="18" t="inlineStr">
        <is>
          <t>No</t>
        </is>
      </c>
      <c r="N144" s="18" t="inlineStr"/>
      <c r="O144" s="18" t="inlineStr"/>
      <c r="P144" s="18" t="inlineStr"/>
      <c r="Q144" s="18" t="inlineStr">
        <is>
          <t>Propuesta semántica</t>
        </is>
      </c>
      <c r="R144" s="18" t="inlineStr">
        <is>
          <t>Identificador de la dependencia del firmante 4 de certificados de la seccional.</t>
        </is>
      </c>
      <c r="S144" s="18" t="inlineStr">
        <is>
          <t>Baja</t>
        </is>
      </c>
      <c r="T144" s="18" t="inlineStr">
        <is>
          <t>nombre + tipo + columnas vecinas (fir_seccional1–4)</t>
        </is>
      </c>
      <c r="U144" s="18" t="inlineStr">
        <is>
          <t>¿id_dep_fir_cer4 referencia a auth.dependencias.id_dependencia y qué certificados firma?</t>
        </is>
      </c>
      <c r="V144" s="19" t="inlineStr">
        <is>
          <t>Pendiente</t>
        </is>
      </c>
      <c r="W144" s="19" t="inlineStr"/>
      <c r="X144" s="19" t="inlineStr"/>
      <c r="Y144" s="20" t="n"/>
      <c r="Z144" s="19" t="inlineStr"/>
      <c r="AA144" s="18">
        <f>IF(OR(V144="Aprobada"),R144,IF(AND(OR(V144="Aprobada con ajuste",V144="Rechazada"),W144&lt;&gt;""),W144,""))</f>
        <v/>
      </c>
    </row>
    <row r="145">
      <c r="A145" s="18" t="inlineStr">
        <is>
          <t>C0144</t>
        </is>
      </c>
      <c r="B145" s="18" t="inlineStr">
        <is>
          <t>Identidad y acceso</t>
        </is>
      </c>
      <c r="C145" s="18" t="inlineStr">
        <is>
          <t>auth</t>
        </is>
      </c>
      <c r="D145" s="18" t="inlineStr">
        <is>
          <t>sede_cetap_mapping</t>
        </is>
      </c>
      <c r="E145" s="18" t="n">
        <v>290</v>
      </c>
      <c r="F145" s="18" t="inlineStr">
        <is>
          <t>origen</t>
        </is>
      </c>
      <c r="G145" s="18" t="inlineStr">
        <is>
          <t>character varying(20)</t>
        </is>
      </c>
      <c r="H145" s="18" t="inlineStr">
        <is>
          <t>No</t>
        </is>
      </c>
      <c r="I145" s="18" t="inlineStr">
        <is>
          <t>CHECK</t>
        </is>
      </c>
      <c r="J145" s="18" t="inlineStr">
        <is>
          <t>legacy, official</t>
        </is>
      </c>
      <c r="K145" s="18" t="inlineStr"/>
      <c r="L145" s="18" t="inlineStr">
        <is>
          <t>Sí</t>
        </is>
      </c>
      <c r="M145" s="18" t="inlineStr">
        <is>
          <t>No</t>
        </is>
      </c>
      <c r="N145" s="18" t="inlineStr"/>
      <c r="O145" s="18" t="inlineStr"/>
      <c r="P145" s="18" t="inlineStr"/>
      <c r="Q145" s="18" t="inlineStr">
        <is>
          <t>Propuesta semántica</t>
        </is>
      </c>
      <c r="R145" s="18" t="inlineStr">
        <is>
          <t>Origen de la relación entre la sede y el CETAP. Valores permitidos: legacy, official. Por defecto, official.</t>
        </is>
      </c>
      <c r="S145" s="18" t="inlineStr">
        <is>
          <t>Alta</t>
        </is>
      </c>
      <c r="T145" s="18" t="inlineStr">
        <is>
          <t>valores permitidos del CHECK</t>
        </is>
      </c>
      <c r="U145" s="18" t="inlineStr"/>
      <c r="V145" s="19" t="inlineStr">
        <is>
          <t>Pendiente</t>
        </is>
      </c>
      <c r="W145" s="19" t="inlineStr"/>
      <c r="X145" s="19" t="inlineStr"/>
      <c r="Y145" s="20" t="n"/>
      <c r="Z145" s="19" t="inlineStr"/>
      <c r="AA145" s="18">
        <f>IF(OR(V145="Aprobada"),R145,IF(AND(OR(V145="Aprobada con ajuste",V145="Rechazada"),W145&lt;&gt;""),W145,""))</f>
        <v/>
      </c>
    </row>
    <row r="146">
      <c r="A146" s="18" t="inlineStr">
        <is>
          <t>C0145</t>
        </is>
      </c>
      <c r="B146" s="18" t="inlineStr">
        <is>
          <t>Identidad y acceso</t>
        </is>
      </c>
      <c r="C146" s="18" t="inlineStr">
        <is>
          <t>auth</t>
        </is>
      </c>
      <c r="D146" s="18" t="inlineStr">
        <is>
          <t>sedes</t>
        </is>
      </c>
      <c r="E146" s="18" t="n">
        <v>615</v>
      </c>
      <c r="F146" s="18" t="inlineStr">
        <is>
          <t>id_empresa</t>
        </is>
      </c>
      <c r="G146" s="18" t="inlineStr">
        <is>
          <t>bigint</t>
        </is>
      </c>
      <c r="H146" s="18" t="inlineStr">
        <is>
          <t>No</t>
        </is>
      </c>
      <c r="I146" s="18" t="inlineStr"/>
      <c r="J146" s="18" t="inlineStr"/>
      <c r="K146" s="18" t="inlineStr"/>
      <c r="L146" s="18" t="inlineStr">
        <is>
          <t>No</t>
        </is>
      </c>
      <c r="M146" s="18" t="inlineStr">
        <is>
          <t>No</t>
        </is>
      </c>
      <c r="N146" s="18" t="inlineStr"/>
      <c r="O146" s="18" t="inlineStr"/>
      <c r="P146" s="18" t="inlineStr">
        <is>
          <t>Mapeada en auth-service/src/users/sede.entity.ts:16 (Sede.idEmpresa)</t>
        </is>
      </c>
      <c r="Q146" s="18" t="inlineStr">
        <is>
          <t>Propuesta semántica</t>
        </is>
      </c>
      <c r="R146" s="18" t="inlineStr">
        <is>
          <t>Identificador de la empresa o entidad a la que pertenece la sede.</t>
        </is>
      </c>
      <c r="S146" s="18" t="inlineStr">
        <is>
          <t>Media</t>
        </is>
      </c>
      <c r="T146" s="18" t="inlineStr">
        <is>
          <t>nombre + tipo + columnas vecinas</t>
        </is>
      </c>
      <c r="U146" s="18" t="inlineStr">
        <is>
          <t>¿Qué tabla identifica id_empresa?</t>
        </is>
      </c>
      <c r="V146" s="19" t="inlineStr">
        <is>
          <t>Pendiente</t>
        </is>
      </c>
      <c r="W146" s="19" t="inlineStr"/>
      <c r="X146" s="19" t="inlineStr"/>
      <c r="Y146" s="20" t="n"/>
      <c r="Z146" s="19" t="inlineStr"/>
      <c r="AA146" s="18">
        <f>IF(OR(V146="Aprobada"),R146,IF(AND(OR(V146="Aprobada con ajuste",V146="Rechazada"),W146&lt;&gt;""),W146,""))</f>
        <v/>
      </c>
    </row>
    <row r="147">
      <c r="A147" s="18" t="inlineStr">
        <is>
          <t>C0146</t>
        </is>
      </c>
      <c r="B147" s="18" t="inlineStr">
        <is>
          <t>Identidad y acceso</t>
        </is>
      </c>
      <c r="C147" s="18" t="inlineStr">
        <is>
          <t>auth</t>
        </is>
      </c>
      <c r="D147" s="18" t="inlineStr">
        <is>
          <t>sedes</t>
        </is>
      </c>
      <c r="E147" s="18" t="n">
        <v>615</v>
      </c>
      <c r="F147" s="18" t="inlineStr">
        <is>
          <t>cod_sede</t>
        </is>
      </c>
      <c r="G147" s="18" t="inlineStr">
        <is>
          <t>character varying(20)</t>
        </is>
      </c>
      <c r="H147" s="18" t="inlineStr">
        <is>
          <t>No</t>
        </is>
      </c>
      <c r="I147" s="18" t="inlineStr"/>
      <c r="J147" s="18" t="inlineStr"/>
      <c r="K147" s="18" t="inlineStr"/>
      <c r="L147" s="18" t="inlineStr">
        <is>
          <t>No</t>
        </is>
      </c>
      <c r="M147" s="18" t="inlineStr">
        <is>
          <t>No</t>
        </is>
      </c>
      <c r="N147" s="18" t="inlineStr"/>
      <c r="O147" s="18" t="inlineStr"/>
      <c r="P147" s="18" t="inlineStr">
        <is>
          <t>Mapeada en auth-service/src/users/sede.entity.ts:19 (Sede.codSede) | Validación: IsOptional, IsString, MaxLength(20, { message: 'El código de sede no puede exceder 20 caracteres' })</t>
        </is>
      </c>
      <c r="Q147" s="18" t="inlineStr">
        <is>
          <t>Propuesta semántica</t>
        </is>
      </c>
      <c r="R147" s="18" t="inlineStr">
        <is>
          <t>Código de la sede (máximo 20 caracteres).</t>
        </is>
      </c>
      <c r="S147" s="18" t="inlineStr">
        <is>
          <t>Alta</t>
        </is>
      </c>
      <c r="T147" s="18" t="inlineStr">
        <is>
          <t>nombre + tipo + columnas vecinas + validaciones</t>
        </is>
      </c>
      <c r="U147" s="18" t="inlineStr"/>
      <c r="V147" s="19" t="inlineStr">
        <is>
          <t>Pendiente</t>
        </is>
      </c>
      <c r="W147" s="19" t="inlineStr"/>
      <c r="X147" s="19" t="inlineStr"/>
      <c r="Y147" s="20" t="n"/>
      <c r="Z147" s="19" t="inlineStr"/>
      <c r="AA147" s="18">
        <f>IF(OR(V147="Aprobada"),R147,IF(AND(OR(V147="Aprobada con ajuste",V147="Rechazada"),W147&lt;&gt;""),W147,""))</f>
        <v/>
      </c>
    </row>
    <row r="148">
      <c r="A148" s="18" t="inlineStr">
        <is>
          <t>C0147</t>
        </is>
      </c>
      <c r="B148" s="18" t="inlineStr">
        <is>
          <t>Identidad y acceso</t>
        </is>
      </c>
      <c r="C148" s="18" t="inlineStr">
        <is>
          <t>auth</t>
        </is>
      </c>
      <c r="D148" s="18" t="inlineStr">
        <is>
          <t>sedes</t>
        </is>
      </c>
      <c r="E148" s="18" t="n">
        <v>615</v>
      </c>
      <c r="F148" s="18" t="inlineStr">
        <is>
          <t>nom_sede</t>
        </is>
      </c>
      <c r="G148" s="18" t="inlineStr">
        <is>
          <t>character varying(50)</t>
        </is>
      </c>
      <c r="H148" s="18" t="inlineStr">
        <is>
          <t>No</t>
        </is>
      </c>
      <c r="I148" s="18" t="inlineStr"/>
      <c r="J148" s="18" t="inlineStr"/>
      <c r="K148" s="18" t="inlineStr"/>
      <c r="L148" s="18" t="inlineStr">
        <is>
          <t>No</t>
        </is>
      </c>
      <c r="M148" s="18" t="inlineStr">
        <is>
          <t>No</t>
        </is>
      </c>
      <c r="N148" s="18" t="inlineStr"/>
      <c r="O148" s="18" t="inlineStr"/>
      <c r="P148" s="18" t="inlineStr">
        <is>
          <t>Mapeada en auth-service/src/users/sede.entity.ts:22 (Sede.nomSede) | Validación: IsOptional, IsString, MaxLength(50, { message: 'El nombre de sede no puede exceder 50 caracteres' })</t>
        </is>
      </c>
      <c r="Q148" s="18" t="inlineStr">
        <is>
          <t>Propuesta semántica</t>
        </is>
      </c>
      <c r="R148" s="18" t="inlineStr">
        <is>
          <t>Nombre de la sede (máximo 50 caracteres).</t>
        </is>
      </c>
      <c r="S148" s="18" t="inlineStr">
        <is>
          <t>Alta</t>
        </is>
      </c>
      <c r="T148" s="18" t="inlineStr">
        <is>
          <t>nombre + tipo + columnas vecinas + validaciones</t>
        </is>
      </c>
      <c r="U148" s="18" t="inlineStr"/>
      <c r="V148" s="19" t="inlineStr">
        <is>
          <t>Pendiente</t>
        </is>
      </c>
      <c r="W148" s="19" t="inlineStr"/>
      <c r="X148" s="19" t="inlineStr"/>
      <c r="Y148" s="20" t="n"/>
      <c r="Z148" s="19" t="inlineStr"/>
      <c r="AA148" s="18">
        <f>IF(OR(V148="Aprobada"),R148,IF(AND(OR(V148="Aprobada con ajuste",V148="Rechazada"),W148&lt;&gt;""),W148,""))</f>
        <v/>
      </c>
    </row>
    <row r="149">
      <c r="A149" s="18" t="inlineStr">
        <is>
          <t>C0148</t>
        </is>
      </c>
      <c r="B149" s="18" t="inlineStr">
        <is>
          <t>Identidad y acceso</t>
        </is>
      </c>
      <c r="C149" s="18" t="inlineStr">
        <is>
          <t>auth</t>
        </is>
      </c>
      <c r="D149" s="18" t="inlineStr">
        <is>
          <t>sedes</t>
        </is>
      </c>
      <c r="E149" s="18" t="n">
        <v>615</v>
      </c>
      <c r="F149" s="18" t="inlineStr">
        <is>
          <t>dir_sede</t>
        </is>
      </c>
      <c r="G149" s="18" t="inlineStr">
        <is>
          <t>character varying(250)</t>
        </is>
      </c>
      <c r="H149" s="18" t="inlineStr">
        <is>
          <t>Sí</t>
        </is>
      </c>
      <c r="I149" s="18" t="inlineStr"/>
      <c r="J149" s="18" t="inlineStr"/>
      <c r="K149" s="18" t="inlineStr"/>
      <c r="L149" s="18" t="inlineStr">
        <is>
          <t>No</t>
        </is>
      </c>
      <c r="M149" s="18" t="inlineStr">
        <is>
          <t>No</t>
        </is>
      </c>
      <c r="N149" s="18" t="inlineStr"/>
      <c r="O149" s="18" t="inlineStr"/>
      <c r="P149" s="18" t="inlineStr">
        <is>
          <t>Mapeada en auth-service/src/users/sede.entity.ts:32 (Sede.dirSede)</t>
        </is>
      </c>
      <c r="Q149" s="18" t="inlineStr">
        <is>
          <t>Propuesta semántica</t>
        </is>
      </c>
      <c r="R149" s="18" t="inlineStr">
        <is>
          <t>Dirección física de la sede.</t>
        </is>
      </c>
      <c r="S149" s="18" t="inlineStr">
        <is>
          <t>Alta</t>
        </is>
      </c>
      <c r="T149" s="18" t="inlineStr">
        <is>
          <t>nombre + tipo + columnas vecinas</t>
        </is>
      </c>
      <c r="U149" s="18" t="inlineStr"/>
      <c r="V149" s="19" t="inlineStr">
        <is>
          <t>Pendiente</t>
        </is>
      </c>
      <c r="W149" s="19" t="inlineStr"/>
      <c r="X149" s="19" t="inlineStr"/>
      <c r="Y149" s="20" t="n"/>
      <c r="Z149" s="19" t="inlineStr"/>
      <c r="AA149" s="18">
        <f>IF(OR(V149="Aprobada"),R149,IF(AND(OR(V149="Aprobada con ajuste",V149="Rechazada"),W149&lt;&gt;""),W149,""))</f>
        <v/>
      </c>
    </row>
    <row r="150">
      <c r="A150" s="18" t="inlineStr">
        <is>
          <t>C0149</t>
        </is>
      </c>
      <c r="B150" s="18" t="inlineStr">
        <is>
          <t>Identidad y acceso</t>
        </is>
      </c>
      <c r="C150" s="18" t="inlineStr">
        <is>
          <t>auth</t>
        </is>
      </c>
      <c r="D150" s="18" t="inlineStr">
        <is>
          <t>sedes</t>
        </is>
      </c>
      <c r="E150" s="18" t="n">
        <v>615</v>
      </c>
      <c r="F150" s="18" t="inlineStr">
        <is>
          <t>fec_ult_act</t>
        </is>
      </c>
      <c r="G150" s="18" t="inlineStr">
        <is>
          <t>date</t>
        </is>
      </c>
      <c r="H150" s="18" t="inlineStr">
        <is>
          <t>Sí</t>
        </is>
      </c>
      <c r="I150" s="18" t="inlineStr"/>
      <c r="J150" s="18" t="inlineStr"/>
      <c r="K150" s="18" t="inlineStr"/>
      <c r="L150" s="18" t="inlineStr">
        <is>
          <t>No</t>
        </is>
      </c>
      <c r="M150" s="18" t="inlineStr">
        <is>
          <t>No</t>
        </is>
      </c>
      <c r="N150" s="18" t="inlineStr"/>
      <c r="O150" s="18" t="inlineStr"/>
      <c r="P150" s="18" t="inlineStr">
        <is>
          <t>Mapeada en auth-service/src/users/sede.entity.ts:35 (Sede.fecUltAct)</t>
        </is>
      </c>
      <c r="Q150" s="18" t="inlineStr">
        <is>
          <t>Propuesta semántica</t>
        </is>
      </c>
      <c r="R150" s="18" t="inlineStr">
        <is>
          <t>Fecha de la última actualización del registro.</t>
        </is>
      </c>
      <c r="S150" s="18" t="inlineStr">
        <is>
          <t>Alta</t>
        </is>
      </c>
      <c r="T150" s="18" t="inlineStr">
        <is>
          <t>nombre + tipo + columnas vecinas</t>
        </is>
      </c>
      <c r="U150" s="18" t="inlineStr"/>
      <c r="V150" s="19" t="inlineStr">
        <is>
          <t>Pendiente</t>
        </is>
      </c>
      <c r="W150" s="19" t="inlineStr"/>
      <c r="X150" s="19" t="inlineStr"/>
      <c r="Y150" s="20" t="n"/>
      <c r="Z150" s="19" t="inlineStr"/>
      <c r="AA150" s="18">
        <f>IF(OR(V150="Aprobada"),R150,IF(AND(OR(V150="Aprobada con ajuste",V150="Rechazada"),W150&lt;&gt;""),W150,""))</f>
        <v/>
      </c>
    </row>
    <row r="151">
      <c r="A151" s="18" t="inlineStr">
        <is>
          <t>C0150</t>
        </is>
      </c>
      <c r="B151" s="18" t="inlineStr">
        <is>
          <t>Identidad y acceso</t>
        </is>
      </c>
      <c r="C151" s="18" t="inlineStr">
        <is>
          <t>auth</t>
        </is>
      </c>
      <c r="D151" s="18" t="inlineStr">
        <is>
          <t>sedes</t>
        </is>
      </c>
      <c r="E151" s="18" t="n">
        <v>615</v>
      </c>
      <c r="F151" s="18" t="inlineStr">
        <is>
          <t>fec_creacion</t>
        </is>
      </c>
      <c r="G151" s="18" t="inlineStr">
        <is>
          <t>date</t>
        </is>
      </c>
      <c r="H151" s="18" t="inlineStr">
        <is>
          <t>Sí</t>
        </is>
      </c>
      <c r="I151" s="18" t="inlineStr"/>
      <c r="J151" s="18" t="inlineStr"/>
      <c r="K151" s="18" t="inlineStr"/>
      <c r="L151" s="18" t="inlineStr">
        <is>
          <t>No</t>
        </is>
      </c>
      <c r="M151" s="18" t="inlineStr">
        <is>
          <t>No</t>
        </is>
      </c>
      <c r="N151" s="18" t="inlineStr"/>
      <c r="O151" s="18" t="inlineStr"/>
      <c r="P151" s="18" t="inlineStr">
        <is>
          <t>Mapeada en auth-service/src/users/sede.entity.ts:38 (Sede.fecCreacion)</t>
        </is>
      </c>
      <c r="Q151" s="18" t="inlineStr">
        <is>
          <t>Propuesta semántica</t>
        </is>
      </c>
      <c r="R151" s="18" t="inlineStr">
        <is>
          <t>Fecha de creación del registro.</t>
        </is>
      </c>
      <c r="S151" s="18" t="inlineStr">
        <is>
          <t>Alta</t>
        </is>
      </c>
      <c r="T151" s="18" t="inlineStr">
        <is>
          <t>nombre + tipo + columnas vecinas</t>
        </is>
      </c>
      <c r="U151" s="18" t="inlineStr"/>
      <c r="V151" s="19" t="inlineStr">
        <is>
          <t>Pendiente</t>
        </is>
      </c>
      <c r="W151" s="19" t="inlineStr"/>
      <c r="X151" s="19" t="inlineStr"/>
      <c r="Y151" s="20" t="n"/>
      <c r="Z151" s="19" t="inlineStr"/>
      <c r="AA151" s="18">
        <f>IF(OR(V151="Aprobada"),R151,IF(AND(OR(V151="Aprobada con ajuste",V151="Rechazada"),W151&lt;&gt;""),W151,""))</f>
        <v/>
      </c>
    </row>
    <row r="152">
      <c r="A152" s="18" t="inlineStr">
        <is>
          <t>C0151</t>
        </is>
      </c>
      <c r="B152" s="18" t="inlineStr">
        <is>
          <t>Identidad y acceso</t>
        </is>
      </c>
      <c r="C152" s="18" t="inlineStr">
        <is>
          <t>auth</t>
        </is>
      </c>
      <c r="D152" s="18" t="inlineStr">
        <is>
          <t>sedes</t>
        </is>
      </c>
      <c r="E152" s="18" t="n">
        <v>615</v>
      </c>
      <c r="F152" s="18" t="inlineStr">
        <is>
          <t>usu_creacion</t>
        </is>
      </c>
      <c r="G152" s="18" t="inlineStr">
        <is>
          <t>character varying(20)</t>
        </is>
      </c>
      <c r="H152" s="18" t="inlineStr">
        <is>
          <t>Sí</t>
        </is>
      </c>
      <c r="I152" s="18" t="inlineStr"/>
      <c r="J152" s="18" t="inlineStr"/>
      <c r="K152" s="18" t="inlineStr"/>
      <c r="L152" s="18" t="inlineStr">
        <is>
          <t>No</t>
        </is>
      </c>
      <c r="M152" s="18" t="inlineStr">
        <is>
          <t>No</t>
        </is>
      </c>
      <c r="N152" s="18" t="inlineStr"/>
      <c r="O152" s="18" t="inlineStr"/>
      <c r="P152" s="18" t="inlineStr">
        <is>
          <t>Mapeada en auth-service/src/users/sede.entity.ts:41 (Sede.usuCreacion)</t>
        </is>
      </c>
      <c r="Q152" s="18" t="inlineStr">
        <is>
          <t>Propuesta semántica</t>
        </is>
      </c>
      <c r="R152" s="18" t="inlineStr">
        <is>
          <t>Usuario que creó el registro.</t>
        </is>
      </c>
      <c r="S152" s="18" t="inlineStr">
        <is>
          <t>Media</t>
        </is>
      </c>
      <c r="T152" s="18" t="inlineStr">
        <is>
          <t>nombre + tipo + columnas vecinas</t>
        </is>
      </c>
      <c r="U152" s="18" t="inlineStr">
        <is>
          <t>¿usu_creacion guarda el nombre de usuario del sistema de origen?</t>
        </is>
      </c>
      <c r="V152" s="19" t="inlineStr">
        <is>
          <t>Pendiente</t>
        </is>
      </c>
      <c r="W152" s="19" t="inlineStr"/>
      <c r="X152" s="19" t="inlineStr"/>
      <c r="Y152" s="20" t="n"/>
      <c r="Z152" s="19" t="inlineStr"/>
      <c r="AA152" s="18">
        <f>IF(OR(V152="Aprobada"),R152,IF(AND(OR(V152="Aprobada con ajuste",V152="Rechazada"),W152&lt;&gt;""),W152,""))</f>
        <v/>
      </c>
    </row>
    <row r="153">
      <c r="A153" s="18" t="inlineStr">
        <is>
          <t>C0152</t>
        </is>
      </c>
      <c r="B153" s="18" t="inlineStr">
        <is>
          <t>Identidad y acceso</t>
        </is>
      </c>
      <c r="C153" s="18" t="inlineStr">
        <is>
          <t>auth</t>
        </is>
      </c>
      <c r="D153" s="18" t="inlineStr">
        <is>
          <t>sedes</t>
        </is>
      </c>
      <c r="E153" s="18" t="n">
        <v>615</v>
      </c>
      <c r="F153" s="18" t="inlineStr">
        <is>
          <t>usu_actualizacion</t>
        </is>
      </c>
      <c r="G153" s="18" t="inlineStr">
        <is>
          <t>character varying(20)</t>
        </is>
      </c>
      <c r="H153" s="18" t="inlineStr">
        <is>
          <t>Sí</t>
        </is>
      </c>
      <c r="I153" s="18" t="inlineStr"/>
      <c r="J153" s="18" t="inlineStr"/>
      <c r="K153" s="18" t="inlineStr"/>
      <c r="L153" s="18" t="inlineStr">
        <is>
          <t>No</t>
        </is>
      </c>
      <c r="M153" s="18" t="inlineStr">
        <is>
          <t>No</t>
        </is>
      </c>
      <c r="N153" s="18" t="inlineStr"/>
      <c r="O153" s="18" t="inlineStr"/>
      <c r="P153" s="18" t="inlineStr">
        <is>
          <t>Mapeada en auth-service/src/users/sede.entity.ts:44 (Sede.usuActualizacion)</t>
        </is>
      </c>
      <c r="Q153" s="18" t="inlineStr">
        <is>
          <t>Propuesta semántica</t>
        </is>
      </c>
      <c r="R153" s="18" t="inlineStr">
        <is>
          <t>Usuario que hizo la última actualización del registro.</t>
        </is>
      </c>
      <c r="S153" s="18" t="inlineStr">
        <is>
          <t>Media</t>
        </is>
      </c>
      <c r="T153" s="18" t="inlineStr">
        <is>
          <t>nombre + tipo + columnas vecinas</t>
        </is>
      </c>
      <c r="U153" s="18" t="inlineStr">
        <is>
          <t>¿usu_actualizacion guarda el nombre de usuario del sistema de origen?</t>
        </is>
      </c>
      <c r="V153" s="19" t="inlineStr">
        <is>
          <t>Pendiente</t>
        </is>
      </c>
      <c r="W153" s="19" t="inlineStr"/>
      <c r="X153" s="19" t="inlineStr"/>
      <c r="Y153" s="20" t="n"/>
      <c r="Z153" s="19" t="inlineStr"/>
      <c r="AA153" s="18">
        <f>IF(OR(V153="Aprobada"),R153,IF(AND(OR(V153="Aprobada con ajuste",V153="Rechazada"),W153&lt;&gt;""),W153,""))</f>
        <v/>
      </c>
    </row>
    <row r="154">
      <c r="A154" s="18" t="inlineStr">
        <is>
          <t>C0153</t>
        </is>
      </c>
      <c r="B154" s="18" t="inlineStr">
        <is>
          <t>Identidad y acceso</t>
        </is>
      </c>
      <c r="C154" s="18" t="inlineStr">
        <is>
          <t>auth</t>
        </is>
      </c>
      <c r="D154" s="18" t="inlineStr">
        <is>
          <t>sedes</t>
        </is>
      </c>
      <c r="E154" s="18" t="n">
        <v>615</v>
      </c>
      <c r="F154" s="18" t="inlineStr">
        <is>
          <t>cod_atributo</t>
        </is>
      </c>
      <c r="G154" s="18" t="inlineStr">
        <is>
          <t>character varying(10)</t>
        </is>
      </c>
      <c r="H154" s="18" t="inlineStr">
        <is>
          <t>Sí</t>
        </is>
      </c>
      <c r="I154" s="18" t="inlineStr"/>
      <c r="J154" s="18" t="inlineStr"/>
      <c r="K154" s="18" t="inlineStr"/>
      <c r="L154" s="18" t="inlineStr">
        <is>
          <t>No</t>
        </is>
      </c>
      <c r="M154" s="18" t="inlineStr">
        <is>
          <t>No</t>
        </is>
      </c>
      <c r="N154" s="18" t="inlineStr"/>
      <c r="O154" s="18" t="inlineStr"/>
      <c r="P154" s="18" t="inlineStr">
        <is>
          <t>Mapeada en auth-service/src/users/sede.entity.ts:47 (Sede.codAtributo)</t>
        </is>
      </c>
      <c r="Q154" s="18" t="inlineStr">
        <is>
          <t>Propuesta semántica</t>
        </is>
      </c>
      <c r="R154" s="18" t="inlineStr">
        <is>
          <t>Código de atributo de la sede.</t>
        </is>
      </c>
      <c r="S154" s="18" t="inlineStr">
        <is>
          <t>Baja</t>
        </is>
      </c>
      <c r="T154" s="18" t="inlineStr">
        <is>
          <t>nombre + tipo + columnas vecinas</t>
        </is>
      </c>
      <c r="U154" s="18" t="inlineStr">
        <is>
          <t>¿Qué representa cod_atributo y qué valores toma?</t>
        </is>
      </c>
      <c r="V154" s="19" t="inlineStr">
        <is>
          <t>Pendiente</t>
        </is>
      </c>
      <c r="W154" s="19" t="inlineStr"/>
      <c r="X154" s="19" t="inlineStr"/>
      <c r="Y154" s="20" t="n"/>
      <c r="Z154" s="19" t="inlineStr"/>
      <c r="AA154" s="18">
        <f>IF(OR(V154="Aprobada"),R154,IF(AND(OR(V154="Aprobada con ajuste",V154="Rechazada"),W154&lt;&gt;""),W154,""))</f>
        <v/>
      </c>
    </row>
    <row r="155">
      <c r="A155" s="18" t="inlineStr">
        <is>
          <t>C0154</t>
        </is>
      </c>
      <c r="B155" s="18" t="inlineStr">
        <is>
          <t>Identidad y acceso</t>
        </is>
      </c>
      <c r="C155" s="18" t="inlineStr">
        <is>
          <t>auth</t>
        </is>
      </c>
      <c r="D155" s="18" t="inlineStr">
        <is>
          <t>sedes</t>
        </is>
      </c>
      <c r="E155" s="18" t="n">
        <v>615</v>
      </c>
      <c r="F155" s="18" t="inlineStr">
        <is>
          <t>sede_act</t>
        </is>
      </c>
      <c r="G155" s="18" t="inlineStr">
        <is>
          <t>character varying(30)</t>
        </is>
      </c>
      <c r="H155" s="18" t="inlineStr">
        <is>
          <t>Sí</t>
        </is>
      </c>
      <c r="I155" s="18" t="inlineStr"/>
      <c r="J155" s="18" t="inlineStr"/>
      <c r="K155" s="18" t="inlineStr"/>
      <c r="L155" s="18" t="inlineStr">
        <is>
          <t>No</t>
        </is>
      </c>
      <c r="M155" s="18" t="inlineStr">
        <is>
          <t>No</t>
        </is>
      </c>
      <c r="N155" s="18" t="inlineStr"/>
      <c r="O155" s="18" t="inlineStr"/>
      <c r="P155" s="18" t="inlineStr">
        <is>
          <t>Mapeada en auth-service/src/users/sede.entity.ts:57 (Sede.sedeAct) | Validación: IsOptional, IsString, MaxLength(30, { message: 'El estado no puede exceder 30 caracteres' })</t>
        </is>
      </c>
      <c r="Q155" s="18" t="inlineStr">
        <is>
          <t>Propuesta semántica</t>
        </is>
      </c>
      <c r="R155" s="18" t="inlineStr">
        <is>
          <t>Estado de la sede (máximo 30 caracteres).</t>
        </is>
      </c>
      <c r="S155" s="18" t="inlineStr">
        <is>
          <t>Media</t>
        </is>
      </c>
      <c r="T155" s="18" t="inlineStr">
        <is>
          <t>nombre + tipo + columnas vecinas + mensaje de validación «El estado…»</t>
        </is>
      </c>
      <c r="U155" s="18" t="inlineStr">
        <is>
          <t>¿Qué valores toma sede_act?</t>
        </is>
      </c>
      <c r="V155" s="19" t="inlineStr">
        <is>
          <t>Pendiente</t>
        </is>
      </c>
      <c r="W155" s="19" t="inlineStr"/>
      <c r="X155" s="19" t="inlineStr"/>
      <c r="Y155" s="20" t="n"/>
      <c r="Z155" s="19" t="inlineStr"/>
      <c r="AA155" s="18">
        <f>IF(OR(V155="Aprobada"),R155,IF(AND(OR(V155="Aprobada con ajuste",V155="Rechazada"),W155&lt;&gt;""),W155,""))</f>
        <v/>
      </c>
    </row>
    <row r="156">
      <c r="A156" s="18" t="inlineStr">
        <is>
          <t>C0155</t>
        </is>
      </c>
      <c r="B156" s="18" t="inlineStr">
        <is>
          <t>Identidad y acceso</t>
        </is>
      </c>
      <c r="C156" s="18" t="inlineStr">
        <is>
          <t>auth</t>
        </is>
      </c>
      <c r="D156" s="18" t="inlineStr">
        <is>
          <t>sedes</t>
        </is>
      </c>
      <c r="E156" s="18" t="n">
        <v>615</v>
      </c>
      <c r="F156" s="18" t="inlineStr">
        <is>
          <t>num_latitud</t>
        </is>
      </c>
      <c r="G156" s="18" t="inlineStr">
        <is>
          <t>numeric(32,29)</t>
        </is>
      </c>
      <c r="H156" s="18" t="inlineStr">
        <is>
          <t>Sí</t>
        </is>
      </c>
      <c r="I156" s="18" t="inlineStr"/>
      <c r="J156" s="18" t="inlineStr"/>
      <c r="K156" s="18" t="inlineStr"/>
      <c r="L156" s="18" t="inlineStr">
        <is>
          <t>No</t>
        </is>
      </c>
      <c r="M156" s="18" t="inlineStr">
        <is>
          <t>No</t>
        </is>
      </c>
      <c r="N156" s="18" t="inlineStr"/>
      <c r="O156" s="18" t="inlineStr"/>
      <c r="P156" s="18" t="inlineStr">
        <is>
          <t>Mapeada en auth-service/src/users/sede.entity.ts:60 (Sede.numLatitud)</t>
        </is>
      </c>
      <c r="Q156" s="18" t="inlineStr">
        <is>
          <t>Propuesta semántica</t>
        </is>
      </c>
      <c r="R156" s="18" t="inlineStr">
        <is>
          <t>Latitud geográfica de la sede, en grados decimales.</t>
        </is>
      </c>
      <c r="S156" s="18" t="inlineStr">
        <is>
          <t>Alta</t>
        </is>
      </c>
      <c r="T156" s="18" t="inlineStr">
        <is>
          <t>nombre + tipo + columnas vecinas (num_longitud)</t>
        </is>
      </c>
      <c r="U156" s="18" t="inlineStr"/>
      <c r="V156" s="19" t="inlineStr">
        <is>
          <t>Pendiente</t>
        </is>
      </c>
      <c r="W156" s="19" t="inlineStr"/>
      <c r="X156" s="19" t="inlineStr"/>
      <c r="Y156" s="20" t="n"/>
      <c r="Z156" s="19" t="inlineStr"/>
      <c r="AA156" s="18">
        <f>IF(OR(V156="Aprobada"),R156,IF(AND(OR(V156="Aprobada con ajuste",V156="Rechazada"),W156&lt;&gt;""),W156,""))</f>
        <v/>
      </c>
    </row>
    <row r="157">
      <c r="A157" s="18" t="inlineStr">
        <is>
          <t>C0156</t>
        </is>
      </c>
      <c r="B157" s="18" t="inlineStr">
        <is>
          <t>Identidad y acceso</t>
        </is>
      </c>
      <c r="C157" s="18" t="inlineStr">
        <is>
          <t>auth</t>
        </is>
      </c>
      <c r="D157" s="18" t="inlineStr">
        <is>
          <t>sedes</t>
        </is>
      </c>
      <c r="E157" s="18" t="n">
        <v>615</v>
      </c>
      <c r="F157" s="18" t="inlineStr">
        <is>
          <t>num_longitud</t>
        </is>
      </c>
      <c r="G157" s="18" t="inlineStr">
        <is>
          <t>numeric(32,29)</t>
        </is>
      </c>
      <c r="H157" s="18" t="inlineStr">
        <is>
          <t>Sí</t>
        </is>
      </c>
      <c r="I157" s="18" t="inlineStr"/>
      <c r="J157" s="18" t="inlineStr"/>
      <c r="K157" s="18" t="inlineStr"/>
      <c r="L157" s="18" t="inlineStr">
        <is>
          <t>No</t>
        </is>
      </c>
      <c r="M157" s="18" t="inlineStr">
        <is>
          <t>No</t>
        </is>
      </c>
      <c r="N157" s="18" t="inlineStr"/>
      <c r="O157" s="18" t="inlineStr"/>
      <c r="P157" s="18" t="inlineStr">
        <is>
          <t>Mapeada en auth-service/src/users/sede.entity.ts:63 (Sede.numLongitud)</t>
        </is>
      </c>
      <c r="Q157" s="18" t="inlineStr">
        <is>
          <t>Propuesta semántica</t>
        </is>
      </c>
      <c r="R157" s="18" t="inlineStr">
        <is>
          <t>Longitud geográfica de la sede, en grados decimales.</t>
        </is>
      </c>
      <c r="S157" s="18" t="inlineStr">
        <is>
          <t>Alta</t>
        </is>
      </c>
      <c r="T157" s="18" t="inlineStr">
        <is>
          <t>nombre + tipo + columnas vecinas (num_latitud)</t>
        </is>
      </c>
      <c r="U157" s="18" t="inlineStr"/>
      <c r="V157" s="19" t="inlineStr">
        <is>
          <t>Pendiente</t>
        </is>
      </c>
      <c r="W157" s="19" t="inlineStr"/>
      <c r="X157" s="19" t="inlineStr"/>
      <c r="Y157" s="20" t="n"/>
      <c r="Z157" s="19" t="inlineStr"/>
      <c r="AA157" s="18">
        <f>IF(OR(V157="Aprobada"),R157,IF(AND(OR(V157="Aprobada con ajuste",V157="Rechazada"),W157&lt;&gt;""),W157,""))</f>
        <v/>
      </c>
    </row>
    <row r="158">
      <c r="A158" s="18" t="inlineStr">
        <is>
          <t>C0157</t>
        </is>
      </c>
      <c r="B158" s="18" t="inlineStr">
        <is>
          <t>Identidad y acceso</t>
        </is>
      </c>
      <c r="C158" s="18" t="inlineStr">
        <is>
          <t>auth</t>
        </is>
      </c>
      <c r="D158" s="18" t="inlineStr">
        <is>
          <t>sedes</t>
        </is>
      </c>
      <c r="E158" s="18" t="n">
        <v>615</v>
      </c>
      <c r="F158" s="18" t="inlineStr">
        <is>
          <t>tel_sede</t>
        </is>
      </c>
      <c r="G158" s="18" t="inlineStr">
        <is>
          <t>character varying(50)</t>
        </is>
      </c>
      <c r="H158" s="18" t="inlineStr">
        <is>
          <t>Sí</t>
        </is>
      </c>
      <c r="I158" s="18" t="inlineStr"/>
      <c r="J158" s="18" t="inlineStr"/>
      <c r="K158" s="18" t="inlineStr"/>
      <c r="L158" s="18" t="inlineStr">
        <is>
          <t>No</t>
        </is>
      </c>
      <c r="M158" s="18" t="inlineStr">
        <is>
          <t>No</t>
        </is>
      </c>
      <c r="N158" s="18" t="inlineStr"/>
      <c r="O158" s="18" t="inlineStr"/>
      <c r="P158" s="18" t="inlineStr">
        <is>
          <t>auth-service/src/users/sede.entity.ts:76: @Column({ name: 'cod_iac_inscripciones', length: 250, nullable: true }) codIacInscripciones: string; | db/init/old/001_schema_auth.sql:370: Campos adicionales de contacto y configuración</t>
        </is>
      </c>
      <c r="Q158" s="18" t="inlineStr">
        <is>
          <t>Código fuente</t>
        </is>
      </c>
      <c r="R158" s="18" t="inlineStr">
        <is>
          <t>Número de teléfono de contacto de la sede.</t>
        </is>
      </c>
      <c r="S158" s="18" t="inlineStr">
        <is>
          <t>Alta</t>
        </is>
      </c>
      <c r="T158" s="18" t="inlineStr">
        <is>
          <t>nombre + tipo; comentario SQL db/init/old/001_schema_auth.sql:370 (campos de contacto)</t>
        </is>
      </c>
      <c r="U158" s="18" t="inlineStr"/>
      <c r="V158" s="19" t="inlineStr">
        <is>
          <t>Pendiente</t>
        </is>
      </c>
      <c r="W158" s="19" t="inlineStr"/>
      <c r="X158" s="19" t="inlineStr"/>
      <c r="Y158" s="20" t="n"/>
      <c r="Z158" s="19" t="inlineStr"/>
      <c r="AA158" s="18">
        <f>IF(OR(V158="Aprobada"),R158,IF(AND(OR(V158="Aprobada con ajuste",V158="Rechazada"),W158&lt;&gt;""),W158,""))</f>
        <v/>
      </c>
    </row>
    <row r="159">
      <c r="A159" s="18" t="inlineStr">
        <is>
          <t>C0158</t>
        </is>
      </c>
      <c r="B159" s="18" t="inlineStr">
        <is>
          <t>Identidad y acceso</t>
        </is>
      </c>
      <c r="C159" s="18" t="inlineStr">
        <is>
          <t>auth</t>
        </is>
      </c>
      <c r="D159" s="18" t="inlineStr">
        <is>
          <t>sedes</t>
        </is>
      </c>
      <c r="E159" s="18" t="n">
        <v>615</v>
      </c>
      <c r="F159" s="18" t="inlineStr">
        <is>
          <t>email_sede</t>
        </is>
      </c>
      <c r="G159" s="18" t="inlineStr">
        <is>
          <t>character varying(100)</t>
        </is>
      </c>
      <c r="H159" s="18" t="inlineStr">
        <is>
          <t>Sí</t>
        </is>
      </c>
      <c r="I159" s="18" t="inlineStr"/>
      <c r="J159" s="18" t="inlineStr"/>
      <c r="K159" s="18" t="inlineStr"/>
      <c r="L159" s="18" t="inlineStr">
        <is>
          <t>No</t>
        </is>
      </c>
      <c r="M159" s="18" t="inlineStr">
        <is>
          <t>No</t>
        </is>
      </c>
      <c r="N159" s="18" t="inlineStr"/>
      <c r="O159" s="18" t="inlineStr"/>
      <c r="P159" s="18" t="inlineStr">
        <is>
          <t>auth-service/src/users/sede.entity.ts:79: @Column({ name: 'cod_iac_inscripciones', length: 250, nullable: true }) codIacInscripciones: string;</t>
        </is>
      </c>
      <c r="Q159" s="18" t="inlineStr">
        <is>
          <t>Código fuente</t>
        </is>
      </c>
      <c r="R159" s="18" t="inlineStr">
        <is>
          <t>Correo electrónico de contacto de la sede.</t>
        </is>
      </c>
      <c r="S159" s="18" t="inlineStr">
        <is>
          <t>Alta</t>
        </is>
      </c>
      <c r="T159" s="18" t="inlineStr">
        <is>
          <t>nombre + tipo</t>
        </is>
      </c>
      <c r="U159" s="18" t="inlineStr"/>
      <c r="V159" s="19" t="inlineStr">
        <is>
          <t>Pendiente</t>
        </is>
      </c>
      <c r="W159" s="19" t="inlineStr"/>
      <c r="X159" s="19" t="inlineStr"/>
      <c r="Y159" s="20" t="n"/>
      <c r="Z159" s="19" t="inlineStr"/>
      <c r="AA159" s="18">
        <f>IF(OR(V159="Aprobada"),R159,IF(AND(OR(V159="Aprobada con ajuste",V159="Rechazada"),W159&lt;&gt;""),W159,""))</f>
        <v/>
      </c>
    </row>
    <row r="160">
      <c r="A160" s="18" t="inlineStr">
        <is>
          <t>C0159</t>
        </is>
      </c>
      <c r="B160" s="18" t="inlineStr">
        <is>
          <t>Identidad y acceso</t>
        </is>
      </c>
      <c r="C160" s="18" t="inlineStr">
        <is>
          <t>auth</t>
        </is>
      </c>
      <c r="D160" s="18" t="inlineStr">
        <is>
          <t>sedes</t>
        </is>
      </c>
      <c r="E160" s="18" t="n">
        <v>615</v>
      </c>
      <c r="F160" s="18" t="inlineStr">
        <is>
          <t>capacidad_estudiantes</t>
        </is>
      </c>
      <c r="G160" s="18" t="inlineStr">
        <is>
          <t>integer</t>
        </is>
      </c>
      <c r="H160" s="18" t="inlineStr">
        <is>
          <t>Sí</t>
        </is>
      </c>
      <c r="I160" s="18" t="inlineStr"/>
      <c r="J160" s="18" t="inlineStr"/>
      <c r="K160" s="18" t="inlineStr"/>
      <c r="L160" s="18" t="inlineStr">
        <is>
          <t>No</t>
        </is>
      </c>
      <c r="M160" s="18" t="inlineStr">
        <is>
          <t>No</t>
        </is>
      </c>
      <c r="N160" s="18" t="inlineStr"/>
      <c r="O160" s="18" t="inlineStr"/>
      <c r="P160" s="18" t="inlineStr">
        <is>
          <t>auth-service/src/users/sede.entity.ts:82: @Column({ name: 'cod_iac_inscripciones', length: 250, nullable: true }) codIacInscripciones: string;</t>
        </is>
      </c>
      <c r="Q160" s="18" t="inlineStr">
        <is>
          <t>Código fuente</t>
        </is>
      </c>
      <c r="R160" s="18" t="inlineStr">
        <is>
          <t>Número máximo de estudiantes que puede atender la sede.</t>
        </is>
      </c>
      <c r="S160" s="18" t="inlineStr">
        <is>
          <t>Media</t>
        </is>
      </c>
      <c r="T160" s="18" t="inlineStr">
        <is>
          <t>nombre + tipo + columnas vecinas</t>
        </is>
      </c>
      <c r="U160" s="18" t="inlineStr">
        <is>
          <t>¿La capacidad es simultánea (aforo) o total por periodo académico?</t>
        </is>
      </c>
      <c r="V160" s="19" t="inlineStr">
        <is>
          <t>Pendiente</t>
        </is>
      </c>
      <c r="W160" s="19" t="inlineStr"/>
      <c r="X160" s="19" t="inlineStr"/>
      <c r="Y160" s="20" t="n"/>
      <c r="Z160" s="19" t="inlineStr"/>
      <c r="AA160" s="18">
        <f>IF(OR(V160="Aprobada"),R160,IF(AND(OR(V160="Aprobada con ajuste",V160="Rechazada"),W160&lt;&gt;""),W160,""))</f>
        <v/>
      </c>
    </row>
    <row r="161">
      <c r="A161" s="18" t="inlineStr">
        <is>
          <t>C0160</t>
        </is>
      </c>
      <c r="B161" s="18" t="inlineStr">
        <is>
          <t>Identidad y acceso</t>
        </is>
      </c>
      <c r="C161" s="18" t="inlineStr">
        <is>
          <t>auth</t>
        </is>
      </c>
      <c r="D161" s="18" t="inlineStr">
        <is>
          <t>sedes</t>
        </is>
      </c>
      <c r="E161" s="18" t="n">
        <v>615</v>
      </c>
      <c r="F161" s="18" t="inlineStr">
        <is>
          <t>capacidad_docentes</t>
        </is>
      </c>
      <c r="G161" s="18" t="inlineStr">
        <is>
          <t>integer</t>
        </is>
      </c>
      <c r="H161" s="18" t="inlineStr">
        <is>
          <t>Sí</t>
        </is>
      </c>
      <c r="I161" s="18" t="inlineStr"/>
      <c r="J161" s="18" t="inlineStr"/>
      <c r="K161" s="18" t="inlineStr"/>
      <c r="L161" s="18" t="inlineStr">
        <is>
          <t>No</t>
        </is>
      </c>
      <c r="M161" s="18" t="inlineStr">
        <is>
          <t>No</t>
        </is>
      </c>
      <c r="N161" s="18" t="inlineStr"/>
      <c r="O161" s="18" t="inlineStr"/>
      <c r="P161" s="18" t="inlineStr">
        <is>
          <t>auth-service/src/users/sede.entity.ts:85: @Column({ name: 'cod_iac_inscripciones', length: 250, nullable: true }) codIacInscripciones: string;</t>
        </is>
      </c>
      <c r="Q161" s="18" t="inlineStr">
        <is>
          <t>Código fuente</t>
        </is>
      </c>
      <c r="R161" s="18" t="inlineStr">
        <is>
          <t>Número máximo de docentes que puede atender la sede.</t>
        </is>
      </c>
      <c r="S161" s="18" t="inlineStr">
        <is>
          <t>Media</t>
        </is>
      </c>
      <c r="T161" s="18" t="inlineStr">
        <is>
          <t>nombre + tipo + columnas vecinas</t>
        </is>
      </c>
      <c r="U161" s="18" t="inlineStr">
        <is>
          <t>¿La capacidad es simultánea o total por periodo académico, y cómo se usa?</t>
        </is>
      </c>
      <c r="V161" s="19" t="inlineStr">
        <is>
          <t>Pendiente</t>
        </is>
      </c>
      <c r="W161" s="19" t="inlineStr"/>
      <c r="X161" s="19" t="inlineStr"/>
      <c r="Y161" s="20" t="n"/>
      <c r="Z161" s="19" t="inlineStr"/>
      <c r="AA161" s="18">
        <f>IF(OR(V161="Aprobada"),R161,IF(AND(OR(V161="Aprobada con ajuste",V161="Rechazada"),W161&lt;&gt;""),W161,""))</f>
        <v/>
      </c>
    </row>
    <row r="162">
      <c r="A162" s="18" t="inlineStr">
        <is>
          <t>C0161</t>
        </is>
      </c>
      <c r="B162" s="18" t="inlineStr">
        <is>
          <t>Identidad y acceso</t>
        </is>
      </c>
      <c r="C162" s="18" t="inlineStr">
        <is>
          <t>auth</t>
        </is>
      </c>
      <c r="D162" s="18" t="inlineStr">
        <is>
          <t>sedes</t>
        </is>
      </c>
      <c r="E162" s="18" t="n">
        <v>615</v>
      </c>
      <c r="F162" s="18" t="inlineStr">
        <is>
          <t>permite_inscripciones</t>
        </is>
      </c>
      <c r="G162" s="18" t="inlineStr">
        <is>
          <t>boolean</t>
        </is>
      </c>
      <c r="H162" s="18" t="inlineStr">
        <is>
          <t>Sí</t>
        </is>
      </c>
      <c r="I162" s="18" t="inlineStr"/>
      <c r="J162" s="18" t="inlineStr"/>
      <c r="K162" s="18" t="inlineStr"/>
      <c r="L162" s="18" t="inlineStr">
        <is>
          <t>No</t>
        </is>
      </c>
      <c r="M162" s="18" t="inlineStr">
        <is>
          <t>No</t>
        </is>
      </c>
      <c r="N162" s="18" t="inlineStr"/>
      <c r="O162" s="18" t="inlineStr"/>
      <c r="P162" s="18" t="inlineStr">
        <is>
          <t>auth-service/src/users/sede.entity.ts:88: @Column({ name: 'cod_iac_inscripciones', length: 250, nullable: true }) codIacInscripciones: string;</t>
        </is>
      </c>
      <c r="Q162" s="18" t="inlineStr">
        <is>
          <t>Código fuente</t>
        </is>
      </c>
      <c r="R162" s="18" t="inlineStr">
        <is>
          <t>Indica si la sede permite inscripciones. Por defecto verdadero.</t>
        </is>
      </c>
      <c r="S162" s="18" t="inlineStr">
        <is>
          <t>Media</t>
        </is>
      </c>
      <c r="T162" s="18" t="inlineStr">
        <is>
          <t>nombre + tipo + propuesta por regla</t>
        </is>
      </c>
      <c r="U162" s="18" t="inlineStr">
        <is>
          <t>¿Este indicador controla si la sede aparece como opción en el proceso de inscripción?</t>
        </is>
      </c>
      <c r="V162" s="19" t="inlineStr">
        <is>
          <t>Pendiente</t>
        </is>
      </c>
      <c r="W162" s="19" t="inlineStr"/>
      <c r="X162" s="19" t="inlineStr"/>
      <c r="Y162" s="20" t="n"/>
      <c r="Z162" s="19" t="inlineStr"/>
      <c r="AA162" s="18">
        <f>IF(OR(V162="Aprobada"),R162,IF(AND(OR(V162="Aprobada con ajuste",V162="Rechazada"),W162&lt;&gt;""),W162,""))</f>
        <v/>
      </c>
    </row>
    <row r="163">
      <c r="A163" s="18" t="inlineStr">
        <is>
          <t>C0162</t>
        </is>
      </c>
      <c r="B163" s="18" t="inlineStr">
        <is>
          <t>Identidad y acceso</t>
        </is>
      </c>
      <c r="C163" s="18" t="inlineStr">
        <is>
          <t>auth</t>
        </is>
      </c>
      <c r="D163" s="18" t="inlineStr">
        <is>
          <t>sedes</t>
        </is>
      </c>
      <c r="E163" s="18" t="n">
        <v>615</v>
      </c>
      <c r="F163" s="18" t="inlineStr">
        <is>
          <t>permite_matriculas</t>
        </is>
      </c>
      <c r="G163" s="18" t="inlineStr">
        <is>
          <t>boolean</t>
        </is>
      </c>
      <c r="H163" s="18" t="inlineStr">
        <is>
          <t>Sí</t>
        </is>
      </c>
      <c r="I163" s="18" t="inlineStr"/>
      <c r="J163" s="18" t="inlineStr"/>
      <c r="K163" s="18" t="inlineStr"/>
      <c r="L163" s="18" t="inlineStr">
        <is>
          <t>No</t>
        </is>
      </c>
      <c r="M163" s="18" t="inlineStr">
        <is>
          <t>No</t>
        </is>
      </c>
      <c r="N163" s="18" t="inlineStr"/>
      <c r="O163" s="18" t="inlineStr"/>
      <c r="P163" s="18" t="inlineStr">
        <is>
          <t>auth-service/src/users/sede.entity.ts:91: @Column({ name: 'cod_iac_inscripciones', length: 250, nullable: true }) codIacInscripciones: string;</t>
        </is>
      </c>
      <c r="Q163" s="18" t="inlineStr">
        <is>
          <t>Código fuente</t>
        </is>
      </c>
      <c r="R163" s="18" t="inlineStr">
        <is>
          <t>Indica si la sede permite matrículas. Por defecto verdadero.</t>
        </is>
      </c>
      <c r="S163" s="18" t="inlineStr">
        <is>
          <t>Media</t>
        </is>
      </c>
      <c r="T163" s="18" t="inlineStr">
        <is>
          <t>nombre + tipo + propuesta por regla</t>
        </is>
      </c>
      <c r="U163" s="18" t="inlineStr">
        <is>
          <t>¿Este indicador controla si la sede aparece como opción en el proceso de matrícula?</t>
        </is>
      </c>
      <c r="V163" s="19" t="inlineStr">
        <is>
          <t>Pendiente</t>
        </is>
      </c>
      <c r="W163" s="19" t="inlineStr"/>
      <c r="X163" s="19" t="inlineStr"/>
      <c r="Y163" s="20" t="n"/>
      <c r="Z163" s="19" t="inlineStr"/>
      <c r="AA163" s="18">
        <f>IF(OR(V163="Aprobada"),R163,IF(AND(OR(V163="Aprobada con ajuste",V163="Rechazada"),W163&lt;&gt;""),W163,""))</f>
        <v/>
      </c>
    </row>
    <row r="164">
      <c r="A164" s="18" t="inlineStr">
        <is>
          <t>C0163</t>
        </is>
      </c>
      <c r="B164" s="18" t="inlineStr">
        <is>
          <t>Identidad y acceso</t>
        </is>
      </c>
      <c r="C164" s="18" t="inlineStr">
        <is>
          <t>auth</t>
        </is>
      </c>
      <c r="D164" s="18" t="inlineStr">
        <is>
          <t>sedes</t>
        </is>
      </c>
      <c r="E164" s="18" t="n">
        <v>615</v>
      </c>
      <c r="F164" s="18" t="inlineStr">
        <is>
          <t>visible_portal</t>
        </is>
      </c>
      <c r="G164" s="18" t="inlineStr">
        <is>
          <t>boolean</t>
        </is>
      </c>
      <c r="H164" s="18" t="inlineStr">
        <is>
          <t>Sí</t>
        </is>
      </c>
      <c r="I164" s="18" t="inlineStr"/>
      <c r="J164" s="18" t="inlineStr"/>
      <c r="K164" s="18" t="inlineStr"/>
      <c r="L164" s="18" t="inlineStr">
        <is>
          <t>No</t>
        </is>
      </c>
      <c r="M164" s="18" t="inlineStr">
        <is>
          <t>No</t>
        </is>
      </c>
      <c r="N164" s="18" t="inlineStr"/>
      <c r="O164" s="18" t="inlineStr"/>
      <c r="P164" s="18" t="inlineStr">
        <is>
          <t>auth-service/src/users/sede.entity.ts:94: @Column({ name: 'cod_iac_inscripciones', length: 250, nullable: true }) codIacInscripciones: string;</t>
        </is>
      </c>
      <c r="Q164" s="18" t="inlineStr">
        <is>
          <t>Código fuente</t>
        </is>
      </c>
      <c r="R164" s="18" t="inlineStr">
        <is>
          <t>Indica si la sede se muestra en el portal. Por defecto verdadero.</t>
        </is>
      </c>
      <c r="S164" s="18" t="inlineStr">
        <is>
          <t>Media</t>
        </is>
      </c>
      <c r="T164" s="18" t="inlineStr">
        <is>
          <t>nombre + tipo + propuesta por regla</t>
        </is>
      </c>
      <c r="U164" s="18" t="inlineStr">
        <is>
          <t>¿A qué portal se refiere: el portal institucional público o la SuperApp?</t>
        </is>
      </c>
      <c r="V164" s="19" t="inlineStr">
        <is>
          <t>Pendiente</t>
        </is>
      </c>
      <c r="W164" s="19" t="inlineStr"/>
      <c r="X164" s="19" t="inlineStr"/>
      <c r="Y164" s="20" t="n"/>
      <c r="Z164" s="19" t="inlineStr"/>
      <c r="AA164" s="18">
        <f>IF(OR(V164="Aprobada"),R164,IF(AND(OR(V164="Aprobada con ajuste",V164="Rechazada"),W164&lt;&gt;""),W164,""))</f>
        <v/>
      </c>
    </row>
    <row r="165">
      <c r="A165" s="18" t="inlineStr">
        <is>
          <t>C0164</t>
        </is>
      </c>
      <c r="B165" s="18" t="inlineStr">
        <is>
          <t>Identidad y acceso</t>
        </is>
      </c>
      <c r="C165" s="18" t="inlineStr">
        <is>
          <t>auth</t>
        </is>
      </c>
      <c r="D165" s="18" t="inlineStr">
        <is>
          <t>sedes</t>
        </is>
      </c>
      <c r="E165" s="18" t="n">
        <v>615</v>
      </c>
      <c r="F165" s="18" t="inlineStr">
        <is>
          <t>observaciones</t>
        </is>
      </c>
      <c r="G165" s="18" t="inlineStr">
        <is>
          <t>text</t>
        </is>
      </c>
      <c r="H165" s="18" t="inlineStr">
        <is>
          <t>Sí</t>
        </is>
      </c>
      <c r="I165" s="18" t="inlineStr"/>
      <c r="J165" s="18" t="inlineStr"/>
      <c r="K165" s="18" t="inlineStr"/>
      <c r="L165" s="18" t="inlineStr">
        <is>
          <t>No</t>
        </is>
      </c>
      <c r="M165" s="18" t="inlineStr">
        <is>
          <t>No</t>
        </is>
      </c>
      <c r="N165" s="18" t="inlineStr"/>
      <c r="O165" s="18" t="inlineStr"/>
      <c r="P165" s="18" t="inlineStr">
        <is>
          <t>auth-service/src/users/sede.entity.ts:97: @Column({ name: 'cod_iac_inscripciones', length: 250, nullable: true }) codIacInscripciones: string;</t>
        </is>
      </c>
      <c r="Q165" s="18" t="inlineStr">
        <is>
          <t>Código fuente</t>
        </is>
      </c>
      <c r="R165" s="18" t="inlineStr">
        <is>
          <t>Observaciones registradas sobre la sede.</t>
        </is>
      </c>
      <c r="S165" s="18" t="inlineStr">
        <is>
          <t>Alta</t>
        </is>
      </c>
      <c r="T165" s="18" t="inlineStr">
        <is>
          <t>nombre + tipo + propuesta por regla</t>
        </is>
      </c>
      <c r="U165" s="18" t="inlineStr"/>
      <c r="V165" s="19" t="inlineStr">
        <is>
          <t>Pendiente</t>
        </is>
      </c>
      <c r="W165" s="19" t="inlineStr"/>
      <c r="X165" s="19" t="inlineStr"/>
      <c r="Y165" s="20" t="n"/>
      <c r="Z165" s="19" t="inlineStr"/>
      <c r="AA165" s="18">
        <f>IF(OR(V165="Aprobada"),R165,IF(AND(OR(V165="Aprobada con ajuste",V165="Rechazada"),W165&lt;&gt;""),W165,""))</f>
        <v/>
      </c>
    </row>
    <row r="166">
      <c r="A166" s="18" t="inlineStr">
        <is>
          <t>C0165</t>
        </is>
      </c>
      <c r="B166" s="18" t="inlineStr">
        <is>
          <t>Identidad y acceso</t>
        </is>
      </c>
      <c r="C166" s="18" t="inlineStr">
        <is>
          <t>auth</t>
        </is>
      </c>
      <c r="D166" s="18" t="inlineStr">
        <is>
          <t>system_settings</t>
        </is>
      </c>
      <c r="E166" s="18" t="n">
        <v>1</v>
      </c>
      <c r="F166" s="18" t="inlineStr">
        <is>
          <t>value</t>
        </is>
      </c>
      <c r="G166" s="18" t="inlineStr">
        <is>
          <t>text</t>
        </is>
      </c>
      <c r="H166" s="18" t="inlineStr">
        <is>
          <t>Sí</t>
        </is>
      </c>
      <c r="I166" s="18" t="inlineStr"/>
      <c r="J166" s="18" t="inlineStr"/>
      <c r="K166" s="18" t="inlineStr"/>
      <c r="L166" s="18" t="inlineStr">
        <is>
          <t>Sí</t>
        </is>
      </c>
      <c r="M166" s="18" t="inlineStr">
        <is>
          <t>No</t>
        </is>
      </c>
      <c r="N166" s="18" t="inlineStr"/>
      <c r="O166" s="18" t="inlineStr"/>
      <c r="P166" s="18" t="inlineStr">
        <is>
          <t>Mapeada en travel-expenses-service/src/entities/auth-system-setting.entity.ts:12 (AuthSystemSettingEntity.value) | Validación: IsString, Length(1, 100)</t>
        </is>
      </c>
      <c r="Q166" s="18" t="inlineStr">
        <is>
          <t>Propuesta semántica</t>
        </is>
      </c>
      <c r="R166" s="18" t="inlineStr">
        <is>
          <t>Valor del parámetro global identificado por key (por ejemplo, el SMMLV), en texto de 1 a 100 caracteres.</t>
        </is>
      </c>
      <c r="S166" s="18" t="inlineStr">
        <is>
          <t>Alta</t>
        </is>
      </c>
      <c r="T166" s="18" t="inlineStr">
        <is>
          <t>documentación de la entidad + validaciones</t>
        </is>
      </c>
      <c r="U166" s="18" t="inlineStr"/>
      <c r="V166" s="19" t="inlineStr">
        <is>
          <t>Pendiente</t>
        </is>
      </c>
      <c r="W166" s="19" t="inlineStr"/>
      <c r="X166" s="19" t="inlineStr"/>
      <c r="Y166" s="20" t="n"/>
      <c r="Z166" s="19" t="inlineStr"/>
      <c r="AA166" s="18">
        <f>IF(OR(V166="Aprobada"),R166,IF(AND(OR(V166="Aprobada con ajuste",V166="Rechazada"),W166&lt;&gt;""),W166,""))</f>
        <v/>
      </c>
    </row>
    <row r="167">
      <c r="A167" s="18" t="inlineStr">
        <is>
          <t>C0166</t>
        </is>
      </c>
      <c r="B167" s="18" t="inlineStr">
        <is>
          <t>Identidad y acceso</t>
        </is>
      </c>
      <c r="C167" s="18" t="inlineStr">
        <is>
          <t>auth</t>
        </is>
      </c>
      <c r="D167" s="18" t="inlineStr">
        <is>
          <t>tipo_documento</t>
        </is>
      </c>
      <c r="E167" s="18" t="n">
        <v>4</v>
      </c>
      <c r="F167" s="18" t="inlineStr">
        <is>
          <t>descripcion</t>
        </is>
      </c>
      <c r="G167" s="18" t="inlineStr">
        <is>
          <t>text</t>
        </is>
      </c>
      <c r="H167" s="18" t="inlineStr">
        <is>
          <t>Sí</t>
        </is>
      </c>
      <c r="I167" s="18" t="inlineStr"/>
      <c r="J167" s="18" t="inlineStr"/>
      <c r="K167" s="18" t="inlineStr"/>
      <c r="L167" s="18" t="inlineStr">
        <is>
          <t>Sí</t>
        </is>
      </c>
      <c r="M167" s="18" t="inlineStr">
        <is>
          <t>No</t>
        </is>
      </c>
      <c r="N167" s="18" t="inlineStr"/>
      <c r="O167" s="18" t="inlineStr"/>
      <c r="P167" s="18" t="inlineStr">
        <is>
          <t>Mapeada en auth-service/src/carpeta-digital/tipo-documento.entity.ts:27 (TipoDocumento.descripcion) | Validación: IsOptional, IsString, MaxLength(150), MaxLength(150, { message: 'La descripción no puede superar 150 caracteres' }), MaxLength(500)</t>
        </is>
      </c>
      <c r="Q167" s="18" t="inlineStr">
        <is>
          <t>Regla estructural</t>
        </is>
      </c>
      <c r="R167" s="18" t="inlineStr">
        <is>
          <t>Descripción del registro de tipo_documento.</t>
        </is>
      </c>
      <c r="S167" s="18" t="inlineStr">
        <is>
          <t>Media</t>
        </is>
      </c>
      <c r="T167" s="18" t="inlineStr">
        <is>
          <t>Convención de nombre de la columna.</t>
        </is>
      </c>
      <c r="U167" s="18" t="inlineStr"/>
      <c r="V167" s="19" t="inlineStr">
        <is>
          <t>Pendiente</t>
        </is>
      </c>
      <c r="W167" s="19" t="inlineStr"/>
      <c r="X167" s="19" t="inlineStr"/>
      <c r="Y167" s="20" t="n"/>
      <c r="Z167" s="19" t="inlineStr"/>
      <c r="AA167" s="18">
        <f>IF(OR(V167="Aprobada"),R167,IF(AND(OR(V167="Aprobada con ajuste",V167="Rechazada"),W167&lt;&gt;""),W167,""))</f>
        <v/>
      </c>
    </row>
    <row r="168">
      <c r="A168" s="18" t="inlineStr">
        <is>
          <t>C0167</t>
        </is>
      </c>
      <c r="B168" s="18" t="inlineStr">
        <is>
          <t>Identidad y acceso</t>
        </is>
      </c>
      <c r="C168" s="18" t="inlineStr">
        <is>
          <t>auth</t>
        </is>
      </c>
      <c r="D168" s="18" t="inlineStr">
        <is>
          <t>tipo_documento</t>
        </is>
      </c>
      <c r="E168" s="18" t="n">
        <v>4</v>
      </c>
      <c r="F168" s="18" t="inlineStr">
        <is>
          <t>icono</t>
        </is>
      </c>
      <c r="G168" s="18" t="inlineStr">
        <is>
          <t>character varying(80)</t>
        </is>
      </c>
      <c r="H168" s="18" t="inlineStr">
        <is>
          <t>No</t>
        </is>
      </c>
      <c r="I168" s="18" t="inlineStr"/>
      <c r="J168" s="18" t="inlineStr"/>
      <c r="K168" s="18" t="inlineStr"/>
      <c r="L168" s="18" t="inlineStr">
        <is>
          <t>Sí</t>
        </is>
      </c>
      <c r="M168" s="18" t="inlineStr">
        <is>
          <t>No</t>
        </is>
      </c>
      <c r="N168" s="18" t="inlineStr"/>
      <c r="O168" s="18" t="inlineStr"/>
      <c r="P168" s="18" t="inlineStr">
        <is>
          <t>Mapeada en auth-service/src/carpeta-digital/tipo-documento.entity.ts:33 (TipoDocumento.icono)</t>
        </is>
      </c>
      <c r="Q168" s="18" t="inlineStr">
        <is>
          <t>Propuesta semántica</t>
        </is>
      </c>
      <c r="R168" s="18" t="inlineStr">
        <is>
          <t>Nombre del ícono con que se muestra el tipo de documento en la interfaz. Por defecto, file-text.</t>
        </is>
      </c>
      <c r="S168" s="18" t="inlineStr">
        <is>
          <t>Alta</t>
        </is>
      </c>
      <c r="T168" s="18" t="inlineStr">
        <is>
          <t>nombre + tipo + columnas vecinas + defecto</t>
        </is>
      </c>
      <c r="U168" s="18" t="inlineStr"/>
      <c r="V168" s="19" t="inlineStr">
        <is>
          <t>Pendiente</t>
        </is>
      </c>
      <c r="W168" s="19" t="inlineStr"/>
      <c r="X168" s="19" t="inlineStr"/>
      <c r="Y168" s="20" t="n"/>
      <c r="Z168" s="19" t="inlineStr"/>
      <c r="AA168" s="18">
        <f>IF(OR(V168="Aprobada"),R168,IF(AND(OR(V168="Aprobada con ajuste",V168="Rechazada"),W168&lt;&gt;""),W168,""))</f>
        <v/>
      </c>
    </row>
    <row r="169">
      <c r="A169" s="18" t="inlineStr">
        <is>
          <t>C0168</t>
        </is>
      </c>
      <c r="B169" s="18" t="inlineStr">
        <is>
          <t>Identidad y acceso</t>
        </is>
      </c>
      <c r="C169" s="18" t="inlineStr">
        <is>
          <t>auth</t>
        </is>
      </c>
      <c r="D169" s="18" t="inlineStr">
        <is>
          <t>tipo_documento</t>
        </is>
      </c>
      <c r="E169" s="18" t="n">
        <v>4</v>
      </c>
      <c r="F169" s="18" t="inlineStr">
        <is>
          <t>color</t>
        </is>
      </c>
      <c r="G169" s="18" t="inlineStr">
        <is>
          <t>character varying(20)</t>
        </is>
      </c>
      <c r="H169" s="18" t="inlineStr">
        <is>
          <t>No</t>
        </is>
      </c>
      <c r="I169" s="18" t="inlineStr"/>
      <c r="J169" s="18" t="inlineStr"/>
      <c r="K169" s="18" t="inlineStr"/>
      <c r="L169" s="18" t="inlineStr">
        <is>
          <t>Sí</t>
        </is>
      </c>
      <c r="M169" s="18" t="inlineStr">
        <is>
          <t>No</t>
        </is>
      </c>
      <c r="N169" s="18" t="inlineStr"/>
      <c r="O169" s="18" t="inlineStr"/>
      <c r="P169" s="18" t="inlineStr">
        <is>
          <t>Mapeada en auth-service/src/carpeta-digital/tipo-documento.entity.ts:36 (TipoDocumento.color) | Validación: IsOptional, IsString</t>
        </is>
      </c>
      <c r="Q169" s="18" t="inlineStr">
        <is>
          <t>Propuesta semántica</t>
        </is>
      </c>
      <c r="R169" s="18" t="inlineStr">
        <is>
          <t>Color del tipo de documento en la interfaz, en formato hexadecimal. Por defecto, #2962FF.</t>
        </is>
      </c>
      <c r="S169" s="18" t="inlineStr">
        <is>
          <t>Alta</t>
        </is>
      </c>
      <c r="T169" s="18" t="inlineStr">
        <is>
          <t>nombre + tipo + columnas vecinas + defecto</t>
        </is>
      </c>
      <c r="U169" s="18" t="inlineStr"/>
      <c r="V169" s="19" t="inlineStr">
        <is>
          <t>Pendiente</t>
        </is>
      </c>
      <c r="W169" s="19" t="inlineStr"/>
      <c r="X169" s="19" t="inlineStr"/>
      <c r="Y169" s="20" t="n"/>
      <c r="Z169" s="19" t="inlineStr"/>
      <c r="AA169" s="18">
        <f>IF(OR(V169="Aprobada"),R169,IF(AND(OR(V169="Aprobada con ajuste",V169="Rechazada"),W169&lt;&gt;""),W169,""))</f>
        <v/>
      </c>
    </row>
    <row r="170">
      <c r="A170" s="18" t="inlineStr">
        <is>
          <t>C0169</t>
        </is>
      </c>
      <c r="B170" s="18" t="inlineStr">
        <is>
          <t>Identidad y acceso</t>
        </is>
      </c>
      <c r="C170" s="18" t="inlineStr">
        <is>
          <t>auth</t>
        </is>
      </c>
      <c r="D170" s="18" t="inlineStr">
        <is>
          <t>tipo_documento</t>
        </is>
      </c>
      <c r="E170" s="18" t="n">
        <v>4</v>
      </c>
      <c r="F170" s="18" t="inlineStr">
        <is>
          <t>obligatorio</t>
        </is>
      </c>
      <c r="G170" s="18" t="inlineStr">
        <is>
          <t>boolean</t>
        </is>
      </c>
      <c r="H170" s="18" t="inlineStr">
        <is>
          <t>No</t>
        </is>
      </c>
      <c r="I170" s="18" t="inlineStr"/>
      <c r="J170" s="18" t="inlineStr"/>
      <c r="K170" s="18" t="inlineStr"/>
      <c r="L170" s="18" t="inlineStr">
        <is>
          <t>Sí</t>
        </is>
      </c>
      <c r="M170" s="18" t="inlineStr">
        <is>
          <t>No</t>
        </is>
      </c>
      <c r="N170" s="18" t="inlineStr"/>
      <c r="O170" s="18" t="inlineStr"/>
      <c r="P170" s="18" t="inlineStr">
        <is>
          <t>Mapeada en auth-service/src/carpeta-digital/tipo-documento.entity.ts:39 (TipoDocumento.obligatorio)</t>
        </is>
      </c>
      <c r="Q170" s="18" t="inlineStr">
        <is>
          <t>Regla estructural</t>
        </is>
      </c>
      <c r="R170" s="18" t="inlineStr">
        <is>
          <t>Indica si aplica: obligatorio.</t>
        </is>
      </c>
      <c r="S170" s="18" t="inlineStr">
        <is>
          <t>Media</t>
        </is>
      </c>
      <c r="T170" s="18" t="inlineStr">
        <is>
          <t>Convención de nombre de la columna.</t>
        </is>
      </c>
      <c r="U170" s="18" t="inlineStr"/>
      <c r="V170" s="19" t="inlineStr">
        <is>
          <t>Pendiente</t>
        </is>
      </c>
      <c r="W170" s="19" t="inlineStr"/>
      <c r="X170" s="19" t="inlineStr"/>
      <c r="Y170" s="20" t="n"/>
      <c r="Z170" s="19" t="inlineStr"/>
      <c r="AA170" s="18">
        <f>IF(OR(V170="Aprobada"),R170,IF(AND(OR(V170="Aprobada con ajuste",V170="Rechazada"),W170&lt;&gt;""),W170,""))</f>
        <v/>
      </c>
    </row>
    <row r="171">
      <c r="A171" s="18" t="inlineStr">
        <is>
          <t>C0170</t>
        </is>
      </c>
      <c r="B171" s="18" t="inlineStr">
        <is>
          <t>Identidad y acceso</t>
        </is>
      </c>
      <c r="C171" s="18" t="inlineStr">
        <is>
          <t>auth</t>
        </is>
      </c>
      <c r="D171" s="18" t="inlineStr">
        <is>
          <t>tipo_documento</t>
        </is>
      </c>
      <c r="E171" s="18" t="n">
        <v>4</v>
      </c>
      <c r="F171" s="18" t="inlineStr">
        <is>
          <t>requiere_validacion</t>
        </is>
      </c>
      <c r="G171" s="18" t="inlineStr">
        <is>
          <t>boolean</t>
        </is>
      </c>
      <c r="H171" s="18" t="inlineStr">
        <is>
          <t>No</t>
        </is>
      </c>
      <c r="I171" s="18" t="inlineStr"/>
      <c r="J171" s="18" t="inlineStr"/>
      <c r="K171" s="18" t="inlineStr"/>
      <c r="L171" s="18" t="inlineStr">
        <is>
          <t>Sí</t>
        </is>
      </c>
      <c r="M171" s="18" t="inlineStr">
        <is>
          <t>No</t>
        </is>
      </c>
      <c r="N171" s="18" t="inlineStr"/>
      <c r="O171" s="18" t="inlineStr"/>
      <c r="P171" s="18" t="inlineStr">
        <is>
          <t>Mapeada en auth-service/src/carpeta-digital/tipo-documento.entity.ts:42 (TipoDocumento.requiereValidacion)</t>
        </is>
      </c>
      <c r="Q171" s="18" t="inlineStr">
        <is>
          <t>Regla estructural</t>
        </is>
      </c>
      <c r="R171" s="18" t="inlineStr">
        <is>
          <t>Indica si requiere validación.</t>
        </is>
      </c>
      <c r="S171" s="18" t="inlineStr">
        <is>
          <t>Media</t>
        </is>
      </c>
      <c r="T171" s="18" t="inlineStr">
        <is>
          <t>Convención de nombre de la columna.</t>
        </is>
      </c>
      <c r="U171" s="18" t="inlineStr"/>
      <c r="V171" s="19" t="inlineStr">
        <is>
          <t>Pendiente</t>
        </is>
      </c>
      <c r="W171" s="19" t="inlineStr"/>
      <c r="X171" s="19" t="inlineStr"/>
      <c r="Y171" s="20" t="n"/>
      <c r="Z171" s="19" t="inlineStr"/>
      <c r="AA171" s="18">
        <f>IF(OR(V171="Aprobada"),R171,IF(AND(OR(V171="Aprobada con ajuste",V171="Rechazada"),W171&lt;&gt;""),W171,""))</f>
        <v/>
      </c>
    </row>
    <row r="172">
      <c r="A172" s="18" t="inlineStr">
        <is>
          <t>C0171</t>
        </is>
      </c>
      <c r="B172" s="18" t="inlineStr">
        <is>
          <t>Identidad y acceso</t>
        </is>
      </c>
      <c r="C172" s="18" t="inlineStr">
        <is>
          <t>auth</t>
        </is>
      </c>
      <c r="D172" s="18" t="inlineStr">
        <is>
          <t>tipo_documento</t>
        </is>
      </c>
      <c r="E172" s="18" t="n">
        <v>4</v>
      </c>
      <c r="F172" s="18" t="inlineStr">
        <is>
          <t>formatos_permitidos</t>
        </is>
      </c>
      <c r="G172" s="18" t="inlineStr">
        <is>
          <t>text[]</t>
        </is>
      </c>
      <c r="H172" s="18" t="inlineStr">
        <is>
          <t>No</t>
        </is>
      </c>
      <c r="I172" s="18" t="inlineStr"/>
      <c r="J172" s="18" t="inlineStr"/>
      <c r="K172" s="18" t="inlineStr"/>
      <c r="L172" s="18" t="inlineStr">
        <is>
          <t>Sí</t>
        </is>
      </c>
      <c r="M172" s="18" t="inlineStr">
        <is>
          <t>No</t>
        </is>
      </c>
      <c r="N172" s="18" t="inlineStr"/>
      <c r="O172" s="18" t="inlineStr"/>
      <c r="P172" s="18" t="inlineStr">
        <is>
          <t>Mapeada en auth-service/src/carpeta-digital/tipo-documento.entity.ts:45 (TipoDocumento.formatosPermitidos)</t>
        </is>
      </c>
      <c r="Q172" s="18" t="inlineStr">
        <is>
          <t>Propuesta semántica</t>
        </is>
      </c>
      <c r="R172" s="18" t="inlineStr">
        <is>
          <t>Lista de formatos de archivo permitidos para el tipo de documento. Por defecto, pdf.</t>
        </is>
      </c>
      <c r="S172" s="18" t="inlineStr">
        <is>
          <t>Alta</t>
        </is>
      </c>
      <c r="T172" s="18" t="inlineStr">
        <is>
          <t>nombre + tipo + columnas vecinas + defecto</t>
        </is>
      </c>
      <c r="U172" s="18" t="inlineStr"/>
      <c r="V172" s="19" t="inlineStr">
        <is>
          <t>Pendiente</t>
        </is>
      </c>
      <c r="W172" s="19" t="inlineStr"/>
      <c r="X172" s="19" t="inlineStr"/>
      <c r="Y172" s="20" t="n"/>
      <c r="Z172" s="19" t="inlineStr"/>
      <c r="AA172" s="18">
        <f>IF(OR(V172="Aprobada"),R172,IF(AND(OR(V172="Aprobada con ajuste",V172="Rechazada"),W172&lt;&gt;""),W172,""))</f>
        <v/>
      </c>
    </row>
    <row r="173">
      <c r="A173" s="18" t="inlineStr">
        <is>
          <t>C0172</t>
        </is>
      </c>
      <c r="B173" s="18" t="inlineStr">
        <is>
          <t>Identidad y acceso</t>
        </is>
      </c>
      <c r="C173" s="18" t="inlineStr">
        <is>
          <t>auth</t>
        </is>
      </c>
      <c r="D173" s="18" t="inlineStr">
        <is>
          <t>tipo_documento</t>
        </is>
      </c>
      <c r="E173" s="18" t="n">
        <v>4</v>
      </c>
      <c r="F173" s="18" t="inlineStr">
        <is>
          <t>tamano_max_mb</t>
        </is>
      </c>
      <c r="G173" s="18" t="inlineStr">
        <is>
          <t>integer</t>
        </is>
      </c>
      <c r="H173" s="18" t="inlineStr">
        <is>
          <t>No</t>
        </is>
      </c>
      <c r="I173" s="18" t="inlineStr"/>
      <c r="J173" s="18" t="inlineStr"/>
      <c r="K173" s="18" t="inlineStr"/>
      <c r="L173" s="18" t="inlineStr">
        <is>
          <t>Sí</t>
        </is>
      </c>
      <c r="M173" s="18" t="inlineStr">
        <is>
          <t>No</t>
        </is>
      </c>
      <c r="N173" s="18" t="inlineStr"/>
      <c r="O173" s="18" t="inlineStr"/>
      <c r="P173" s="18" t="inlineStr">
        <is>
          <t>Mapeada en auth-service/src/carpeta-digital/tipo-documento.entity.ts:48 (TipoDocumento.tamanoMaxMb)</t>
        </is>
      </c>
      <c r="Q173" s="18" t="inlineStr">
        <is>
          <t>Propuesta semántica</t>
        </is>
      </c>
      <c r="R173" s="18" t="inlineStr">
        <is>
          <t>Tamaño máximo del archivo permitido para el tipo de documento, en megabytes. Por defecto, 10.</t>
        </is>
      </c>
      <c r="S173" s="18" t="inlineStr">
        <is>
          <t>Alta</t>
        </is>
      </c>
      <c r="T173" s="18" t="inlineStr">
        <is>
          <t>nombre + tipo + columnas vecinas + defecto</t>
        </is>
      </c>
      <c r="U173" s="18" t="inlineStr"/>
      <c r="V173" s="19" t="inlineStr">
        <is>
          <t>Pendiente</t>
        </is>
      </c>
      <c r="W173" s="19" t="inlineStr"/>
      <c r="X173" s="19" t="inlineStr"/>
      <c r="Y173" s="20" t="n"/>
      <c r="Z173" s="19" t="inlineStr"/>
      <c r="AA173" s="18">
        <f>IF(OR(V173="Aprobada"),R173,IF(AND(OR(V173="Aprobada con ajuste",V173="Rechazada"),W173&lt;&gt;""),W173,""))</f>
        <v/>
      </c>
    </row>
    <row r="174">
      <c r="A174" s="18" t="inlineStr">
        <is>
          <t>C0173</t>
        </is>
      </c>
      <c r="B174" s="18" t="inlineStr">
        <is>
          <t>Identidad y acceso</t>
        </is>
      </c>
      <c r="C174" s="18" t="inlineStr">
        <is>
          <t>auth</t>
        </is>
      </c>
      <c r="D174" s="18" t="inlineStr">
        <is>
          <t>tipo_documento</t>
        </is>
      </c>
      <c r="E174" s="18" t="n">
        <v>4</v>
      </c>
      <c r="F174" s="18" t="inlineStr">
        <is>
          <t>activo</t>
        </is>
      </c>
      <c r="G174" s="18" t="inlineStr">
        <is>
          <t>boolean</t>
        </is>
      </c>
      <c r="H174" s="18" t="inlineStr">
        <is>
          <t>No</t>
        </is>
      </c>
      <c r="I174" s="18" t="inlineStr"/>
      <c r="J174" s="18" t="inlineStr"/>
      <c r="K174" s="18" t="inlineStr"/>
      <c r="L174" s="18" t="inlineStr">
        <is>
          <t>Sí</t>
        </is>
      </c>
      <c r="M174" s="18" t="inlineStr">
        <is>
          <t>No</t>
        </is>
      </c>
      <c r="N174" s="18" t="inlineStr"/>
      <c r="O174" s="18" t="inlineStr">
        <is>
          <t>idx_tipo_documento_activo</t>
        </is>
      </c>
      <c r="P174" s="18" t="inlineStr">
        <is>
          <t>Mapeada en auth-service/src/carpeta-digital/tipo-documento.entity.ts:51 (TipoDocumento.activo) | Validación: IsBoolean, IsOptional</t>
        </is>
      </c>
      <c r="Q174" s="18" t="inlineStr">
        <is>
          <t>Regla estructural</t>
        </is>
      </c>
      <c r="R174" s="18" t="inlineStr">
        <is>
          <t>Indica si el registro está activo.</t>
        </is>
      </c>
      <c r="S174" s="18" t="inlineStr">
        <is>
          <t>Media</t>
        </is>
      </c>
      <c r="T174" s="18" t="inlineStr">
        <is>
          <t>Convención de nombre de la columna.</t>
        </is>
      </c>
      <c r="U174" s="18" t="inlineStr"/>
      <c r="V174" s="19" t="inlineStr">
        <is>
          <t>Pendiente</t>
        </is>
      </c>
      <c r="W174" s="19" t="inlineStr"/>
      <c r="X174" s="19" t="inlineStr"/>
      <c r="Y174" s="20" t="n"/>
      <c r="Z174" s="19" t="inlineStr"/>
      <c r="AA174" s="18">
        <f>IF(OR(V174="Aprobada"),R174,IF(AND(OR(V174="Aprobada con ajuste",V174="Rechazada"),W174&lt;&gt;""),W174,""))</f>
        <v/>
      </c>
    </row>
    <row r="175">
      <c r="A175" s="18" t="inlineStr">
        <is>
          <t>C0174</t>
        </is>
      </c>
      <c r="B175" s="18" t="inlineStr">
        <is>
          <t>Identidad y acceso</t>
        </is>
      </c>
      <c r="C175" s="18" t="inlineStr">
        <is>
          <t>auth</t>
        </is>
      </c>
      <c r="D175" s="18" t="inlineStr">
        <is>
          <t>tipo_documento</t>
        </is>
      </c>
      <c r="E175" s="18" t="n">
        <v>4</v>
      </c>
      <c r="F175" s="18" t="inlineStr">
        <is>
          <t>es_sistema</t>
        </is>
      </c>
      <c r="G175" s="18" t="inlineStr">
        <is>
          <t>boolean</t>
        </is>
      </c>
      <c r="H175" s="18" t="inlineStr">
        <is>
          <t>No</t>
        </is>
      </c>
      <c r="I175" s="18" t="inlineStr"/>
      <c r="J175" s="18" t="inlineStr"/>
      <c r="K175" s="18" t="inlineStr"/>
      <c r="L175" s="18" t="inlineStr">
        <is>
          <t>Sí</t>
        </is>
      </c>
      <c r="M175" s="18" t="inlineStr">
        <is>
          <t>No</t>
        </is>
      </c>
      <c r="N175" s="18" t="inlineStr"/>
      <c r="O175" s="18" t="inlineStr"/>
      <c r="P175" s="18" t="inlineStr">
        <is>
          <t>Mapeada en auth-service/src/carpeta-digital/tipo-documento.entity.ts:54 (TipoDocumento.esSistema)</t>
        </is>
      </c>
      <c r="Q175" s="18" t="inlineStr">
        <is>
          <t>Regla estructural</t>
        </is>
      </c>
      <c r="R175" s="18" t="inlineStr">
        <is>
          <t>Indica si aplica: sistema.</t>
        </is>
      </c>
      <c r="S175" s="18" t="inlineStr">
        <is>
          <t>Media</t>
        </is>
      </c>
      <c r="T175" s="18" t="inlineStr">
        <is>
          <t>Convención de nombre de la columna.</t>
        </is>
      </c>
      <c r="U175" s="18" t="inlineStr"/>
      <c r="V175" s="19" t="inlineStr">
        <is>
          <t>Pendiente</t>
        </is>
      </c>
      <c r="W175" s="19" t="inlineStr"/>
      <c r="X175" s="19" t="inlineStr"/>
      <c r="Y175" s="20" t="n"/>
      <c r="Z175" s="19" t="inlineStr"/>
      <c r="AA175" s="18">
        <f>IF(OR(V175="Aprobada"),R175,IF(AND(OR(V175="Aprobada con ajuste",V175="Rechazada"),W175&lt;&gt;""),W175,""))</f>
        <v/>
      </c>
    </row>
    <row r="176">
      <c r="A176" s="18" t="inlineStr">
        <is>
          <t>C0175</t>
        </is>
      </c>
      <c r="B176" s="18" t="inlineStr">
        <is>
          <t>Identidad y acceso</t>
        </is>
      </c>
      <c r="C176" s="18" t="inlineStr">
        <is>
          <t>auth</t>
        </is>
      </c>
      <c r="D176" s="18" t="inlineStr">
        <is>
          <t>tipo_documento</t>
        </is>
      </c>
      <c r="E176" s="18" t="n">
        <v>4</v>
      </c>
      <c r="F176" s="18" t="inlineStr">
        <is>
          <t>rol_validador</t>
        </is>
      </c>
      <c r="G176" s="18" t="inlineStr">
        <is>
          <t>character varying(120)</t>
        </is>
      </c>
      <c r="H176" s="18" t="inlineStr">
        <is>
          <t>Sí</t>
        </is>
      </c>
      <c r="I176" s="18" t="inlineStr"/>
      <c r="J176" s="18" t="inlineStr"/>
      <c r="K176" s="18" t="inlineStr"/>
      <c r="L176" s="18" t="inlineStr">
        <is>
          <t>Sí</t>
        </is>
      </c>
      <c r="M176" s="18" t="inlineStr">
        <is>
          <t>No</t>
        </is>
      </c>
      <c r="N176" s="18" t="inlineStr"/>
      <c r="O176" s="18" t="inlineStr"/>
      <c r="P176" s="18" t="inlineStr">
        <is>
          <t>Mapeada en auth-service/src/carpeta-digital/tipo-documento.entity.ts:57 (TipoDocumento.rolValidador)</t>
        </is>
      </c>
      <c r="Q176" s="18" t="inlineStr">
        <is>
          <t>Propuesta semántica</t>
        </is>
      </c>
      <c r="R176" s="18" t="inlineStr">
        <is>
          <t>Rol encargado de validar los documentos de este tipo.</t>
        </is>
      </c>
      <c r="S176" s="18" t="inlineStr">
        <is>
          <t>Media</t>
        </is>
      </c>
      <c r="T176" s="18" t="inlineStr">
        <is>
          <t>nombre + tipo + columnas vecinas (requiere_validacion)</t>
        </is>
      </c>
      <c r="U176" s="18" t="inlineStr">
        <is>
          <t>¿Se guarda el código del rol de auth.role o un nombre libre?</t>
        </is>
      </c>
      <c r="V176" s="19" t="inlineStr">
        <is>
          <t>Pendiente</t>
        </is>
      </c>
      <c r="W176" s="19" t="inlineStr"/>
      <c r="X176" s="19" t="inlineStr"/>
      <c r="Y176" s="20" t="n"/>
      <c r="Z176" s="19" t="inlineStr"/>
      <c r="AA176" s="18">
        <f>IF(OR(V176="Aprobada"),R176,IF(AND(OR(V176="Aprobada con ajuste",V176="Rechazada"),W176&lt;&gt;""),W176,""))</f>
        <v/>
      </c>
    </row>
    <row r="177">
      <c r="A177" s="18" t="inlineStr">
        <is>
          <t>C0176</t>
        </is>
      </c>
      <c r="B177" s="18" t="inlineStr">
        <is>
          <t>Identidad y acceso</t>
        </is>
      </c>
      <c r="C177" s="18" t="inlineStr">
        <is>
          <t>auth</t>
        </is>
      </c>
      <c r="D177" s="18" t="inlineStr">
        <is>
          <t>tipo_documento</t>
        </is>
      </c>
      <c r="E177" s="18" t="n">
        <v>4</v>
      </c>
      <c r="F177" s="18" t="inlineStr">
        <is>
          <t>orden</t>
        </is>
      </c>
      <c r="G177" s="18" t="inlineStr">
        <is>
          <t>integer</t>
        </is>
      </c>
      <c r="H177" s="18" t="inlineStr">
        <is>
          <t>No</t>
        </is>
      </c>
      <c r="I177" s="18" t="inlineStr"/>
      <c r="J177" s="18" t="inlineStr"/>
      <c r="K177" s="18" t="inlineStr"/>
      <c r="L177" s="18" t="inlineStr">
        <is>
          <t>Sí</t>
        </is>
      </c>
      <c r="M177" s="18" t="inlineStr">
        <is>
          <t>No</t>
        </is>
      </c>
      <c r="N177" s="18" t="inlineStr"/>
      <c r="O177" s="18" t="inlineStr"/>
      <c r="P177" s="18" t="inlineStr">
        <is>
          <t>Mapeada en auth-service/src/carpeta-digital/tipo-documento.entity.ts:60 (TipoDocumento.orden)</t>
        </is>
      </c>
      <c r="Q177" s="18" t="inlineStr">
        <is>
          <t>Regla estructural</t>
        </is>
      </c>
      <c r="R177" s="18" t="inlineStr">
        <is>
          <t>Posición del registro para su ordenamiento.</t>
        </is>
      </c>
      <c r="S177" s="18" t="inlineStr">
        <is>
          <t>Media</t>
        </is>
      </c>
      <c r="T177" s="18" t="inlineStr">
        <is>
          <t>Convención de nombre de la columna.</t>
        </is>
      </c>
      <c r="U177" s="18" t="inlineStr"/>
      <c r="V177" s="19" t="inlineStr">
        <is>
          <t>Pendiente</t>
        </is>
      </c>
      <c r="W177" s="19" t="inlineStr"/>
      <c r="X177" s="19" t="inlineStr"/>
      <c r="Y177" s="20" t="n"/>
      <c r="Z177" s="19" t="inlineStr"/>
      <c r="AA177" s="18">
        <f>IF(OR(V177="Aprobada"),R177,IF(AND(OR(V177="Aprobada con ajuste",V177="Rechazada"),W177&lt;&gt;""),W177,""))</f>
        <v/>
      </c>
    </row>
    <row r="178">
      <c r="A178" s="18" t="inlineStr">
        <is>
          <t>C0177</t>
        </is>
      </c>
      <c r="B178" s="18" t="inlineStr">
        <is>
          <t>Identidad y acceso</t>
        </is>
      </c>
      <c r="C178" s="18" t="inlineStr">
        <is>
          <t>auth</t>
        </is>
      </c>
      <c r="D178" s="18" t="inlineStr">
        <is>
          <t>tipo_documento</t>
        </is>
      </c>
      <c r="E178" s="18" t="n">
        <v>4</v>
      </c>
      <c r="F178" s="18" t="inlineStr">
        <is>
          <t>asignacion_tipo</t>
        </is>
      </c>
      <c r="G178" s="18" t="inlineStr">
        <is>
          <t>character varying(40)</t>
        </is>
      </c>
      <c r="H178" s="18" t="inlineStr">
        <is>
          <t>No</t>
        </is>
      </c>
      <c r="I178" s="18" t="inlineStr"/>
      <c r="J178" s="18" t="inlineStr"/>
      <c r="K178" s="18" t="inlineStr"/>
      <c r="L178" s="18" t="inlineStr">
        <is>
          <t>Sí</t>
        </is>
      </c>
      <c r="M178" s="18" t="inlineStr">
        <is>
          <t>No</t>
        </is>
      </c>
      <c r="N178" s="18" t="inlineStr"/>
      <c r="O178" s="18" t="inlineStr"/>
      <c r="P178" s="18" t="inlineStr">
        <is>
          <t>Mapeada en auth-service/src/carpeta-digital/tipo-documento.entity.ts:63 (TipoDocumento.asignacionTipo)</t>
        </is>
      </c>
      <c r="Q178" s="18" t="inlineStr">
        <is>
          <t>Propuesta semántica</t>
        </is>
      </c>
      <c r="R178" s="18" t="inlineStr">
        <is>
          <t>Criterio con que se asigna el tipo de documento a las personas. Por defecto, todos.</t>
        </is>
      </c>
      <c r="S178" s="18" t="inlineStr">
        <is>
          <t>Baja</t>
        </is>
      </c>
      <c r="T178" s="18" t="inlineStr">
        <is>
          <t>nombre + tipo + columnas vecinas (asignacion_valor)</t>
        </is>
      </c>
      <c r="U178" s="18" t="inlineStr">
        <is>
          <t>¿Qué valores toma asignacion_tipo (todos, rol, dependencia…)?</t>
        </is>
      </c>
      <c r="V178" s="19" t="inlineStr">
        <is>
          <t>Pendiente</t>
        </is>
      </c>
      <c r="W178" s="19" t="inlineStr"/>
      <c r="X178" s="19" t="inlineStr"/>
      <c r="Y178" s="20" t="n"/>
      <c r="Z178" s="19" t="inlineStr"/>
      <c r="AA178" s="18">
        <f>IF(OR(V178="Aprobada"),R178,IF(AND(OR(V178="Aprobada con ajuste",V178="Rechazada"),W178&lt;&gt;""),W178,""))</f>
        <v/>
      </c>
    </row>
    <row r="179">
      <c r="A179" s="18" t="inlineStr">
        <is>
          <t>C0178</t>
        </is>
      </c>
      <c r="B179" s="18" t="inlineStr">
        <is>
          <t>Identidad y acceso</t>
        </is>
      </c>
      <c r="C179" s="18" t="inlineStr">
        <is>
          <t>auth</t>
        </is>
      </c>
      <c r="D179" s="18" t="inlineStr">
        <is>
          <t>tipo_documento</t>
        </is>
      </c>
      <c r="E179" s="18" t="n">
        <v>4</v>
      </c>
      <c r="F179" s="18" t="inlineStr">
        <is>
          <t>asignacion_valor</t>
        </is>
      </c>
      <c r="G179" s="18" t="inlineStr">
        <is>
          <t>character varying(255)</t>
        </is>
      </c>
      <c r="H179" s="18" t="inlineStr">
        <is>
          <t>Sí</t>
        </is>
      </c>
      <c r="I179" s="18" t="inlineStr"/>
      <c r="J179" s="18" t="inlineStr"/>
      <c r="K179" s="18" t="inlineStr"/>
      <c r="L179" s="18" t="inlineStr">
        <is>
          <t>Sí</t>
        </is>
      </c>
      <c r="M179" s="18" t="inlineStr">
        <is>
          <t>No</t>
        </is>
      </c>
      <c r="N179" s="18" t="inlineStr"/>
      <c r="O179" s="18" t="inlineStr"/>
      <c r="P179" s="18" t="inlineStr">
        <is>
          <t>Mapeada en auth-service/src/carpeta-digital/tipo-documento.entity.ts:66 (TipoDocumento.asignacionValor)</t>
        </is>
      </c>
      <c r="Q179" s="18" t="inlineStr">
        <is>
          <t>Propuesta semántica</t>
        </is>
      </c>
      <c r="R179" s="18" t="inlineStr">
        <is>
          <t>Valor del criterio de asignación del tipo de documento, según asignacion_tipo.</t>
        </is>
      </c>
      <c r="S179" s="18" t="inlineStr">
        <is>
          <t>Baja</t>
        </is>
      </c>
      <c r="T179" s="18" t="inlineStr">
        <is>
          <t>nombre + tipo + columnas vecinas (asignacion_tipo)</t>
        </is>
      </c>
      <c r="U179" s="18" t="inlineStr">
        <is>
          <t>¿Qué valores se guardan según cada asignacion_tipo?</t>
        </is>
      </c>
      <c r="V179" s="19" t="inlineStr">
        <is>
          <t>Pendiente</t>
        </is>
      </c>
      <c r="W179" s="19" t="inlineStr"/>
      <c r="X179" s="19" t="inlineStr"/>
      <c r="Y179" s="20" t="n"/>
      <c r="Z179" s="19" t="inlineStr"/>
      <c r="AA179" s="18">
        <f>IF(OR(V179="Aprobada"),R179,IF(AND(OR(V179="Aprobada con ajuste",V179="Rechazada"),W179&lt;&gt;""),W179,""))</f>
        <v/>
      </c>
    </row>
    <row r="180">
      <c r="A180" s="18" t="inlineStr">
        <is>
          <t>C0179</t>
        </is>
      </c>
      <c r="B180" s="18" t="inlineStr">
        <is>
          <t>Identidad y acceso</t>
        </is>
      </c>
      <c r="C180" s="18" t="inlineStr">
        <is>
          <t>auth</t>
        </is>
      </c>
      <c r="D180" s="18" t="inlineStr">
        <is>
          <t>user</t>
        </is>
      </c>
      <c r="E180" s="18" t="n">
        <v>390</v>
      </c>
      <c r="F180" s="18" t="inlineStr">
        <is>
          <t>username</t>
        </is>
      </c>
      <c r="G180" s="18" t="inlineStr">
        <is>
          <t>character varying(100)</t>
        </is>
      </c>
      <c r="H180" s="18" t="inlineStr">
        <is>
          <t>No</t>
        </is>
      </c>
      <c r="I180" s="18" t="inlineStr"/>
      <c r="J180" s="18" t="inlineStr"/>
      <c r="K180" s="18" t="inlineStr"/>
      <c r="L180" s="18" t="inlineStr">
        <is>
          <t>No</t>
        </is>
      </c>
      <c r="M180" s="18" t="inlineStr">
        <is>
          <t>No</t>
        </is>
      </c>
      <c r="N180" s="18" t="inlineStr"/>
      <c r="O180" s="18" t="inlineStr"/>
      <c r="P180" s="18" t="inlineStr">
        <is>
          <t>Mapeada en travel-expenses-service/src/entities/usuario.entity.ts:21 (UsuarioEntity.username)</t>
        </is>
      </c>
      <c r="Q180" s="18" t="inlineStr">
        <is>
          <t>Propuesta semántica</t>
        </is>
      </c>
      <c r="R180" s="18" t="inlineStr">
        <is>
          <t>Nombre de usuario con el que la persona inicia sesión.</t>
        </is>
      </c>
      <c r="S180" s="18" t="inlineStr">
        <is>
          <t>Alta</t>
        </is>
      </c>
      <c r="T180" s="18" t="inlineStr">
        <is>
          <t>nombre + tipo + columnas vecinas</t>
        </is>
      </c>
      <c r="U180" s="18" t="inlineStr"/>
      <c r="V180" s="19" t="inlineStr">
        <is>
          <t>Pendiente</t>
        </is>
      </c>
      <c r="W180" s="19" t="inlineStr"/>
      <c r="X180" s="19" t="inlineStr"/>
      <c r="Y180" s="20" t="n"/>
      <c r="Z180" s="19" t="inlineStr"/>
      <c r="AA180" s="18">
        <f>IF(OR(V180="Aprobada"),R180,IF(AND(OR(V180="Aprobada con ajuste",V180="Rechazada"),W180&lt;&gt;""),W180,""))</f>
        <v/>
      </c>
    </row>
    <row r="181">
      <c r="A181" s="18" t="inlineStr">
        <is>
          <t>C0180</t>
        </is>
      </c>
      <c r="B181" s="18" t="inlineStr">
        <is>
          <t>Identidad y acceso</t>
        </is>
      </c>
      <c r="C181" s="18" t="inlineStr">
        <is>
          <t>auth</t>
        </is>
      </c>
      <c r="D181" s="18" t="inlineStr">
        <is>
          <t>user</t>
        </is>
      </c>
      <c r="E181" s="18" t="n">
        <v>390</v>
      </c>
      <c r="F181" s="18" t="inlineStr">
        <is>
          <t>password_hash</t>
        </is>
      </c>
      <c r="G181" s="18" t="inlineStr">
        <is>
          <t>character varying(255)</t>
        </is>
      </c>
      <c r="H181" s="18" t="inlineStr">
        <is>
          <t>No</t>
        </is>
      </c>
      <c r="I181" s="18" t="inlineStr"/>
      <c r="J181" s="18" t="inlineStr"/>
      <c r="K181" s="18" t="inlineStr"/>
      <c r="L181" s="18" t="inlineStr">
        <is>
          <t>No</t>
        </is>
      </c>
      <c r="M181" s="18" t="inlineStr">
        <is>
          <t>No</t>
        </is>
      </c>
      <c r="N181" s="18" t="inlineStr"/>
      <c r="O181" s="18" t="inlineStr"/>
      <c r="P181" s="18" t="inlineStr">
        <is>
          <t>Mapeada en auth-service/src/users/user.entity.ts:20 (User.password_hash)</t>
        </is>
      </c>
      <c r="Q181" s="18" t="inlineStr">
        <is>
          <t>Propuesta semántica</t>
        </is>
      </c>
      <c r="R181" s="18" t="inlineStr">
        <is>
          <t>Contraseña del usuario cifrada con una función de hash.</t>
        </is>
      </c>
      <c r="S181" s="18" t="inlineStr">
        <is>
          <t>Alta</t>
        </is>
      </c>
      <c r="T181" s="18" t="inlineStr">
        <is>
          <t>nombre + tipo + columnas vecinas</t>
        </is>
      </c>
      <c r="U181" s="18" t="inlineStr"/>
      <c r="V181" s="19" t="inlineStr">
        <is>
          <t>Pendiente</t>
        </is>
      </c>
      <c r="W181" s="19" t="inlineStr"/>
      <c r="X181" s="19" t="inlineStr"/>
      <c r="Y181" s="20" t="n"/>
      <c r="Z181" s="19" t="inlineStr"/>
      <c r="AA181" s="18">
        <f>IF(OR(V181="Aprobada"),R181,IF(AND(OR(V181="Aprobada con ajuste",V181="Rechazada"),W181&lt;&gt;""),W181,""))</f>
        <v/>
      </c>
    </row>
    <row r="182">
      <c r="A182" s="18" t="inlineStr">
        <is>
          <t>C0181</t>
        </is>
      </c>
      <c r="B182" s="18" t="inlineStr">
        <is>
          <t>Identidad y acceso</t>
        </is>
      </c>
      <c r="C182" s="18" t="inlineStr">
        <is>
          <t>auth</t>
        </is>
      </c>
      <c r="D182" s="18" t="inlineStr">
        <is>
          <t>user</t>
        </is>
      </c>
      <c r="E182" s="18" t="n">
        <v>390</v>
      </c>
      <c r="F182" s="18" t="inlineStr">
        <is>
          <t>is_active</t>
        </is>
      </c>
      <c r="G182" s="18" t="inlineStr">
        <is>
          <t>boolean</t>
        </is>
      </c>
      <c r="H182" s="18" t="inlineStr">
        <is>
          <t>Sí</t>
        </is>
      </c>
      <c r="I182" s="18" t="inlineStr"/>
      <c r="J182" s="18" t="inlineStr"/>
      <c r="K182" s="18" t="inlineStr"/>
      <c r="L182" s="18" t="inlineStr">
        <is>
          <t>No</t>
        </is>
      </c>
      <c r="M182" s="18" t="inlineStr">
        <is>
          <t>No</t>
        </is>
      </c>
      <c r="N182" s="18" t="inlineStr"/>
      <c r="O182" s="18" t="inlineStr"/>
      <c r="P182" s="18" t="inlineStr">
        <is>
          <t>Mapeada en travel-expenses-service/src/entities/usuario.entity.ts:27 (UsuarioEntity.isActive)</t>
        </is>
      </c>
      <c r="Q182" s="18" t="inlineStr">
        <is>
          <t>Regla estructural</t>
        </is>
      </c>
      <c r="R182" s="18" t="inlineStr">
        <is>
          <t>Indica si el registro está activo.</t>
        </is>
      </c>
      <c r="S182" s="18" t="inlineStr">
        <is>
          <t>Media</t>
        </is>
      </c>
      <c r="T182" s="18" t="inlineStr">
        <is>
          <t>Convención de nombre de la columna.</t>
        </is>
      </c>
      <c r="U182" s="18" t="inlineStr"/>
      <c r="V182" s="19" t="inlineStr">
        <is>
          <t>Pendiente</t>
        </is>
      </c>
      <c r="W182" s="19" t="inlineStr"/>
      <c r="X182" s="19" t="inlineStr"/>
      <c r="Y182" s="20" t="n"/>
      <c r="Z182" s="19" t="inlineStr"/>
      <c r="AA182" s="18">
        <f>IF(OR(V182="Aprobada"),R182,IF(AND(OR(V182="Aprobada con ajuste",V182="Rechazada"),W182&lt;&gt;""),W182,""))</f>
        <v/>
      </c>
    </row>
    <row r="183">
      <c r="A183" s="18" t="inlineStr">
        <is>
          <t>C0182</t>
        </is>
      </c>
      <c r="B183" s="18" t="inlineStr">
        <is>
          <t>Identidad y acceso</t>
        </is>
      </c>
      <c r="C183" s="18" t="inlineStr">
        <is>
          <t>auth</t>
        </is>
      </c>
      <c r="D183" s="18" t="inlineStr">
        <is>
          <t>user</t>
        </is>
      </c>
      <c r="E183" s="18" t="n">
        <v>390</v>
      </c>
      <c r="F183" s="18" t="inlineStr">
        <is>
          <t>token</t>
        </is>
      </c>
      <c r="G183" s="18" t="inlineStr">
        <is>
          <t>integer</t>
        </is>
      </c>
      <c r="H183" s="18" t="inlineStr">
        <is>
          <t>Sí</t>
        </is>
      </c>
      <c r="I183" s="18" t="inlineStr"/>
      <c r="J183" s="18" t="inlineStr"/>
      <c r="K183" s="18" t="inlineStr"/>
      <c r="L183" s="18" t="inlineStr">
        <is>
          <t>No</t>
        </is>
      </c>
      <c r="M183" s="18" t="inlineStr">
        <is>
          <t>No</t>
        </is>
      </c>
      <c r="N183" s="18" t="inlineStr"/>
      <c r="O183" s="18" t="inlineStr"/>
      <c r="P183" s="18" t="inlineStr">
        <is>
          <t>Mapeada en auth-service/src/users/user.entity.ts:32 (User.token)</t>
        </is>
      </c>
      <c r="Q183" s="18" t="inlineStr">
        <is>
          <t>Propuesta semántica</t>
        </is>
      </c>
      <c r="R183" s="18" t="inlineStr">
        <is>
          <t>Código numérico temporal del usuario.</t>
        </is>
      </c>
      <c r="S183" s="18" t="inlineStr">
        <is>
          <t>Baja</t>
        </is>
      </c>
      <c r="T183" s="18" t="inlineStr">
        <is>
          <t>nombre + tipo + columnas vecinas (integer)</t>
        </is>
      </c>
      <c r="U183" s="18" t="inlineStr">
        <is>
          <t>¿token es un código de verificación (OTP o recuperación de contraseña)? ¿Cuándo se genera y vence?</t>
        </is>
      </c>
      <c r="V183" s="19" t="inlineStr">
        <is>
          <t>Pendiente</t>
        </is>
      </c>
      <c r="W183" s="19" t="inlineStr"/>
      <c r="X183" s="19" t="inlineStr"/>
      <c r="Y183" s="20" t="n"/>
      <c r="Z183" s="19" t="inlineStr"/>
      <c r="AA183" s="18">
        <f>IF(OR(V183="Aprobada"),R183,IF(AND(OR(V183="Aprobada con ajuste",V183="Rechazada"),W183&lt;&gt;""),W183,""))</f>
        <v/>
      </c>
    </row>
    <row r="184">
      <c r="A184" s="18" t="inlineStr">
        <is>
          <t>C0183</t>
        </is>
      </c>
      <c r="B184" s="18" t="inlineStr">
        <is>
          <t>Identidad y acceso</t>
        </is>
      </c>
      <c r="C184" s="18" t="inlineStr">
        <is>
          <t>auth</t>
        </is>
      </c>
      <c r="D184" s="18" t="inlineStr">
        <is>
          <t>user</t>
        </is>
      </c>
      <c r="E184" s="18" t="n">
        <v>390</v>
      </c>
      <c r="F184" s="18" t="inlineStr">
        <is>
          <t>password_temp</t>
        </is>
      </c>
      <c r="G184" s="18" t="inlineStr">
        <is>
          <t>boolean</t>
        </is>
      </c>
      <c r="H184" s="18" t="inlineStr">
        <is>
          <t>Sí</t>
        </is>
      </c>
      <c r="I184" s="18" t="inlineStr"/>
      <c r="J184" s="18" t="inlineStr"/>
      <c r="K184" s="18" t="inlineStr"/>
      <c r="L184" s="18" t="inlineStr">
        <is>
          <t>No</t>
        </is>
      </c>
      <c r="M184" s="18" t="inlineStr">
        <is>
          <t>No</t>
        </is>
      </c>
      <c r="N184" s="18" t="inlineStr"/>
      <c r="O184" s="18" t="inlineStr"/>
      <c r="P184" s="18" t="inlineStr">
        <is>
          <t>Mapeada en auth-service/src/users/user.entity.ts:29 (User.password_temp)</t>
        </is>
      </c>
      <c r="Q184" s="18" t="inlineStr">
        <is>
          <t>Regla estructural</t>
        </is>
      </c>
      <c r="R184" s="18" t="inlineStr">
        <is>
          <t>Indica si aplica: password temp.</t>
        </is>
      </c>
      <c r="S184" s="18" t="inlineStr">
        <is>
          <t>Media</t>
        </is>
      </c>
      <c r="T184" s="18" t="inlineStr">
        <is>
          <t>Convención de nombre de la columna.</t>
        </is>
      </c>
      <c r="U184" s="18" t="inlineStr"/>
      <c r="V184" s="19" t="inlineStr">
        <is>
          <t>Pendiente</t>
        </is>
      </c>
      <c r="W184" s="19" t="inlineStr"/>
      <c r="X184" s="19" t="inlineStr"/>
      <c r="Y184" s="20" t="n"/>
      <c r="Z184" s="19" t="inlineStr"/>
      <c r="AA184" s="18">
        <f>IF(OR(V184="Aprobada"),R184,IF(AND(OR(V184="Aprobada con ajuste",V184="Rechazada"),W184&lt;&gt;""),W184,""))</f>
        <v/>
      </c>
    </row>
    <row r="185">
      <c r="A185" s="18" t="inlineStr">
        <is>
          <t>C0184</t>
        </is>
      </c>
      <c r="B185" s="18" t="inlineStr">
        <is>
          <t>Identidad y acceso</t>
        </is>
      </c>
      <c r="C185" s="18" t="inlineStr">
        <is>
          <t>auth</t>
        </is>
      </c>
      <c r="D185" s="18" t="inlineStr">
        <is>
          <t>user</t>
        </is>
      </c>
      <c r="E185" s="18" t="n">
        <v>390</v>
      </c>
      <c r="F185" s="18" t="inlineStr">
        <is>
          <t>token_microsoft</t>
        </is>
      </c>
      <c r="G185" s="18" t="inlineStr">
        <is>
          <t>character varying(255)</t>
        </is>
      </c>
      <c r="H185" s="18" t="inlineStr">
        <is>
          <t>Sí</t>
        </is>
      </c>
      <c r="I185" s="18" t="inlineStr"/>
      <c r="J185" s="18" t="inlineStr"/>
      <c r="K185" s="18" t="inlineStr"/>
      <c r="L185" s="18" t="inlineStr">
        <is>
          <t>No</t>
        </is>
      </c>
      <c r="M185" s="18" t="inlineStr">
        <is>
          <t>No</t>
        </is>
      </c>
      <c r="N185" s="18" t="inlineStr"/>
      <c r="O185" s="18" t="inlineStr"/>
      <c r="P185" s="18" t="inlineStr">
        <is>
          <t>Mapeada en auth-service/src/users/user.entity.ts:38 (User.tokenMicrosoft)</t>
        </is>
      </c>
      <c r="Q185" s="18" t="inlineStr">
        <is>
          <t>Propuesta semántica</t>
        </is>
      </c>
      <c r="R185" s="18" t="inlineStr">
        <is>
          <t>Token o identificador de la cuenta Microsoft del usuario para el inicio de sesión con Microsoft.</t>
        </is>
      </c>
      <c r="S185" s="18" t="inlineStr">
        <is>
          <t>Baja</t>
        </is>
      </c>
      <c r="T185" s="18" t="inlineStr">
        <is>
          <t>nombre + tipo + columnas vecinas</t>
        </is>
      </c>
      <c r="U185" s="18" t="inlineStr">
        <is>
          <t>¿Se guarda el token de acceso, el de actualización o el identificador de la cuenta Microsoft?</t>
        </is>
      </c>
      <c r="V185" s="19" t="inlineStr">
        <is>
          <t>Pendiente</t>
        </is>
      </c>
      <c r="W185" s="19" t="inlineStr"/>
      <c r="X185" s="19" t="inlineStr"/>
      <c r="Y185" s="20" t="n"/>
      <c r="Z185" s="19" t="inlineStr"/>
      <c r="AA185" s="18">
        <f>IF(OR(V185="Aprobada"),R185,IF(AND(OR(V185="Aprobada con ajuste",V185="Rechazada"),W185&lt;&gt;""),W185,""))</f>
        <v/>
      </c>
    </row>
    <row r="186">
      <c r="A186" s="18" t="inlineStr">
        <is>
          <t>C0185</t>
        </is>
      </c>
      <c r="B186" s="18" t="inlineStr">
        <is>
          <t>Identidad y acceso</t>
        </is>
      </c>
      <c r="C186" s="18" t="inlineStr">
        <is>
          <t>auth</t>
        </is>
      </c>
      <c r="D186" s="18" t="inlineStr">
        <is>
          <t>user</t>
        </is>
      </c>
      <c r="E186" s="18" t="n">
        <v>390</v>
      </c>
      <c r="F186" s="18" t="inlineStr">
        <is>
          <t>2fa</t>
        </is>
      </c>
      <c r="G186" s="18" t="inlineStr">
        <is>
          <t>boolean</t>
        </is>
      </c>
      <c r="H186" s="18" t="inlineStr">
        <is>
          <t>Sí</t>
        </is>
      </c>
      <c r="I186" s="18" t="inlineStr"/>
      <c r="J186" s="18" t="inlineStr"/>
      <c r="K186" s="18" t="inlineStr"/>
      <c r="L186" s="18" t="inlineStr">
        <is>
          <t>No</t>
        </is>
      </c>
      <c r="M186" s="18" t="inlineStr">
        <is>
          <t>No</t>
        </is>
      </c>
      <c r="N186" s="18" t="inlineStr"/>
      <c r="O186" s="18" t="inlineStr"/>
      <c r="P186" s="18" t="inlineStr"/>
      <c r="Q186" s="18" t="inlineStr">
        <is>
          <t>Regla estructural</t>
        </is>
      </c>
      <c r="R186" s="18" t="inlineStr">
        <is>
          <t>Indica si aplica: 2fa.</t>
        </is>
      </c>
      <c r="S186" s="18" t="inlineStr">
        <is>
          <t>Media</t>
        </is>
      </c>
      <c r="T186" s="18" t="inlineStr">
        <is>
          <t>Convención de nombre de la columna.</t>
        </is>
      </c>
      <c r="U186" s="18" t="inlineStr"/>
      <c r="V186" s="19" t="inlineStr">
        <is>
          <t>Pendiente</t>
        </is>
      </c>
      <c r="W186" s="19" t="inlineStr"/>
      <c r="X186" s="19" t="inlineStr"/>
      <c r="Y186" s="20" t="n"/>
      <c r="Z186" s="19" t="inlineStr"/>
      <c r="AA186" s="18">
        <f>IF(OR(V186="Aprobada"),R186,IF(AND(OR(V186="Aprobada con ajuste",V186="Rechazada"),W186&lt;&gt;""),W186,""))</f>
        <v/>
      </c>
    </row>
    <row r="187">
      <c r="A187" s="18" t="inlineStr">
        <is>
          <t>C0186</t>
        </is>
      </c>
      <c r="B187" s="18" t="inlineStr">
        <is>
          <t>Identidad y acceso</t>
        </is>
      </c>
      <c r="C187" s="18" t="inlineStr">
        <is>
          <t>auth</t>
        </is>
      </c>
      <c r="D187" s="18" t="inlineStr">
        <is>
          <t>user</t>
        </is>
      </c>
      <c r="E187" s="18" t="n">
        <v>390</v>
      </c>
      <c r="F187" s="18" t="inlineStr">
        <is>
          <t>public_id</t>
        </is>
      </c>
      <c r="G187" s="18" t="inlineStr">
        <is>
          <t>uuid</t>
        </is>
      </c>
      <c r="H187" s="18" t="inlineStr">
        <is>
          <t>No</t>
        </is>
      </c>
      <c r="I187" s="18" t="inlineStr">
        <is>
          <t>Única</t>
        </is>
      </c>
      <c r="J187" s="18" t="inlineStr"/>
      <c r="K187" s="18" t="inlineStr"/>
      <c r="L187" s="18" t="inlineStr">
        <is>
          <t>No</t>
        </is>
      </c>
      <c r="M187" s="18" t="inlineStr">
        <is>
          <t>No</t>
        </is>
      </c>
      <c r="N187" s="18" t="inlineStr"/>
      <c r="O187" s="18" t="inlineStr">
        <is>
          <t>user_public_id_key</t>
        </is>
      </c>
      <c r="P187" s="18" t="inlineStr">
        <is>
          <t>Mapeada en auth-service/src/users/user.entity.ts:10 (User.public_id)</t>
        </is>
      </c>
      <c r="Q187" s="18" t="inlineStr">
        <is>
          <t>Propuesta semántica</t>
        </is>
      </c>
      <c r="R187" s="18" t="inlineStr">
        <is>
          <t>Identificador público (UUID) del usuario para exponerlo fuera del sistema; se genera automáticamente y es único.</t>
        </is>
      </c>
      <c r="S187" s="18" t="inlineStr">
        <is>
          <t>Media</t>
        </is>
      </c>
      <c r="T187" s="18" t="inlineStr">
        <is>
          <t>nombre + tipo + columnas vecinas + restricción única + defecto</t>
        </is>
      </c>
      <c r="U187" s="18" t="inlineStr">
        <is>
          <t>¿public_id es el identificador que se expone en la API en lugar de id_user?</t>
        </is>
      </c>
      <c r="V187" s="19" t="inlineStr">
        <is>
          <t>Pendiente</t>
        </is>
      </c>
      <c r="W187" s="19" t="inlineStr"/>
      <c r="X187" s="19" t="inlineStr"/>
      <c r="Y187" s="20" t="n"/>
      <c r="Z187" s="19" t="inlineStr"/>
      <c r="AA187" s="18">
        <f>IF(OR(V187="Aprobada"),R187,IF(AND(OR(V187="Aprobada con ajuste",V187="Rechazada"),W187&lt;&gt;""),W187,""))</f>
        <v/>
      </c>
    </row>
    <row r="188">
      <c r="A188" s="18" t="inlineStr">
        <is>
          <t>C0187</t>
        </is>
      </c>
      <c r="B188" s="18" t="inlineStr">
        <is>
          <t>Identidad y acceso</t>
        </is>
      </c>
      <c r="C188" s="18" t="inlineStr">
        <is>
          <t>auth</t>
        </is>
      </c>
      <c r="D188" s="18" t="inlineStr">
        <is>
          <t>user</t>
        </is>
      </c>
      <c r="E188" s="18" t="n">
        <v>390</v>
      </c>
      <c r="F188" s="18" t="inlineStr">
        <is>
          <t>signature_otp_context</t>
        </is>
      </c>
      <c r="G188" s="18" t="inlineStr">
        <is>
          <t>character varying(128)</t>
        </is>
      </c>
      <c r="H188" s="18" t="inlineStr">
        <is>
          <t>Sí</t>
        </is>
      </c>
      <c r="I188" s="18" t="inlineStr"/>
      <c r="J188" s="18" t="inlineStr"/>
      <c r="K188" s="18" t="inlineStr"/>
      <c r="L188" s="18" t="inlineStr">
        <is>
          <t>No</t>
        </is>
      </c>
      <c r="M188" s="18" t="inlineStr">
        <is>
          <t>No</t>
        </is>
      </c>
      <c r="N188" s="18" t="inlineStr"/>
      <c r="O188" s="18" t="inlineStr"/>
      <c r="P188" s="18" t="inlineStr">
        <is>
          <t>Mapeada en auth-service/src/users/user.entity.ts:35 (User.signatureOtpContext)</t>
        </is>
      </c>
      <c r="Q188" s="18" t="inlineStr">
        <is>
          <t>Propuesta semántica</t>
        </is>
      </c>
      <c r="R188" s="18" t="inlineStr">
        <is>
          <t>Contexto del código de un solo uso (OTP) asociado a la firma del usuario.</t>
        </is>
      </c>
      <c r="S188" s="18" t="inlineStr">
        <is>
          <t>Baja</t>
        </is>
      </c>
      <c r="T188" s="18" t="inlineStr">
        <is>
          <t>nombre + tipo + columnas vecinas</t>
        </is>
      </c>
      <c r="U188" s="18" t="inlineStr">
        <is>
          <t>¿Qué datos guarda signature_otp_context y en qué flujo de firma se usa?</t>
        </is>
      </c>
      <c r="V188" s="19" t="inlineStr">
        <is>
          <t>Pendiente</t>
        </is>
      </c>
      <c r="W188" s="19" t="inlineStr"/>
      <c r="X188" s="19" t="inlineStr"/>
      <c r="Y188" s="20" t="n"/>
      <c r="Z188" s="19" t="inlineStr"/>
      <c r="AA188" s="18">
        <f>IF(OR(V188="Aprobada"),R188,IF(AND(OR(V188="Aprobada con ajuste",V188="Rechazada"),W188&lt;&gt;""),W188,""))</f>
        <v/>
      </c>
    </row>
    <row r="189">
      <c r="A189" s="18" t="inlineStr">
        <is>
          <t>C0188</t>
        </is>
      </c>
      <c r="B189" s="18" t="inlineStr">
        <is>
          <t>Identidad y acceso</t>
        </is>
      </c>
      <c r="C189" s="18" t="inlineStr">
        <is>
          <t>auth</t>
        </is>
      </c>
      <c r="D189" s="18" t="inlineStr">
        <is>
          <t>user_roles</t>
        </is>
      </c>
      <c r="E189" s="18" t="n">
        <v>408</v>
      </c>
      <c r="F189" s="18" t="inlineStr">
        <is>
          <t>is_active</t>
        </is>
      </c>
      <c r="G189" s="18" t="inlineStr">
        <is>
          <t>boolean</t>
        </is>
      </c>
      <c r="H189" s="18" t="inlineStr">
        <is>
          <t>Sí</t>
        </is>
      </c>
      <c r="I189" s="18" t="inlineStr"/>
      <c r="J189" s="18" t="inlineStr"/>
      <c r="K189" s="18" t="inlineStr"/>
      <c r="L189" s="18" t="inlineStr">
        <is>
          <t>No</t>
        </is>
      </c>
      <c r="M189" s="18" t="inlineStr">
        <is>
          <t>No</t>
        </is>
      </c>
      <c r="N189" s="18" t="inlineStr"/>
      <c r="O189" s="18" t="inlineStr"/>
      <c r="P189" s="18" t="inlineStr">
        <is>
          <t>Mapeada en auth-service/src/users/user-role.entity.ts:17 (UserRole.is_active) | Validación: IsBoolean, IsOptional</t>
        </is>
      </c>
      <c r="Q189" s="18" t="inlineStr">
        <is>
          <t>Regla estructural</t>
        </is>
      </c>
      <c r="R189" s="18" t="inlineStr">
        <is>
          <t>Indica si el registro está activo.</t>
        </is>
      </c>
      <c r="S189" s="18" t="inlineStr">
        <is>
          <t>Media</t>
        </is>
      </c>
      <c r="T189" s="18" t="inlineStr">
        <is>
          <t>Convención de nombre de la columna.</t>
        </is>
      </c>
      <c r="U189" s="18" t="inlineStr"/>
      <c r="V189" s="19" t="inlineStr">
        <is>
          <t>Pendiente</t>
        </is>
      </c>
      <c r="W189" s="19" t="inlineStr"/>
      <c r="X189" s="19" t="inlineStr"/>
      <c r="Y189" s="20" t="n"/>
      <c r="Z189" s="19" t="inlineStr"/>
      <c r="AA189" s="18">
        <f>IF(OR(V189="Aprobada"),R189,IF(AND(OR(V189="Aprobada con ajuste",V189="Rechazada"),W189&lt;&gt;""),W189,""))</f>
        <v/>
      </c>
    </row>
    <row r="190">
      <c r="A190" s="18" t="inlineStr">
        <is>
          <t>C0189</t>
        </is>
      </c>
      <c r="B190" s="18" t="inlineStr">
        <is>
          <t>Registro académico</t>
        </is>
      </c>
      <c r="C190" s="18" t="inlineStr">
        <is>
          <t>academic_registration</t>
        </is>
      </c>
      <c r="D190" s="18" t="inlineStr">
        <is>
          <t>certificate_template_config</t>
        </is>
      </c>
      <c r="E190" s="18" t="n">
        <v>1</v>
      </c>
      <c r="F190" s="18" t="inlineStr">
        <is>
          <t>institution_logo_url</t>
        </is>
      </c>
      <c r="G190" s="18" t="inlineStr">
        <is>
          <t>text</t>
        </is>
      </c>
      <c r="H190" s="18" t="inlineStr">
        <is>
          <t>Sí</t>
        </is>
      </c>
      <c r="I190" s="18" t="inlineStr"/>
      <c r="J190" s="18" t="inlineStr"/>
      <c r="K190" s="18" t="inlineStr"/>
      <c r="L190" s="18" t="inlineStr">
        <is>
          <t>No</t>
        </is>
      </c>
      <c r="M190" s="18" t="inlineStr">
        <is>
          <t>No</t>
        </is>
      </c>
      <c r="N190" s="18" t="inlineStr"/>
      <c r="O190" s="18" t="inlineStr"/>
      <c r="P190" s="18" t="inlineStr">
        <is>
          <t>academic-registration-service/src/graduation-certificates/template-config.entity.ts:27: Logo institucional | db/migrations/old/042_create_graduation_tables.sql:264: Logo institucional</t>
        </is>
      </c>
      <c r="Q190" s="18" t="inlineStr">
        <is>
          <t>Código fuente</t>
        </is>
      </c>
      <c r="R190" s="18" t="inlineStr">
        <is>
          <t>URL del logo institucional que se muestra en la plantilla del certificado de grado.</t>
        </is>
      </c>
      <c r="S190" s="18" t="inlineStr">
        <is>
          <t>Alta</t>
        </is>
      </c>
      <c r="T190" s="18" t="inlineStr">
        <is>
          <t>código: academic-registration-service/src/graduation-certificates/template-config.entity.ts:27</t>
        </is>
      </c>
      <c r="U190" s="18" t="inlineStr"/>
      <c r="V190" s="19" t="inlineStr">
        <is>
          <t>Pendiente</t>
        </is>
      </c>
      <c r="W190" s="19" t="inlineStr"/>
      <c r="X190" s="19" t="inlineStr"/>
      <c r="Y190" s="20" t="n"/>
      <c r="Z190" s="19" t="inlineStr"/>
      <c r="AA190" s="18">
        <f>IF(OR(V190="Aprobada"),R190,IF(AND(OR(V190="Aprobada con ajuste",V190="Rechazada"),W190&lt;&gt;""),W190,""))</f>
        <v/>
      </c>
    </row>
    <row r="191">
      <c r="A191" s="18" t="inlineStr">
        <is>
          <t>C0190</t>
        </is>
      </c>
      <c r="B191" s="18" t="inlineStr">
        <is>
          <t>Registro académico</t>
        </is>
      </c>
      <c r="C191" s="18" t="inlineStr">
        <is>
          <t>academic_registration</t>
        </is>
      </c>
      <c r="D191" s="18" t="inlineStr">
        <is>
          <t>certificate_template_config</t>
        </is>
      </c>
      <c r="E191" s="18" t="n">
        <v>1</v>
      </c>
      <c r="F191" s="18" t="inlineStr">
        <is>
          <t>institution_logo_filename</t>
        </is>
      </c>
      <c r="G191" s="18" t="inlineStr">
        <is>
          <t>character varying(255)</t>
        </is>
      </c>
      <c r="H191" s="18" t="inlineStr">
        <is>
          <t>Sí</t>
        </is>
      </c>
      <c r="I191" s="18" t="inlineStr"/>
      <c r="J191" s="18" t="inlineStr"/>
      <c r="K191" s="18" t="inlineStr"/>
      <c r="L191" s="18" t="inlineStr">
        <is>
          <t>No</t>
        </is>
      </c>
      <c r="M191" s="18" t="inlineStr">
        <is>
          <t>No</t>
        </is>
      </c>
      <c r="N191" s="18" t="inlineStr"/>
      <c r="O191" s="18" t="inlineStr"/>
      <c r="P191" s="18" t="inlineStr">
        <is>
          <t>Mapeada en academic-registration-service/src/graduation-certificates/template-config.entity.ts:30 (TemplateConfig.institutionLogoFilename)</t>
        </is>
      </c>
      <c r="Q191" s="18" t="inlineStr">
        <is>
          <t>Propuesta semántica</t>
        </is>
      </c>
      <c r="R191" s="18" t="inlineStr">
        <is>
          <t>Nombre del archivo del logo institucional usado en la plantilla de certificado; acompaña a institution_logo_url.</t>
        </is>
      </c>
      <c r="S191" s="18" t="inlineStr">
        <is>
          <t>Alta</t>
        </is>
      </c>
      <c r="T191" s="18" t="inlineStr">
        <is>
          <t>nombre + tipo + columnas vecinas</t>
        </is>
      </c>
      <c r="U191" s="18" t="inlineStr"/>
      <c r="V191" s="19" t="inlineStr">
        <is>
          <t>Pendiente</t>
        </is>
      </c>
      <c r="W191" s="19" t="inlineStr"/>
      <c r="X191" s="19" t="inlineStr"/>
      <c r="Y191" s="20" t="n"/>
      <c r="Z191" s="19" t="inlineStr"/>
      <c r="AA191" s="18">
        <f>IF(OR(V191="Aprobada"),R191,IF(AND(OR(V191="Aprobada con ajuste",V191="Rechazada"),W191&lt;&gt;""),W191,""))</f>
        <v/>
      </c>
    </row>
    <row r="192">
      <c r="A192" s="18" t="inlineStr">
        <is>
          <t>C0191</t>
        </is>
      </c>
      <c r="B192" s="18" t="inlineStr">
        <is>
          <t>Registro académico</t>
        </is>
      </c>
      <c r="C192" s="18" t="inlineStr">
        <is>
          <t>academic_registration</t>
        </is>
      </c>
      <c r="D192" s="18" t="inlineStr">
        <is>
          <t>certificate_template_config</t>
        </is>
      </c>
      <c r="E192" s="18" t="n">
        <v>1</v>
      </c>
      <c r="F192" s="18" t="inlineStr">
        <is>
          <t>typography_font</t>
        </is>
      </c>
      <c r="G192" s="18" t="inlineStr">
        <is>
          <t>character varying(100)</t>
        </is>
      </c>
      <c r="H192" s="18" t="inlineStr">
        <is>
          <t>Sí</t>
        </is>
      </c>
      <c r="I192" s="18" t="inlineStr"/>
      <c r="J192" s="18" t="inlineStr"/>
      <c r="K192" s="18" t="inlineStr"/>
      <c r="L192" s="18" t="inlineStr">
        <is>
          <t>No</t>
        </is>
      </c>
      <c r="M192" s="18" t="inlineStr">
        <is>
          <t>No</t>
        </is>
      </c>
      <c r="N192" s="18" t="inlineStr"/>
      <c r="O192" s="18" t="inlineStr"/>
      <c r="P192" s="18" t="inlineStr">
        <is>
          <t>academic-registration-service/src/graduation-certificates/template-config.entity.ts:39: Tipografía | db/migrations/old/042_create_graduation_tables.sql:268: Tipografía</t>
        </is>
      </c>
      <c r="Q192" s="18" t="inlineStr">
        <is>
          <t>Código fuente</t>
        </is>
      </c>
      <c r="R192" s="18" t="inlineStr">
        <is>
          <t>Tipografía (familia de fuentes CSS) del certificado de grado. Valor por defecto: Arial Narrow, Arial, sans-serif.</t>
        </is>
      </c>
      <c r="S192" s="18" t="inlineStr">
        <is>
          <t>Alta</t>
        </is>
      </c>
      <c r="T192" s="18" t="inlineStr">
        <is>
          <t>código: academic-registration-service/src/graduation-certificates/template-config.entity.ts:39</t>
        </is>
      </c>
      <c r="U192" s="18" t="inlineStr"/>
      <c r="V192" s="19" t="inlineStr">
        <is>
          <t>Pendiente</t>
        </is>
      </c>
      <c r="W192" s="19" t="inlineStr"/>
      <c r="X192" s="19" t="inlineStr"/>
      <c r="Y192" s="20" t="n"/>
      <c r="Z192" s="19" t="inlineStr"/>
      <c r="AA192" s="18">
        <f>IF(OR(V192="Aprobada"),R192,IF(AND(OR(V192="Aprobada con ajuste",V192="Rechazada"),W192&lt;&gt;""),W192,""))</f>
        <v/>
      </c>
    </row>
    <row r="193">
      <c r="A193" s="18" t="inlineStr">
        <is>
          <t>C0192</t>
        </is>
      </c>
      <c r="B193" s="18" t="inlineStr">
        <is>
          <t>Registro académico</t>
        </is>
      </c>
      <c r="C193" s="18" t="inlineStr">
        <is>
          <t>academic_registration</t>
        </is>
      </c>
      <c r="D193" s="18" t="inlineStr">
        <is>
          <t>certificate_template_config</t>
        </is>
      </c>
      <c r="E193" s="18" t="n">
        <v>1</v>
      </c>
      <c r="F193" s="18" t="inlineStr">
        <is>
          <t>certificate_content_html</t>
        </is>
      </c>
      <c r="G193" s="18" t="inlineStr">
        <is>
          <t>text</t>
        </is>
      </c>
      <c r="H193" s="18" t="inlineStr">
        <is>
          <t>No</t>
        </is>
      </c>
      <c r="I193" s="18" t="inlineStr"/>
      <c r="J193" s="18" t="inlineStr"/>
      <c r="K193" s="18" t="inlineStr"/>
      <c r="L193" s="18" t="inlineStr">
        <is>
          <t>No</t>
        </is>
      </c>
      <c r="M193" s="18" t="inlineStr">
        <is>
          <t>No</t>
        </is>
      </c>
      <c r="N193" s="18" t="inlineStr"/>
      <c r="O193" s="18" t="inlineStr"/>
      <c r="P193" s="18" t="inlineStr">
        <is>
          <t>academic-registration-service/src/graduation-certificates/template-config.entity.ts:51: Contenido HTML del certificado | db/migrations/old/042_create_graduation_tables.sql:274: Contenido HTML del certificado</t>
        </is>
      </c>
      <c r="Q193" s="18" t="inlineStr">
        <is>
          <t>Código fuente</t>
        </is>
      </c>
      <c r="R193" s="18" t="inlineStr">
        <is>
          <t>Contenido HTML del certificado de grado.</t>
        </is>
      </c>
      <c r="S193" s="18" t="inlineStr">
        <is>
          <t>Alta</t>
        </is>
      </c>
      <c r="T193" s="18" t="inlineStr">
        <is>
          <t>código: academic-registration-service/src/graduation-certificates/template-config.entity.ts:51</t>
        </is>
      </c>
      <c r="U193" s="18" t="inlineStr"/>
      <c r="V193" s="19" t="inlineStr">
        <is>
          <t>Pendiente</t>
        </is>
      </c>
      <c r="W193" s="19" t="inlineStr"/>
      <c r="X193" s="19" t="inlineStr"/>
      <c r="Y193" s="20" t="n"/>
      <c r="Z193" s="19" t="inlineStr"/>
      <c r="AA193" s="18">
        <f>IF(OR(V193="Aprobada"),R193,IF(AND(OR(V193="Aprobada con ajuste",V193="Rechazada"),W193&lt;&gt;""),W193,""))</f>
        <v/>
      </c>
    </row>
    <row r="194">
      <c r="A194" s="18" t="inlineStr">
        <is>
          <t>C0193</t>
        </is>
      </c>
      <c r="B194" s="18" t="inlineStr">
        <is>
          <t>Registro académico</t>
        </is>
      </c>
      <c r="C194" s="18" t="inlineStr">
        <is>
          <t>academic_registration</t>
        </is>
      </c>
      <c r="D194" s="18" t="inlineStr">
        <is>
          <t>certificate_template_config</t>
        </is>
      </c>
      <c r="E194" s="18" t="n">
        <v>1</v>
      </c>
      <c r="F194" s="18" t="inlineStr">
        <is>
          <t>version</t>
        </is>
      </c>
      <c r="G194" s="18" t="inlineStr">
        <is>
          <t>character varying(50)</t>
        </is>
      </c>
      <c r="H194" s="18" t="inlineStr">
        <is>
          <t>Sí</t>
        </is>
      </c>
      <c r="I194" s="18" t="inlineStr"/>
      <c r="J194" s="18" t="inlineStr"/>
      <c r="K194" s="18" t="inlineStr"/>
      <c r="L194" s="18" t="inlineStr">
        <is>
          <t>No</t>
        </is>
      </c>
      <c r="M194" s="18" t="inlineStr">
        <is>
          <t>No</t>
        </is>
      </c>
      <c r="N194" s="18" t="inlineStr"/>
      <c r="O194" s="18" t="inlineStr"/>
      <c r="P194" s="18" t="inlineStr">
        <is>
          <t>academic-registration-service/src/graduation-certificates/template-config.entity.ts:55: Versión y estado | db/migrations/old/042_create_graduation_tables.sql:277: Versión y estado</t>
        </is>
      </c>
      <c r="Q194" s="18" t="inlineStr">
        <is>
          <t>Código fuente</t>
        </is>
      </c>
      <c r="R194" s="18" t="inlineStr">
        <is>
          <t>Número de versión de la configuración de la plantilla, en formato semántico; por defecto 1.0.0.</t>
        </is>
      </c>
      <c r="S194" s="18" t="inlineStr">
        <is>
          <t>Alta</t>
        </is>
      </c>
      <c r="T194" s="18" t="inlineStr">
        <is>
          <t>código: academic-registration-service/src/graduation-certificates/template-config.entity.ts:55</t>
        </is>
      </c>
      <c r="U194" s="18" t="inlineStr"/>
      <c r="V194" s="19" t="inlineStr">
        <is>
          <t>Pendiente</t>
        </is>
      </c>
      <c r="W194" s="19" t="inlineStr"/>
      <c r="X194" s="19" t="inlineStr"/>
      <c r="Y194" s="20" t="n"/>
      <c r="Z194" s="19" t="inlineStr"/>
      <c r="AA194" s="18">
        <f>IF(OR(V194="Aprobada"),R194,IF(AND(OR(V194="Aprobada con ajuste",V194="Rechazada"),W194&lt;&gt;""),W194,""))</f>
        <v/>
      </c>
    </row>
    <row r="195">
      <c r="A195" s="18" t="inlineStr">
        <is>
          <t>C0194</t>
        </is>
      </c>
      <c r="B195" s="18" t="inlineStr">
        <is>
          <t>Registro académico</t>
        </is>
      </c>
      <c r="C195" s="18" t="inlineStr">
        <is>
          <t>academic_registration</t>
        </is>
      </c>
      <c r="D195" s="18" t="inlineStr">
        <is>
          <t>certificate_template_config</t>
        </is>
      </c>
      <c r="E195" s="18" t="n">
        <v>1</v>
      </c>
      <c r="F195" s="18" t="inlineStr">
        <is>
          <t>status</t>
        </is>
      </c>
      <c r="G195" s="18" t="inlineStr">
        <is>
          <t>character varying(50)</t>
        </is>
      </c>
      <c r="H195" s="18" t="inlineStr">
        <is>
          <t>Sí</t>
        </is>
      </c>
      <c r="I195" s="18" t="inlineStr">
        <is>
          <t>CHECK</t>
        </is>
      </c>
      <c r="J195" s="18" t="inlineStr">
        <is>
          <t>draft, published</t>
        </is>
      </c>
      <c r="K195" s="18" t="inlineStr"/>
      <c r="L195" s="18" t="inlineStr">
        <is>
          <t>Sí</t>
        </is>
      </c>
      <c r="M195" s="18" t="inlineStr">
        <is>
          <t>No</t>
        </is>
      </c>
      <c r="N195" s="18" t="inlineStr"/>
      <c r="O195" s="18" t="inlineStr">
        <is>
          <t>idx_template_config_status</t>
        </is>
      </c>
      <c r="P195" s="18" t="inlineStr">
        <is>
          <t>academic-registration-service/src/graduation-certificates/template-config.entity.ts:58: draft, published | db/migrations/old/042_create_graduation_tables.sql:278: draft, published</t>
        </is>
      </c>
      <c r="Q195" s="18" t="inlineStr">
        <is>
          <t>Código fuente</t>
        </is>
      </c>
      <c r="R195" s="18" t="inlineStr">
        <is>
          <t>Estado de publicación de la configuración de la plantilla de certificado. Valores permitidos: draft (borrador), published (publicada); por defecto draft.</t>
        </is>
      </c>
      <c r="S195" s="18" t="inlineStr">
        <is>
          <t>Alta</t>
        </is>
      </c>
      <c r="T195" s="18" t="inlineStr">
        <is>
          <t>código: academic-registration-service/src/graduation-certificates/template-config.entity.ts:58</t>
        </is>
      </c>
      <c r="U195" s="18" t="inlineStr"/>
      <c r="V195" s="19" t="inlineStr">
        <is>
          <t>Pendiente</t>
        </is>
      </c>
      <c r="W195" s="19" t="inlineStr"/>
      <c r="X195" s="19" t="inlineStr"/>
      <c r="Y195" s="20" t="n"/>
      <c r="Z195" s="19" t="inlineStr"/>
      <c r="AA195" s="18">
        <f>IF(OR(V195="Aprobada"),R195,IF(AND(OR(V195="Aprobada con ajuste",V195="Rechazada"),W195&lt;&gt;""),W195,""))</f>
        <v/>
      </c>
    </row>
    <row r="196">
      <c r="A196" s="18" t="inlineStr">
        <is>
          <t>C0195</t>
        </is>
      </c>
      <c r="B196" s="18" t="inlineStr">
        <is>
          <t>Registro académico</t>
        </is>
      </c>
      <c r="C196" s="18" t="inlineStr">
        <is>
          <t>academic_registration</t>
        </is>
      </c>
      <c r="D196" s="18" t="inlineStr">
        <is>
          <t>certificate_template_config</t>
        </is>
      </c>
      <c r="E196" s="18" t="n">
        <v>1</v>
      </c>
      <c r="F196" s="18" t="inlineStr">
        <is>
          <t>is_active</t>
        </is>
      </c>
      <c r="G196" s="18" t="inlineStr">
        <is>
          <t>boolean</t>
        </is>
      </c>
      <c r="H196" s="18" t="inlineStr">
        <is>
          <t>Sí</t>
        </is>
      </c>
      <c r="I196" s="18" t="inlineStr"/>
      <c r="J196" s="18" t="inlineStr"/>
      <c r="K196" s="18" t="inlineStr"/>
      <c r="L196" s="18" t="inlineStr">
        <is>
          <t>No</t>
        </is>
      </c>
      <c r="M196" s="18" t="inlineStr">
        <is>
          <t>No</t>
        </is>
      </c>
      <c r="N196" s="18" t="inlineStr"/>
      <c r="O196" s="18" t="inlineStr">
        <is>
          <t>idx_template_config_active</t>
        </is>
      </c>
      <c r="P196" s="18" t="inlineStr">
        <is>
          <t>Mapeada en academic-registration-service/src/graduation-certificates/template-config.entity.ts:101 (TemplateConfig.isActive)</t>
        </is>
      </c>
      <c r="Q196" s="18" t="inlineStr">
        <is>
          <t>Regla estructural</t>
        </is>
      </c>
      <c r="R196" s="18" t="inlineStr">
        <is>
          <t>Indica si el registro está activo.</t>
        </is>
      </c>
      <c r="S196" s="18" t="inlineStr">
        <is>
          <t>Media</t>
        </is>
      </c>
      <c r="T196" s="18" t="inlineStr">
        <is>
          <t>Convención de nombre de la columna.</t>
        </is>
      </c>
      <c r="U196" s="18" t="inlineStr"/>
      <c r="V196" s="19" t="inlineStr">
        <is>
          <t>Pendiente</t>
        </is>
      </c>
      <c r="W196" s="19" t="inlineStr"/>
      <c r="X196" s="19" t="inlineStr"/>
      <c r="Y196" s="20" t="n"/>
      <c r="Z196" s="19" t="inlineStr"/>
      <c r="AA196" s="18">
        <f>IF(OR(V196="Aprobada"),R196,IF(AND(OR(V196="Aprobada con ajuste",V196="Rechazada"),W196&lt;&gt;""),W196,""))</f>
        <v/>
      </c>
    </row>
    <row r="197">
      <c r="A197" s="18" t="inlineStr">
        <is>
          <t>C0196</t>
        </is>
      </c>
      <c r="B197" s="18" t="inlineStr">
        <is>
          <t>Registro académico</t>
        </is>
      </c>
      <c r="C197" s="18" t="inlineStr">
        <is>
          <t>academic_registration</t>
        </is>
      </c>
      <c r="D197" s="18" t="inlineStr">
        <is>
          <t>certificate_template_config</t>
        </is>
      </c>
      <c r="E197" s="18" t="n">
        <v>1</v>
      </c>
      <c r="F197" s="18" t="inlineStr">
        <is>
          <t>footer_logo_url</t>
        </is>
      </c>
      <c r="G197" s="18" t="inlineStr">
        <is>
          <t>text</t>
        </is>
      </c>
      <c r="H197" s="18" t="inlineStr">
        <is>
          <t>Sí</t>
        </is>
      </c>
      <c r="I197" s="18" t="inlineStr"/>
      <c r="J197" s="18" t="inlineStr"/>
      <c r="K197" s="18" t="inlineStr"/>
      <c r="L197" s="18" t="inlineStr">
        <is>
          <t>No</t>
        </is>
      </c>
      <c r="M197" s="18" t="inlineStr">
        <is>
          <t>No</t>
        </is>
      </c>
      <c r="N197" s="18" t="inlineStr"/>
      <c r="O197" s="18" t="inlineStr"/>
      <c r="P197" s="18" t="inlineStr">
        <is>
          <t>academic-registration-service/src/graduation-certificates/template-config.entity.ts:62: Logo pie de página (ESAP)</t>
        </is>
      </c>
      <c r="Q197" s="18" t="inlineStr">
        <is>
          <t>Código fuente</t>
        </is>
      </c>
      <c r="R197" s="18" t="inlineStr">
        <is>
          <t>URL del logo del pie de página del certificado (logo de la ESAP).</t>
        </is>
      </c>
      <c r="S197" s="18" t="inlineStr">
        <is>
          <t>Alta</t>
        </is>
      </c>
      <c r="T197" s="18" t="inlineStr">
        <is>
          <t>código: academic-registration-service/src/graduation-certificates/template-config.entity.ts:62</t>
        </is>
      </c>
      <c r="U197" s="18" t="inlineStr"/>
      <c r="V197" s="19" t="inlineStr">
        <is>
          <t>Pendiente</t>
        </is>
      </c>
      <c r="W197" s="19" t="inlineStr"/>
      <c r="X197" s="19" t="inlineStr"/>
      <c r="Y197" s="20" t="n"/>
      <c r="Z197" s="19" t="inlineStr"/>
      <c r="AA197" s="18">
        <f>IF(OR(V197="Aprobada"),R197,IF(AND(OR(V197="Aprobada con ajuste",V197="Rechazada"),W197&lt;&gt;""),W197,""))</f>
        <v/>
      </c>
    </row>
    <row r="198">
      <c r="A198" s="18" t="inlineStr">
        <is>
          <t>C0197</t>
        </is>
      </c>
      <c r="B198" s="18" t="inlineStr">
        <is>
          <t>Registro académico</t>
        </is>
      </c>
      <c r="C198" s="18" t="inlineStr">
        <is>
          <t>academic_registration</t>
        </is>
      </c>
      <c r="D198" s="18" t="inlineStr">
        <is>
          <t>certificate_template_config</t>
        </is>
      </c>
      <c r="E198" s="18" t="n">
        <v>1</v>
      </c>
      <c r="F198" s="18" t="inlineStr">
        <is>
          <t>footer_logo_filename</t>
        </is>
      </c>
      <c r="G198" s="18" t="inlineStr">
        <is>
          <t>character varying(255)</t>
        </is>
      </c>
      <c r="H198" s="18" t="inlineStr">
        <is>
          <t>Sí</t>
        </is>
      </c>
      <c r="I198" s="18" t="inlineStr"/>
      <c r="J198" s="18" t="inlineStr"/>
      <c r="K198" s="18" t="inlineStr"/>
      <c r="L198" s="18" t="inlineStr">
        <is>
          <t>No</t>
        </is>
      </c>
      <c r="M198" s="18" t="inlineStr">
        <is>
          <t>No</t>
        </is>
      </c>
      <c r="N198" s="18" t="inlineStr"/>
      <c r="O198" s="18" t="inlineStr"/>
      <c r="P198" s="18" t="inlineStr">
        <is>
          <t>Mapeada en academic-registration-service/src/graduation-certificates/template-config.entity.ts:65 (TemplateConfig.footerLogoFilename)</t>
        </is>
      </c>
      <c r="Q198" s="18" t="inlineStr">
        <is>
          <t>Propuesta semántica</t>
        </is>
      </c>
      <c r="R198" s="18" t="inlineStr">
        <is>
          <t>Nombre del archivo del logo del pie de página de la plantilla de certificado; acompaña a footer_logo_url.</t>
        </is>
      </c>
      <c r="S198" s="18" t="inlineStr">
        <is>
          <t>Alta</t>
        </is>
      </c>
      <c r="T198" s="18" t="inlineStr">
        <is>
          <t>nombre + tipo + columnas vecinas</t>
        </is>
      </c>
      <c r="U198" s="18" t="inlineStr"/>
      <c r="V198" s="19" t="inlineStr">
        <is>
          <t>Pendiente</t>
        </is>
      </c>
      <c r="W198" s="19" t="inlineStr"/>
      <c r="X198" s="19" t="inlineStr"/>
      <c r="Y198" s="20" t="n"/>
      <c r="Z198" s="19" t="inlineStr"/>
      <c r="AA198" s="18">
        <f>IF(OR(V198="Aprobada"),R198,IF(AND(OR(V198="Aprobada con ajuste",V198="Rechazada"),W198&lt;&gt;""),W198,""))</f>
        <v/>
      </c>
    </row>
    <row r="199">
      <c r="A199" s="18" t="inlineStr">
        <is>
          <t>C0198</t>
        </is>
      </c>
      <c r="B199" s="18" t="inlineStr">
        <is>
          <t>Registro académico</t>
        </is>
      </c>
      <c r="C199" s="18" t="inlineStr">
        <is>
          <t>academic_registration</t>
        </is>
      </c>
      <c r="D199" s="18" t="inlineStr">
        <is>
          <t>certificate_validations</t>
        </is>
      </c>
      <c r="E199" s="18" t="n">
        <v>153</v>
      </c>
      <c r="F199" s="18" t="inlineStr">
        <is>
          <t>validation_date</t>
        </is>
      </c>
      <c r="G199" s="18" t="inlineStr">
        <is>
          <t>timestamp without time zone</t>
        </is>
      </c>
      <c r="H199" s="18" t="inlineStr">
        <is>
          <t>Sí</t>
        </is>
      </c>
      <c r="I199" s="18" t="inlineStr"/>
      <c r="J199" s="18" t="inlineStr"/>
      <c r="K199" s="18" t="inlineStr"/>
      <c r="L199" s="18" t="inlineStr">
        <is>
          <t>No</t>
        </is>
      </c>
      <c r="M199" s="18" t="inlineStr">
        <is>
          <t>No</t>
        </is>
      </c>
      <c r="N199" s="18" t="inlineStr"/>
      <c r="O199" s="18" t="inlineStr">
        <is>
          <t>idx_validations_date</t>
        </is>
      </c>
      <c r="P199" s="18" t="inlineStr">
        <is>
          <t>academic-registration-service/src/graduation-certificates/certificate-validation.entity.ts:21: Información de la validación | db/migrations/old/042_create_graduation_tables.sql:203: Información de la validación</t>
        </is>
      </c>
      <c r="Q199" s="18" t="inlineStr">
        <is>
          <t>Código fuente</t>
        </is>
      </c>
      <c r="R199" s="18" t="inlineStr">
        <is>
          <t>Fecha y hora en que se realizó la validación pública del certificado de grado.</t>
        </is>
      </c>
      <c r="S199" s="18" t="inlineStr">
        <is>
          <t>Alta</t>
        </is>
      </c>
      <c r="T199" s="18" t="inlineStr">
        <is>
          <t>código: academic-registration-service/src/graduation-certificates/certificate-validation.entity.ts:21</t>
        </is>
      </c>
      <c r="U199" s="18" t="inlineStr"/>
      <c r="V199" s="19" t="inlineStr">
        <is>
          <t>Pendiente</t>
        </is>
      </c>
      <c r="W199" s="19" t="inlineStr"/>
      <c r="X199" s="19" t="inlineStr"/>
      <c r="Y199" s="20" t="n"/>
      <c r="Z199" s="19" t="inlineStr"/>
      <c r="AA199" s="18">
        <f>IF(OR(V199="Aprobada"),R199,IF(AND(OR(V199="Aprobada con ajuste",V199="Rechazada"),W199&lt;&gt;""),W199,""))</f>
        <v/>
      </c>
    </row>
    <row r="200">
      <c r="A200" s="18" t="inlineStr">
        <is>
          <t>C0199</t>
        </is>
      </c>
      <c r="B200" s="18" t="inlineStr">
        <is>
          <t>Registro académico</t>
        </is>
      </c>
      <c r="C200" s="18" t="inlineStr">
        <is>
          <t>academic_registration</t>
        </is>
      </c>
      <c r="D200" s="18" t="inlineStr">
        <is>
          <t>certificate_validations</t>
        </is>
      </c>
      <c r="E200" s="18" t="n">
        <v>153</v>
      </c>
      <c r="F200" s="18" t="inlineStr">
        <is>
          <t>ip_address</t>
        </is>
      </c>
      <c r="G200" s="18" t="inlineStr">
        <is>
          <t>character varying(50)</t>
        </is>
      </c>
      <c r="H200" s="18" t="inlineStr">
        <is>
          <t>Sí</t>
        </is>
      </c>
      <c r="I200" s="18" t="inlineStr"/>
      <c r="J200" s="18" t="inlineStr"/>
      <c r="K200" s="18" t="inlineStr"/>
      <c r="L200" s="18" t="inlineStr">
        <is>
          <t>No</t>
        </is>
      </c>
      <c r="M200" s="18" t="inlineStr">
        <is>
          <t>No</t>
        </is>
      </c>
      <c r="N200" s="18" t="inlineStr"/>
      <c r="O200" s="18" t="inlineStr"/>
      <c r="P200" s="18" t="inlineStr">
        <is>
          <t>academic-registration-service/src/graduation-certificates/certificate-validation.entity.ts:25: Datos del validador | db/migrations/old/042_create_graduation_tables.sql:206: Datos del validador</t>
        </is>
      </c>
      <c r="Q200" s="18" t="inlineStr">
        <is>
          <t>Código fuente</t>
        </is>
      </c>
      <c r="R200" s="18" t="inlineStr">
        <is>
          <t>Dirección IP desde la que se realizó la validación del certificado.</t>
        </is>
      </c>
      <c r="S200" s="18" t="inlineStr">
        <is>
          <t>Alta</t>
        </is>
      </c>
      <c r="T200" s="18" t="inlineStr">
        <is>
          <t>código: academic-registration-service/src/graduation-certificates/certificate-validation.entity.ts:25</t>
        </is>
      </c>
      <c r="U200" s="18" t="inlineStr"/>
      <c r="V200" s="19" t="inlineStr">
        <is>
          <t>Pendiente</t>
        </is>
      </c>
      <c r="W200" s="19" t="inlineStr"/>
      <c r="X200" s="19" t="inlineStr"/>
      <c r="Y200" s="20" t="n"/>
      <c r="Z200" s="19" t="inlineStr"/>
      <c r="AA200" s="18">
        <f>IF(OR(V200="Aprobada"),R200,IF(AND(OR(V200="Aprobada con ajuste",V200="Rechazada"),W200&lt;&gt;""),W200,""))</f>
        <v/>
      </c>
    </row>
    <row r="201">
      <c r="A201" s="18" t="inlineStr">
        <is>
          <t>C0200</t>
        </is>
      </c>
      <c r="B201" s="18" t="inlineStr">
        <is>
          <t>Registro académico</t>
        </is>
      </c>
      <c r="C201" s="18" t="inlineStr">
        <is>
          <t>academic_registration</t>
        </is>
      </c>
      <c r="D201" s="18" t="inlineStr">
        <is>
          <t>certificate_validations</t>
        </is>
      </c>
      <c r="E201" s="18" t="n">
        <v>153</v>
      </c>
      <c r="F201" s="18" t="inlineStr">
        <is>
          <t>user_agent</t>
        </is>
      </c>
      <c r="G201" s="18" t="inlineStr">
        <is>
          <t>text</t>
        </is>
      </c>
      <c r="H201" s="18" t="inlineStr">
        <is>
          <t>Sí</t>
        </is>
      </c>
      <c r="I201" s="18" t="inlineStr"/>
      <c r="J201" s="18" t="inlineStr"/>
      <c r="K201" s="18" t="inlineStr"/>
      <c r="L201" s="18" t="inlineStr">
        <is>
          <t>No</t>
        </is>
      </c>
      <c r="M201" s="18" t="inlineStr">
        <is>
          <t>No</t>
        </is>
      </c>
      <c r="N201" s="18" t="inlineStr"/>
      <c r="O201" s="18" t="inlineStr"/>
      <c r="P201" s="18" t="inlineStr">
        <is>
          <t>Mapeada en academic-registration-service/src/graduation-certificates/certificate-validation.entity.ts:28 (CertificateValidation.userAgent)</t>
        </is>
      </c>
      <c r="Q201" s="18" t="inlineStr">
        <is>
          <t>Regla estructural</t>
        </is>
      </c>
      <c r="R201" s="18" t="inlineStr">
        <is>
          <t>Agente de usuario (navegador) registrado.</t>
        </is>
      </c>
      <c r="S201" s="18" t="inlineStr">
        <is>
          <t>Media</t>
        </is>
      </c>
      <c r="T201" s="18" t="inlineStr">
        <is>
          <t>Convención de nombre de la columna.</t>
        </is>
      </c>
      <c r="U201" s="18" t="inlineStr"/>
      <c r="V201" s="19" t="inlineStr">
        <is>
          <t>Pendiente</t>
        </is>
      </c>
      <c r="W201" s="19" t="inlineStr"/>
      <c r="X201" s="19" t="inlineStr"/>
      <c r="Y201" s="20" t="n"/>
      <c r="Z201" s="19" t="inlineStr"/>
      <c r="AA201" s="18">
        <f>IF(OR(V201="Aprobada"),R201,IF(AND(OR(V201="Aprobada con ajuste",V201="Rechazada"),W201&lt;&gt;""),W201,""))</f>
        <v/>
      </c>
    </row>
    <row r="202">
      <c r="A202" s="18" t="inlineStr">
        <is>
          <t>C0201</t>
        </is>
      </c>
      <c r="B202" s="18" t="inlineStr">
        <is>
          <t>Registro académico</t>
        </is>
      </c>
      <c r="C202" s="18" t="inlineStr">
        <is>
          <t>academic_registration</t>
        </is>
      </c>
      <c r="D202" s="18" t="inlineStr">
        <is>
          <t>certificate_validations</t>
        </is>
      </c>
      <c r="E202" s="18" t="n">
        <v>153</v>
      </c>
      <c r="F202" s="18" t="inlineStr">
        <is>
          <t>location</t>
        </is>
      </c>
      <c r="G202" s="18" t="inlineStr">
        <is>
          <t>character varying(255)</t>
        </is>
      </c>
      <c r="H202" s="18" t="inlineStr">
        <is>
          <t>Sí</t>
        </is>
      </c>
      <c r="I202" s="18" t="inlineStr"/>
      <c r="J202" s="18" t="inlineStr"/>
      <c r="K202" s="18" t="inlineStr"/>
      <c r="L202" s="18" t="inlineStr">
        <is>
          <t>No</t>
        </is>
      </c>
      <c r="M202" s="18" t="inlineStr">
        <is>
          <t>No</t>
        </is>
      </c>
      <c r="N202" s="18" t="inlineStr"/>
      <c r="O202" s="18" t="inlineStr"/>
      <c r="P202" s="18" t="inlineStr">
        <is>
          <t>db/migrations/old/042_create_graduation_tables.sql:208: Ciudad/País si está disponible</t>
        </is>
      </c>
      <c r="Q202" s="18" t="inlineStr">
        <is>
          <t>Código fuente</t>
        </is>
      </c>
      <c r="R202" s="18" t="inlineStr">
        <is>
          <t>Ciudad y país desde donde se realizó la validación, cuando está disponible.</t>
        </is>
      </c>
      <c r="S202" s="18" t="inlineStr">
        <is>
          <t>Alta</t>
        </is>
      </c>
      <c r="T202" s="18" t="inlineStr">
        <is>
          <t>código: db/migrations/old/042_create_graduation_tables.sql:208</t>
        </is>
      </c>
      <c r="U202" s="18" t="inlineStr"/>
      <c r="V202" s="19" t="inlineStr">
        <is>
          <t>Pendiente</t>
        </is>
      </c>
      <c r="W202" s="19" t="inlineStr"/>
      <c r="X202" s="19" t="inlineStr"/>
      <c r="Y202" s="20" t="n"/>
      <c r="Z202" s="19" t="inlineStr"/>
      <c r="AA202" s="18">
        <f>IF(OR(V202="Aprobada"),R202,IF(AND(OR(V202="Aprobada con ajuste",V202="Rechazada"),W202&lt;&gt;""),W202,""))</f>
        <v/>
      </c>
    </row>
    <row r="203">
      <c r="A203" s="18" t="inlineStr">
        <is>
          <t>C0202</t>
        </is>
      </c>
      <c r="B203" s="18" t="inlineStr">
        <is>
          <t>Registro académico</t>
        </is>
      </c>
      <c r="C203" s="18" t="inlineStr">
        <is>
          <t>academic_registration</t>
        </is>
      </c>
      <c r="D203" s="18" t="inlineStr">
        <is>
          <t>certificate_validations</t>
        </is>
      </c>
      <c r="E203" s="18" t="n">
        <v>153</v>
      </c>
      <c r="F203" s="18" t="inlineStr">
        <is>
          <t>result</t>
        </is>
      </c>
      <c r="G203" s="18" t="inlineStr">
        <is>
          <t>character varying(50)</t>
        </is>
      </c>
      <c r="H203" s="18" t="inlineStr">
        <is>
          <t>No</t>
        </is>
      </c>
      <c r="I203" s="18" t="inlineStr">
        <is>
          <t>CHECK</t>
        </is>
      </c>
      <c r="J203" s="18" t="inlineStr">
        <is>
          <t>EXPIRED, NOT_FOUND, REVOKED, VALID</t>
        </is>
      </c>
      <c r="K203" s="18" t="inlineStr"/>
      <c r="L203" s="18" t="inlineStr">
        <is>
          <t>Sí</t>
        </is>
      </c>
      <c r="M203" s="18" t="inlineStr">
        <is>
          <t>No</t>
        </is>
      </c>
      <c r="N203" s="18" t="inlineStr"/>
      <c r="O203" s="18" t="inlineStr"/>
      <c r="P203" s="18" t="inlineStr">
        <is>
          <t>academic-registration-service/src/graduation-certificates/certificate-validation.entity.ts:35: Resultado de la validación VALID, REVOKED, EXPIRED, NOT_FOUND | db/migrations/old/042_create_graduation_tables.sql:211: Resultado de la validación VALID, REVOKED, EXPIRED, NOT_FOUND</t>
        </is>
      </c>
      <c r="Q203" s="18" t="inlineStr">
        <is>
          <t>Código fuente</t>
        </is>
      </c>
      <c r="R203" s="18" t="inlineStr">
        <is>
          <t>Resultado de la validación pública del certificado. Valores permitidos: VALID, REVOKED, EXPIRED, NOT_FOUND.</t>
        </is>
      </c>
      <c r="S203" s="18" t="inlineStr">
        <is>
          <t>Alta</t>
        </is>
      </c>
      <c r="T203" s="18" t="inlineStr">
        <is>
          <t>código: academic-registration-service/src/graduation-certificates/certificate-validation.entity.ts:35</t>
        </is>
      </c>
      <c r="U203" s="18" t="inlineStr"/>
      <c r="V203" s="19" t="inlineStr">
        <is>
          <t>Pendiente</t>
        </is>
      </c>
      <c r="W203" s="19" t="inlineStr"/>
      <c r="X203" s="19" t="inlineStr"/>
      <c r="Y203" s="20" t="n"/>
      <c r="Z203" s="19" t="inlineStr"/>
      <c r="AA203" s="18">
        <f>IF(OR(V203="Aprobada"),R203,IF(AND(OR(V203="Aprobada con ajuste",V203="Rechazada"),W203&lt;&gt;""),W203,""))</f>
        <v/>
      </c>
    </row>
    <row r="204">
      <c r="A204" s="18" t="inlineStr">
        <is>
          <t>C0203</t>
        </is>
      </c>
      <c r="B204" s="18" t="inlineStr">
        <is>
          <t>Registro académico</t>
        </is>
      </c>
      <c r="C204" s="18" t="inlineStr">
        <is>
          <t>academic_registration</t>
        </is>
      </c>
      <c r="D204" s="18" t="inlineStr">
        <is>
          <t>graduate_files</t>
        </is>
      </c>
      <c r="E204" s="18" t="n">
        <v>41</v>
      </c>
      <c r="F204" s="18" t="inlineStr">
        <is>
          <t>original_name</t>
        </is>
      </c>
      <c r="G204" s="18" t="inlineStr">
        <is>
          <t>character varying(255)</t>
        </is>
      </c>
      <c r="H204" s="18" t="inlineStr">
        <is>
          <t>No</t>
        </is>
      </c>
      <c r="I204" s="18" t="inlineStr"/>
      <c r="J204" s="18" t="inlineStr"/>
      <c r="K204" s="18" t="inlineStr"/>
      <c r="L204" s="18" t="inlineStr">
        <is>
          <t>No</t>
        </is>
      </c>
      <c r="M204" s="18" t="inlineStr">
        <is>
          <t>No</t>
        </is>
      </c>
      <c r="N204" s="18" t="inlineStr"/>
      <c r="O204" s="18" t="inlineStr"/>
      <c r="P204" s="18" t="inlineStr">
        <is>
          <t>Mapeada en academic-registration-service/src/graduation-certificates/graduate-file.entity.ts:25 (GraduateFile.originalName)</t>
        </is>
      </c>
      <c r="Q204" s="18" t="inlineStr">
        <is>
          <t>Propuesta semántica</t>
        </is>
      </c>
      <c r="R204" s="18" t="inlineStr">
        <is>
          <t>Nombre original del archivo cargado para el graduado, tal como lo subió el usuario.</t>
        </is>
      </c>
      <c r="S204" s="18" t="inlineStr">
        <is>
          <t>Alta</t>
        </is>
      </c>
      <c r="T204" s="18" t="inlineStr">
        <is>
          <t>nombre + tipo + columnas vecinas (stored_name, mime_type)</t>
        </is>
      </c>
      <c r="U204" s="18" t="inlineStr"/>
      <c r="V204" s="19" t="inlineStr">
        <is>
          <t>Pendiente</t>
        </is>
      </c>
      <c r="W204" s="19" t="inlineStr"/>
      <c r="X204" s="19" t="inlineStr"/>
      <c r="Y204" s="20" t="n"/>
      <c r="Z204" s="19" t="inlineStr"/>
      <c r="AA204" s="18">
        <f>IF(OR(V204="Aprobada"),R204,IF(AND(OR(V204="Aprobada con ajuste",V204="Rechazada"),W204&lt;&gt;""),W204,""))</f>
        <v/>
      </c>
    </row>
    <row r="205">
      <c r="A205" s="18" t="inlineStr">
        <is>
          <t>C0204</t>
        </is>
      </c>
      <c r="B205" s="18" t="inlineStr">
        <is>
          <t>Registro académico</t>
        </is>
      </c>
      <c r="C205" s="18" t="inlineStr">
        <is>
          <t>academic_registration</t>
        </is>
      </c>
      <c r="D205" s="18" t="inlineStr">
        <is>
          <t>graduate_files</t>
        </is>
      </c>
      <c r="E205" s="18" t="n">
        <v>41</v>
      </c>
      <c r="F205" s="18" t="inlineStr">
        <is>
          <t>stored_name</t>
        </is>
      </c>
      <c r="G205" s="18" t="inlineStr">
        <is>
          <t>character varying(255)</t>
        </is>
      </c>
      <c r="H205" s="18" t="inlineStr">
        <is>
          <t>No</t>
        </is>
      </c>
      <c r="I205" s="18" t="inlineStr"/>
      <c r="J205" s="18" t="inlineStr"/>
      <c r="K205" s="18" t="inlineStr"/>
      <c r="L205" s="18" t="inlineStr">
        <is>
          <t>No</t>
        </is>
      </c>
      <c r="M205" s="18" t="inlineStr">
        <is>
          <t>No</t>
        </is>
      </c>
      <c r="N205" s="18" t="inlineStr"/>
      <c r="O205" s="18" t="inlineStr"/>
      <c r="P205" s="18" t="inlineStr">
        <is>
          <t>Mapeada en academic-registration-service/src/graduation-certificates/graduate-file.entity.ts:28 (GraduateFile.storedName)</t>
        </is>
      </c>
      <c r="Q205" s="18" t="inlineStr">
        <is>
          <t>Propuesta semántica</t>
        </is>
      </c>
      <c r="R205" s="18" t="inlineStr">
        <is>
          <t>Nombre con el que se guarda el archivo en el almacenamiento del sistema.</t>
        </is>
      </c>
      <c r="S205" s="18" t="inlineStr">
        <is>
          <t>Alta</t>
        </is>
      </c>
      <c r="T205" s="18" t="inlineStr">
        <is>
          <t>nombre + tipo + columnas vecinas (original_name)</t>
        </is>
      </c>
      <c r="U205" s="18" t="inlineStr"/>
      <c r="V205" s="19" t="inlineStr">
        <is>
          <t>Pendiente</t>
        </is>
      </c>
      <c r="W205" s="19" t="inlineStr"/>
      <c r="X205" s="19" t="inlineStr"/>
      <c r="Y205" s="20" t="n"/>
      <c r="Z205" s="19" t="inlineStr"/>
      <c r="AA205" s="18">
        <f>IF(OR(V205="Aprobada"),R205,IF(AND(OR(V205="Aprobada con ajuste",V205="Rechazada"),W205&lt;&gt;""),W205,""))</f>
        <v/>
      </c>
    </row>
    <row r="206">
      <c r="A206" s="18" t="inlineStr">
        <is>
          <t>C0205</t>
        </is>
      </c>
      <c r="B206" s="18" t="inlineStr">
        <is>
          <t>Registro académico</t>
        </is>
      </c>
      <c r="C206" s="18" t="inlineStr">
        <is>
          <t>academic_registration</t>
        </is>
      </c>
      <c r="D206" s="18" t="inlineStr">
        <is>
          <t>graduate_files</t>
        </is>
      </c>
      <c r="E206" s="18" t="n">
        <v>41</v>
      </c>
      <c r="F206" s="18" t="inlineStr">
        <is>
          <t>mime_type</t>
        </is>
      </c>
      <c r="G206" s="18" t="inlineStr">
        <is>
          <t>character varying(150)</t>
        </is>
      </c>
      <c r="H206" s="18" t="inlineStr">
        <is>
          <t>No</t>
        </is>
      </c>
      <c r="I206" s="18" t="inlineStr"/>
      <c r="J206" s="18" t="inlineStr"/>
      <c r="K206" s="18" t="inlineStr"/>
      <c r="L206" s="18" t="inlineStr">
        <is>
          <t>No</t>
        </is>
      </c>
      <c r="M206" s="18" t="inlineStr">
        <is>
          <t>No</t>
        </is>
      </c>
      <c r="N206" s="18" t="inlineStr"/>
      <c r="O206" s="18" t="inlineStr"/>
      <c r="P206" s="18" t="inlineStr">
        <is>
          <t>Mapeada en academic-registration-service/src/graduation-certificates/graduate-file.entity.ts:31 (GraduateFile.mimeType)</t>
        </is>
      </c>
      <c r="Q206" s="18" t="inlineStr">
        <is>
          <t>Regla estructural</t>
        </is>
      </c>
      <c r="R206" s="18" t="inlineStr">
        <is>
          <t>Tipo MIME del archivo.</t>
        </is>
      </c>
      <c r="S206" s="18" t="inlineStr">
        <is>
          <t>Media</t>
        </is>
      </c>
      <c r="T206" s="18" t="inlineStr">
        <is>
          <t>Convención de nombre de la columna.</t>
        </is>
      </c>
      <c r="U206" s="18" t="inlineStr"/>
      <c r="V206" s="19" t="inlineStr">
        <is>
          <t>Pendiente</t>
        </is>
      </c>
      <c r="W206" s="19" t="inlineStr"/>
      <c r="X206" s="19" t="inlineStr"/>
      <c r="Y206" s="20" t="n"/>
      <c r="Z206" s="19" t="inlineStr"/>
      <c r="AA206" s="18">
        <f>IF(OR(V206="Aprobada"),R206,IF(AND(OR(V206="Aprobada con ajuste",V206="Rechazada"),W206&lt;&gt;""),W206,""))</f>
        <v/>
      </c>
    </row>
    <row r="207">
      <c r="A207" s="18" t="inlineStr">
        <is>
          <t>C0206</t>
        </is>
      </c>
      <c r="B207" s="18" t="inlineStr">
        <is>
          <t>Registro académico</t>
        </is>
      </c>
      <c r="C207" s="18" t="inlineStr">
        <is>
          <t>academic_registration</t>
        </is>
      </c>
      <c r="D207" s="18" t="inlineStr">
        <is>
          <t>graduate_files</t>
        </is>
      </c>
      <c r="E207" s="18" t="n">
        <v>41</v>
      </c>
      <c r="F207" s="18" t="inlineStr">
        <is>
          <t>size_bytes</t>
        </is>
      </c>
      <c r="G207" s="18" t="inlineStr">
        <is>
          <t>integer</t>
        </is>
      </c>
      <c r="H207" s="18" t="inlineStr">
        <is>
          <t>No</t>
        </is>
      </c>
      <c r="I207" s="18" t="inlineStr"/>
      <c r="J207" s="18" t="inlineStr"/>
      <c r="K207" s="18" t="inlineStr"/>
      <c r="L207" s="18" t="inlineStr">
        <is>
          <t>No</t>
        </is>
      </c>
      <c r="M207" s="18" t="inlineStr">
        <is>
          <t>No</t>
        </is>
      </c>
      <c r="N207" s="18" t="inlineStr"/>
      <c r="O207" s="18" t="inlineStr"/>
      <c r="P207" s="18" t="inlineStr">
        <is>
          <t>Mapeada en academic-registration-service/src/graduation-certificates/graduate-file.entity.ts:34 (GraduateFile.sizeBytes)</t>
        </is>
      </c>
      <c r="Q207" s="18" t="inlineStr">
        <is>
          <t>Regla estructural</t>
        </is>
      </c>
      <c r="R207" s="18" t="inlineStr">
        <is>
          <t>Tamaño del archivo en bytes.</t>
        </is>
      </c>
      <c r="S207" s="18" t="inlineStr">
        <is>
          <t>Media</t>
        </is>
      </c>
      <c r="T207" s="18" t="inlineStr">
        <is>
          <t>Convención de nombre de la columna.</t>
        </is>
      </c>
      <c r="U207" s="18" t="inlineStr"/>
      <c r="V207" s="19" t="inlineStr">
        <is>
          <t>Pendiente</t>
        </is>
      </c>
      <c r="W207" s="19" t="inlineStr"/>
      <c r="X207" s="19" t="inlineStr"/>
      <c r="Y207" s="20" t="n"/>
      <c r="Z207" s="19" t="inlineStr"/>
      <c r="AA207" s="18">
        <f>IF(OR(V207="Aprobada"),R207,IF(AND(OR(V207="Aprobada con ajuste",V207="Rechazada"),W207&lt;&gt;""),W207,""))</f>
        <v/>
      </c>
    </row>
    <row r="208">
      <c r="A208" s="18" t="inlineStr">
        <is>
          <t>C0207</t>
        </is>
      </c>
      <c r="B208" s="18" t="inlineStr">
        <is>
          <t>Registro académico</t>
        </is>
      </c>
      <c r="C208" s="18" t="inlineStr">
        <is>
          <t>academic_registration</t>
        </is>
      </c>
      <c r="D208" s="18" t="inlineStr">
        <is>
          <t>graduate_files</t>
        </is>
      </c>
      <c r="E208" s="18" t="n">
        <v>41</v>
      </c>
      <c r="F208" s="18" t="inlineStr">
        <is>
          <t>uploaded_by</t>
        </is>
      </c>
      <c r="G208" s="18" t="inlineStr">
        <is>
          <t>character varying(255)</t>
        </is>
      </c>
      <c r="H208" s="18" t="inlineStr">
        <is>
          <t>Sí</t>
        </is>
      </c>
      <c r="I208" s="18" t="inlineStr"/>
      <c r="J208" s="18" t="inlineStr"/>
      <c r="K208" s="18" t="inlineStr"/>
      <c r="L208" s="18" t="inlineStr">
        <is>
          <t>No</t>
        </is>
      </c>
      <c r="M208" s="18" t="inlineStr">
        <is>
          <t>No</t>
        </is>
      </c>
      <c r="N208" s="18" t="inlineStr"/>
      <c r="O208" s="18" t="inlineStr"/>
      <c r="P208" s="18" t="inlineStr">
        <is>
          <t>Mapeada en academic-registration-service/src/graduation-certificates/graduate-file.entity.ts:37 (GraduateFile.uploadedBy)</t>
        </is>
      </c>
      <c r="Q208" s="18" t="inlineStr">
        <is>
          <t>Propuesta semántica</t>
        </is>
      </c>
      <c r="R208" s="18" t="inlineStr">
        <is>
          <t>Identificador o nombre del usuario que cargó el archivo.</t>
        </is>
      </c>
      <c r="S208" s="18" t="inlineStr">
        <is>
          <t>Media</t>
        </is>
      </c>
      <c r="T208" s="18" t="inlineStr">
        <is>
          <t>nombre + tipo + columnas vecinas</t>
        </is>
      </c>
      <c r="U208" s="18" t="inlineStr">
        <is>
          <t>¿uploaded_by guarda el id del usuario, su correo o su nombre?</t>
        </is>
      </c>
      <c r="V208" s="19" t="inlineStr">
        <is>
          <t>Pendiente</t>
        </is>
      </c>
      <c r="W208" s="19" t="inlineStr"/>
      <c r="X208" s="19" t="inlineStr"/>
      <c r="Y208" s="20" t="n"/>
      <c r="Z208" s="19" t="inlineStr"/>
      <c r="AA208" s="18">
        <f>IF(OR(V208="Aprobada"),R208,IF(AND(OR(V208="Aprobada con ajuste",V208="Rechazada"),W208&lt;&gt;""),W208,""))</f>
        <v/>
      </c>
    </row>
    <row r="209">
      <c r="A209" s="18" t="inlineStr">
        <is>
          <t>C0208</t>
        </is>
      </c>
      <c r="B209" s="18" t="inlineStr">
        <is>
          <t>Registro académico</t>
        </is>
      </c>
      <c r="C209" s="18" t="inlineStr">
        <is>
          <t>academic_registration</t>
        </is>
      </c>
      <c r="D209" s="18" t="inlineStr">
        <is>
          <t>graduate_files</t>
        </is>
      </c>
      <c r="E209" s="18" t="n">
        <v>41</v>
      </c>
      <c r="F209" s="18" t="inlineStr">
        <is>
          <t>uploaded_at</t>
        </is>
      </c>
      <c r="G209" s="18" t="inlineStr">
        <is>
          <t>timestamp without time zone</t>
        </is>
      </c>
      <c r="H209" s="18" t="inlineStr">
        <is>
          <t>Sí</t>
        </is>
      </c>
      <c r="I209" s="18" t="inlineStr"/>
      <c r="J209" s="18" t="inlineStr"/>
      <c r="K209" s="18" t="inlineStr"/>
      <c r="L209" s="18" t="inlineStr">
        <is>
          <t>No</t>
        </is>
      </c>
      <c r="M209" s="18" t="inlineStr">
        <is>
          <t>No</t>
        </is>
      </c>
      <c r="N209" s="18" t="inlineStr"/>
      <c r="O209" s="18" t="inlineStr"/>
      <c r="P209" s="18" t="inlineStr">
        <is>
          <t>Mapeada en academic-registration-service/src/graduation-certificates/graduate-file.entity.ts:40 (GraduateFile.uploadedAt)</t>
        </is>
      </c>
      <c r="Q209" s="18" t="inlineStr">
        <is>
          <t>Regla estructural</t>
        </is>
      </c>
      <c r="R209" s="18" t="inlineStr">
        <is>
          <t>Fecha y hora de la carga.</t>
        </is>
      </c>
      <c r="S209" s="18" t="inlineStr">
        <is>
          <t>Media</t>
        </is>
      </c>
      <c r="T209" s="18" t="inlineStr">
        <is>
          <t>Convención de nombre de la columna.</t>
        </is>
      </c>
      <c r="U209" s="18" t="inlineStr"/>
      <c r="V209" s="19" t="inlineStr">
        <is>
          <t>Pendiente</t>
        </is>
      </c>
      <c r="W209" s="19" t="inlineStr"/>
      <c r="X209" s="19" t="inlineStr"/>
      <c r="Y209" s="20" t="n"/>
      <c r="Z209" s="19" t="inlineStr"/>
      <c r="AA209" s="18">
        <f>IF(OR(V209="Aprobada"),R209,IF(AND(OR(V209="Aprobada con ajuste",V209="Rechazada"),W209&lt;&gt;""),W209,""))</f>
        <v/>
      </c>
    </row>
    <row r="210">
      <c r="A210" s="18" t="inlineStr">
        <is>
          <t>C0209</t>
        </is>
      </c>
      <c r="B210" s="18" t="inlineStr">
        <is>
          <t>Registro académico</t>
        </is>
      </c>
      <c r="C210" s="18" t="inlineStr">
        <is>
          <t>academic_registration</t>
        </is>
      </c>
      <c r="D210" s="18" t="inlineStr">
        <is>
          <t>graduate_program_catalog</t>
        </is>
      </c>
      <c r="E210" s="18" t="n">
        <v>1</v>
      </c>
      <c r="F210" s="18" t="inlineStr">
        <is>
          <t>name</t>
        </is>
      </c>
      <c r="G210" s="18" t="inlineStr">
        <is>
          <t>character varying(255)</t>
        </is>
      </c>
      <c r="H210" s="18" t="inlineStr">
        <is>
          <t>No</t>
        </is>
      </c>
      <c r="I210" s="18" t="inlineStr">
        <is>
          <t>CHECK</t>
        </is>
      </c>
      <c r="J210" s="18" t="inlineStr"/>
      <c r="K210" s="18" t="inlineStr"/>
      <c r="L210" s="18" t="inlineStr">
        <is>
          <t>Sí</t>
        </is>
      </c>
      <c r="M210" s="18" t="inlineStr">
        <is>
          <t>No</t>
        </is>
      </c>
      <c r="N210" s="18" t="inlineStr"/>
      <c r="O210" s="18" t="inlineStr"/>
      <c r="P210" s="18" t="inlineStr">
        <is>
          <t>Mapeada en academic-registration-service/src/graduation-certificates/graduate-program.entity.ts:13 (GraduateProgram.name)</t>
        </is>
      </c>
      <c r="Q210" s="18" t="inlineStr">
        <is>
          <t>Regla estructural</t>
        </is>
      </c>
      <c r="R210" s="18" t="inlineStr">
        <is>
          <t>Nombre del registro de graduate_program_catalog.</t>
        </is>
      </c>
      <c r="S210" s="18" t="inlineStr">
        <is>
          <t>Media</t>
        </is>
      </c>
      <c r="T210" s="18" t="inlineStr">
        <is>
          <t>Convención de nombre de la columna.</t>
        </is>
      </c>
      <c r="U210" s="18" t="inlineStr"/>
      <c r="V210" s="19" t="inlineStr">
        <is>
          <t>Pendiente</t>
        </is>
      </c>
      <c r="W210" s="19" t="inlineStr"/>
      <c r="X210" s="19" t="inlineStr"/>
      <c r="Y210" s="20" t="n"/>
      <c r="Z210" s="19" t="inlineStr"/>
      <c r="AA210" s="18">
        <f>IF(OR(V210="Aprobada"),R210,IF(AND(OR(V210="Aprobada con ajuste",V210="Rechazada"),W210&lt;&gt;""),W210,""))</f>
        <v/>
      </c>
    </row>
    <row r="211">
      <c r="A211" s="18" t="inlineStr">
        <is>
          <t>C0210</t>
        </is>
      </c>
      <c r="B211" s="18" t="inlineStr">
        <is>
          <t>Registro académico</t>
        </is>
      </c>
      <c r="C211" s="18" t="inlineStr">
        <is>
          <t>academic_registration</t>
        </is>
      </c>
      <c r="D211" s="18" t="inlineStr">
        <is>
          <t>graduate_program_catalog</t>
        </is>
      </c>
      <c r="E211" s="18" t="n">
        <v>1</v>
      </c>
      <c r="F211" s="18" t="inlineStr">
        <is>
          <t>normalized_name</t>
        </is>
      </c>
      <c r="G211" s="18" t="inlineStr">
        <is>
          <t>character varying(255)</t>
        </is>
      </c>
      <c r="H211" s="18" t="inlineStr">
        <is>
          <t>No</t>
        </is>
      </c>
      <c r="I211" s="18" t="inlineStr">
        <is>
          <t>Única, CHECK</t>
        </is>
      </c>
      <c r="J211" s="18" t="inlineStr"/>
      <c r="K211" s="18" t="inlineStr"/>
      <c r="L211" s="18" t="inlineStr">
        <is>
          <t>Sí</t>
        </is>
      </c>
      <c r="M211" s="18" t="inlineStr">
        <is>
          <t>No</t>
        </is>
      </c>
      <c r="N211" s="18" t="inlineStr"/>
      <c r="O211" s="18" t="inlineStr">
        <is>
          <t>graduate_program_catalog_normalized_name_key</t>
        </is>
      </c>
      <c r="P211" s="18" t="inlineStr">
        <is>
          <t>Mapeada en academic-registration-service/src/graduation-certificates/graduate-program.entity.ts:16 (GraduateProgram.normalizedName)</t>
        </is>
      </c>
      <c r="Q211" s="18" t="inlineStr">
        <is>
          <t>Propuesta semántica</t>
        </is>
      </c>
      <c r="R211" s="18" t="inlineStr">
        <is>
          <t>Nombre del programa normalizado (sin variaciones de mayúsculas, tildes o espacios) para evitar duplicados en el catálogo; valor único.</t>
        </is>
      </c>
      <c r="S211" s="18" t="inlineStr">
        <is>
          <t>Media</t>
        </is>
      </c>
      <c r="T211" s="18" t="inlineStr">
        <is>
          <t>nombre + tipo + columnas vecinas + restricción única</t>
        </is>
      </c>
      <c r="U211" s="18" t="inlineStr">
        <is>
          <t>¿Qué reglas de normalización se aplican al nombre (minúsculas, sin tildes, sin espacios repetidos)?</t>
        </is>
      </c>
      <c r="V211" s="19" t="inlineStr">
        <is>
          <t>Pendiente</t>
        </is>
      </c>
      <c r="W211" s="19" t="inlineStr"/>
      <c r="X211" s="19" t="inlineStr"/>
      <c r="Y211" s="20" t="n"/>
      <c r="Z211" s="19" t="inlineStr"/>
      <c r="AA211" s="18">
        <f>IF(OR(V211="Aprobada"),R211,IF(AND(OR(V211="Aprobada con ajuste",V211="Rechazada"),W211&lt;&gt;""),W211,""))</f>
        <v/>
      </c>
    </row>
    <row r="212">
      <c r="A212" s="18" t="inlineStr">
        <is>
          <t>C0211</t>
        </is>
      </c>
      <c r="B212" s="18" t="inlineStr">
        <is>
          <t>Registro académico</t>
        </is>
      </c>
      <c r="C212" s="18" t="inlineStr">
        <is>
          <t>academic_registration</t>
        </is>
      </c>
      <c r="D212" s="18" t="inlineStr">
        <is>
          <t>graduates</t>
        </is>
      </c>
      <c r="E212" s="18" t="n">
        <v>10429</v>
      </c>
      <c r="F212" s="18" t="inlineStr">
        <is>
          <t>person_id</t>
        </is>
      </c>
      <c r="G212" s="18" t="inlineStr">
        <is>
          <t>uuid</t>
        </is>
      </c>
      <c r="H212" s="18" t="inlineStr">
        <is>
          <t>No</t>
        </is>
      </c>
      <c r="I212" s="18" t="inlineStr"/>
      <c r="J212" s="18" t="inlineStr"/>
      <c r="K212" s="18" t="inlineStr"/>
      <c r="L212" s="18" t="inlineStr">
        <is>
          <t>No</t>
        </is>
      </c>
      <c r="M212" s="18" t="inlineStr">
        <is>
          <t>No</t>
        </is>
      </c>
      <c r="N212" s="18" t="inlineStr"/>
      <c r="O212" s="18" t="inlineStr">
        <is>
          <t>idx_graduates_person_id</t>
        </is>
      </c>
      <c r="P212" s="18" t="inlineStr">
        <is>
          <t>academic-registration-service/src/graduation-certificates/graduate.entity.ts:19: Información personal | db/migrations/old/042_create_graduation_tables.sql:20: Información personal FK a auth_service.persons</t>
        </is>
      </c>
      <c r="Q212" s="18" t="inlineStr">
        <is>
          <t>Código fuente</t>
        </is>
      </c>
      <c r="R212" s="18" t="inlineStr">
        <is>
          <t>Identificador de la persona graduada; según el código, referencia a la tabla de personas del servicio de autenticación.</t>
        </is>
      </c>
      <c r="S212" s="18" t="inlineStr">
        <is>
          <t>Media</t>
        </is>
      </c>
      <c r="T212" s="18" t="inlineStr">
        <is>
          <t>código: db/migrations/old/042_create_graduation_tables.sql:20</t>
        </is>
      </c>
      <c r="U212" s="18" t="inlineStr">
        <is>
          <t>¿person_id (uuid) referencia a auth.personas? ¿A qué columna, si id_person no es uuid?</t>
        </is>
      </c>
      <c r="V212" s="19" t="inlineStr">
        <is>
          <t>Pendiente</t>
        </is>
      </c>
      <c r="W212" s="19" t="inlineStr"/>
      <c r="X212" s="19" t="inlineStr"/>
      <c r="Y212" s="20" t="n"/>
      <c r="Z212" s="19" t="inlineStr"/>
      <c r="AA212" s="18">
        <f>IF(OR(V212="Aprobada"),R212,IF(AND(OR(V212="Aprobada con ajuste",V212="Rechazada"),W212&lt;&gt;""),W212,""))</f>
        <v/>
      </c>
    </row>
    <row r="213">
      <c r="A213" s="18" t="inlineStr">
        <is>
          <t>C0212</t>
        </is>
      </c>
      <c r="B213" s="18" t="inlineStr">
        <is>
          <t>Registro académico</t>
        </is>
      </c>
      <c r="C213" s="18" t="inlineStr">
        <is>
          <t>academic_registration</t>
        </is>
      </c>
      <c r="D213" s="18" t="inlineStr">
        <is>
          <t>graduates</t>
        </is>
      </c>
      <c r="E213" s="18" t="n">
        <v>10429</v>
      </c>
      <c r="F213" s="18" t="inlineStr">
        <is>
          <t>full_name</t>
        </is>
      </c>
      <c r="G213" s="18" t="inlineStr">
        <is>
          <t>character varying(255)</t>
        </is>
      </c>
      <c r="H213" s="18" t="inlineStr">
        <is>
          <t>No</t>
        </is>
      </c>
      <c r="I213" s="18" t="inlineStr">
        <is>
          <t>CHECK</t>
        </is>
      </c>
      <c r="J213" s="18" t="inlineStr"/>
      <c r="K213" s="18" t="inlineStr"/>
      <c r="L213" s="18" t="inlineStr">
        <is>
          <t>No</t>
        </is>
      </c>
      <c r="M213" s="18" t="inlineStr">
        <is>
          <t>Sí</t>
        </is>
      </c>
      <c r="N213" s="18" t="inlineStr">
        <is>
          <t>Trigger trg_validate_graduate_management_update</t>
        </is>
      </c>
      <c r="O213" s="18" t="inlineStr"/>
      <c r="P213" s="18" t="inlineStr">
        <is>
          <t>Mapeada en academic-registration-service/src/graduation-certificates/graduate.entity.ts:22 (Graduate.fullName)</t>
        </is>
      </c>
      <c r="Q213" s="18" t="inlineStr">
        <is>
          <t>Propuesta semántica</t>
        </is>
      </c>
      <c r="R213" s="18" t="inlineStr">
        <is>
          <t>Nombre completo del graduado.</t>
        </is>
      </c>
      <c r="S213" s="18" t="inlineStr">
        <is>
          <t>Alta</t>
        </is>
      </c>
      <c r="T213" s="18" t="inlineStr">
        <is>
          <t>nombre + tipo + columnas vecinas</t>
        </is>
      </c>
      <c r="U213" s="18" t="inlineStr"/>
      <c r="V213" s="19" t="inlineStr">
        <is>
          <t>Pendiente</t>
        </is>
      </c>
      <c r="W213" s="19" t="inlineStr"/>
      <c r="X213" s="19" t="inlineStr"/>
      <c r="Y213" s="20" t="n"/>
      <c r="Z213" s="19" t="inlineStr"/>
      <c r="AA213" s="18">
        <f>IF(OR(V213="Aprobada"),R213,IF(AND(OR(V213="Aprobada con ajuste",V213="Rechazada"),W213&lt;&gt;""),W213,""))</f>
        <v/>
      </c>
    </row>
    <row r="214">
      <c r="A214" s="18" t="inlineStr">
        <is>
          <t>C0213</t>
        </is>
      </c>
      <c r="B214" s="18" t="inlineStr">
        <is>
          <t>Registro académico</t>
        </is>
      </c>
      <c r="C214" s="18" t="inlineStr">
        <is>
          <t>academic_registration</t>
        </is>
      </c>
      <c r="D214" s="18" t="inlineStr">
        <is>
          <t>graduates</t>
        </is>
      </c>
      <c r="E214" s="18" t="n">
        <v>10429</v>
      </c>
      <c r="F214" s="18" t="inlineStr">
        <is>
          <t>id_number</t>
        </is>
      </c>
      <c r="G214" s="18" t="inlineStr">
        <is>
          <t>character varying(50)</t>
        </is>
      </c>
      <c r="H214" s="18" t="inlineStr">
        <is>
          <t>No</t>
        </is>
      </c>
      <c r="I214" s="18" t="inlineStr">
        <is>
          <t>CHECK</t>
        </is>
      </c>
      <c r="J214" s="18" t="inlineStr"/>
      <c r="K214" s="18" t="inlineStr"/>
      <c r="L214" s="18" t="inlineStr">
        <is>
          <t>No</t>
        </is>
      </c>
      <c r="M214" s="18" t="inlineStr">
        <is>
          <t>Sí</t>
        </is>
      </c>
      <c r="N214" s="18" t="inlineStr">
        <is>
          <t>Trigger trg_validate_graduate_management_update</t>
        </is>
      </c>
      <c r="O214" s="18" t="inlineStr">
        <is>
          <t>graduates_id_number_program_name_key, idx_graduates_id_number</t>
        </is>
      </c>
      <c r="P214" s="18" t="inlineStr">
        <is>
          <t>Mapeada en academic-registration-service/src/graduation-certificates/graduate.entity.ts:31 (Graduate.idNumber)</t>
        </is>
      </c>
      <c r="Q214" s="18" t="inlineStr">
        <is>
          <t>Propuesta semántica</t>
        </is>
      </c>
      <c r="R214" s="18" t="inlineStr">
        <is>
          <t>Número del documento de identidad del graduado; junto con program_name identifica de forma única el registro.</t>
        </is>
      </c>
      <c r="S214" s="18" t="inlineStr">
        <is>
          <t>Alta</t>
        </is>
      </c>
      <c r="T214" s="18" t="inlineStr">
        <is>
          <t>nombre + tipo + columnas vecinas + índice único (id_number, program_name)</t>
        </is>
      </c>
      <c r="U214" s="18" t="inlineStr"/>
      <c r="V214" s="19" t="inlineStr">
        <is>
          <t>Pendiente</t>
        </is>
      </c>
      <c r="W214" s="19" t="inlineStr"/>
      <c r="X214" s="19" t="inlineStr"/>
      <c r="Y214" s="20" t="n"/>
      <c r="Z214" s="19" t="inlineStr"/>
      <c r="AA214" s="18">
        <f>IF(OR(V214="Aprobada"),R214,IF(AND(OR(V214="Aprobada con ajuste",V214="Rechazada"),W214&lt;&gt;""),W214,""))</f>
        <v/>
      </c>
    </row>
    <row r="215">
      <c r="A215" s="18" t="inlineStr">
        <is>
          <t>C0214</t>
        </is>
      </c>
      <c r="B215" s="18" t="inlineStr">
        <is>
          <t>Registro académico</t>
        </is>
      </c>
      <c r="C215" s="18" t="inlineStr">
        <is>
          <t>academic_registration</t>
        </is>
      </c>
      <c r="D215" s="18" t="inlineStr">
        <is>
          <t>graduates</t>
        </is>
      </c>
      <c r="E215" s="18" t="n">
        <v>10429</v>
      </c>
      <c r="F215" s="18" t="inlineStr">
        <is>
          <t>email</t>
        </is>
      </c>
      <c r="G215" s="18" t="inlineStr">
        <is>
          <t>character varying(255)</t>
        </is>
      </c>
      <c r="H215" s="18" t="inlineStr">
        <is>
          <t>Sí</t>
        </is>
      </c>
      <c r="I215" s="18" t="inlineStr">
        <is>
          <t>CHECK</t>
        </is>
      </c>
      <c r="J215" s="18" t="inlineStr"/>
      <c r="K215" s="18" t="inlineStr"/>
      <c r="L215" s="18" t="inlineStr">
        <is>
          <t>No</t>
        </is>
      </c>
      <c r="M215" s="18" t="inlineStr">
        <is>
          <t>Sí</t>
        </is>
      </c>
      <c r="N215" s="18" t="inlineStr">
        <is>
          <t>Trigger trg_validate_graduate_management_update</t>
        </is>
      </c>
      <c r="O215" s="18" t="inlineStr"/>
      <c r="P215" s="18" t="inlineStr">
        <is>
          <t>Mapeada en academic-registration-service/src/graduation-certificates/graduate.entity.ts:37 (Graduate.email)</t>
        </is>
      </c>
      <c r="Q215" s="18" t="inlineStr">
        <is>
          <t>Regla estructural</t>
        </is>
      </c>
      <c r="R215" s="18" t="inlineStr">
        <is>
          <t>Correo electrónico.</t>
        </is>
      </c>
      <c r="S215" s="18" t="inlineStr">
        <is>
          <t>Media</t>
        </is>
      </c>
      <c r="T215" s="18" t="inlineStr">
        <is>
          <t>Convención de nombre de la columna.</t>
        </is>
      </c>
      <c r="U215" s="18" t="inlineStr"/>
      <c r="V215" s="19" t="inlineStr">
        <is>
          <t>Pendiente</t>
        </is>
      </c>
      <c r="W215" s="19" t="inlineStr"/>
      <c r="X215" s="19" t="inlineStr"/>
      <c r="Y215" s="20" t="n"/>
      <c r="Z215" s="19" t="inlineStr"/>
      <c r="AA215" s="18">
        <f>IF(OR(V215="Aprobada"),R215,IF(AND(OR(V215="Aprobada con ajuste",V215="Rechazada"),W215&lt;&gt;""),W215,""))</f>
        <v/>
      </c>
    </row>
    <row r="216">
      <c r="A216" s="18" t="inlineStr">
        <is>
          <t>C0215</t>
        </is>
      </c>
      <c r="B216" s="18" t="inlineStr">
        <is>
          <t>Registro académico</t>
        </is>
      </c>
      <c r="C216" s="18" t="inlineStr">
        <is>
          <t>academic_registration</t>
        </is>
      </c>
      <c r="D216" s="18" t="inlineStr">
        <is>
          <t>graduates</t>
        </is>
      </c>
      <c r="E216" s="18" t="n">
        <v>10429</v>
      </c>
      <c r="F216" s="18" t="inlineStr">
        <is>
          <t>phone</t>
        </is>
      </c>
      <c r="G216" s="18" t="inlineStr">
        <is>
          <t>character varying(50)</t>
        </is>
      </c>
      <c r="H216" s="18" t="inlineStr">
        <is>
          <t>Sí</t>
        </is>
      </c>
      <c r="I216" s="18" t="inlineStr"/>
      <c r="J216" s="18" t="inlineStr"/>
      <c r="K216" s="18" t="inlineStr"/>
      <c r="L216" s="18" t="inlineStr">
        <is>
          <t>No</t>
        </is>
      </c>
      <c r="M216" s="18" t="inlineStr">
        <is>
          <t>No</t>
        </is>
      </c>
      <c r="N216" s="18" t="inlineStr"/>
      <c r="O216" s="18" t="inlineStr"/>
      <c r="P216" s="18" t="inlineStr">
        <is>
          <t>Mapeada en academic-registration-service/src/graduation-certificates/graduate.entity.ts:40 (Graduate.phone)</t>
        </is>
      </c>
      <c r="Q216" s="18" t="inlineStr">
        <is>
          <t>Propuesta semántica</t>
        </is>
      </c>
      <c r="R216" s="18" t="inlineStr">
        <is>
          <t>Número de teléfono de contacto del graduado.</t>
        </is>
      </c>
      <c r="S216" s="18" t="inlineStr">
        <is>
          <t>Alta</t>
        </is>
      </c>
      <c r="T216" s="18" t="inlineStr">
        <is>
          <t>nombre + tipo + columnas vecinas</t>
        </is>
      </c>
      <c r="U216" s="18" t="inlineStr"/>
      <c r="V216" s="19" t="inlineStr">
        <is>
          <t>Pendiente</t>
        </is>
      </c>
      <c r="W216" s="19" t="inlineStr"/>
      <c r="X216" s="19" t="inlineStr"/>
      <c r="Y216" s="20" t="n"/>
      <c r="Z216" s="19" t="inlineStr"/>
      <c r="AA216" s="18">
        <f>IF(OR(V216="Aprobada"),R216,IF(AND(OR(V216="Aprobada con ajuste",V216="Rechazada"),W216&lt;&gt;""),W216,""))</f>
        <v/>
      </c>
    </row>
    <row r="217">
      <c r="A217" s="18" t="inlineStr">
        <is>
          <t>C0216</t>
        </is>
      </c>
      <c r="B217" s="18" t="inlineStr">
        <is>
          <t>Registro académico</t>
        </is>
      </c>
      <c r="C217" s="18" t="inlineStr">
        <is>
          <t>academic_registration</t>
        </is>
      </c>
      <c r="D217" s="18" t="inlineStr">
        <is>
          <t>graduates</t>
        </is>
      </c>
      <c r="E217" s="18" t="n">
        <v>10429</v>
      </c>
      <c r="F217" s="18" t="inlineStr">
        <is>
          <t>program_id</t>
        </is>
      </c>
      <c r="G217" s="18" t="inlineStr">
        <is>
          <t>uuid</t>
        </is>
      </c>
      <c r="H217" s="18" t="inlineStr">
        <is>
          <t>No</t>
        </is>
      </c>
      <c r="I217" s="18" t="inlineStr"/>
      <c r="J217" s="18" t="inlineStr"/>
      <c r="K217" s="18" t="inlineStr"/>
      <c r="L217" s="18" t="inlineStr">
        <is>
          <t>No</t>
        </is>
      </c>
      <c r="M217" s="18" t="inlineStr">
        <is>
          <t>No</t>
        </is>
      </c>
      <c r="N217" s="18" t="inlineStr"/>
      <c r="O217" s="18" t="inlineStr">
        <is>
          <t>idx_graduates_program_id</t>
        </is>
      </c>
      <c r="P217" s="18" t="inlineStr">
        <is>
          <t>academic-registration-service/src/graduation-certificates/graduate.entity.ts:44: Información académica | db/migrations/old/042_create_graduation_tables.sql:27: Información académica FK a auth_service.programas_academicos</t>
        </is>
      </c>
      <c r="Q217" s="18" t="inlineStr">
        <is>
          <t>Código fuente</t>
        </is>
      </c>
      <c r="R217" s="18" t="inlineStr">
        <is>
          <t>Identificador del programa académico cursado por el graduado; según el código, referencia a auth.programas_academicos.</t>
        </is>
      </c>
      <c r="S217" s="18" t="inlineStr">
        <is>
          <t>Alta</t>
        </is>
      </c>
      <c r="T217" s="18" t="inlineStr">
        <is>
          <t>código: db/migrations/old/042_create_graduation_tables.sql:27</t>
        </is>
      </c>
      <c r="U217" s="18" t="inlineStr"/>
      <c r="V217" s="19" t="inlineStr">
        <is>
          <t>Pendiente</t>
        </is>
      </c>
      <c r="W217" s="19" t="inlineStr"/>
      <c r="X217" s="19" t="inlineStr"/>
      <c r="Y217" s="20" t="n"/>
      <c r="Z217" s="19" t="inlineStr"/>
      <c r="AA217" s="18">
        <f>IF(OR(V217="Aprobada"),R217,IF(AND(OR(V217="Aprobada con ajuste",V217="Rechazada"),W217&lt;&gt;""),W217,""))</f>
        <v/>
      </c>
    </row>
    <row r="218">
      <c r="A218" s="18" t="inlineStr">
        <is>
          <t>C0217</t>
        </is>
      </c>
      <c r="B218" s="18" t="inlineStr">
        <is>
          <t>Registro académico</t>
        </is>
      </c>
      <c r="C218" s="18" t="inlineStr">
        <is>
          <t>academic_registration</t>
        </is>
      </c>
      <c r="D218" s="18" t="inlineStr">
        <is>
          <t>graduates</t>
        </is>
      </c>
      <c r="E218" s="18" t="n">
        <v>10429</v>
      </c>
      <c r="F218" s="18" t="inlineStr">
        <is>
          <t>program_name</t>
        </is>
      </c>
      <c r="G218" s="18" t="inlineStr">
        <is>
          <t>character varying(255)</t>
        </is>
      </c>
      <c r="H218" s="18" t="inlineStr">
        <is>
          <t>No</t>
        </is>
      </c>
      <c r="I218" s="18" t="inlineStr"/>
      <c r="J218" s="18" t="inlineStr"/>
      <c r="K218" s="18" t="inlineStr"/>
      <c r="L218" s="18" t="inlineStr">
        <is>
          <t>No</t>
        </is>
      </c>
      <c r="M218" s="18" t="inlineStr">
        <is>
          <t>No</t>
        </is>
      </c>
      <c r="N218" s="18" t="inlineStr"/>
      <c r="O218" s="18" t="inlineStr">
        <is>
          <t>graduates_id_number_program_name_key</t>
        </is>
      </c>
      <c r="P218" s="18" t="inlineStr">
        <is>
          <t>Mapeada en academic-registration-service/src/graduation-certificates/graduate.entity.ts:47 (Graduate.programName)</t>
        </is>
      </c>
      <c r="Q218" s="18" t="inlineStr">
        <is>
          <t>Propuesta semántica</t>
        </is>
      </c>
      <c r="R218" s="18" t="inlineStr">
        <is>
          <t>Nombre del programa académico del que se graduó la persona.</t>
        </is>
      </c>
      <c r="S218" s="18" t="inlineStr">
        <is>
          <t>Alta</t>
        </is>
      </c>
      <c r="T218" s="18" t="inlineStr">
        <is>
          <t>nombre + tipo + columnas vecinas + índice único (id_number, program_name)</t>
        </is>
      </c>
      <c r="U218" s="18" t="inlineStr"/>
      <c r="V218" s="19" t="inlineStr">
        <is>
          <t>Pendiente</t>
        </is>
      </c>
      <c r="W218" s="19" t="inlineStr"/>
      <c r="X218" s="19" t="inlineStr"/>
      <c r="Y218" s="20" t="n"/>
      <c r="Z218" s="19" t="inlineStr"/>
      <c r="AA218" s="18">
        <f>IF(OR(V218="Aprobada"),R218,IF(AND(OR(V218="Aprobada con ajuste",V218="Rechazada"),W218&lt;&gt;""),W218,""))</f>
        <v/>
      </c>
    </row>
    <row r="219">
      <c r="A219" s="18" t="inlineStr">
        <is>
          <t>C0218</t>
        </is>
      </c>
      <c r="B219" s="18" t="inlineStr">
        <is>
          <t>Registro académico</t>
        </is>
      </c>
      <c r="C219" s="18" t="inlineStr">
        <is>
          <t>academic_registration</t>
        </is>
      </c>
      <c r="D219" s="18" t="inlineStr">
        <is>
          <t>graduates</t>
        </is>
      </c>
      <c r="E219" s="18" t="n">
        <v>10429</v>
      </c>
      <c r="F219" s="18" t="inlineStr">
        <is>
          <t>program_type</t>
        </is>
      </c>
      <c r="G219" s="18" t="inlineStr">
        <is>
          <t>character varying(50)</t>
        </is>
      </c>
      <c r="H219" s="18" t="inlineStr">
        <is>
          <t>No</t>
        </is>
      </c>
      <c r="I219" s="18" t="inlineStr"/>
      <c r="J219" s="18" t="inlineStr"/>
      <c r="K219" s="18" t="inlineStr"/>
      <c r="L219" s="18" t="inlineStr">
        <is>
          <t>No</t>
        </is>
      </c>
      <c r="M219" s="18" t="inlineStr">
        <is>
          <t>No</t>
        </is>
      </c>
      <c r="N219" s="18" t="inlineStr"/>
      <c r="O219" s="18" t="inlineStr"/>
      <c r="P219" s="18" t="inlineStr">
        <is>
          <t>academic-registration-service/src/graduation-certificates/graduate.entity.ts:50: 'Pregrado', 'Especialización', 'Maestría' | db/migrations/old/042_create_graduation_tables.sql:29: 'Pregrado', 'Especialización', 'Maestría'</t>
        </is>
      </c>
      <c r="Q219" s="18" t="inlineStr">
        <is>
          <t>Código fuente</t>
        </is>
      </c>
      <c r="R219" s="18" t="inlineStr">
        <is>
          <t>Tipo de programa académico del que se graduó la persona, por ejemplo Pregrado, Especialización o Maestría.</t>
        </is>
      </c>
      <c r="S219" s="18" t="inlineStr">
        <is>
          <t>Alta</t>
        </is>
      </c>
      <c r="T219" s="18" t="inlineStr">
        <is>
          <t>código: academic-registration-service/src/graduation-certificates/graduate.entity.ts:50</t>
        </is>
      </c>
      <c r="U219" s="18" t="inlineStr"/>
      <c r="V219" s="19" t="inlineStr">
        <is>
          <t>Pendiente</t>
        </is>
      </c>
      <c r="W219" s="19" t="inlineStr"/>
      <c r="X219" s="19" t="inlineStr"/>
      <c r="Y219" s="20" t="n"/>
      <c r="Z219" s="19" t="inlineStr"/>
      <c r="AA219" s="18">
        <f>IF(OR(V219="Aprobada"),R219,IF(AND(OR(V219="Aprobada con ajuste",V219="Rechazada"),W219&lt;&gt;""),W219,""))</f>
        <v/>
      </c>
    </row>
    <row r="220">
      <c r="A220" s="18" t="inlineStr">
        <is>
          <t>C0219</t>
        </is>
      </c>
      <c r="B220" s="18" t="inlineStr">
        <is>
          <t>Registro académico</t>
        </is>
      </c>
      <c r="C220" s="18" t="inlineStr">
        <is>
          <t>academic_registration</t>
        </is>
      </c>
      <c r="D220" s="18" t="inlineStr">
        <is>
          <t>graduates</t>
        </is>
      </c>
      <c r="E220" s="18" t="n">
        <v>10429</v>
      </c>
      <c r="F220" s="18" t="inlineStr">
        <is>
          <t>enrollment_date</t>
        </is>
      </c>
      <c r="G220" s="18" t="inlineStr">
        <is>
          <t>date</t>
        </is>
      </c>
      <c r="H220" s="18" t="inlineStr">
        <is>
          <t>Sí</t>
        </is>
      </c>
      <c r="I220" s="18" t="inlineStr"/>
      <c r="J220" s="18" t="inlineStr"/>
      <c r="K220" s="18" t="inlineStr"/>
      <c r="L220" s="18" t="inlineStr">
        <is>
          <t>No</t>
        </is>
      </c>
      <c r="M220" s="18" t="inlineStr">
        <is>
          <t>No</t>
        </is>
      </c>
      <c r="N220" s="18" t="inlineStr"/>
      <c r="O220" s="18" t="inlineStr"/>
      <c r="P220" s="18" t="inlineStr">
        <is>
          <t>academic-registration-service/src/graduation-certificates/graduate.entity.ts:54: Fechas importantes | db/migrations/old/042_create_graduation_tables.sql:32: Fechas importantes</t>
        </is>
      </c>
      <c r="Q220" s="18" t="inlineStr">
        <is>
          <t>Código fuente</t>
        </is>
      </c>
      <c r="R220" s="18" t="inlineStr">
        <is>
          <t>Fecha de ingreso del graduado al programa académico.</t>
        </is>
      </c>
      <c r="S220" s="18" t="inlineStr">
        <is>
          <t>Media</t>
        </is>
      </c>
      <c r="T220" s="18" t="inlineStr">
        <is>
          <t>nombre + tipo + columnas vecinas (el comentario de graduate.entity.ts:54 es un encabezado de sección)</t>
        </is>
      </c>
      <c r="U220" s="18" t="inlineStr">
        <is>
          <t>¿enrollment_date es la fecha de inscripción, de admisión o de la primera matrícula en el programa?</t>
        </is>
      </c>
      <c r="V220" s="19" t="inlineStr">
        <is>
          <t>Pendiente</t>
        </is>
      </c>
      <c r="W220" s="19" t="inlineStr"/>
      <c r="X220" s="19" t="inlineStr"/>
      <c r="Y220" s="20" t="n"/>
      <c r="Z220" s="19" t="inlineStr"/>
      <c r="AA220" s="18">
        <f>IF(OR(V220="Aprobada"),R220,IF(AND(OR(V220="Aprobada con ajuste",V220="Rechazada"),W220&lt;&gt;""),W220,""))</f>
        <v/>
      </c>
    </row>
    <row r="221">
      <c r="A221" s="18" t="inlineStr">
        <is>
          <t>C0220</t>
        </is>
      </c>
      <c r="B221" s="18" t="inlineStr">
        <is>
          <t>Registro académico</t>
        </is>
      </c>
      <c r="C221" s="18" t="inlineStr">
        <is>
          <t>academic_registration</t>
        </is>
      </c>
      <c r="D221" s="18" t="inlineStr">
        <is>
          <t>graduates</t>
        </is>
      </c>
      <c r="E221" s="18" t="n">
        <v>10429</v>
      </c>
      <c r="F221" s="18" t="inlineStr">
        <is>
          <t>graduation_date</t>
        </is>
      </c>
      <c r="G221" s="18" t="inlineStr">
        <is>
          <t>date</t>
        </is>
      </c>
      <c r="H221" s="18" t="inlineStr">
        <is>
          <t>No</t>
        </is>
      </c>
      <c r="I221" s="18" t="inlineStr"/>
      <c r="J221" s="18" t="inlineStr"/>
      <c r="K221" s="18" t="inlineStr"/>
      <c r="L221" s="18" t="inlineStr">
        <is>
          <t>No</t>
        </is>
      </c>
      <c r="M221" s="18" t="inlineStr">
        <is>
          <t>No</t>
        </is>
      </c>
      <c r="N221" s="18" t="inlineStr"/>
      <c r="O221" s="18" t="inlineStr">
        <is>
          <t>idx_graduates_graduation_date</t>
        </is>
      </c>
      <c r="P221" s="18" t="inlineStr">
        <is>
          <t>Mapeada en academic-registration-service/src/graduation-certificates/graduate.entity.ts:57 (Graduate.graduationDate)</t>
        </is>
      </c>
      <c r="Q221" s="18" t="inlineStr">
        <is>
          <t>Propuesta semántica</t>
        </is>
      </c>
      <c r="R221" s="18" t="inlineStr">
        <is>
          <t>Fecha de graduación del estudiante.</t>
        </is>
      </c>
      <c r="S221" s="18" t="inlineStr">
        <is>
          <t>Alta</t>
        </is>
      </c>
      <c r="T221" s="18" t="inlineStr">
        <is>
          <t>nombre + tipo + columnas vecinas</t>
        </is>
      </c>
      <c r="U221" s="18" t="inlineStr"/>
      <c r="V221" s="19" t="inlineStr">
        <is>
          <t>Pendiente</t>
        </is>
      </c>
      <c r="W221" s="19" t="inlineStr"/>
      <c r="X221" s="19" t="inlineStr"/>
      <c r="Y221" s="20" t="n"/>
      <c r="Z221" s="19" t="inlineStr"/>
      <c r="AA221" s="18">
        <f>IF(OR(V221="Aprobada"),R221,IF(AND(OR(V221="Aprobada con ajuste",V221="Rechazada"),W221&lt;&gt;""),W221,""))</f>
        <v/>
      </c>
    </row>
    <row r="222">
      <c r="A222" s="18" t="inlineStr">
        <is>
          <t>C0221</t>
        </is>
      </c>
      <c r="B222" s="18" t="inlineStr">
        <is>
          <t>Registro académico</t>
        </is>
      </c>
      <c r="C222" s="18" t="inlineStr">
        <is>
          <t>academic_registration</t>
        </is>
      </c>
      <c r="D222" s="18" t="inlineStr">
        <is>
          <t>graduates</t>
        </is>
      </c>
      <c r="E222" s="18" t="n">
        <v>10429</v>
      </c>
      <c r="F222" s="18" t="inlineStr">
        <is>
          <t>ceremony_date</t>
        </is>
      </c>
      <c r="G222" s="18" t="inlineStr">
        <is>
          <t>date</t>
        </is>
      </c>
      <c r="H222" s="18" t="inlineStr">
        <is>
          <t>Sí</t>
        </is>
      </c>
      <c r="I222" s="18" t="inlineStr"/>
      <c r="J222" s="18" t="inlineStr"/>
      <c r="K222" s="18" t="inlineStr"/>
      <c r="L222" s="18" t="inlineStr">
        <is>
          <t>No</t>
        </is>
      </c>
      <c r="M222" s="18" t="inlineStr">
        <is>
          <t>No</t>
        </is>
      </c>
      <c r="N222" s="18" t="inlineStr"/>
      <c r="O222" s="18" t="inlineStr"/>
      <c r="P222" s="18" t="inlineStr">
        <is>
          <t>Mapeada en academic-registration-service/src/graduation-certificates/graduate.entity.ts:60 (Graduate.ceremonyDate)</t>
        </is>
      </c>
      <c r="Q222" s="18" t="inlineStr">
        <is>
          <t>Propuesta semántica</t>
        </is>
      </c>
      <c r="R222" s="18" t="inlineStr">
        <is>
          <t>Fecha de la ceremonia de grado.</t>
        </is>
      </c>
      <c r="S222" s="18" t="inlineStr">
        <is>
          <t>Alta</t>
        </is>
      </c>
      <c r="T222" s="18" t="inlineStr">
        <is>
          <t>nombre + tipo + columnas vecinas (graduation_date)</t>
        </is>
      </c>
      <c r="U222" s="18" t="inlineStr"/>
      <c r="V222" s="19" t="inlineStr">
        <is>
          <t>Pendiente</t>
        </is>
      </c>
      <c r="W222" s="19" t="inlineStr"/>
      <c r="X222" s="19" t="inlineStr"/>
      <c r="Y222" s="20" t="n"/>
      <c r="Z222" s="19" t="inlineStr"/>
      <c r="AA222" s="18">
        <f>IF(OR(V222="Aprobada"),R222,IF(AND(OR(V222="Aprobada con ajuste",V222="Rechazada"),W222&lt;&gt;""),W222,""))</f>
        <v/>
      </c>
    </row>
    <row r="223">
      <c r="A223" s="18" t="inlineStr">
        <is>
          <t>C0222</t>
        </is>
      </c>
      <c r="B223" s="18" t="inlineStr">
        <is>
          <t>Registro académico</t>
        </is>
      </c>
      <c r="C223" s="18" t="inlineStr">
        <is>
          <t>academic_registration</t>
        </is>
      </c>
      <c r="D223" s="18" t="inlineStr">
        <is>
          <t>graduates</t>
        </is>
      </c>
      <c r="E223" s="18" t="n">
        <v>10429</v>
      </c>
      <c r="F223" s="18" t="inlineStr">
        <is>
          <t>degree_title</t>
        </is>
      </c>
      <c r="G223" s="18" t="inlineStr">
        <is>
          <t>character varying(255)</t>
        </is>
      </c>
      <c r="H223" s="18" t="inlineStr">
        <is>
          <t>No</t>
        </is>
      </c>
      <c r="I223" s="18" t="inlineStr"/>
      <c r="J223" s="18" t="inlineStr"/>
      <c r="K223" s="18" t="inlineStr"/>
      <c r="L223" s="18" t="inlineStr">
        <is>
          <t>No</t>
        </is>
      </c>
      <c r="M223" s="18" t="inlineStr">
        <is>
          <t>No</t>
        </is>
      </c>
      <c r="N223" s="18" t="inlineStr"/>
      <c r="O223" s="18" t="inlineStr"/>
      <c r="P223" s="18" t="inlineStr">
        <is>
          <t>academic-registration-service/src/graduation-certificates/graduate.entity.ts:64: Información del título | db/migrations/old/042_create_graduation_tables.sql:37: Información del título ej: "Administrador Público"</t>
        </is>
      </c>
      <c r="Q223" s="18" t="inlineStr">
        <is>
          <t>Código fuente</t>
        </is>
      </c>
      <c r="R223" s="18" t="inlineStr">
        <is>
          <t>Título académico otorgado al graduado (por ejemplo, «Administrador Público»).</t>
        </is>
      </c>
      <c r="S223" s="18" t="inlineStr">
        <is>
          <t>Alta</t>
        </is>
      </c>
      <c r="T223" s="18" t="inlineStr">
        <is>
          <t>código: db/migrations/old/042_create_graduation_tables.sql:37</t>
        </is>
      </c>
      <c r="U223" s="18" t="inlineStr"/>
      <c r="V223" s="19" t="inlineStr">
        <is>
          <t>Pendiente</t>
        </is>
      </c>
      <c r="W223" s="19" t="inlineStr"/>
      <c r="X223" s="19" t="inlineStr"/>
      <c r="Y223" s="20" t="n"/>
      <c r="Z223" s="19" t="inlineStr"/>
      <c r="AA223" s="18">
        <f>IF(OR(V223="Aprobada"),R223,IF(AND(OR(V223="Aprobada con ajuste",V223="Rechazada"),W223&lt;&gt;""),W223,""))</f>
        <v/>
      </c>
    </row>
    <row r="224">
      <c r="A224" s="18" t="inlineStr">
        <is>
          <t>C0223</t>
        </is>
      </c>
      <c r="B224" s="18" t="inlineStr">
        <is>
          <t>Registro académico</t>
        </is>
      </c>
      <c r="C224" s="18" t="inlineStr">
        <is>
          <t>academic_registration</t>
        </is>
      </c>
      <c r="D224" s="18" t="inlineStr">
        <is>
          <t>graduates</t>
        </is>
      </c>
      <c r="E224" s="18" t="n">
        <v>10429</v>
      </c>
      <c r="F224" s="18" t="inlineStr">
        <is>
          <t>diploma_number</t>
        </is>
      </c>
      <c r="G224" s="18" t="inlineStr">
        <is>
          <t>character varying(100)</t>
        </is>
      </c>
      <c r="H224" s="18" t="inlineStr">
        <is>
          <t>Sí</t>
        </is>
      </c>
      <c r="I224" s="18" t="inlineStr">
        <is>
          <t>Única</t>
        </is>
      </c>
      <c r="J224" s="18" t="inlineStr"/>
      <c r="K224" s="18" t="inlineStr"/>
      <c r="L224" s="18" t="inlineStr">
        <is>
          <t>No</t>
        </is>
      </c>
      <c r="M224" s="18" t="inlineStr">
        <is>
          <t>No</t>
        </is>
      </c>
      <c r="N224" s="18" t="inlineStr"/>
      <c r="O224" s="18" t="inlineStr">
        <is>
          <t>graduates_diploma_number_key, idx_graduates_diploma_number</t>
        </is>
      </c>
      <c r="P224" s="18" t="inlineStr">
        <is>
          <t>Mapeada en academic-registration-service/src/graduation-certificates/graduate.entity.ts:67 (Graduate.diplomaNumber)</t>
        </is>
      </c>
      <c r="Q224" s="18" t="inlineStr">
        <is>
          <t>Propuesta semántica</t>
        </is>
      </c>
      <c r="R224" s="18" t="inlineStr">
        <is>
          <t>Número del diploma otorgado al graduado; valor único.</t>
        </is>
      </c>
      <c r="S224" s="18" t="inlineStr">
        <is>
          <t>Alta</t>
        </is>
      </c>
      <c r="T224" s="18" t="inlineStr">
        <is>
          <t>nombre + tipo + columnas vecinas + restricción única</t>
        </is>
      </c>
      <c r="U224" s="18" t="inlineStr"/>
      <c r="V224" s="19" t="inlineStr">
        <is>
          <t>Pendiente</t>
        </is>
      </c>
      <c r="W224" s="19" t="inlineStr"/>
      <c r="X224" s="19" t="inlineStr"/>
      <c r="Y224" s="20" t="n"/>
      <c r="Z224" s="19" t="inlineStr"/>
      <c r="AA224" s="18">
        <f>IF(OR(V224="Aprobada"),R224,IF(AND(OR(V224="Aprobada con ajuste",V224="Rechazada"),W224&lt;&gt;""),W224,""))</f>
        <v/>
      </c>
    </row>
    <row r="225">
      <c r="A225" s="18" t="inlineStr">
        <is>
          <t>C0224</t>
        </is>
      </c>
      <c r="B225" s="18" t="inlineStr">
        <is>
          <t>Registro académico</t>
        </is>
      </c>
      <c r="C225" s="18" t="inlineStr">
        <is>
          <t>academic_registration</t>
        </is>
      </c>
      <c r="D225" s="18" t="inlineStr">
        <is>
          <t>graduates</t>
        </is>
      </c>
      <c r="E225" s="18" t="n">
        <v>10429</v>
      </c>
      <c r="F225" s="18" t="inlineStr">
        <is>
          <t>resolution_number</t>
        </is>
      </c>
      <c r="G225" s="18" t="inlineStr">
        <is>
          <t>character varying(100)</t>
        </is>
      </c>
      <c r="H225" s="18" t="inlineStr">
        <is>
          <t>Sí</t>
        </is>
      </c>
      <c r="I225" s="18" t="inlineStr"/>
      <c r="J225" s="18" t="inlineStr"/>
      <c r="K225" s="18" t="inlineStr"/>
      <c r="L225" s="18" t="inlineStr">
        <is>
          <t>No</t>
        </is>
      </c>
      <c r="M225" s="18" t="inlineStr">
        <is>
          <t>No</t>
        </is>
      </c>
      <c r="N225" s="18" t="inlineStr"/>
      <c r="O225" s="18" t="inlineStr"/>
      <c r="P225" s="18" t="inlineStr">
        <is>
          <t>db/migrations/old/042_create_graduation_tables.sql:40: Resolución que otorga el título</t>
        </is>
      </c>
      <c r="Q225" s="18" t="inlineStr">
        <is>
          <t>Código fuente</t>
        </is>
      </c>
      <c r="R225" s="18" t="inlineStr">
        <is>
          <t>Número de la resolución que otorga el título.</t>
        </is>
      </c>
      <c r="S225" s="18" t="inlineStr">
        <is>
          <t>Alta</t>
        </is>
      </c>
      <c r="T225" s="18" t="inlineStr">
        <is>
          <t>código: db/migrations/old/042_create_graduation_tables.sql:40</t>
        </is>
      </c>
      <c r="U225" s="18" t="inlineStr"/>
      <c r="V225" s="19" t="inlineStr">
        <is>
          <t>Pendiente</t>
        </is>
      </c>
      <c r="W225" s="19" t="inlineStr"/>
      <c r="X225" s="19" t="inlineStr"/>
      <c r="Y225" s="20" t="n"/>
      <c r="Z225" s="19" t="inlineStr"/>
      <c r="AA225" s="18">
        <f>IF(OR(V225="Aprobada"),R225,IF(AND(OR(V225="Aprobada con ajuste",V225="Rechazada"),W225&lt;&gt;""),W225,""))</f>
        <v/>
      </c>
    </row>
    <row r="226">
      <c r="A226" s="18" t="inlineStr">
        <is>
          <t>C0225</t>
        </is>
      </c>
      <c r="B226" s="18" t="inlineStr">
        <is>
          <t>Registro académico</t>
        </is>
      </c>
      <c r="C226" s="18" t="inlineStr">
        <is>
          <t>academic_registration</t>
        </is>
      </c>
      <c r="D226" s="18" t="inlineStr">
        <is>
          <t>graduates</t>
        </is>
      </c>
      <c r="E226" s="18" t="n">
        <v>10429</v>
      </c>
      <c r="F226" s="18" t="inlineStr">
        <is>
          <t>status</t>
        </is>
      </c>
      <c r="G226" s="18" t="inlineStr">
        <is>
          <t>character varying(50)</t>
        </is>
      </c>
      <c r="H226" s="18" t="inlineStr">
        <is>
          <t>Sí</t>
        </is>
      </c>
      <c r="I226" s="18" t="inlineStr">
        <is>
          <t>CHECK</t>
        </is>
      </c>
      <c r="J226" s="18" t="inlineStr">
        <is>
          <t>ACTIVE, REVOKED, SUSPENDED</t>
        </is>
      </c>
      <c r="K226" s="18" t="inlineStr"/>
      <c r="L226" s="18" t="inlineStr">
        <is>
          <t>Sí</t>
        </is>
      </c>
      <c r="M226" s="18" t="inlineStr">
        <is>
          <t>No</t>
        </is>
      </c>
      <c r="N226" s="18" t="inlineStr"/>
      <c r="O226" s="18" t="inlineStr"/>
      <c r="P226" s="18" t="inlineStr">
        <is>
          <t>academic-registration-service/src/graduation-certificates/graduate.entity.ts:118: Estado y validación ACTIVE, REVOKED, SUSPENDED | db/migrations/old/042_create_graduation_tables.sql:43: Estado y validación ACTIVE, REVOKED, SUSPENDED</t>
        </is>
      </c>
      <c r="Q226" s="18" t="inlineStr">
        <is>
          <t>Código fuente</t>
        </is>
      </c>
      <c r="R226" s="18" t="inlineStr">
        <is>
          <t>Estado del registro del graduado. Valores permitidos: ACTIVE, REVOKED, SUSPENDED; por defecto ACTIVE.</t>
        </is>
      </c>
      <c r="S226" s="18" t="inlineStr">
        <is>
          <t>Alta</t>
        </is>
      </c>
      <c r="T226" s="18" t="inlineStr">
        <is>
          <t>código: academic-registration-service/src/graduation-certificates/graduate.entity.ts:118</t>
        </is>
      </c>
      <c r="U226" s="18" t="inlineStr"/>
      <c r="V226" s="19" t="inlineStr">
        <is>
          <t>Pendiente</t>
        </is>
      </c>
      <c r="W226" s="19" t="inlineStr"/>
      <c r="X226" s="19" t="inlineStr"/>
      <c r="Y226" s="20" t="n"/>
      <c r="Z226" s="19" t="inlineStr"/>
      <c r="AA226" s="18">
        <f>IF(OR(V226="Aprobada"),R226,IF(AND(OR(V226="Aprobada con ajuste",V226="Rechazada"),W226&lt;&gt;""),W226,""))</f>
        <v/>
      </c>
    </row>
    <row r="227">
      <c r="A227" s="18" t="inlineStr">
        <is>
          <t>C0226</t>
        </is>
      </c>
      <c r="B227" s="18" t="inlineStr">
        <is>
          <t>Registro académico</t>
        </is>
      </c>
      <c r="C227" s="18" t="inlineStr">
        <is>
          <t>academic_registration</t>
        </is>
      </c>
      <c r="D227" s="18" t="inlineStr">
        <is>
          <t>graduates</t>
        </is>
      </c>
      <c r="E227" s="18" t="n">
        <v>10429</v>
      </c>
      <c r="F227" s="18" t="inlineStr">
        <is>
          <t>is_verified</t>
        </is>
      </c>
      <c r="G227" s="18" t="inlineStr">
        <is>
          <t>boolean</t>
        </is>
      </c>
      <c r="H227" s="18" t="inlineStr">
        <is>
          <t>Sí</t>
        </is>
      </c>
      <c r="I227" s="18" t="inlineStr"/>
      <c r="J227" s="18" t="inlineStr"/>
      <c r="K227" s="18" t="inlineStr"/>
      <c r="L227" s="18" t="inlineStr">
        <is>
          <t>No</t>
        </is>
      </c>
      <c r="M227" s="18" t="inlineStr">
        <is>
          <t>No</t>
        </is>
      </c>
      <c r="N227" s="18" t="inlineStr"/>
      <c r="O227" s="18" t="inlineStr"/>
      <c r="P227" s="18" t="inlineStr">
        <is>
          <t>Mapeada en academic-registration-service/src/graduation-certificates/graduate.entity.ts:121 (Graduate.isVerified)</t>
        </is>
      </c>
      <c r="Q227" s="18" t="inlineStr">
        <is>
          <t>Regla estructural</t>
        </is>
      </c>
      <c r="R227" s="18" t="inlineStr">
        <is>
          <t>Indica si aplica: verified.</t>
        </is>
      </c>
      <c r="S227" s="18" t="inlineStr">
        <is>
          <t>Media</t>
        </is>
      </c>
      <c r="T227" s="18" t="inlineStr">
        <is>
          <t>Convención de nombre de la columna.</t>
        </is>
      </c>
      <c r="U227" s="18" t="inlineStr"/>
      <c r="V227" s="19" t="inlineStr">
        <is>
          <t>Pendiente</t>
        </is>
      </c>
      <c r="W227" s="19" t="inlineStr"/>
      <c r="X227" s="19" t="inlineStr"/>
      <c r="Y227" s="20" t="n"/>
      <c r="Z227" s="19" t="inlineStr"/>
      <c r="AA227" s="18">
        <f>IF(OR(V227="Aprobada"),R227,IF(AND(OR(V227="Aprobada con ajuste",V227="Rechazada"),W227&lt;&gt;""),W227,""))</f>
        <v/>
      </c>
    </row>
    <row r="228">
      <c r="A228" s="18" t="inlineStr">
        <is>
          <t>C0227</t>
        </is>
      </c>
      <c r="B228" s="18" t="inlineStr">
        <is>
          <t>Registro académico</t>
        </is>
      </c>
      <c r="C228" s="18" t="inlineStr">
        <is>
          <t>academic_registration</t>
        </is>
      </c>
      <c r="D228" s="18" t="inlineStr">
        <is>
          <t>graduates</t>
        </is>
      </c>
      <c r="E228" s="18" t="n">
        <v>10429</v>
      </c>
      <c r="F228" s="18" t="inlineStr">
        <is>
          <t>campus</t>
        </is>
      </c>
      <c r="G228" s="18" t="inlineStr">
        <is>
          <t>character varying(100)</t>
        </is>
      </c>
      <c r="H228" s="18" t="inlineStr">
        <is>
          <t>Sí</t>
        </is>
      </c>
      <c r="I228" s="18" t="inlineStr"/>
      <c r="J228" s="18" t="inlineStr"/>
      <c r="K228" s="18" t="inlineStr"/>
      <c r="L228" s="18" t="inlineStr">
        <is>
          <t>No</t>
        </is>
      </c>
      <c r="M228" s="18" t="inlineStr">
        <is>
          <t>No</t>
        </is>
      </c>
      <c r="N228" s="18" t="inlineStr"/>
      <c r="O228" s="18" t="inlineStr"/>
      <c r="P228" s="18" t="inlineStr">
        <is>
          <t>academic-registration-service/src/graduation-certificates/graduate.entity.ts:125: Ubicación | db/migrations/old/042_create_graduation_tables.sql:47: Ubicación Sede donde se graduó</t>
        </is>
      </c>
      <c r="Q228" s="18" t="inlineStr">
        <is>
          <t>Código fuente</t>
        </is>
      </c>
      <c r="R228" s="18" t="inlineStr">
        <is>
          <t>Sede donde se graduó la persona.</t>
        </is>
      </c>
      <c r="S228" s="18" t="inlineStr">
        <is>
          <t>Alta</t>
        </is>
      </c>
      <c r="T228" s="18" t="inlineStr">
        <is>
          <t>código: db/migrations/old/042_create_graduation_tables.sql:47</t>
        </is>
      </c>
      <c r="U228" s="18" t="inlineStr"/>
      <c r="V228" s="19" t="inlineStr">
        <is>
          <t>Pendiente</t>
        </is>
      </c>
      <c r="W228" s="19" t="inlineStr"/>
      <c r="X228" s="19" t="inlineStr"/>
      <c r="Y228" s="20" t="n"/>
      <c r="Z228" s="19" t="inlineStr"/>
      <c r="AA228" s="18">
        <f>IF(OR(V228="Aprobada"),R228,IF(AND(OR(V228="Aprobada con ajuste",V228="Rechazada"),W228&lt;&gt;""),W228,""))</f>
        <v/>
      </c>
    </row>
    <row r="229">
      <c r="A229" s="18" t="inlineStr">
        <is>
          <t>C0228</t>
        </is>
      </c>
      <c r="B229" s="18" t="inlineStr">
        <is>
          <t>Registro académico</t>
        </is>
      </c>
      <c r="C229" s="18" t="inlineStr">
        <is>
          <t>academic_registration</t>
        </is>
      </c>
      <c r="D229" s="18" t="inlineStr">
        <is>
          <t>graduates</t>
        </is>
      </c>
      <c r="E229" s="18" t="n">
        <v>10429</v>
      </c>
      <c r="F229" s="18" t="inlineStr">
        <is>
          <t>first_name</t>
        </is>
      </c>
      <c r="G229" s="18" t="inlineStr">
        <is>
          <t>character varying(255)</t>
        </is>
      </c>
      <c r="H229" s="18" t="inlineStr">
        <is>
          <t>Sí</t>
        </is>
      </c>
      <c r="I229" s="18" t="inlineStr"/>
      <c r="J229" s="18" t="inlineStr"/>
      <c r="K229" s="18" t="inlineStr"/>
      <c r="L229" s="18" t="inlineStr">
        <is>
          <t>No</t>
        </is>
      </c>
      <c r="M229" s="18" t="inlineStr">
        <is>
          <t>Sí</t>
        </is>
      </c>
      <c r="N229" s="18" t="inlineStr">
        <is>
          <t>Trigger trg_validate_graduate_management_update</t>
        </is>
      </c>
      <c r="O229" s="18" t="inlineStr"/>
      <c r="P229" s="18" t="inlineStr">
        <is>
          <t>Mapeada en academic-registration-service/src/graduation-certificates/graduate.entity.ts:25 (Graduate.firstName)</t>
        </is>
      </c>
      <c r="Q229" s="18" t="inlineStr">
        <is>
          <t>Propuesta semántica</t>
        </is>
      </c>
      <c r="R229" s="18" t="inlineStr">
        <is>
          <t>Nombres del graduado.</t>
        </is>
      </c>
      <c r="S229" s="18" t="inlineStr">
        <is>
          <t>Alta</t>
        </is>
      </c>
      <c r="T229" s="18" t="inlineStr">
        <is>
          <t>nombre + tipo + columnas vecinas (last_name, full_name)</t>
        </is>
      </c>
      <c r="U229" s="18" t="inlineStr"/>
      <c r="V229" s="19" t="inlineStr">
        <is>
          <t>Pendiente</t>
        </is>
      </c>
      <c r="W229" s="19" t="inlineStr"/>
      <c r="X229" s="19" t="inlineStr"/>
      <c r="Y229" s="20" t="n"/>
      <c r="Z229" s="19" t="inlineStr"/>
      <c r="AA229" s="18">
        <f>IF(OR(V229="Aprobada"),R229,IF(AND(OR(V229="Aprobada con ajuste",V229="Rechazada"),W229&lt;&gt;""),W229,""))</f>
        <v/>
      </c>
    </row>
    <row r="230">
      <c r="A230" s="18" t="inlineStr">
        <is>
          <t>C0229</t>
        </is>
      </c>
      <c r="B230" s="18" t="inlineStr">
        <is>
          <t>Registro académico</t>
        </is>
      </c>
      <c r="C230" s="18" t="inlineStr">
        <is>
          <t>academic_registration</t>
        </is>
      </c>
      <c r="D230" s="18" t="inlineStr">
        <is>
          <t>graduates</t>
        </is>
      </c>
      <c r="E230" s="18" t="n">
        <v>10429</v>
      </c>
      <c r="F230" s="18" t="inlineStr">
        <is>
          <t>last_name</t>
        </is>
      </c>
      <c r="G230" s="18" t="inlineStr">
        <is>
          <t>character varying(255)</t>
        </is>
      </c>
      <c r="H230" s="18" t="inlineStr">
        <is>
          <t>Sí</t>
        </is>
      </c>
      <c r="I230" s="18" t="inlineStr"/>
      <c r="J230" s="18" t="inlineStr"/>
      <c r="K230" s="18" t="inlineStr"/>
      <c r="L230" s="18" t="inlineStr">
        <is>
          <t>No</t>
        </is>
      </c>
      <c r="M230" s="18" t="inlineStr">
        <is>
          <t>Sí</t>
        </is>
      </c>
      <c r="N230" s="18" t="inlineStr">
        <is>
          <t>Trigger trg_validate_graduate_management_update</t>
        </is>
      </c>
      <c r="O230" s="18" t="inlineStr"/>
      <c r="P230" s="18" t="inlineStr">
        <is>
          <t>Mapeada en academic-registration-service/src/graduation-certificates/graduate.entity.ts:28 (Graduate.lastName)</t>
        </is>
      </c>
      <c r="Q230" s="18" t="inlineStr">
        <is>
          <t>Propuesta semántica</t>
        </is>
      </c>
      <c r="R230" s="18" t="inlineStr">
        <is>
          <t>Apellidos del graduado.</t>
        </is>
      </c>
      <c r="S230" s="18" t="inlineStr">
        <is>
          <t>Alta</t>
        </is>
      </c>
      <c r="T230" s="18" t="inlineStr">
        <is>
          <t>nombre + tipo + columnas vecinas (first_name, full_name)</t>
        </is>
      </c>
      <c r="U230" s="18" t="inlineStr"/>
      <c r="V230" s="19" t="inlineStr">
        <is>
          <t>Pendiente</t>
        </is>
      </c>
      <c r="W230" s="19" t="inlineStr"/>
      <c r="X230" s="19" t="inlineStr"/>
      <c r="Y230" s="20" t="n"/>
      <c r="Z230" s="19" t="inlineStr"/>
      <c r="AA230" s="18">
        <f>IF(OR(V230="Aprobada"),R230,IF(AND(OR(V230="Aprobada con ajuste",V230="Rechazada"),W230&lt;&gt;""),W230,""))</f>
        <v/>
      </c>
    </row>
    <row r="231">
      <c r="A231" s="18" t="inlineStr">
        <is>
          <t>C0230</t>
        </is>
      </c>
      <c r="B231" s="18" t="inlineStr">
        <is>
          <t>Registro académico</t>
        </is>
      </c>
      <c r="C231" s="18" t="inlineStr">
        <is>
          <t>academic_registration</t>
        </is>
      </c>
      <c r="D231" s="18" t="inlineStr">
        <is>
          <t>graduation_certificate_requests</t>
        </is>
      </c>
      <c r="E231" s="18" t="n">
        <v>392</v>
      </c>
      <c r="F231" s="18" t="inlineStr">
        <is>
          <t>request_number</t>
        </is>
      </c>
      <c r="G231" s="18" t="inlineStr">
        <is>
          <t>character varying(100)</t>
        </is>
      </c>
      <c r="H231" s="18" t="inlineStr">
        <is>
          <t>No</t>
        </is>
      </c>
      <c r="I231" s="18" t="inlineStr">
        <is>
          <t>Única</t>
        </is>
      </c>
      <c r="J231" s="18" t="inlineStr"/>
      <c r="K231" s="18" t="inlineStr"/>
      <c r="L231" s="18" t="inlineStr">
        <is>
          <t>No</t>
        </is>
      </c>
      <c r="M231" s="18" t="inlineStr">
        <is>
          <t>No</t>
        </is>
      </c>
      <c r="N231" s="18" t="inlineStr"/>
      <c r="O231" s="18" t="inlineStr">
        <is>
          <t>graduation_certificate_requests_request_number_key, idx_cert_requests_number</t>
        </is>
      </c>
      <c r="P231" s="18" t="inlineStr">
        <is>
          <t>academic-registration-service/src/graduation-certificates/graduation-certificate-request.entity.ts:34: Número de solicitud | db/migrations/old/042_create_graduation_tables.sql:73: Número de solicitud Ej: GC-2025-0001</t>
        </is>
      </c>
      <c r="Q231" s="18" t="inlineStr">
        <is>
          <t>Código fuente</t>
        </is>
      </c>
      <c r="R231" s="18" t="inlineStr">
        <is>
          <t>Número único de la solicitud de certificado de grado, con formato GC-AAAA-NNNN (por ejemplo, GC-2025-0001).</t>
        </is>
      </c>
      <c r="S231" s="18" t="inlineStr">
        <is>
          <t>Alta</t>
        </is>
      </c>
      <c r="T231" s="18" t="inlineStr">
        <is>
          <t>código: db/migrations/old/042_create_graduation_tables.sql:73</t>
        </is>
      </c>
      <c r="U231" s="18" t="inlineStr"/>
      <c r="V231" s="19" t="inlineStr">
        <is>
          <t>Pendiente</t>
        </is>
      </c>
      <c r="W231" s="19" t="inlineStr"/>
      <c r="X231" s="19" t="inlineStr"/>
      <c r="Y231" s="20" t="n"/>
      <c r="Z231" s="19" t="inlineStr"/>
      <c r="AA231" s="18">
        <f>IF(OR(V231="Aprobada"),R231,IF(AND(OR(V231="Aprobada con ajuste",V231="Rechazada"),W231&lt;&gt;""),W231,""))</f>
        <v/>
      </c>
    </row>
    <row r="232">
      <c r="A232" s="18" t="inlineStr">
        <is>
          <t>C0231</t>
        </is>
      </c>
      <c r="B232" s="18" t="inlineStr">
        <is>
          <t>Registro académico</t>
        </is>
      </c>
      <c r="C232" s="18" t="inlineStr">
        <is>
          <t>academic_registration</t>
        </is>
      </c>
      <c r="D232" s="18" t="inlineStr">
        <is>
          <t>graduation_certificate_requests</t>
        </is>
      </c>
      <c r="E232" s="18" t="n">
        <v>392</v>
      </c>
      <c r="F232" s="18" t="inlineStr">
        <is>
          <t>requester_type</t>
        </is>
      </c>
      <c r="G232" s="18" t="inlineStr">
        <is>
          <t>character varying(50)</t>
        </is>
      </c>
      <c r="H232" s="18" t="inlineStr">
        <is>
          <t>No</t>
        </is>
      </c>
      <c r="I232" s="18" t="inlineStr">
        <is>
          <t>CHECK</t>
        </is>
      </c>
      <c r="J232" s="18" t="inlineStr">
        <is>
          <t>COMPANY, GRADUATE</t>
        </is>
      </c>
      <c r="K232" s="18" t="inlineStr"/>
      <c r="L232" s="18" t="inlineStr">
        <is>
          <t>Sí</t>
        </is>
      </c>
      <c r="M232" s="18" t="inlineStr">
        <is>
          <t>No</t>
        </is>
      </c>
      <c r="N232" s="18" t="inlineStr"/>
      <c r="O232" s="18" t="inlineStr"/>
      <c r="P232" s="18" t="inlineStr">
        <is>
          <t>academic-registration-service/src/graduation-certificates/graduation-certificate-request.entity.ts:38: Tipo de solicitante 'GRADUATE', 'COMPANY' | db/migrations/old/042_create_graduation_tables.sql:76: Tipo de solicitante 'GRADUATE' (graduado), 'COMPANY' (empresa)</t>
        </is>
      </c>
      <c r="Q232" s="18" t="inlineStr">
        <is>
          <t>Código fuente</t>
        </is>
      </c>
      <c r="R232" s="18" t="inlineStr">
        <is>
          <t>Tipo de solicitante del certificado. Valores permitidos: GRADUATE (graduado), COMPANY (empresa).</t>
        </is>
      </c>
      <c r="S232" s="18" t="inlineStr">
        <is>
          <t>Alta</t>
        </is>
      </c>
      <c r="T232" s="18" t="inlineStr">
        <is>
          <t>código: academic-registration-service/src/graduation-certificates/graduation-certificate-request.entity.ts:38</t>
        </is>
      </c>
      <c r="U232" s="18" t="inlineStr"/>
      <c r="V232" s="19" t="inlineStr">
        <is>
          <t>Pendiente</t>
        </is>
      </c>
      <c r="W232" s="19" t="inlineStr"/>
      <c r="X232" s="19" t="inlineStr"/>
      <c r="Y232" s="20" t="n"/>
      <c r="Z232" s="19" t="inlineStr"/>
      <c r="AA232" s="18">
        <f>IF(OR(V232="Aprobada"),R232,IF(AND(OR(V232="Aprobada con ajuste",V232="Rechazada"),W232&lt;&gt;""),W232,""))</f>
        <v/>
      </c>
    </row>
    <row r="233">
      <c r="A233" s="18" t="inlineStr">
        <is>
          <t>C0232</t>
        </is>
      </c>
      <c r="B233" s="18" t="inlineStr">
        <is>
          <t>Registro académico</t>
        </is>
      </c>
      <c r="C233" s="18" t="inlineStr">
        <is>
          <t>academic_registration</t>
        </is>
      </c>
      <c r="D233" s="18" t="inlineStr">
        <is>
          <t>graduation_certificate_requests</t>
        </is>
      </c>
      <c r="E233" s="18" t="n">
        <v>392</v>
      </c>
      <c r="F233" s="18" t="inlineStr">
        <is>
          <t>graduate_id</t>
        </is>
      </c>
      <c r="G233" s="18" t="inlineStr">
        <is>
          <t>uuid</t>
        </is>
      </c>
      <c r="H233" s="18" t="inlineStr">
        <is>
          <t>Sí</t>
        </is>
      </c>
      <c r="I233" s="18" t="inlineStr"/>
      <c r="J233" s="18" t="inlineStr"/>
      <c r="K233" s="18" t="inlineStr"/>
      <c r="L233" s="18" t="inlineStr">
        <is>
          <t>No</t>
        </is>
      </c>
      <c r="M233" s="18" t="inlineStr">
        <is>
          <t>No</t>
        </is>
      </c>
      <c r="N233" s="18" t="inlineStr"/>
      <c r="O233" s="18" t="inlineStr">
        <is>
          <t>idx_cert_requests_graduate_id</t>
        </is>
      </c>
      <c r="P233" s="18" t="inlineStr">
        <is>
          <t>academic-registration-service/src/graduation-certificates/graduation-certificate-request.entity.ts:42: Información del graduado | db/migrations/old/042_create_graduation_tables.sql:79: Información del graduado FK a graduates (nullable si es solicitud externa)</t>
        </is>
      </c>
      <c r="Q233" s="18" t="inlineStr">
        <is>
          <t>Código fuente</t>
        </is>
      </c>
      <c r="R233" s="18" t="inlineStr">
        <is>
          <t>Identificador del graduado (graduates) al que corresponde la solicitud; nulo cuando la solicitud es externa.</t>
        </is>
      </c>
      <c r="S233" s="18" t="inlineStr">
        <is>
          <t>Alta</t>
        </is>
      </c>
      <c r="T233" s="18" t="inlineStr">
        <is>
          <t>código: db/migrations/old/042_create_graduation_tables.sql:79</t>
        </is>
      </c>
      <c r="U233" s="18" t="inlineStr"/>
      <c r="V233" s="19" t="inlineStr">
        <is>
          <t>Pendiente</t>
        </is>
      </c>
      <c r="W233" s="19" t="inlineStr"/>
      <c r="X233" s="19" t="inlineStr"/>
      <c r="Y233" s="20" t="n"/>
      <c r="Z233" s="19" t="inlineStr"/>
      <c r="AA233" s="18">
        <f>IF(OR(V233="Aprobada"),R233,IF(AND(OR(V233="Aprobada con ajuste",V233="Rechazada"),W233&lt;&gt;""),W233,""))</f>
        <v/>
      </c>
    </row>
    <row r="234">
      <c r="A234" s="18" t="inlineStr">
        <is>
          <t>C0233</t>
        </is>
      </c>
      <c r="B234" s="18" t="inlineStr">
        <is>
          <t>Registro académico</t>
        </is>
      </c>
      <c r="C234" s="18" t="inlineStr">
        <is>
          <t>academic_registration</t>
        </is>
      </c>
      <c r="D234" s="18" t="inlineStr">
        <is>
          <t>graduation_certificate_requests</t>
        </is>
      </c>
      <c r="E234" s="18" t="n">
        <v>392</v>
      </c>
      <c r="F234" s="18" t="inlineStr">
        <is>
          <t>id_number</t>
        </is>
      </c>
      <c r="G234" s="18" t="inlineStr">
        <is>
          <t>character varying(50)</t>
        </is>
      </c>
      <c r="H234" s="18" t="inlineStr">
        <is>
          <t>No</t>
        </is>
      </c>
      <c r="I234" s="18" t="inlineStr"/>
      <c r="J234" s="18" t="inlineStr"/>
      <c r="K234" s="18" t="inlineStr"/>
      <c r="L234" s="18" t="inlineStr">
        <is>
          <t>No</t>
        </is>
      </c>
      <c r="M234" s="18" t="inlineStr">
        <is>
          <t>No</t>
        </is>
      </c>
      <c r="N234" s="18" t="inlineStr"/>
      <c r="O234" s="18" t="inlineStr">
        <is>
          <t>idx_cert_requests_id_number</t>
        </is>
      </c>
      <c r="P234" s="18" t="inlineStr">
        <is>
          <t>db/migrations/old/042_create_graduation_tables.sql:80: Cédula del graduado</t>
        </is>
      </c>
      <c r="Q234" s="18" t="inlineStr">
        <is>
          <t>Código fuente</t>
        </is>
      </c>
      <c r="R234" s="18" t="inlineStr">
        <is>
          <t>Número de cédula del graduado.</t>
        </is>
      </c>
      <c r="S234" s="18" t="inlineStr">
        <is>
          <t>Alta</t>
        </is>
      </c>
      <c r="T234" s="18" t="inlineStr">
        <is>
          <t>código: db/migrations/old/042_create_graduation_tables.sql:80</t>
        </is>
      </c>
      <c r="U234" s="18" t="inlineStr"/>
      <c r="V234" s="19" t="inlineStr">
        <is>
          <t>Pendiente</t>
        </is>
      </c>
      <c r="W234" s="19" t="inlineStr"/>
      <c r="X234" s="19" t="inlineStr"/>
      <c r="Y234" s="20" t="n"/>
      <c r="Z234" s="19" t="inlineStr"/>
      <c r="AA234" s="18">
        <f>IF(OR(V234="Aprobada"),R234,IF(AND(OR(V234="Aprobada con ajuste",V234="Rechazada"),W234&lt;&gt;""),W234,""))</f>
        <v/>
      </c>
    </row>
    <row r="235">
      <c r="A235" s="18" t="inlineStr">
        <is>
          <t>C0234</t>
        </is>
      </c>
      <c r="B235" s="18" t="inlineStr">
        <is>
          <t>Registro académico</t>
        </is>
      </c>
      <c r="C235" s="18" t="inlineStr">
        <is>
          <t>academic_registration</t>
        </is>
      </c>
      <c r="D235" s="18" t="inlineStr">
        <is>
          <t>graduation_certificate_requests</t>
        </is>
      </c>
      <c r="E235" s="18" t="n">
        <v>392</v>
      </c>
      <c r="F235" s="18" t="inlineStr">
        <is>
          <t>full_name</t>
        </is>
      </c>
      <c r="G235" s="18" t="inlineStr">
        <is>
          <t>character varying(255)</t>
        </is>
      </c>
      <c r="H235" s="18" t="inlineStr">
        <is>
          <t>No</t>
        </is>
      </c>
      <c r="I235" s="18" t="inlineStr"/>
      <c r="J235" s="18" t="inlineStr"/>
      <c r="K235" s="18" t="inlineStr"/>
      <c r="L235" s="18" t="inlineStr">
        <is>
          <t>No</t>
        </is>
      </c>
      <c r="M235" s="18" t="inlineStr">
        <is>
          <t>No</t>
        </is>
      </c>
      <c r="N235" s="18" t="inlineStr"/>
      <c r="O235" s="18" t="inlineStr"/>
      <c r="P235" s="18" t="inlineStr">
        <is>
          <t>Mapeada en academic-registration-service/src/graduation-certificates/graduation-certificate-request.entity.ts:51 (GraduationCertificateRequest.fullName)</t>
        </is>
      </c>
      <c r="Q235" s="18" t="inlineStr">
        <is>
          <t>Propuesta semántica</t>
        </is>
      </c>
      <c r="R235" s="18" t="inlineStr">
        <is>
          <t>Nombre completo del graduado sobre el que se solicita el certificado.</t>
        </is>
      </c>
      <c r="S235" s="18" t="inlineStr">
        <is>
          <t>Alta</t>
        </is>
      </c>
      <c r="T235" s="18" t="inlineStr">
        <is>
          <t>nombre + tipo + columnas vecinas</t>
        </is>
      </c>
      <c r="U235" s="18" t="inlineStr"/>
      <c r="V235" s="19" t="inlineStr">
        <is>
          <t>Pendiente</t>
        </is>
      </c>
      <c r="W235" s="19" t="inlineStr"/>
      <c r="X235" s="19" t="inlineStr"/>
      <c r="Y235" s="20" t="n"/>
      <c r="Z235" s="19" t="inlineStr"/>
      <c r="AA235" s="18">
        <f>IF(OR(V235="Aprobada"),R235,IF(AND(OR(V235="Aprobada con ajuste",V235="Rechazada"),W235&lt;&gt;""),W235,""))</f>
        <v/>
      </c>
    </row>
    <row r="236">
      <c r="A236" s="18" t="inlineStr">
        <is>
          <t>C0235</t>
        </is>
      </c>
      <c r="B236" s="18" t="inlineStr">
        <is>
          <t>Registro académico</t>
        </is>
      </c>
      <c r="C236" s="18" t="inlineStr">
        <is>
          <t>academic_registration</t>
        </is>
      </c>
      <c r="D236" s="18" t="inlineStr">
        <is>
          <t>graduation_certificate_requests</t>
        </is>
      </c>
      <c r="E236" s="18" t="n">
        <v>392</v>
      </c>
      <c r="F236" s="18" t="inlineStr">
        <is>
          <t>program_name</t>
        </is>
      </c>
      <c r="G236" s="18" t="inlineStr">
        <is>
          <t>character varying(255)</t>
        </is>
      </c>
      <c r="H236" s="18" t="inlineStr">
        <is>
          <t>No</t>
        </is>
      </c>
      <c r="I236" s="18" t="inlineStr"/>
      <c r="J236" s="18" t="inlineStr"/>
      <c r="K236" s="18" t="inlineStr"/>
      <c r="L236" s="18" t="inlineStr">
        <is>
          <t>No</t>
        </is>
      </c>
      <c r="M236" s="18" t="inlineStr">
        <is>
          <t>No</t>
        </is>
      </c>
      <c r="N236" s="18" t="inlineStr"/>
      <c r="O236" s="18" t="inlineStr"/>
      <c r="P236" s="18" t="inlineStr">
        <is>
          <t>academic-registration-service/src/graduation-certificates/graduation-certificate-request.entity.ts:64: Información del programa | db/migrations/old/042_create_graduation_tables.sql:84: Información del programa</t>
        </is>
      </c>
      <c r="Q236" s="18" t="inlineStr">
        <is>
          <t>Código fuente</t>
        </is>
      </c>
      <c r="R236" s="18" t="inlineStr">
        <is>
          <t>Nombre del programa académico del graduado, registrado en la solicitud.</t>
        </is>
      </c>
      <c r="S236" s="18" t="inlineStr">
        <is>
          <t>Alta</t>
        </is>
      </c>
      <c r="T236" s="18" t="inlineStr">
        <is>
          <t>código: academic-registration-service/src/graduation-certificates/graduation-certificate-request.entity.ts:64</t>
        </is>
      </c>
      <c r="U236" s="18" t="inlineStr"/>
      <c r="V236" s="19" t="inlineStr">
        <is>
          <t>Pendiente</t>
        </is>
      </c>
      <c r="W236" s="19" t="inlineStr"/>
      <c r="X236" s="19" t="inlineStr"/>
      <c r="Y236" s="20" t="n"/>
      <c r="Z236" s="19" t="inlineStr"/>
      <c r="AA236" s="18">
        <f>IF(OR(V236="Aprobada"),R236,IF(AND(OR(V236="Aprobada con ajuste",V236="Rechazada"),W236&lt;&gt;""),W236,""))</f>
        <v/>
      </c>
    </row>
    <row r="237">
      <c r="A237" s="18" t="inlineStr">
        <is>
          <t>C0236</t>
        </is>
      </c>
      <c r="B237" s="18" t="inlineStr">
        <is>
          <t>Registro académico</t>
        </is>
      </c>
      <c r="C237" s="18" t="inlineStr">
        <is>
          <t>academic_registration</t>
        </is>
      </c>
      <c r="D237" s="18" t="inlineStr">
        <is>
          <t>graduation_certificate_requests</t>
        </is>
      </c>
      <c r="E237" s="18" t="n">
        <v>392</v>
      </c>
      <c r="F237" s="18" t="inlineStr">
        <is>
          <t>graduation_date</t>
        </is>
      </c>
      <c r="G237" s="18" t="inlineStr">
        <is>
          <t>date</t>
        </is>
      </c>
      <c r="H237" s="18" t="inlineStr">
        <is>
          <t>Sí</t>
        </is>
      </c>
      <c r="I237" s="18" t="inlineStr"/>
      <c r="J237" s="18" t="inlineStr"/>
      <c r="K237" s="18" t="inlineStr"/>
      <c r="L237" s="18" t="inlineStr">
        <is>
          <t>No</t>
        </is>
      </c>
      <c r="M237" s="18" t="inlineStr">
        <is>
          <t>No</t>
        </is>
      </c>
      <c r="N237" s="18" t="inlineStr"/>
      <c r="O237" s="18" t="inlineStr"/>
      <c r="P237" s="18" t="inlineStr">
        <is>
          <t>Mapeada en academic-registration-service/src/graduation-certificates/graduation-certificate-request.entity.ts:67 (GraduationCertificateRequest.graduationDate)</t>
        </is>
      </c>
      <c r="Q237" s="18" t="inlineStr">
        <is>
          <t>Propuesta semántica</t>
        </is>
      </c>
      <c r="R237" s="18" t="inlineStr">
        <is>
          <t>Fecha de graduación del graduado registrada en la solicitud.</t>
        </is>
      </c>
      <c r="S237" s="18" t="inlineStr">
        <is>
          <t>Alta</t>
        </is>
      </c>
      <c r="T237" s="18" t="inlineStr">
        <is>
          <t>nombre + tipo + columnas vecinas</t>
        </is>
      </c>
      <c r="U237" s="18" t="inlineStr"/>
      <c r="V237" s="19" t="inlineStr">
        <is>
          <t>Pendiente</t>
        </is>
      </c>
      <c r="W237" s="19" t="inlineStr"/>
      <c r="X237" s="19" t="inlineStr"/>
      <c r="Y237" s="20" t="n"/>
      <c r="Z237" s="19" t="inlineStr"/>
      <c r="AA237" s="18">
        <f>IF(OR(V237="Aprobada"),R237,IF(AND(OR(V237="Aprobada con ajuste",V237="Rechazada"),W237&lt;&gt;""),W237,""))</f>
        <v/>
      </c>
    </row>
    <row r="238">
      <c r="A238" s="18" t="inlineStr">
        <is>
          <t>C0237</t>
        </is>
      </c>
      <c r="B238" s="18" t="inlineStr">
        <is>
          <t>Registro académico</t>
        </is>
      </c>
      <c r="C238" s="18" t="inlineStr">
        <is>
          <t>academic_registration</t>
        </is>
      </c>
      <c r="D238" s="18" t="inlineStr">
        <is>
          <t>graduation_certificate_requests</t>
        </is>
      </c>
      <c r="E238" s="18" t="n">
        <v>392</v>
      </c>
      <c r="F238" s="18" t="inlineStr">
        <is>
          <t>requester_name</t>
        </is>
      </c>
      <c r="G238" s="18" t="inlineStr">
        <is>
          <t>character varying(255)</t>
        </is>
      </c>
      <c r="H238" s="18" t="inlineStr">
        <is>
          <t>Sí</t>
        </is>
      </c>
      <c r="I238" s="18" t="inlineStr"/>
      <c r="J238" s="18" t="inlineStr"/>
      <c r="K238" s="18" t="inlineStr"/>
      <c r="L238" s="18" t="inlineStr">
        <is>
          <t>No</t>
        </is>
      </c>
      <c r="M238" s="18" t="inlineStr">
        <is>
          <t>No</t>
        </is>
      </c>
      <c r="N238" s="18" t="inlineStr"/>
      <c r="O238" s="18" t="inlineStr"/>
      <c r="P238" s="18" t="inlineStr">
        <is>
          <t>academic-registration-service/src/graduation-certificates/graduation-certificate-request.entity.ts:71: Información del solicitante | db/migrations/old/042_create_graduation_tables.sql:88: Información del solicitante (si es empresa) Nombre de quien solicita</t>
        </is>
      </c>
      <c r="Q238" s="18" t="inlineStr">
        <is>
          <t>Código fuente</t>
        </is>
      </c>
      <c r="R238" s="18" t="inlineStr">
        <is>
          <t>Nombre de la persona que solicita el certificado cuando el solicitante es una empresa.</t>
        </is>
      </c>
      <c r="S238" s="18" t="inlineStr">
        <is>
          <t>Alta</t>
        </is>
      </c>
      <c r="T238" s="18" t="inlineStr">
        <is>
          <t>código: db/migrations/old/042_create_graduation_tables.sql:88</t>
        </is>
      </c>
      <c r="U238" s="18" t="inlineStr"/>
      <c r="V238" s="19" t="inlineStr">
        <is>
          <t>Pendiente</t>
        </is>
      </c>
      <c r="W238" s="19" t="inlineStr"/>
      <c r="X238" s="19" t="inlineStr"/>
      <c r="Y238" s="20" t="n"/>
      <c r="Z238" s="19" t="inlineStr"/>
      <c r="AA238" s="18">
        <f>IF(OR(V238="Aprobada"),R238,IF(AND(OR(V238="Aprobada con ajuste",V238="Rechazada"),W238&lt;&gt;""),W238,""))</f>
        <v/>
      </c>
    </row>
    <row r="239">
      <c r="A239" s="18" t="inlineStr">
        <is>
          <t>C0238</t>
        </is>
      </c>
      <c r="B239" s="18" t="inlineStr">
        <is>
          <t>Registro académico</t>
        </is>
      </c>
      <c r="C239" s="18" t="inlineStr">
        <is>
          <t>academic_registration</t>
        </is>
      </c>
      <c r="D239" s="18" t="inlineStr">
        <is>
          <t>graduation_certificate_requests</t>
        </is>
      </c>
      <c r="E239" s="18" t="n">
        <v>392</v>
      </c>
      <c r="F239" s="18" t="inlineStr">
        <is>
          <t>requester_email</t>
        </is>
      </c>
      <c r="G239" s="18" t="inlineStr">
        <is>
          <t>character varying(255)</t>
        </is>
      </c>
      <c r="H239" s="18" t="inlineStr">
        <is>
          <t>No</t>
        </is>
      </c>
      <c r="I239" s="18" t="inlineStr"/>
      <c r="J239" s="18" t="inlineStr"/>
      <c r="K239" s="18" t="inlineStr"/>
      <c r="L239" s="18" t="inlineStr">
        <is>
          <t>No</t>
        </is>
      </c>
      <c r="M239" s="18" t="inlineStr">
        <is>
          <t>No</t>
        </is>
      </c>
      <c r="N239" s="18" t="inlineStr"/>
      <c r="O239" s="18" t="inlineStr"/>
      <c r="P239" s="18" t="inlineStr">
        <is>
          <t>Mapeada en academic-registration-service/src/graduation-certificates/graduation-certificate-request.entity.ts:74 (GraduationCertificateRequest.requesterEmail)</t>
        </is>
      </c>
      <c r="Q239" s="18" t="inlineStr">
        <is>
          <t>Propuesta semántica</t>
        </is>
      </c>
      <c r="R239" s="18" t="inlineStr">
        <is>
          <t>Correo electrónico del solicitante del certificado.</t>
        </is>
      </c>
      <c r="S239" s="18" t="inlineStr">
        <is>
          <t>Alta</t>
        </is>
      </c>
      <c r="T239" s="18" t="inlineStr">
        <is>
          <t>nombre + tipo + columnas vecinas</t>
        </is>
      </c>
      <c r="U239" s="18" t="inlineStr"/>
      <c r="V239" s="19" t="inlineStr">
        <is>
          <t>Pendiente</t>
        </is>
      </c>
      <c r="W239" s="19" t="inlineStr"/>
      <c r="X239" s="19" t="inlineStr"/>
      <c r="Y239" s="20" t="n"/>
      <c r="Z239" s="19" t="inlineStr"/>
      <c r="AA239" s="18">
        <f>IF(OR(V239="Aprobada"),R239,IF(AND(OR(V239="Aprobada con ajuste",V239="Rechazada"),W239&lt;&gt;""),W239,""))</f>
        <v/>
      </c>
    </row>
    <row r="240">
      <c r="A240" s="18" t="inlineStr">
        <is>
          <t>C0239</t>
        </is>
      </c>
      <c r="B240" s="18" t="inlineStr">
        <is>
          <t>Registro académico</t>
        </is>
      </c>
      <c r="C240" s="18" t="inlineStr">
        <is>
          <t>academic_registration</t>
        </is>
      </c>
      <c r="D240" s="18" t="inlineStr">
        <is>
          <t>graduation_certificate_requests</t>
        </is>
      </c>
      <c r="E240" s="18" t="n">
        <v>392</v>
      </c>
      <c r="F240" s="18" t="inlineStr">
        <is>
          <t>requester_phone</t>
        </is>
      </c>
      <c r="G240" s="18" t="inlineStr">
        <is>
          <t>character varying(50)</t>
        </is>
      </c>
      <c r="H240" s="18" t="inlineStr">
        <is>
          <t>Sí</t>
        </is>
      </c>
      <c r="I240" s="18" t="inlineStr"/>
      <c r="J240" s="18" t="inlineStr"/>
      <c r="K240" s="18" t="inlineStr"/>
      <c r="L240" s="18" t="inlineStr">
        <is>
          <t>No</t>
        </is>
      </c>
      <c r="M240" s="18" t="inlineStr">
        <is>
          <t>No</t>
        </is>
      </c>
      <c r="N240" s="18" t="inlineStr"/>
      <c r="O240" s="18" t="inlineStr"/>
      <c r="P240" s="18" t="inlineStr">
        <is>
          <t>Mapeada en academic-registration-service/src/graduation-certificates/graduation-certificate-request.entity.ts:77 (GraduationCertificateRequest.requesterPhone)</t>
        </is>
      </c>
      <c r="Q240" s="18" t="inlineStr">
        <is>
          <t>Propuesta semántica</t>
        </is>
      </c>
      <c r="R240" s="18" t="inlineStr">
        <is>
          <t>Número de teléfono del solicitante del certificado.</t>
        </is>
      </c>
      <c r="S240" s="18" t="inlineStr">
        <is>
          <t>Alta</t>
        </is>
      </c>
      <c r="T240" s="18" t="inlineStr">
        <is>
          <t>nombre + tipo + columnas vecinas</t>
        </is>
      </c>
      <c r="U240" s="18" t="inlineStr"/>
      <c r="V240" s="19" t="inlineStr">
        <is>
          <t>Pendiente</t>
        </is>
      </c>
      <c r="W240" s="19" t="inlineStr"/>
      <c r="X240" s="19" t="inlineStr"/>
      <c r="Y240" s="20" t="n"/>
      <c r="Z240" s="19" t="inlineStr"/>
      <c r="AA240" s="18">
        <f>IF(OR(V240="Aprobada"),R240,IF(AND(OR(V240="Aprobada con ajuste",V240="Rechazada"),W240&lt;&gt;""),W240,""))</f>
        <v/>
      </c>
    </row>
    <row r="241">
      <c r="A241" s="18" t="inlineStr">
        <is>
          <t>C0240</t>
        </is>
      </c>
      <c r="B241" s="18" t="inlineStr">
        <is>
          <t>Registro académico</t>
        </is>
      </c>
      <c r="C241" s="18" t="inlineStr">
        <is>
          <t>academic_registration</t>
        </is>
      </c>
      <c r="D241" s="18" t="inlineStr">
        <is>
          <t>graduation_certificate_requests</t>
        </is>
      </c>
      <c r="E241" s="18" t="n">
        <v>392</v>
      </c>
      <c r="F241" s="18" t="inlineStr">
        <is>
          <t>company_name</t>
        </is>
      </c>
      <c r="G241" s="18" t="inlineStr">
        <is>
          <t>character varying(255)</t>
        </is>
      </c>
      <c r="H241" s="18" t="inlineStr">
        <is>
          <t>Sí</t>
        </is>
      </c>
      <c r="I241" s="18" t="inlineStr"/>
      <c r="J241" s="18" t="inlineStr"/>
      <c r="K241" s="18" t="inlineStr"/>
      <c r="L241" s="18" t="inlineStr">
        <is>
          <t>No</t>
        </is>
      </c>
      <c r="M241" s="18" t="inlineStr">
        <is>
          <t>No</t>
        </is>
      </c>
      <c r="N241" s="18" t="inlineStr"/>
      <c r="O241" s="18" t="inlineStr"/>
      <c r="P241" s="18" t="inlineStr">
        <is>
          <t>db/migrations/old/042_create_graduation_tables.sql:91: Si lo solicita una empresa</t>
        </is>
      </c>
      <c r="Q241" s="18" t="inlineStr">
        <is>
          <t>Código fuente</t>
        </is>
      </c>
      <c r="R241" s="18" t="inlineStr">
        <is>
          <t>Nombre de la empresa solicitante, cuando la solicitud la hace una empresa.</t>
        </is>
      </c>
      <c r="S241" s="18" t="inlineStr">
        <is>
          <t>Alta</t>
        </is>
      </c>
      <c r="T241" s="18" t="inlineStr">
        <is>
          <t>código: db/migrations/old/042_create_graduation_tables.sql:91</t>
        </is>
      </c>
      <c r="U241" s="18" t="inlineStr"/>
      <c r="V241" s="19" t="inlineStr">
        <is>
          <t>Pendiente</t>
        </is>
      </c>
      <c r="W241" s="19" t="inlineStr"/>
      <c r="X241" s="19" t="inlineStr"/>
      <c r="Y241" s="20" t="n"/>
      <c r="Z241" s="19" t="inlineStr"/>
      <c r="AA241" s="18">
        <f>IF(OR(V241="Aprobada"),R241,IF(AND(OR(V241="Aprobada con ajuste",V241="Rechazada"),W241&lt;&gt;""),W241,""))</f>
        <v/>
      </c>
    </row>
    <row r="242">
      <c r="A242" s="18" t="inlineStr">
        <is>
          <t>C0241</t>
        </is>
      </c>
      <c r="B242" s="18" t="inlineStr">
        <is>
          <t>Registro académico</t>
        </is>
      </c>
      <c r="C242" s="18" t="inlineStr">
        <is>
          <t>academic_registration</t>
        </is>
      </c>
      <c r="D242" s="18" t="inlineStr">
        <is>
          <t>graduation_certificate_requests</t>
        </is>
      </c>
      <c r="E242" s="18" t="n">
        <v>392</v>
      </c>
      <c r="F242" s="18" t="inlineStr">
        <is>
          <t>certificate_type</t>
        </is>
      </c>
      <c r="G242" s="18" t="inlineStr">
        <is>
          <t>character varying(50)</t>
        </is>
      </c>
      <c r="H242" s="18" t="inlineStr">
        <is>
          <t>Sí</t>
        </is>
      </c>
      <c r="I242" s="18" t="inlineStr">
        <is>
          <t>CHECK</t>
        </is>
      </c>
      <c r="J242" s="18" t="inlineStr">
        <is>
          <t>INTERNATIONAL, OFFICIAL, STANDARD</t>
        </is>
      </c>
      <c r="K242" s="18" t="inlineStr"/>
      <c r="L242" s="18" t="inlineStr">
        <is>
          <t>Sí</t>
        </is>
      </c>
      <c r="M242" s="18" t="inlineStr">
        <is>
          <t>No</t>
        </is>
      </c>
      <c r="N242" s="18" t="inlineStr"/>
      <c r="O242" s="18" t="inlineStr"/>
      <c r="P242" s="18" t="inlineStr">
        <is>
          <t>academic-registration-service/src/graduation-certificates/graduation-certificate-request.entity.ts:97: Tipo de certificado STANDARD, OFFICIAL, INTERNATIONAL | db/migrations/old/042_create_graduation_tables.sql:94: Tipo de certificado solicitado STANDARD, OFFICIAL, INTERNATIONAL</t>
        </is>
      </c>
      <c r="Q242" s="18" t="inlineStr">
        <is>
          <t>Código fuente</t>
        </is>
      </c>
      <c r="R242" s="18" t="inlineStr">
        <is>
          <t>Tipo de certificado solicitado. Valores permitidos: STANDARD, OFFICIAL, INTERNATIONAL; por defecto STANDARD.</t>
        </is>
      </c>
      <c r="S242" s="18" t="inlineStr">
        <is>
          <t>Alta</t>
        </is>
      </c>
      <c r="T242" s="18" t="inlineStr">
        <is>
          <t>código: academic-registration-service/src/graduation-certificates/graduation-certificate-request.entity.ts:97</t>
        </is>
      </c>
      <c r="U242" s="18" t="inlineStr"/>
      <c r="V242" s="19" t="inlineStr">
        <is>
          <t>Pendiente</t>
        </is>
      </c>
      <c r="W242" s="19" t="inlineStr"/>
      <c r="X242" s="19" t="inlineStr"/>
      <c r="Y242" s="20" t="n"/>
      <c r="Z242" s="19" t="inlineStr"/>
      <c r="AA242" s="18">
        <f>IF(OR(V242="Aprobada"),R242,IF(AND(OR(V242="Aprobada con ajuste",V242="Rechazada"),W242&lt;&gt;""),W242,""))</f>
        <v/>
      </c>
    </row>
    <row r="243">
      <c r="A243" s="18" t="inlineStr">
        <is>
          <t>C0242</t>
        </is>
      </c>
      <c r="B243" s="18" t="inlineStr">
        <is>
          <t>Registro académico</t>
        </is>
      </c>
      <c r="C243" s="18" t="inlineStr">
        <is>
          <t>academic_registration</t>
        </is>
      </c>
      <c r="D243" s="18" t="inlineStr">
        <is>
          <t>graduation_certificate_requests</t>
        </is>
      </c>
      <c r="E243" s="18" t="n">
        <v>392</v>
      </c>
      <c r="F243" s="18" t="inlineStr">
        <is>
          <t>validation_code</t>
        </is>
      </c>
      <c r="G243" s="18" t="inlineStr">
        <is>
          <t>character varying(10)</t>
        </is>
      </c>
      <c r="H243" s="18" t="inlineStr">
        <is>
          <t>Sí</t>
        </is>
      </c>
      <c r="I243" s="18" t="inlineStr"/>
      <c r="J243" s="18" t="inlineStr"/>
      <c r="K243" s="18" t="inlineStr"/>
      <c r="L243" s="18" t="inlineStr">
        <is>
          <t>No</t>
        </is>
      </c>
      <c r="M243" s="18" t="inlineStr">
        <is>
          <t>No</t>
        </is>
      </c>
      <c r="N243" s="18" t="inlineStr"/>
      <c r="O243" s="18" t="inlineStr"/>
      <c r="P243" s="18" t="inlineStr">
        <is>
          <t>academic-registration-service/src/graduation-certificates/graduation-certificate-request.entity.ts:101: Validación | db/migrations/old/042_create_graduation_tables.sql:97: Validación (para graduados que solicitan por primera vez) Código enviado por email</t>
        </is>
      </c>
      <c r="Q243" s="18" t="inlineStr">
        <is>
          <t>Código fuente</t>
        </is>
      </c>
      <c r="R243" s="18" t="inlineStr">
        <is>
          <t>Código de validación enviado por correo electrónico al graduado que solicita el certificado por primera vez.</t>
        </is>
      </c>
      <c r="S243" s="18" t="inlineStr">
        <is>
          <t>Alta</t>
        </is>
      </c>
      <c r="T243" s="18" t="inlineStr">
        <is>
          <t>código: db/migrations/old/042_create_graduation_tables.sql:97</t>
        </is>
      </c>
      <c r="U243" s="18" t="inlineStr"/>
      <c r="V243" s="19" t="inlineStr">
        <is>
          <t>Pendiente</t>
        </is>
      </c>
      <c r="W243" s="19" t="inlineStr"/>
      <c r="X243" s="19" t="inlineStr"/>
      <c r="Y243" s="20" t="n"/>
      <c r="Z243" s="19" t="inlineStr"/>
      <c r="AA243" s="18">
        <f>IF(OR(V243="Aprobada"),R243,IF(AND(OR(V243="Aprobada con ajuste",V243="Rechazada"),W243&lt;&gt;""),W243,""))</f>
        <v/>
      </c>
    </row>
    <row r="244">
      <c r="A244" s="18" t="inlineStr">
        <is>
          <t>C0243</t>
        </is>
      </c>
      <c r="B244" s="18" t="inlineStr">
        <is>
          <t>Registro académico</t>
        </is>
      </c>
      <c r="C244" s="18" t="inlineStr">
        <is>
          <t>academic_registration</t>
        </is>
      </c>
      <c r="D244" s="18" t="inlineStr">
        <is>
          <t>graduation_certificate_requests</t>
        </is>
      </c>
      <c r="E244" s="18" t="n">
        <v>392</v>
      </c>
      <c r="F244" s="18" t="inlineStr">
        <is>
          <t>validation_expires_at</t>
        </is>
      </c>
      <c r="G244" s="18" t="inlineStr">
        <is>
          <t>timestamp without time zone</t>
        </is>
      </c>
      <c r="H244" s="18" t="inlineStr">
        <is>
          <t>Sí</t>
        </is>
      </c>
      <c r="I244" s="18" t="inlineStr"/>
      <c r="J244" s="18" t="inlineStr"/>
      <c r="K244" s="18" t="inlineStr"/>
      <c r="L244" s="18" t="inlineStr">
        <is>
          <t>No</t>
        </is>
      </c>
      <c r="M244" s="18" t="inlineStr">
        <is>
          <t>No</t>
        </is>
      </c>
      <c r="N244" s="18" t="inlineStr"/>
      <c r="O244" s="18" t="inlineStr"/>
      <c r="P244" s="18" t="inlineStr">
        <is>
          <t>Mapeada en academic-registration-service/src/graduation-certificates/graduation-certificate-request.entity.ts:104 (GraduationCertificateRequest.validationExpiresAt)</t>
        </is>
      </c>
      <c r="Q244" s="18" t="inlineStr">
        <is>
          <t>Propuesta semántica</t>
        </is>
      </c>
      <c r="R244" s="18" t="inlineStr">
        <is>
          <t>Fecha y hora en que vence el código de validación de la solicitud.</t>
        </is>
      </c>
      <c r="S244" s="18" t="inlineStr">
        <is>
          <t>Media</t>
        </is>
      </c>
      <c r="T244" s="18" t="inlineStr">
        <is>
          <t>nombre + tipo + columnas vecinas (validation_code)</t>
        </is>
      </c>
      <c r="U244" s="18" t="inlineStr">
        <is>
          <t>¿El vencimiento aplica al código enviado al solicitante para confirmar la solicitud?</t>
        </is>
      </c>
      <c r="V244" s="19" t="inlineStr">
        <is>
          <t>Pendiente</t>
        </is>
      </c>
      <c r="W244" s="19" t="inlineStr"/>
      <c r="X244" s="19" t="inlineStr"/>
      <c r="Y244" s="20" t="n"/>
      <c r="Z244" s="19" t="inlineStr"/>
      <c r="AA244" s="18">
        <f>IF(OR(V244="Aprobada"),R244,IF(AND(OR(V244="Aprobada con ajuste",V244="Rechazada"),W244&lt;&gt;""),W244,""))</f>
        <v/>
      </c>
    </row>
    <row r="245">
      <c r="A245" s="18" t="inlineStr">
        <is>
          <t>C0244</t>
        </is>
      </c>
      <c r="B245" s="18" t="inlineStr">
        <is>
          <t>Registro académico</t>
        </is>
      </c>
      <c r="C245" s="18" t="inlineStr">
        <is>
          <t>academic_registration</t>
        </is>
      </c>
      <c r="D245" s="18" t="inlineStr">
        <is>
          <t>graduation_certificate_requests</t>
        </is>
      </c>
      <c r="E245" s="18" t="n">
        <v>392</v>
      </c>
      <c r="F245" s="18" t="inlineStr">
        <is>
          <t>is_validated</t>
        </is>
      </c>
      <c r="G245" s="18" t="inlineStr">
        <is>
          <t>boolean</t>
        </is>
      </c>
      <c r="H245" s="18" t="inlineStr">
        <is>
          <t>Sí</t>
        </is>
      </c>
      <c r="I245" s="18" t="inlineStr"/>
      <c r="J245" s="18" t="inlineStr"/>
      <c r="K245" s="18" t="inlineStr"/>
      <c r="L245" s="18" t="inlineStr">
        <is>
          <t>No</t>
        </is>
      </c>
      <c r="M245" s="18" t="inlineStr">
        <is>
          <t>No</t>
        </is>
      </c>
      <c r="N245" s="18" t="inlineStr"/>
      <c r="O245" s="18" t="inlineStr"/>
      <c r="P245" s="18" t="inlineStr">
        <is>
          <t>Mapeada en academic-registration-service/src/graduation-certificates/graduation-certificate-request.entity.ts:107 (GraduationCertificateRequest.isValidated)</t>
        </is>
      </c>
      <c r="Q245" s="18" t="inlineStr">
        <is>
          <t>Regla estructural</t>
        </is>
      </c>
      <c r="R245" s="18" t="inlineStr">
        <is>
          <t>Indica si aplica: validated.</t>
        </is>
      </c>
      <c r="S245" s="18" t="inlineStr">
        <is>
          <t>Media</t>
        </is>
      </c>
      <c r="T245" s="18" t="inlineStr">
        <is>
          <t>Convención de nombre de la columna.</t>
        </is>
      </c>
      <c r="U245" s="18" t="inlineStr"/>
      <c r="V245" s="19" t="inlineStr">
        <is>
          <t>Pendiente</t>
        </is>
      </c>
      <c r="W245" s="19" t="inlineStr"/>
      <c r="X245" s="19" t="inlineStr"/>
      <c r="Y245" s="20" t="n"/>
      <c r="Z245" s="19" t="inlineStr"/>
      <c r="AA245" s="18">
        <f>IF(OR(V245="Aprobada"),R245,IF(AND(OR(V245="Aprobada con ajuste",V245="Rechazada"),W245&lt;&gt;""),W245,""))</f>
        <v/>
      </c>
    </row>
    <row r="246">
      <c r="A246" s="18" t="inlineStr">
        <is>
          <t>C0245</t>
        </is>
      </c>
      <c r="B246" s="18" t="inlineStr">
        <is>
          <t>Registro académico</t>
        </is>
      </c>
      <c r="C246" s="18" t="inlineStr">
        <is>
          <t>academic_registration</t>
        </is>
      </c>
      <c r="D246" s="18" t="inlineStr">
        <is>
          <t>graduation_certificate_requests</t>
        </is>
      </c>
      <c r="E246" s="18" t="n">
        <v>392</v>
      </c>
      <c r="F246" s="18" t="inlineStr">
        <is>
          <t>status</t>
        </is>
      </c>
      <c r="G246" s="18" t="inlineStr">
        <is>
          <t>character varying(50)</t>
        </is>
      </c>
      <c r="H246" s="18" t="inlineStr">
        <is>
          <t>Sí</t>
        </is>
      </c>
      <c r="I246" s="18" t="inlineStr">
        <is>
          <t>CHECK</t>
        </is>
      </c>
      <c r="J246" s="18" t="inlineStr">
        <is>
          <t>COMPLETED, EXPIRED, PENDING, PROCESSING, REJECTED, VALIDATED</t>
        </is>
      </c>
      <c r="K246" s="18" t="inlineStr"/>
      <c r="L246" s="18" t="inlineStr">
        <is>
          <t>Sí</t>
        </is>
      </c>
      <c r="M246" s="18" t="inlineStr">
        <is>
          <t>No</t>
        </is>
      </c>
      <c r="N246" s="18" t="inlineStr"/>
      <c r="O246" s="18" t="inlineStr">
        <is>
          <t>idx_cert_requests_status</t>
        </is>
      </c>
      <c r="P246" s="18" t="inlineStr">
        <is>
          <t>academic-registration-service/src/graduation-certificates/graduation-certificate-request.entity.ts:111: Estado PENDING, VALIDATED, PROCESSING, COMPLETED, REJECTED, EXPIRED | db/migrations/old/042_create_graduation_tables.sql:102: Estado de la solicitud PENDING, VALIDATED, PROCESSING, COMPLETED, REJECTED</t>
        </is>
      </c>
      <c r="Q246" s="18" t="inlineStr">
        <is>
          <t>Código fuente</t>
        </is>
      </c>
      <c r="R246" s="18" t="inlineStr">
        <is>
          <t>Estado de la solicitud de certificado. Valores permitidos: PENDING, VALIDATED, PROCESSING, COMPLETED, REJECTED, EXPIRED; por defecto PENDING.</t>
        </is>
      </c>
      <c r="S246" s="18" t="inlineStr">
        <is>
          <t>Alta</t>
        </is>
      </c>
      <c r="T246" s="18" t="inlineStr">
        <is>
          <t>código: academic-registration-service/src/graduation-certificates/graduation-certificate-request.entity.ts:111</t>
        </is>
      </c>
      <c r="U246" s="18" t="inlineStr"/>
      <c r="V246" s="19" t="inlineStr">
        <is>
          <t>Pendiente</t>
        </is>
      </c>
      <c r="W246" s="19" t="inlineStr"/>
      <c r="X246" s="19" t="inlineStr"/>
      <c r="Y246" s="20" t="n"/>
      <c r="Z246" s="19" t="inlineStr"/>
      <c r="AA246" s="18">
        <f>IF(OR(V246="Aprobada"),R246,IF(AND(OR(V246="Aprobada con ajuste",V246="Rechazada"),W246&lt;&gt;""),W246,""))</f>
        <v/>
      </c>
    </row>
    <row r="247">
      <c r="A247" s="18" t="inlineStr">
        <is>
          <t>C0246</t>
        </is>
      </c>
      <c r="B247" s="18" t="inlineStr">
        <is>
          <t>Registro académico</t>
        </is>
      </c>
      <c r="C247" s="18" t="inlineStr">
        <is>
          <t>academic_registration</t>
        </is>
      </c>
      <c r="D247" s="18" t="inlineStr">
        <is>
          <t>graduation_certificate_requests</t>
        </is>
      </c>
      <c r="E247" s="18" t="n">
        <v>392</v>
      </c>
      <c r="F247" s="18" t="inlineStr">
        <is>
          <t>observations</t>
        </is>
      </c>
      <c r="G247" s="18" t="inlineStr">
        <is>
          <t>text</t>
        </is>
      </c>
      <c r="H247" s="18" t="inlineStr">
        <is>
          <t>Sí</t>
        </is>
      </c>
      <c r="I247" s="18" t="inlineStr"/>
      <c r="J247" s="18" t="inlineStr"/>
      <c r="K247" s="18" t="inlineStr"/>
      <c r="L247" s="18" t="inlineStr">
        <is>
          <t>No</t>
        </is>
      </c>
      <c r="M247" s="18" t="inlineStr">
        <is>
          <t>No</t>
        </is>
      </c>
      <c r="N247" s="18" t="inlineStr"/>
      <c r="O247" s="18" t="inlineStr"/>
      <c r="P247" s="18" t="inlineStr">
        <is>
          <t>academic-registration-service/src/graduation-certificates/graduation-certificate-request.entity.ts:115: Observaciones | db/migrations/old/042_create_graduation_tables.sql:105: Observaciones</t>
        </is>
      </c>
      <c r="Q247" s="18" t="inlineStr">
        <is>
          <t>Código fuente</t>
        </is>
      </c>
      <c r="R247" s="18" t="inlineStr">
        <is>
          <t>Observaciones sobre la solicitud de certificado.</t>
        </is>
      </c>
      <c r="S247" s="18" t="inlineStr">
        <is>
          <t>Alta</t>
        </is>
      </c>
      <c r="T247" s="18" t="inlineStr">
        <is>
          <t>código: academic-registration-service/src/graduation-certificates/graduation-certificate-request.entity.ts:115</t>
        </is>
      </c>
      <c r="U247" s="18" t="inlineStr"/>
      <c r="V247" s="19" t="inlineStr">
        <is>
          <t>Pendiente</t>
        </is>
      </c>
      <c r="W247" s="19" t="inlineStr"/>
      <c r="X247" s="19" t="inlineStr"/>
      <c r="Y247" s="20" t="n"/>
      <c r="Z247" s="19" t="inlineStr"/>
      <c r="AA247" s="18">
        <f>IF(OR(V247="Aprobada"),R247,IF(AND(OR(V247="Aprobada con ajuste",V247="Rechazada"),W247&lt;&gt;""),W247,""))</f>
        <v/>
      </c>
    </row>
    <row r="248">
      <c r="A248" s="18" t="inlineStr">
        <is>
          <t>C0247</t>
        </is>
      </c>
      <c r="B248" s="18" t="inlineStr">
        <is>
          <t>Registro académico</t>
        </is>
      </c>
      <c r="C248" s="18" t="inlineStr">
        <is>
          <t>academic_registration</t>
        </is>
      </c>
      <c r="D248" s="18" t="inlineStr">
        <is>
          <t>graduation_certificate_requests</t>
        </is>
      </c>
      <c r="E248" s="18" t="n">
        <v>392</v>
      </c>
      <c r="F248" s="18" t="inlineStr">
        <is>
          <t>rejection_reason</t>
        </is>
      </c>
      <c r="G248" s="18" t="inlineStr">
        <is>
          <t>text</t>
        </is>
      </c>
      <c r="H248" s="18" t="inlineStr">
        <is>
          <t>Sí</t>
        </is>
      </c>
      <c r="I248" s="18" t="inlineStr"/>
      <c r="J248" s="18" t="inlineStr"/>
      <c r="K248" s="18" t="inlineStr"/>
      <c r="L248" s="18" t="inlineStr">
        <is>
          <t>No</t>
        </is>
      </c>
      <c r="M248" s="18" t="inlineStr">
        <is>
          <t>No</t>
        </is>
      </c>
      <c r="N248" s="18" t="inlineStr"/>
      <c r="O248" s="18" t="inlineStr"/>
      <c r="P248" s="18" t="inlineStr">
        <is>
          <t>Mapeada en academic-registration-service/src/graduation-certificates/graduation-certificate-request.entity.ts:118 (GraduationCertificateRequest.rejectionReason)</t>
        </is>
      </c>
      <c r="Q248" s="18" t="inlineStr">
        <is>
          <t>Propuesta semántica</t>
        </is>
      </c>
      <c r="R248" s="18" t="inlineStr">
        <is>
          <t>Motivo del rechazo de la solicitud.</t>
        </is>
      </c>
      <c r="S248" s="18" t="inlineStr">
        <is>
          <t>Alta</t>
        </is>
      </c>
      <c r="T248" s="18" t="inlineStr">
        <is>
          <t>nombre + tipo + columnas vecinas (status)</t>
        </is>
      </c>
      <c r="U248" s="18" t="inlineStr"/>
      <c r="V248" s="19" t="inlineStr">
        <is>
          <t>Pendiente</t>
        </is>
      </c>
      <c r="W248" s="19" t="inlineStr"/>
      <c r="X248" s="19" t="inlineStr"/>
      <c r="Y248" s="20" t="n"/>
      <c r="Z248" s="19" t="inlineStr"/>
      <c r="AA248" s="18">
        <f>IF(OR(V248="Aprobada"),R248,IF(AND(OR(V248="Aprobada con ajuste",V248="Rechazada"),W248&lt;&gt;""),W248,""))</f>
        <v/>
      </c>
    </row>
    <row r="249">
      <c r="A249" s="18" t="inlineStr">
        <is>
          <t>C0248</t>
        </is>
      </c>
      <c r="B249" s="18" t="inlineStr">
        <is>
          <t>Registro académico</t>
        </is>
      </c>
      <c r="C249" s="18" t="inlineStr">
        <is>
          <t>academic_registration</t>
        </is>
      </c>
      <c r="D249" s="18" t="inlineStr">
        <is>
          <t>graduation_certificate_requests</t>
        </is>
      </c>
      <c r="E249" s="18" t="n">
        <v>392</v>
      </c>
      <c r="F249" s="18" t="inlineStr">
        <is>
          <t>request_date</t>
        </is>
      </c>
      <c r="G249" s="18" t="inlineStr">
        <is>
          <t>timestamp without time zone</t>
        </is>
      </c>
      <c r="H249" s="18" t="inlineStr">
        <is>
          <t>Sí</t>
        </is>
      </c>
      <c r="I249" s="18" t="inlineStr"/>
      <c r="J249" s="18" t="inlineStr"/>
      <c r="K249" s="18" t="inlineStr"/>
      <c r="L249" s="18" t="inlineStr">
        <is>
          <t>No</t>
        </is>
      </c>
      <c r="M249" s="18" t="inlineStr">
        <is>
          <t>No</t>
        </is>
      </c>
      <c r="N249" s="18" t="inlineStr"/>
      <c r="O249" s="18" t="inlineStr">
        <is>
          <t>idx_cert_requests_date</t>
        </is>
      </c>
      <c r="P249" s="18" t="inlineStr">
        <is>
          <t>academic-registration-service/src/graduation-certificates/graduation-certificate-request.entity.ts:210: Fechas | db/migrations/old/042_create_graduation_tables.sql:109: Fechas</t>
        </is>
      </c>
      <c r="Q249" s="18" t="inlineStr">
        <is>
          <t>Código fuente</t>
        </is>
      </c>
      <c r="R249" s="18" t="inlineStr">
        <is>
          <t>Fecha y hora en que se registró la solicitud; por defecto el momento de creación.</t>
        </is>
      </c>
      <c r="S249" s="18" t="inlineStr">
        <is>
          <t>Alta</t>
        </is>
      </c>
      <c r="T249" s="18" t="inlineStr">
        <is>
          <t>código: academic-registration-service/src/graduation-certificates/graduation-certificate-request.entity.ts:210</t>
        </is>
      </c>
      <c r="U249" s="18" t="inlineStr"/>
      <c r="V249" s="19" t="inlineStr">
        <is>
          <t>Pendiente</t>
        </is>
      </c>
      <c r="W249" s="19" t="inlineStr"/>
      <c r="X249" s="19" t="inlineStr"/>
      <c r="Y249" s="20" t="n"/>
      <c r="Z249" s="19" t="inlineStr"/>
      <c r="AA249" s="18">
        <f>IF(OR(V249="Aprobada"),R249,IF(AND(OR(V249="Aprobada con ajuste",V249="Rechazada"),W249&lt;&gt;""),W249,""))</f>
        <v/>
      </c>
    </row>
    <row r="250">
      <c r="A250" s="18" t="inlineStr">
        <is>
          <t>C0249</t>
        </is>
      </c>
      <c r="B250" s="18" t="inlineStr">
        <is>
          <t>Registro académico</t>
        </is>
      </c>
      <c r="C250" s="18" t="inlineStr">
        <is>
          <t>academic_registration</t>
        </is>
      </c>
      <c r="D250" s="18" t="inlineStr">
        <is>
          <t>graduation_certificate_requests</t>
        </is>
      </c>
      <c r="E250" s="18" t="n">
        <v>392</v>
      </c>
      <c r="F250" s="18" t="inlineStr">
        <is>
          <t>validation_date</t>
        </is>
      </c>
      <c r="G250" s="18" t="inlineStr">
        <is>
          <t>timestamp without time zone</t>
        </is>
      </c>
      <c r="H250" s="18" t="inlineStr">
        <is>
          <t>Sí</t>
        </is>
      </c>
      <c r="I250" s="18" t="inlineStr"/>
      <c r="J250" s="18" t="inlineStr"/>
      <c r="K250" s="18" t="inlineStr"/>
      <c r="L250" s="18" t="inlineStr">
        <is>
          <t>No</t>
        </is>
      </c>
      <c r="M250" s="18" t="inlineStr">
        <is>
          <t>No</t>
        </is>
      </c>
      <c r="N250" s="18" t="inlineStr"/>
      <c r="O250" s="18" t="inlineStr"/>
      <c r="P250" s="18" t="inlineStr">
        <is>
          <t>Mapeada en academic-registration-service/src/graduation-certificates/graduation-certificate-request.entity.ts:213 (GraduationCertificateRequest.validationDate)</t>
        </is>
      </c>
      <c r="Q250" s="18" t="inlineStr">
        <is>
          <t>Propuesta semántica</t>
        </is>
      </c>
      <c r="R250" s="18" t="inlineStr">
        <is>
          <t>Fecha y hora en que se validó la solicitud.</t>
        </is>
      </c>
      <c r="S250" s="18" t="inlineStr">
        <is>
          <t>Media</t>
        </is>
      </c>
      <c r="T250" s="18" t="inlineStr">
        <is>
          <t>nombre + tipo + columnas vecinas (is_validated, validation_code)</t>
        </is>
      </c>
      <c r="U250" s="18" t="inlineStr">
        <is>
          <t>¿Corresponde al momento en que el solicitante ingresó el código de validación?</t>
        </is>
      </c>
      <c r="V250" s="19" t="inlineStr">
        <is>
          <t>Pendiente</t>
        </is>
      </c>
      <c r="W250" s="19" t="inlineStr"/>
      <c r="X250" s="19" t="inlineStr"/>
      <c r="Y250" s="20" t="n"/>
      <c r="Z250" s="19" t="inlineStr"/>
      <c r="AA250" s="18">
        <f>IF(OR(V250="Aprobada"),R250,IF(AND(OR(V250="Aprobada con ajuste",V250="Rechazada"),W250&lt;&gt;""),W250,""))</f>
        <v/>
      </c>
    </row>
    <row r="251">
      <c r="A251" s="18" t="inlineStr">
        <is>
          <t>C0250</t>
        </is>
      </c>
      <c r="B251" s="18" t="inlineStr">
        <is>
          <t>Registro académico</t>
        </is>
      </c>
      <c r="C251" s="18" t="inlineStr">
        <is>
          <t>academic_registration</t>
        </is>
      </c>
      <c r="D251" s="18" t="inlineStr">
        <is>
          <t>graduation_certificate_requests</t>
        </is>
      </c>
      <c r="E251" s="18" t="n">
        <v>392</v>
      </c>
      <c r="F251" s="18" t="inlineStr">
        <is>
          <t>completion_date</t>
        </is>
      </c>
      <c r="G251" s="18" t="inlineStr">
        <is>
          <t>timestamp without time zone</t>
        </is>
      </c>
      <c r="H251" s="18" t="inlineStr">
        <is>
          <t>Sí</t>
        </is>
      </c>
      <c r="I251" s="18" t="inlineStr"/>
      <c r="J251" s="18" t="inlineStr"/>
      <c r="K251" s="18" t="inlineStr"/>
      <c r="L251" s="18" t="inlineStr">
        <is>
          <t>No</t>
        </is>
      </c>
      <c r="M251" s="18" t="inlineStr">
        <is>
          <t>No</t>
        </is>
      </c>
      <c r="N251" s="18" t="inlineStr"/>
      <c r="O251" s="18" t="inlineStr"/>
      <c r="P251" s="18" t="inlineStr">
        <is>
          <t>Mapeada en academic-registration-service/src/graduation-certificates/graduation-certificate-request.entity.ts:216 (GraduationCertificateRequest.completionDate)</t>
        </is>
      </c>
      <c r="Q251" s="18" t="inlineStr">
        <is>
          <t>Propuesta semántica</t>
        </is>
      </c>
      <c r="R251" s="18" t="inlineStr">
        <is>
          <t>Fecha y hora en que se completó la solicitud.</t>
        </is>
      </c>
      <c r="S251" s="18" t="inlineStr">
        <is>
          <t>Media</t>
        </is>
      </c>
      <c r="T251" s="18" t="inlineStr">
        <is>
          <t>nombre + tipo + columnas vecinas (status)</t>
        </is>
      </c>
      <c r="U251" s="18" t="inlineStr">
        <is>
          <t>¿La solicitud se considera completada al emitir el certificado o al entregarlo?</t>
        </is>
      </c>
      <c r="V251" s="19" t="inlineStr">
        <is>
          <t>Pendiente</t>
        </is>
      </c>
      <c r="W251" s="19" t="inlineStr"/>
      <c r="X251" s="19" t="inlineStr"/>
      <c r="Y251" s="20" t="n"/>
      <c r="Z251" s="19" t="inlineStr"/>
      <c r="AA251" s="18">
        <f>IF(OR(V251="Aprobada"),R251,IF(AND(OR(V251="Aprobada con ajuste",V251="Rechazada"),W251&lt;&gt;""),W251,""))</f>
        <v/>
      </c>
    </row>
    <row r="252">
      <c r="A252" s="18" t="inlineStr">
        <is>
          <t>C0251</t>
        </is>
      </c>
      <c r="B252" s="18" t="inlineStr">
        <is>
          <t>Registro académico</t>
        </is>
      </c>
      <c r="C252" s="18" t="inlineStr">
        <is>
          <t>academic_registration</t>
        </is>
      </c>
      <c r="D252" s="18" t="inlineStr">
        <is>
          <t>graduation_certificate_requests</t>
        </is>
      </c>
      <c r="E252" s="18" t="n">
        <v>392</v>
      </c>
      <c r="F252" s="18" t="inlineStr">
        <is>
          <t>id_issue_date</t>
        </is>
      </c>
      <c r="G252" s="18" t="inlineStr">
        <is>
          <t>date</t>
        </is>
      </c>
      <c r="H252" s="18" t="inlineStr">
        <is>
          <t>Sí</t>
        </is>
      </c>
      <c r="I252" s="18" t="inlineStr"/>
      <c r="J252" s="18" t="inlineStr"/>
      <c r="K252" s="18" t="inlineStr"/>
      <c r="L252" s="18" t="inlineStr">
        <is>
          <t>No</t>
        </is>
      </c>
      <c r="M252" s="18" t="inlineStr">
        <is>
          <t>No</t>
        </is>
      </c>
      <c r="N252" s="18" t="inlineStr"/>
      <c r="O252" s="18" t="inlineStr"/>
      <c r="P252" s="18" t="inlineStr">
        <is>
          <t>Mapeada en academic-registration-service/src/graduation-certificates/graduation-certificate-request.entity.ts:48 (GraduationCertificateRequest.idIssueDate)</t>
        </is>
      </c>
      <c r="Q252" s="18" t="inlineStr">
        <is>
          <t>Propuesta semántica</t>
        </is>
      </c>
      <c r="R252" s="18" t="inlineStr">
        <is>
          <t>Fecha de expedición del documento de identidad del graduado.</t>
        </is>
      </c>
      <c r="S252" s="18" t="inlineStr">
        <is>
          <t>Alta</t>
        </is>
      </c>
      <c r="T252" s="18" t="inlineStr">
        <is>
          <t>nombre + tipo + columnas vecinas (id_number)</t>
        </is>
      </c>
      <c r="U252" s="18" t="inlineStr"/>
      <c r="V252" s="19" t="inlineStr">
        <is>
          <t>Pendiente</t>
        </is>
      </c>
      <c r="W252" s="19" t="inlineStr"/>
      <c r="X252" s="19" t="inlineStr"/>
      <c r="Y252" s="20" t="n"/>
      <c r="Z252" s="19" t="inlineStr"/>
      <c r="AA252" s="18">
        <f>IF(OR(V252="Aprobada"),R252,IF(AND(OR(V252="Aprobada con ajuste",V252="Rechazada"),W252&lt;&gt;""),W252,""))</f>
        <v/>
      </c>
    </row>
    <row r="253">
      <c r="A253" s="18" t="inlineStr">
        <is>
          <t>C0252</t>
        </is>
      </c>
      <c r="B253" s="18" t="inlineStr">
        <is>
          <t>Registro académico</t>
        </is>
      </c>
      <c r="C253" s="18" t="inlineStr">
        <is>
          <t>academic_registration</t>
        </is>
      </c>
      <c r="D253" s="18" t="inlineStr">
        <is>
          <t>graduation_certificate_requests</t>
        </is>
      </c>
      <c r="E253" s="18" t="n">
        <v>392</v>
      </c>
      <c r="F253" s="18" t="inlineStr">
        <is>
          <t>manual_review</t>
        </is>
      </c>
      <c r="G253" s="18" t="inlineStr">
        <is>
          <t>boolean</t>
        </is>
      </c>
      <c r="H253" s="18" t="inlineStr">
        <is>
          <t>Sí</t>
        </is>
      </c>
      <c r="I253" s="18" t="inlineStr">
        <is>
          <t>CHECK</t>
        </is>
      </c>
      <c r="J253" s="18" t="inlineStr"/>
      <c r="K253" s="18" t="inlineStr"/>
      <c r="L253" s="18" t="inlineStr">
        <is>
          <t>No</t>
        </is>
      </c>
      <c r="M253" s="18" t="inlineStr">
        <is>
          <t>No</t>
        </is>
      </c>
      <c r="N253" s="18" t="inlineStr"/>
      <c r="O253" s="18" t="inlineStr">
        <is>
          <t>idx_graduation_certificate_requests_manual_review</t>
        </is>
      </c>
      <c r="P253" s="18" t="inlineStr">
        <is>
          <t>academic-registration-service/src/graduation-certificates/graduation-certificate-request.entity.ts:122: Revisión manual (casos no encontrados)</t>
        </is>
      </c>
      <c r="Q253" s="18" t="inlineStr">
        <is>
          <t>Código fuente</t>
        </is>
      </c>
      <c r="R253" s="18" t="inlineStr">
        <is>
          <t>Indica si la solicitud requiere revisión manual, en los casos en que el graduado no se encuentra en los registros; por defecto falso.</t>
        </is>
      </c>
      <c r="S253" s="18" t="inlineStr">
        <is>
          <t>Alta</t>
        </is>
      </c>
      <c r="T253" s="18" t="inlineStr">
        <is>
          <t>código: academic-registration-service/src/graduation-certificates/graduation-certificate-request.entity.ts:122</t>
        </is>
      </c>
      <c r="U253" s="18" t="inlineStr"/>
      <c r="V253" s="19" t="inlineStr">
        <is>
          <t>Pendiente</t>
        </is>
      </c>
      <c r="W253" s="19" t="inlineStr"/>
      <c r="X253" s="19" t="inlineStr"/>
      <c r="Y253" s="20" t="n"/>
      <c r="Z253" s="19" t="inlineStr"/>
      <c r="AA253" s="18">
        <f>IF(OR(V253="Aprobada"),R253,IF(AND(OR(V253="Aprobada con ajuste",V253="Rechazada"),W253&lt;&gt;""),W253,""))</f>
        <v/>
      </c>
    </row>
    <row r="254">
      <c r="A254" s="18" t="inlineStr">
        <is>
          <t>C0253</t>
        </is>
      </c>
      <c r="B254" s="18" t="inlineStr">
        <is>
          <t>Registro académico</t>
        </is>
      </c>
      <c r="C254" s="18" t="inlineStr">
        <is>
          <t>academic_registration</t>
        </is>
      </c>
      <c r="D254" s="18" t="inlineStr">
        <is>
          <t>graduation_certificate_requests</t>
        </is>
      </c>
      <c r="E254" s="18" t="n">
        <v>392</v>
      </c>
      <c r="F254" s="18" t="inlineStr">
        <is>
          <t>reviewed_at</t>
        </is>
      </c>
      <c r="G254" s="18" t="inlineStr">
        <is>
          <t>timestamp without time zone</t>
        </is>
      </c>
      <c r="H254" s="18" t="inlineStr">
        <is>
          <t>Sí</t>
        </is>
      </c>
      <c r="I254" s="18" t="inlineStr"/>
      <c r="J254" s="18" t="inlineStr"/>
      <c r="K254" s="18" t="inlineStr"/>
      <c r="L254" s="18" t="inlineStr">
        <is>
          <t>No</t>
        </is>
      </c>
      <c r="M254" s="18" t="inlineStr">
        <is>
          <t>No</t>
        </is>
      </c>
      <c r="N254" s="18" t="inlineStr"/>
      <c r="O254" s="18" t="inlineStr"/>
      <c r="P254" s="18" t="inlineStr">
        <is>
          <t>Mapeada en academic-registration-service/src/graduation-certificates/graduation-certificate-request.entity.ts:125 (GraduationCertificateRequest.reviewedAt)</t>
        </is>
      </c>
      <c r="Q254" s="18" t="inlineStr">
        <is>
          <t>Regla estructural</t>
        </is>
      </c>
      <c r="R254" s="18" t="inlineStr">
        <is>
          <t>Fecha y hora de la revisión.</t>
        </is>
      </c>
      <c r="S254" s="18" t="inlineStr">
        <is>
          <t>Media</t>
        </is>
      </c>
      <c r="T254" s="18" t="inlineStr">
        <is>
          <t>Convención de nombre de la columna.</t>
        </is>
      </c>
      <c r="U254" s="18" t="inlineStr"/>
      <c r="V254" s="19" t="inlineStr">
        <is>
          <t>Pendiente</t>
        </is>
      </c>
      <c r="W254" s="19" t="inlineStr"/>
      <c r="X254" s="19" t="inlineStr"/>
      <c r="Y254" s="20" t="n"/>
      <c r="Z254" s="19" t="inlineStr"/>
      <c r="AA254" s="18">
        <f>IF(OR(V254="Aprobada"),R254,IF(AND(OR(V254="Aprobada con ajuste",V254="Rechazada"),W254&lt;&gt;""),W254,""))</f>
        <v/>
      </c>
    </row>
    <row r="255">
      <c r="A255" s="18" t="inlineStr">
        <is>
          <t>C0254</t>
        </is>
      </c>
      <c r="B255" s="18" t="inlineStr">
        <is>
          <t>Registro académico</t>
        </is>
      </c>
      <c r="C255" s="18" t="inlineStr">
        <is>
          <t>academic_registration</t>
        </is>
      </c>
      <c r="D255" s="18" t="inlineStr">
        <is>
          <t>graduation_certificate_requests</t>
        </is>
      </c>
      <c r="E255" s="18" t="n">
        <v>392</v>
      </c>
      <c r="F255" s="18" t="inlineStr">
        <is>
          <t>reviewed_by</t>
        </is>
      </c>
      <c r="G255" s="18" t="inlineStr">
        <is>
          <t>character varying(100)</t>
        </is>
      </c>
      <c r="H255" s="18" t="inlineStr">
        <is>
          <t>Sí</t>
        </is>
      </c>
      <c r="I255" s="18" t="inlineStr"/>
      <c r="J255" s="18" t="inlineStr"/>
      <c r="K255" s="18" t="inlineStr"/>
      <c r="L255" s="18" t="inlineStr">
        <is>
          <t>No</t>
        </is>
      </c>
      <c r="M255" s="18" t="inlineStr">
        <is>
          <t>No</t>
        </is>
      </c>
      <c r="N255" s="18" t="inlineStr"/>
      <c r="O255" s="18" t="inlineStr"/>
      <c r="P255" s="18" t="inlineStr">
        <is>
          <t>Mapeada en academic-registration-service/src/graduation-certificates/graduation-certificate-request.entity.ts:128 (GraduationCertificateRequest.reviewedBy)</t>
        </is>
      </c>
      <c r="Q255" s="18" t="inlineStr">
        <is>
          <t>Propuesta semántica</t>
        </is>
      </c>
      <c r="R255" s="18" t="inlineStr">
        <is>
          <t>Identificador del usuario que revisó la solicitud.</t>
        </is>
      </c>
      <c r="S255" s="18" t="inlineStr">
        <is>
          <t>Media</t>
        </is>
      </c>
      <c r="T255" s="18" t="inlineStr">
        <is>
          <t>nombre + tipo + columnas vecinas (reviewer_name, reviewed_at)</t>
        </is>
      </c>
      <c r="U255" s="18" t="inlineStr">
        <is>
          <t>¿reviewed_by guarda el id del usuario en auth o su correo?</t>
        </is>
      </c>
      <c r="V255" s="19" t="inlineStr">
        <is>
          <t>Pendiente</t>
        </is>
      </c>
      <c r="W255" s="19" t="inlineStr"/>
      <c r="X255" s="19" t="inlineStr"/>
      <c r="Y255" s="20" t="n"/>
      <c r="Z255" s="19" t="inlineStr"/>
      <c r="AA255" s="18">
        <f>IF(OR(V255="Aprobada"),R255,IF(AND(OR(V255="Aprobada con ajuste",V255="Rechazada"),W255&lt;&gt;""),W255,""))</f>
        <v/>
      </c>
    </row>
    <row r="256">
      <c r="A256" s="18" t="inlineStr">
        <is>
          <t>C0255</t>
        </is>
      </c>
      <c r="B256" s="18" t="inlineStr">
        <is>
          <t>Registro académico</t>
        </is>
      </c>
      <c r="C256" s="18" t="inlineStr">
        <is>
          <t>academic_registration</t>
        </is>
      </c>
      <c r="D256" s="18" t="inlineStr">
        <is>
          <t>graduation_certificate_requests</t>
        </is>
      </c>
      <c r="E256" s="18" t="n">
        <v>392</v>
      </c>
      <c r="F256" s="18" t="inlineStr">
        <is>
          <t>reviewer_name</t>
        </is>
      </c>
      <c r="G256" s="18" t="inlineStr">
        <is>
          <t>character varying(255)</t>
        </is>
      </c>
      <c r="H256" s="18" t="inlineStr">
        <is>
          <t>Sí</t>
        </is>
      </c>
      <c r="I256" s="18" t="inlineStr"/>
      <c r="J256" s="18" t="inlineStr"/>
      <c r="K256" s="18" t="inlineStr"/>
      <c r="L256" s="18" t="inlineStr">
        <is>
          <t>No</t>
        </is>
      </c>
      <c r="M256" s="18" t="inlineStr">
        <is>
          <t>No</t>
        </is>
      </c>
      <c r="N256" s="18" t="inlineStr"/>
      <c r="O256" s="18" t="inlineStr"/>
      <c r="P256" s="18" t="inlineStr">
        <is>
          <t>Mapeada en academic-registration-service/src/graduation-certificates/graduation-certificate-request.entity.ts:131 (GraduationCertificateRequest.reviewerName)</t>
        </is>
      </c>
      <c r="Q256" s="18" t="inlineStr">
        <is>
          <t>Propuesta semántica</t>
        </is>
      </c>
      <c r="R256" s="18" t="inlineStr">
        <is>
          <t>Nombre del usuario que revisó la solicitud.</t>
        </is>
      </c>
      <c r="S256" s="18" t="inlineStr">
        <is>
          <t>Alta</t>
        </is>
      </c>
      <c r="T256" s="18" t="inlineStr">
        <is>
          <t>nombre + tipo + columnas vecinas (reviewed_by)</t>
        </is>
      </c>
      <c r="U256" s="18" t="inlineStr"/>
      <c r="V256" s="19" t="inlineStr">
        <is>
          <t>Pendiente</t>
        </is>
      </c>
      <c r="W256" s="19" t="inlineStr"/>
      <c r="X256" s="19" t="inlineStr"/>
      <c r="Y256" s="20" t="n"/>
      <c r="Z256" s="19" t="inlineStr"/>
      <c r="AA256" s="18">
        <f>IF(OR(V256="Aprobada"),R256,IF(AND(OR(V256="Aprobada con ajuste",V256="Rechazada"),W256&lt;&gt;""),W256,""))</f>
        <v/>
      </c>
    </row>
    <row r="257">
      <c r="A257" s="18" t="inlineStr">
        <is>
          <t>C0256</t>
        </is>
      </c>
      <c r="B257" s="18" t="inlineStr">
        <is>
          <t>Registro académico</t>
        </is>
      </c>
      <c r="C257" s="18" t="inlineStr">
        <is>
          <t>academic_registration</t>
        </is>
      </c>
      <c r="D257" s="18" t="inlineStr">
        <is>
          <t>graduation_certificate_requests</t>
        </is>
      </c>
      <c r="E257" s="18" t="n">
        <v>392</v>
      </c>
      <c r="F257" s="18" t="inlineStr">
        <is>
          <t>review_notes</t>
        </is>
      </c>
      <c r="G257" s="18" t="inlineStr">
        <is>
          <t>text</t>
        </is>
      </c>
      <c r="H257" s="18" t="inlineStr">
        <is>
          <t>Sí</t>
        </is>
      </c>
      <c r="I257" s="18" t="inlineStr"/>
      <c r="J257" s="18" t="inlineStr"/>
      <c r="K257" s="18" t="inlineStr"/>
      <c r="L257" s="18" t="inlineStr">
        <is>
          <t>No</t>
        </is>
      </c>
      <c r="M257" s="18" t="inlineStr">
        <is>
          <t>No</t>
        </is>
      </c>
      <c r="N257" s="18" t="inlineStr"/>
      <c r="O257" s="18" t="inlineStr"/>
      <c r="P257" s="18" t="inlineStr">
        <is>
          <t>Mapeada en academic-registration-service/src/graduation-certificates/graduation-certificate-request.entity.ts:134 (GraduationCertificateRequest.reviewNotes)</t>
        </is>
      </c>
      <c r="Q257" s="18" t="inlineStr">
        <is>
          <t>Propuesta semántica</t>
        </is>
      </c>
      <c r="R257" s="18" t="inlineStr">
        <is>
          <t>Observaciones registradas en la revisión de la solicitud.</t>
        </is>
      </c>
      <c r="S257" s="18" t="inlineStr">
        <is>
          <t>Alta</t>
        </is>
      </c>
      <c r="T257" s="18" t="inlineStr">
        <is>
          <t>nombre + tipo + columnas vecinas</t>
        </is>
      </c>
      <c r="U257" s="18" t="inlineStr"/>
      <c r="V257" s="19" t="inlineStr">
        <is>
          <t>Pendiente</t>
        </is>
      </c>
      <c r="W257" s="19" t="inlineStr"/>
      <c r="X257" s="19" t="inlineStr"/>
      <c r="Y257" s="20" t="n"/>
      <c r="Z257" s="19" t="inlineStr"/>
      <c r="AA257" s="18">
        <f>IF(OR(V257="Aprobada"),R257,IF(AND(OR(V257="Aprobada con ajuste",V257="Rechazada"),W257&lt;&gt;""),W257,""))</f>
        <v/>
      </c>
    </row>
    <row r="258">
      <c r="A258" s="18" t="inlineStr">
        <is>
          <t>C0257</t>
        </is>
      </c>
      <c r="B258" s="18" t="inlineStr">
        <is>
          <t>Registro académico</t>
        </is>
      </c>
      <c r="C258" s="18" t="inlineStr">
        <is>
          <t>academic_registration</t>
        </is>
      </c>
      <c r="D258" s="18" t="inlineStr">
        <is>
          <t>graduation_certificate_requests</t>
        </is>
      </c>
      <c r="E258" s="18" t="n">
        <v>392</v>
      </c>
      <c r="F258" s="18" t="inlineStr">
        <is>
          <t>review_resolution</t>
        </is>
      </c>
      <c r="G258" s="18" t="inlineStr">
        <is>
          <t>character varying(50)</t>
        </is>
      </c>
      <c r="H258" s="18" t="inlineStr">
        <is>
          <t>Sí</t>
        </is>
      </c>
      <c r="I258" s="18" t="inlineStr"/>
      <c r="J258" s="18" t="inlineStr"/>
      <c r="K258" s="18" t="inlineStr"/>
      <c r="L258" s="18" t="inlineStr">
        <is>
          <t>No</t>
        </is>
      </c>
      <c r="M258" s="18" t="inlineStr">
        <is>
          <t>No</t>
        </is>
      </c>
      <c r="N258" s="18" t="inlineStr"/>
      <c r="O258" s="18" t="inlineStr"/>
      <c r="P258" s="18" t="inlineStr">
        <is>
          <t>Mapeada en academic-registration-service/src/graduation-certificates/graduation-certificate-request.entity.ts:137 (GraduationCertificateRequest.reviewResolution)</t>
        </is>
      </c>
      <c r="Q258" s="18" t="inlineStr">
        <is>
          <t>Propuesta semántica</t>
        </is>
      </c>
      <c r="R258" s="18" t="inlineStr">
        <is>
          <t>Resultado de la revisión de la solicitud.</t>
        </is>
      </c>
      <c r="S258" s="18" t="inlineStr">
        <is>
          <t>Baja</t>
        </is>
      </c>
      <c r="T258" s="18" t="inlineStr">
        <is>
          <t>nombre + tipo + columnas vecinas</t>
        </is>
      </c>
      <c r="U258" s="18" t="inlineStr">
        <is>
          <t>¿Qué valores toma review_resolution y en qué se diferencia de review_recommendation y approval_status?</t>
        </is>
      </c>
      <c r="V258" s="19" t="inlineStr">
        <is>
          <t>Pendiente</t>
        </is>
      </c>
      <c r="W258" s="19" t="inlineStr"/>
      <c r="X258" s="19" t="inlineStr"/>
      <c r="Y258" s="20" t="n"/>
      <c r="Z258" s="19" t="inlineStr"/>
      <c r="AA258" s="18">
        <f>IF(OR(V258="Aprobada"),R258,IF(AND(OR(V258="Aprobada con ajuste",V258="Rechazada"),W258&lt;&gt;""),W258,""))</f>
        <v/>
      </c>
    </row>
    <row r="259">
      <c r="A259" s="18" t="inlineStr">
        <is>
          <t>C0258</t>
        </is>
      </c>
      <c r="B259" s="18" t="inlineStr">
        <is>
          <t>Registro académico</t>
        </is>
      </c>
      <c r="C259" s="18" t="inlineStr">
        <is>
          <t>academic_registration</t>
        </is>
      </c>
      <c r="D259" s="18" t="inlineStr">
        <is>
          <t>graduation_certificate_requests</t>
        </is>
      </c>
      <c r="E259" s="18" t="n">
        <v>392</v>
      </c>
      <c r="F259" s="18" t="inlineStr">
        <is>
          <t>graduate_last_name</t>
        </is>
      </c>
      <c r="G259" s="18" t="inlineStr">
        <is>
          <t>character varying(255)</t>
        </is>
      </c>
      <c r="H259" s="18" t="inlineStr">
        <is>
          <t>Sí</t>
        </is>
      </c>
      <c r="I259" s="18" t="inlineStr"/>
      <c r="J259" s="18" t="inlineStr"/>
      <c r="K259" s="18" t="inlineStr"/>
      <c r="L259" s="18" t="inlineStr">
        <is>
          <t>No</t>
        </is>
      </c>
      <c r="M259" s="18" t="inlineStr">
        <is>
          <t>No</t>
        </is>
      </c>
      <c r="N259" s="18" t="inlineStr"/>
      <c r="O259" s="18" t="inlineStr"/>
      <c r="P259" s="18" t="inlineStr">
        <is>
          <t>Mapeada en academic-registration-service/src/graduation-certificates/graduation-certificate-request.entity.ts:54 (GraduationCertificateRequest.graduateLastName)</t>
        </is>
      </c>
      <c r="Q259" s="18" t="inlineStr">
        <is>
          <t>Propuesta semántica</t>
        </is>
      </c>
      <c r="R259" s="18" t="inlineStr">
        <is>
          <t>Apellidos del graduado sobre el que se solicita el certificado.</t>
        </is>
      </c>
      <c r="S259" s="18" t="inlineStr">
        <is>
          <t>Alta</t>
        </is>
      </c>
      <c r="T259" s="18" t="inlineStr">
        <is>
          <t>nombre + tipo + columnas vecinas</t>
        </is>
      </c>
      <c r="U259" s="18" t="inlineStr"/>
      <c r="V259" s="19" t="inlineStr">
        <is>
          <t>Pendiente</t>
        </is>
      </c>
      <c r="W259" s="19" t="inlineStr"/>
      <c r="X259" s="19" t="inlineStr"/>
      <c r="Y259" s="20" t="n"/>
      <c r="Z259" s="19" t="inlineStr"/>
      <c r="AA259" s="18">
        <f>IF(OR(V259="Aprobada"),R259,IF(AND(OR(V259="Aprobada con ajuste",V259="Rechazada"),W259&lt;&gt;""),W259,""))</f>
        <v/>
      </c>
    </row>
    <row r="260">
      <c r="A260" s="18" t="inlineStr">
        <is>
          <t>C0259</t>
        </is>
      </c>
      <c r="B260" s="18" t="inlineStr">
        <is>
          <t>Registro académico</t>
        </is>
      </c>
      <c r="C260" s="18" t="inlineStr">
        <is>
          <t>academic_registration</t>
        </is>
      </c>
      <c r="D260" s="18" t="inlineStr">
        <is>
          <t>graduation_certificate_requests</t>
        </is>
      </c>
      <c r="E260" s="18" t="n">
        <v>392</v>
      </c>
      <c r="F260" s="18" t="inlineStr">
        <is>
          <t>graduate_email</t>
        </is>
      </c>
      <c r="G260" s="18" t="inlineStr">
        <is>
          <t>character varying(255)</t>
        </is>
      </c>
      <c r="H260" s="18" t="inlineStr">
        <is>
          <t>Sí</t>
        </is>
      </c>
      <c r="I260" s="18" t="inlineStr"/>
      <c r="J260" s="18" t="inlineStr"/>
      <c r="K260" s="18" t="inlineStr"/>
      <c r="L260" s="18" t="inlineStr">
        <is>
          <t>No</t>
        </is>
      </c>
      <c r="M260" s="18" t="inlineStr">
        <is>
          <t>No</t>
        </is>
      </c>
      <c r="N260" s="18" t="inlineStr"/>
      <c r="O260" s="18" t="inlineStr"/>
      <c r="P260" s="18" t="inlineStr">
        <is>
          <t>Mapeada en academic-registration-service/src/graduation-certificates/graduation-certificate-request.entity.ts:57 (GraduationCertificateRequest.graduateEmail)</t>
        </is>
      </c>
      <c r="Q260" s="18" t="inlineStr">
        <is>
          <t>Propuesta semántica</t>
        </is>
      </c>
      <c r="R260" s="18" t="inlineStr">
        <is>
          <t>Correo electrónico del graduado sobre el que se solicita el certificado.</t>
        </is>
      </c>
      <c r="S260" s="18" t="inlineStr">
        <is>
          <t>Alta</t>
        </is>
      </c>
      <c r="T260" s="18" t="inlineStr">
        <is>
          <t>nombre + tipo + columnas vecinas</t>
        </is>
      </c>
      <c r="U260" s="18" t="inlineStr"/>
      <c r="V260" s="19" t="inlineStr">
        <is>
          <t>Pendiente</t>
        </is>
      </c>
      <c r="W260" s="19" t="inlineStr"/>
      <c r="X260" s="19" t="inlineStr"/>
      <c r="Y260" s="20" t="n"/>
      <c r="Z260" s="19" t="inlineStr"/>
      <c r="AA260" s="18">
        <f>IF(OR(V260="Aprobada"),R260,IF(AND(OR(V260="Aprobada con ajuste",V260="Rechazada"),W260&lt;&gt;""),W260,""))</f>
        <v/>
      </c>
    </row>
    <row r="261">
      <c r="A261" s="18" t="inlineStr">
        <is>
          <t>C0260</t>
        </is>
      </c>
      <c r="B261" s="18" t="inlineStr">
        <is>
          <t>Registro académico</t>
        </is>
      </c>
      <c r="C261" s="18" t="inlineStr">
        <is>
          <t>academic_registration</t>
        </is>
      </c>
      <c r="D261" s="18" t="inlineStr">
        <is>
          <t>graduation_certificate_requests</t>
        </is>
      </c>
      <c r="E261" s="18" t="n">
        <v>392</v>
      </c>
      <c r="F261" s="18" t="inlineStr">
        <is>
          <t>graduate_phone</t>
        </is>
      </c>
      <c r="G261" s="18" t="inlineStr">
        <is>
          <t>character varying(50)</t>
        </is>
      </c>
      <c r="H261" s="18" t="inlineStr">
        <is>
          <t>Sí</t>
        </is>
      </c>
      <c r="I261" s="18" t="inlineStr"/>
      <c r="J261" s="18" t="inlineStr"/>
      <c r="K261" s="18" t="inlineStr"/>
      <c r="L261" s="18" t="inlineStr">
        <is>
          <t>No</t>
        </is>
      </c>
      <c r="M261" s="18" t="inlineStr">
        <is>
          <t>No</t>
        </is>
      </c>
      <c r="N261" s="18" t="inlineStr"/>
      <c r="O261" s="18" t="inlineStr"/>
      <c r="P261" s="18" t="inlineStr">
        <is>
          <t>Mapeada en academic-registration-service/src/graduation-certificates/graduation-certificate-request.entity.ts:60 (GraduationCertificateRequest.graduatePhone)</t>
        </is>
      </c>
      <c r="Q261" s="18" t="inlineStr">
        <is>
          <t>Propuesta semántica</t>
        </is>
      </c>
      <c r="R261" s="18" t="inlineStr">
        <is>
          <t>Número de teléfono del graduado sobre el que se solicita el certificado.</t>
        </is>
      </c>
      <c r="S261" s="18" t="inlineStr">
        <is>
          <t>Alta</t>
        </is>
      </c>
      <c r="T261" s="18" t="inlineStr">
        <is>
          <t>nombre + tipo + columnas vecinas</t>
        </is>
      </c>
      <c r="U261" s="18" t="inlineStr"/>
      <c r="V261" s="19" t="inlineStr">
        <is>
          <t>Pendiente</t>
        </is>
      </c>
      <c r="W261" s="19" t="inlineStr"/>
      <c r="X261" s="19" t="inlineStr"/>
      <c r="Y261" s="20" t="n"/>
      <c r="Z261" s="19" t="inlineStr"/>
      <c r="AA261" s="18">
        <f>IF(OR(V261="Aprobada"),R261,IF(AND(OR(V261="Aprobada con ajuste",V261="Rechazada"),W261&lt;&gt;""),W261,""))</f>
        <v/>
      </c>
    </row>
    <row r="262">
      <c r="A262" s="18" t="inlineStr">
        <is>
          <t>C0261</t>
        </is>
      </c>
      <c r="B262" s="18" t="inlineStr">
        <is>
          <t>Registro académico</t>
        </is>
      </c>
      <c r="C262" s="18" t="inlineStr">
        <is>
          <t>academic_registration</t>
        </is>
      </c>
      <c r="D262" s="18" t="inlineStr">
        <is>
          <t>graduation_certificate_requests</t>
        </is>
      </c>
      <c r="E262" s="18" t="n">
        <v>392</v>
      </c>
      <c r="F262" s="18" t="inlineStr">
        <is>
          <t>contact_person</t>
        </is>
      </c>
      <c r="G262" s="18" t="inlineStr">
        <is>
          <t>character varying(255)</t>
        </is>
      </c>
      <c r="H262" s="18" t="inlineStr">
        <is>
          <t>Sí</t>
        </is>
      </c>
      <c r="I262" s="18" t="inlineStr"/>
      <c r="J262" s="18" t="inlineStr"/>
      <c r="K262" s="18" t="inlineStr"/>
      <c r="L262" s="18" t="inlineStr">
        <is>
          <t>No</t>
        </is>
      </c>
      <c r="M262" s="18" t="inlineStr">
        <is>
          <t>No</t>
        </is>
      </c>
      <c r="N262" s="18" t="inlineStr"/>
      <c r="O262" s="18" t="inlineStr"/>
      <c r="P262" s="18" t="inlineStr">
        <is>
          <t>Mapeada en academic-registration-service/src/graduation-certificates/graduation-certificate-request.entity.ts:93 (GraduationCertificateRequest.contactPerson)</t>
        </is>
      </c>
      <c r="Q262" s="18" t="inlineStr">
        <is>
          <t>Propuesta semántica</t>
        </is>
      </c>
      <c r="R262" s="18" t="inlineStr">
        <is>
          <t>Nombre de la persona de contacto de la empresa solicitante.</t>
        </is>
      </c>
      <c r="S262" s="18" t="inlineStr">
        <is>
          <t>Media</t>
        </is>
      </c>
      <c r="T262" s="18" t="inlineStr">
        <is>
          <t>nombre + tipo + columnas vecinas (company_name, company_tax_id)</t>
        </is>
      </c>
      <c r="U262" s="18" t="inlineStr">
        <is>
          <t>¿Se diligencia solo cuando el solicitante es una empresa (requester_type)?</t>
        </is>
      </c>
      <c r="V262" s="19" t="inlineStr">
        <is>
          <t>Pendiente</t>
        </is>
      </c>
      <c r="W262" s="19" t="inlineStr"/>
      <c r="X262" s="19" t="inlineStr"/>
      <c r="Y262" s="20" t="n"/>
      <c r="Z262" s="19" t="inlineStr"/>
      <c r="AA262" s="18">
        <f>IF(OR(V262="Aprobada"),R262,IF(AND(OR(V262="Aprobada con ajuste",V262="Rechazada"),W262&lt;&gt;""),W262,""))</f>
        <v/>
      </c>
    </row>
    <row r="263">
      <c r="A263" s="18" t="inlineStr">
        <is>
          <t>C0262</t>
        </is>
      </c>
      <c r="B263" s="18" t="inlineStr">
        <is>
          <t>Registro académico</t>
        </is>
      </c>
      <c r="C263" s="18" t="inlineStr">
        <is>
          <t>academic_registration</t>
        </is>
      </c>
      <c r="D263" s="18" t="inlineStr">
        <is>
          <t>graduation_certificate_requests</t>
        </is>
      </c>
      <c r="E263" s="18" t="n">
        <v>392</v>
      </c>
      <c r="F263" s="18" t="inlineStr">
        <is>
          <t>review_recommendation_reason</t>
        </is>
      </c>
      <c r="G263" s="18" t="inlineStr">
        <is>
          <t>text</t>
        </is>
      </c>
      <c r="H263" s="18" t="inlineStr">
        <is>
          <t>Sí</t>
        </is>
      </c>
      <c r="I263" s="18" t="inlineStr">
        <is>
          <t>CHECK</t>
        </is>
      </c>
      <c r="J263" s="18" t="inlineStr"/>
      <c r="K263" s="18" t="inlineStr"/>
      <c r="L263" s="18" t="inlineStr">
        <is>
          <t>No</t>
        </is>
      </c>
      <c r="M263" s="18" t="inlineStr">
        <is>
          <t>No</t>
        </is>
      </c>
      <c r="N263" s="18" t="inlineStr"/>
      <c r="O263" s="18" t="inlineStr"/>
      <c r="P263" s="18" t="inlineStr">
        <is>
          <t>Mapeada en academic-registration-service/src/graduation-certificates/graduation-certificate-request.entity.ts:146 (GraduationCertificateRequest.reviewRecommendationReason)</t>
        </is>
      </c>
      <c r="Q263" s="18" t="inlineStr">
        <is>
          <t>Propuesta semántica</t>
        </is>
      </c>
      <c r="R263" s="18" t="inlineStr">
        <is>
          <t>Justificación de la recomendación emitida en la revisión.</t>
        </is>
      </c>
      <c r="S263" s="18" t="inlineStr">
        <is>
          <t>Alta</t>
        </is>
      </c>
      <c r="T263" s="18" t="inlineStr">
        <is>
          <t>nombre + tipo + columnas vecinas (review_recommendation)</t>
        </is>
      </c>
      <c r="U263" s="18" t="inlineStr"/>
      <c r="V263" s="19" t="inlineStr">
        <is>
          <t>Pendiente</t>
        </is>
      </c>
      <c r="W263" s="19" t="inlineStr"/>
      <c r="X263" s="19" t="inlineStr"/>
      <c r="Y263" s="20" t="n"/>
      <c r="Z263" s="19" t="inlineStr"/>
      <c r="AA263" s="18">
        <f>IF(OR(V263="Aprobada"),R263,IF(AND(OR(V263="Aprobada con ajuste",V263="Rechazada"),W263&lt;&gt;""),W263,""))</f>
        <v/>
      </c>
    </row>
    <row r="264">
      <c r="A264" s="18" t="inlineStr">
        <is>
          <t>C0263</t>
        </is>
      </c>
      <c r="B264" s="18" t="inlineStr">
        <is>
          <t>Registro académico</t>
        </is>
      </c>
      <c r="C264" s="18" t="inlineStr">
        <is>
          <t>academic_registration</t>
        </is>
      </c>
      <c r="D264" s="18" t="inlineStr">
        <is>
          <t>graduation_certificate_requests</t>
        </is>
      </c>
      <c r="E264" s="18" t="n">
        <v>392</v>
      </c>
      <c r="F264" s="18" t="inlineStr">
        <is>
          <t>review_submitted_at</t>
        </is>
      </c>
      <c r="G264" s="18" t="inlineStr">
        <is>
          <t>timestamp without time zone</t>
        </is>
      </c>
      <c r="H264" s="18" t="inlineStr">
        <is>
          <t>Sí</t>
        </is>
      </c>
      <c r="I264" s="18" t="inlineStr"/>
      <c r="J264" s="18" t="inlineStr"/>
      <c r="K264" s="18" t="inlineStr"/>
      <c r="L264" s="18" t="inlineStr">
        <is>
          <t>No</t>
        </is>
      </c>
      <c r="M264" s="18" t="inlineStr">
        <is>
          <t>No</t>
        </is>
      </c>
      <c r="N264" s="18" t="inlineStr"/>
      <c r="O264" s="18" t="inlineStr">
        <is>
          <t>idx_graduation_requests_review_submitted_at</t>
        </is>
      </c>
      <c r="P264" s="18" t="inlineStr">
        <is>
          <t>Mapeada en academic-registration-service/src/graduation-certificates/graduation-certificate-request.entity.ts:152 (GraduationCertificateRequest.reviewSubmittedAt)</t>
        </is>
      </c>
      <c r="Q264" s="18" t="inlineStr">
        <is>
          <t>Propuesta semántica</t>
        </is>
      </c>
      <c r="R264" s="18" t="inlineStr">
        <is>
          <t>Fecha y hora en que se envió la revisión para aprobación.</t>
        </is>
      </c>
      <c r="S264" s="18" t="inlineStr">
        <is>
          <t>Media</t>
        </is>
      </c>
      <c r="T264" s="18" t="inlineStr">
        <is>
          <t>nombre + tipo + columnas vecinas (review_submitted_by)</t>
        </is>
      </c>
      <c r="U264" s="18" t="inlineStr">
        <is>
          <t>¿Marca el envío de la revisión al aprobador?</t>
        </is>
      </c>
      <c r="V264" s="19" t="inlineStr">
        <is>
          <t>Pendiente</t>
        </is>
      </c>
      <c r="W264" s="19" t="inlineStr"/>
      <c r="X264" s="19" t="inlineStr"/>
      <c r="Y264" s="20" t="n"/>
      <c r="Z264" s="19" t="inlineStr"/>
      <c r="AA264" s="18">
        <f>IF(OR(V264="Aprobada"),R264,IF(AND(OR(V264="Aprobada con ajuste",V264="Rechazada"),W264&lt;&gt;""),W264,""))</f>
        <v/>
      </c>
    </row>
    <row r="265">
      <c r="A265" s="18" t="inlineStr">
        <is>
          <t>C0264</t>
        </is>
      </c>
      <c r="B265" s="18" t="inlineStr">
        <is>
          <t>Registro académico</t>
        </is>
      </c>
      <c r="C265" s="18" t="inlineStr">
        <is>
          <t>academic_registration</t>
        </is>
      </c>
      <c r="D265" s="18" t="inlineStr">
        <is>
          <t>graduation_certificate_requests</t>
        </is>
      </c>
      <c r="E265" s="18" t="n">
        <v>392</v>
      </c>
      <c r="F265" s="18" t="inlineStr">
        <is>
          <t>review_submitted_by</t>
        </is>
      </c>
      <c r="G265" s="18" t="inlineStr">
        <is>
          <t>character varying(100)</t>
        </is>
      </c>
      <c r="H265" s="18" t="inlineStr">
        <is>
          <t>Sí</t>
        </is>
      </c>
      <c r="I265" s="18" t="inlineStr"/>
      <c r="J265" s="18" t="inlineStr"/>
      <c r="K265" s="18" t="inlineStr"/>
      <c r="L265" s="18" t="inlineStr">
        <is>
          <t>No</t>
        </is>
      </c>
      <c r="M265" s="18" t="inlineStr">
        <is>
          <t>No</t>
        </is>
      </c>
      <c r="N265" s="18" t="inlineStr"/>
      <c r="O265" s="18" t="inlineStr"/>
      <c r="P265" s="18" t="inlineStr">
        <is>
          <t>Mapeada en academic-registration-service/src/graduation-certificates/graduation-certificate-request.entity.ts:155 (GraduationCertificateRequest.reviewSubmittedBy)</t>
        </is>
      </c>
      <c r="Q265" s="18" t="inlineStr">
        <is>
          <t>Propuesta semántica</t>
        </is>
      </c>
      <c r="R265" s="18" t="inlineStr">
        <is>
          <t>Identificador del usuario que envió la revisión.</t>
        </is>
      </c>
      <c r="S265" s="18" t="inlineStr">
        <is>
          <t>Media</t>
        </is>
      </c>
      <c r="T265" s="18" t="inlineStr">
        <is>
          <t>nombre + tipo + columnas vecinas (review_submitted_by_name)</t>
        </is>
      </c>
      <c r="U265" s="18" t="inlineStr">
        <is>
          <t>¿Guarda el id del usuario en auth o su correo?</t>
        </is>
      </c>
      <c r="V265" s="19" t="inlineStr">
        <is>
          <t>Pendiente</t>
        </is>
      </c>
      <c r="W265" s="19" t="inlineStr"/>
      <c r="X265" s="19" t="inlineStr"/>
      <c r="Y265" s="20" t="n"/>
      <c r="Z265" s="19" t="inlineStr"/>
      <c r="AA265" s="18">
        <f>IF(OR(V265="Aprobada"),R265,IF(AND(OR(V265="Aprobada con ajuste",V265="Rechazada"),W265&lt;&gt;""),W265,""))</f>
        <v/>
      </c>
    </row>
    <row r="266">
      <c r="A266" s="18" t="inlineStr">
        <is>
          <t>C0265</t>
        </is>
      </c>
      <c r="B266" s="18" t="inlineStr">
        <is>
          <t>Registro académico</t>
        </is>
      </c>
      <c r="C266" s="18" t="inlineStr">
        <is>
          <t>academic_registration</t>
        </is>
      </c>
      <c r="D266" s="18" t="inlineStr">
        <is>
          <t>graduation_certificate_requests</t>
        </is>
      </c>
      <c r="E266" s="18" t="n">
        <v>392</v>
      </c>
      <c r="F266" s="18" t="inlineStr">
        <is>
          <t>review_submitted_by_name</t>
        </is>
      </c>
      <c r="G266" s="18" t="inlineStr">
        <is>
          <t>character varying(255)</t>
        </is>
      </c>
      <c r="H266" s="18" t="inlineStr">
        <is>
          <t>Sí</t>
        </is>
      </c>
      <c r="I266" s="18" t="inlineStr"/>
      <c r="J266" s="18" t="inlineStr"/>
      <c r="K266" s="18" t="inlineStr"/>
      <c r="L266" s="18" t="inlineStr">
        <is>
          <t>No</t>
        </is>
      </c>
      <c r="M266" s="18" t="inlineStr">
        <is>
          <t>No</t>
        </is>
      </c>
      <c r="N266" s="18" t="inlineStr"/>
      <c r="O266" s="18" t="inlineStr"/>
      <c r="P266" s="18" t="inlineStr">
        <is>
          <t>Mapeada en academic-registration-service/src/graduation-certificates/graduation-certificate-request.entity.ts:158 (GraduationCertificateRequest.reviewSubmittedByName)</t>
        </is>
      </c>
      <c r="Q266" s="18" t="inlineStr">
        <is>
          <t>Propuesta semántica</t>
        </is>
      </c>
      <c r="R266" s="18" t="inlineStr">
        <is>
          <t>Nombre del usuario que envió la revisión.</t>
        </is>
      </c>
      <c r="S266" s="18" t="inlineStr">
        <is>
          <t>Alta</t>
        </is>
      </c>
      <c r="T266" s="18" t="inlineStr">
        <is>
          <t>nombre + tipo + columnas vecinas (review_submitted_by)</t>
        </is>
      </c>
      <c r="U266" s="18" t="inlineStr"/>
      <c r="V266" s="19" t="inlineStr">
        <is>
          <t>Pendiente</t>
        </is>
      </c>
      <c r="W266" s="19" t="inlineStr"/>
      <c r="X266" s="19" t="inlineStr"/>
      <c r="Y266" s="20" t="n"/>
      <c r="Z266" s="19" t="inlineStr"/>
      <c r="AA266" s="18">
        <f>IF(OR(V266="Aprobada"),R266,IF(AND(OR(V266="Aprobada con ajuste",V266="Rechazada"),W266&lt;&gt;""),W266,""))</f>
        <v/>
      </c>
    </row>
    <row r="267">
      <c r="A267" s="18" t="inlineStr">
        <is>
          <t>C0266</t>
        </is>
      </c>
      <c r="B267" s="18" t="inlineStr">
        <is>
          <t>Registro académico</t>
        </is>
      </c>
      <c r="C267" s="18" t="inlineStr">
        <is>
          <t>academic_registration</t>
        </is>
      </c>
      <c r="D267" s="18" t="inlineStr">
        <is>
          <t>graduation_certificate_requests</t>
        </is>
      </c>
      <c r="E267" s="18" t="n">
        <v>392</v>
      </c>
      <c r="F267" s="18" t="inlineStr">
        <is>
          <t>approver_decision</t>
        </is>
      </c>
      <c r="G267" s="18" t="inlineStr">
        <is>
          <t>character varying(50)</t>
        </is>
      </c>
      <c r="H267" s="18" t="inlineStr">
        <is>
          <t>Sí</t>
        </is>
      </c>
      <c r="I267" s="18" t="inlineStr"/>
      <c r="J267" s="18" t="inlineStr"/>
      <c r="K267" s="18" t="inlineStr"/>
      <c r="L267" s="18" t="inlineStr">
        <is>
          <t>No</t>
        </is>
      </c>
      <c r="M267" s="18" t="inlineStr">
        <is>
          <t>No</t>
        </is>
      </c>
      <c r="N267" s="18" t="inlineStr"/>
      <c r="O267" s="18" t="inlineStr"/>
      <c r="P267" s="18" t="inlineStr">
        <is>
          <t>Mapeada en academic-registration-service/src/graduation-certificates/graduation-certificate-request.entity.ts:161 (GraduationCertificateRequest.approverDecision)</t>
        </is>
      </c>
      <c r="Q267" s="18" t="inlineStr">
        <is>
          <t>Propuesta semántica</t>
        </is>
      </c>
      <c r="R267" s="18" t="inlineStr">
        <is>
          <t>Decisión del aprobador sobre la solicitud.</t>
        </is>
      </c>
      <c r="S267" s="18" t="inlineStr">
        <is>
          <t>Media</t>
        </is>
      </c>
      <c r="T267" s="18" t="inlineStr">
        <is>
          <t>nombre + tipo + columnas vecinas (approver_notes, approved_at)</t>
        </is>
      </c>
      <c r="U267" s="18" t="inlineStr">
        <is>
          <t>¿Qué valores toma approver_decision?</t>
        </is>
      </c>
      <c r="V267" s="19" t="inlineStr">
        <is>
          <t>Pendiente</t>
        </is>
      </c>
      <c r="W267" s="19" t="inlineStr"/>
      <c r="X267" s="19" t="inlineStr"/>
      <c r="Y267" s="20" t="n"/>
      <c r="Z267" s="19" t="inlineStr"/>
      <c r="AA267" s="18">
        <f>IF(OR(V267="Aprobada"),R267,IF(AND(OR(V267="Aprobada con ajuste",V267="Rechazada"),W267&lt;&gt;""),W267,""))</f>
        <v/>
      </c>
    </row>
    <row r="268">
      <c r="A268" s="18" t="inlineStr">
        <is>
          <t>C0267</t>
        </is>
      </c>
      <c r="B268" s="18" t="inlineStr">
        <is>
          <t>Registro académico</t>
        </is>
      </c>
      <c r="C268" s="18" t="inlineStr">
        <is>
          <t>academic_registration</t>
        </is>
      </c>
      <c r="D268" s="18" t="inlineStr">
        <is>
          <t>graduation_certificate_requests</t>
        </is>
      </c>
      <c r="E268" s="18" t="n">
        <v>392</v>
      </c>
      <c r="F268" s="18" t="inlineStr">
        <is>
          <t>approver_notes</t>
        </is>
      </c>
      <c r="G268" s="18" t="inlineStr">
        <is>
          <t>text</t>
        </is>
      </c>
      <c r="H268" s="18" t="inlineStr">
        <is>
          <t>Sí</t>
        </is>
      </c>
      <c r="I268" s="18" t="inlineStr"/>
      <c r="J268" s="18" t="inlineStr"/>
      <c r="K268" s="18" t="inlineStr"/>
      <c r="L268" s="18" t="inlineStr">
        <is>
          <t>No</t>
        </is>
      </c>
      <c r="M268" s="18" t="inlineStr">
        <is>
          <t>No</t>
        </is>
      </c>
      <c r="N268" s="18" t="inlineStr"/>
      <c r="O268" s="18" t="inlineStr"/>
      <c r="P268" s="18" t="inlineStr">
        <is>
          <t>Mapeada en academic-registration-service/src/graduation-certificates/graduation-certificate-request.entity.ts:164 (GraduationCertificateRequest.approverNotes)</t>
        </is>
      </c>
      <c r="Q268" s="18" t="inlineStr">
        <is>
          <t>Propuesta semántica</t>
        </is>
      </c>
      <c r="R268" s="18" t="inlineStr">
        <is>
          <t>Observaciones del aprobador sobre la solicitud.</t>
        </is>
      </c>
      <c r="S268" s="18" t="inlineStr">
        <is>
          <t>Alta</t>
        </is>
      </c>
      <c r="T268" s="18" t="inlineStr">
        <is>
          <t>nombre + tipo + columnas vecinas</t>
        </is>
      </c>
      <c r="U268" s="18" t="inlineStr"/>
      <c r="V268" s="19" t="inlineStr">
        <is>
          <t>Pendiente</t>
        </is>
      </c>
      <c r="W268" s="19" t="inlineStr"/>
      <c r="X268" s="19" t="inlineStr"/>
      <c r="Y268" s="20" t="n"/>
      <c r="Z268" s="19" t="inlineStr"/>
      <c r="AA268" s="18">
        <f>IF(OR(V268="Aprobada"),R268,IF(AND(OR(V268="Aprobada con ajuste",V268="Rechazada"),W268&lt;&gt;""),W268,""))</f>
        <v/>
      </c>
    </row>
    <row r="269">
      <c r="A269" s="18" t="inlineStr">
        <is>
          <t>C0268</t>
        </is>
      </c>
      <c r="B269" s="18" t="inlineStr">
        <is>
          <t>Registro académico</t>
        </is>
      </c>
      <c r="C269" s="18" t="inlineStr">
        <is>
          <t>academic_registration</t>
        </is>
      </c>
      <c r="D269" s="18" t="inlineStr">
        <is>
          <t>graduation_certificate_requests</t>
        </is>
      </c>
      <c r="E269" s="18" t="n">
        <v>392</v>
      </c>
      <c r="F269" s="18" t="inlineStr">
        <is>
          <t>approved_at</t>
        </is>
      </c>
      <c r="G269" s="18" t="inlineStr">
        <is>
          <t>timestamp without time zone</t>
        </is>
      </c>
      <c r="H269" s="18" t="inlineStr">
        <is>
          <t>Sí</t>
        </is>
      </c>
      <c r="I269" s="18" t="inlineStr"/>
      <c r="J269" s="18" t="inlineStr"/>
      <c r="K269" s="18" t="inlineStr"/>
      <c r="L269" s="18" t="inlineStr">
        <is>
          <t>No</t>
        </is>
      </c>
      <c r="M269" s="18" t="inlineStr">
        <is>
          <t>No</t>
        </is>
      </c>
      <c r="N269" s="18" t="inlineStr"/>
      <c r="O269" s="18" t="inlineStr"/>
      <c r="P269" s="18" t="inlineStr">
        <is>
          <t>Mapeada en academic-registration-service/src/graduation-certificates/graduation-certificate-request.entity.ts:167 (GraduationCertificateRequest.approvedAt)</t>
        </is>
      </c>
      <c r="Q269" s="18" t="inlineStr">
        <is>
          <t>Regla estructural</t>
        </is>
      </c>
      <c r="R269" s="18" t="inlineStr">
        <is>
          <t>Fecha y hora de la aprobación.</t>
        </is>
      </c>
      <c r="S269" s="18" t="inlineStr">
        <is>
          <t>Media</t>
        </is>
      </c>
      <c r="T269" s="18" t="inlineStr">
        <is>
          <t>Convención de nombre de la columna.</t>
        </is>
      </c>
      <c r="U269" s="18" t="inlineStr"/>
      <c r="V269" s="19" t="inlineStr">
        <is>
          <t>Pendiente</t>
        </is>
      </c>
      <c r="W269" s="19" t="inlineStr"/>
      <c r="X269" s="19" t="inlineStr"/>
      <c r="Y269" s="20" t="n"/>
      <c r="Z269" s="19" t="inlineStr"/>
      <c r="AA269" s="18">
        <f>IF(OR(V269="Aprobada"),R269,IF(AND(OR(V269="Aprobada con ajuste",V269="Rechazada"),W269&lt;&gt;""),W269,""))</f>
        <v/>
      </c>
    </row>
    <row r="270">
      <c r="A270" s="18" t="inlineStr">
        <is>
          <t>C0269</t>
        </is>
      </c>
      <c r="B270" s="18" t="inlineStr">
        <is>
          <t>Registro académico</t>
        </is>
      </c>
      <c r="C270" s="18" t="inlineStr">
        <is>
          <t>academic_registration</t>
        </is>
      </c>
      <c r="D270" s="18" t="inlineStr">
        <is>
          <t>graduation_certificate_requests</t>
        </is>
      </c>
      <c r="E270" s="18" t="n">
        <v>392</v>
      </c>
      <c r="F270" s="18" t="inlineStr">
        <is>
          <t>approved_by</t>
        </is>
      </c>
      <c r="G270" s="18" t="inlineStr">
        <is>
          <t>character varying(100)</t>
        </is>
      </c>
      <c r="H270" s="18" t="inlineStr">
        <is>
          <t>Sí</t>
        </is>
      </c>
      <c r="I270" s="18" t="inlineStr"/>
      <c r="J270" s="18" t="inlineStr"/>
      <c r="K270" s="18" t="inlineStr"/>
      <c r="L270" s="18" t="inlineStr">
        <is>
          <t>No</t>
        </is>
      </c>
      <c r="M270" s="18" t="inlineStr">
        <is>
          <t>No</t>
        </is>
      </c>
      <c r="N270" s="18" t="inlineStr"/>
      <c r="O270" s="18" t="inlineStr"/>
      <c r="P270" s="18" t="inlineStr">
        <is>
          <t>Mapeada en academic-registration-service/src/graduation-certificates/graduation-certificate-request.entity.ts:170 (GraduationCertificateRequest.approvedBy)</t>
        </is>
      </c>
      <c r="Q270" s="18" t="inlineStr">
        <is>
          <t>Propuesta semántica</t>
        </is>
      </c>
      <c r="R270" s="18" t="inlineStr">
        <is>
          <t>Identificador del usuario que aprobó la solicitud.</t>
        </is>
      </c>
      <c r="S270" s="18" t="inlineStr">
        <is>
          <t>Media</t>
        </is>
      </c>
      <c r="T270" s="18" t="inlineStr">
        <is>
          <t>nombre + tipo + columnas vecinas (approver_name, approved_at)</t>
        </is>
      </c>
      <c r="U270" s="18" t="inlineStr">
        <is>
          <t>¿Guarda el id del usuario en auth o su correo?</t>
        </is>
      </c>
      <c r="V270" s="19" t="inlineStr">
        <is>
          <t>Pendiente</t>
        </is>
      </c>
      <c r="W270" s="19" t="inlineStr"/>
      <c r="X270" s="19" t="inlineStr"/>
      <c r="Y270" s="20" t="n"/>
      <c r="Z270" s="19" t="inlineStr"/>
      <c r="AA270" s="18">
        <f>IF(OR(V270="Aprobada"),R270,IF(AND(OR(V270="Aprobada con ajuste",V270="Rechazada"),W270&lt;&gt;""),W270,""))</f>
        <v/>
      </c>
    </row>
    <row r="271">
      <c r="A271" s="18" t="inlineStr">
        <is>
          <t>C0270</t>
        </is>
      </c>
      <c r="B271" s="18" t="inlineStr">
        <is>
          <t>Registro académico</t>
        </is>
      </c>
      <c r="C271" s="18" t="inlineStr">
        <is>
          <t>academic_registration</t>
        </is>
      </c>
      <c r="D271" s="18" t="inlineStr">
        <is>
          <t>graduation_certificate_requests</t>
        </is>
      </c>
      <c r="E271" s="18" t="n">
        <v>392</v>
      </c>
      <c r="F271" s="18" t="inlineStr">
        <is>
          <t>approver_name</t>
        </is>
      </c>
      <c r="G271" s="18" t="inlineStr">
        <is>
          <t>character varying(255)</t>
        </is>
      </c>
      <c r="H271" s="18" t="inlineStr">
        <is>
          <t>Sí</t>
        </is>
      </c>
      <c r="I271" s="18" t="inlineStr"/>
      <c r="J271" s="18" t="inlineStr"/>
      <c r="K271" s="18" t="inlineStr"/>
      <c r="L271" s="18" t="inlineStr">
        <is>
          <t>No</t>
        </is>
      </c>
      <c r="M271" s="18" t="inlineStr">
        <is>
          <t>No</t>
        </is>
      </c>
      <c r="N271" s="18" t="inlineStr"/>
      <c r="O271" s="18" t="inlineStr"/>
      <c r="P271" s="18" t="inlineStr">
        <is>
          <t>Mapeada en academic-registration-service/src/graduation-certificates/graduation-certificate-request.entity.ts:173 (GraduationCertificateRequest.approverName)</t>
        </is>
      </c>
      <c r="Q271" s="18" t="inlineStr">
        <is>
          <t>Propuesta semántica</t>
        </is>
      </c>
      <c r="R271" s="18" t="inlineStr">
        <is>
          <t>Nombre del usuario que aprobó la solicitud.</t>
        </is>
      </c>
      <c r="S271" s="18" t="inlineStr">
        <is>
          <t>Alta</t>
        </is>
      </c>
      <c r="T271" s="18" t="inlineStr">
        <is>
          <t>nombre + tipo + columnas vecinas (approved_by)</t>
        </is>
      </c>
      <c r="U271" s="18" t="inlineStr"/>
      <c r="V271" s="19" t="inlineStr">
        <is>
          <t>Pendiente</t>
        </is>
      </c>
      <c r="W271" s="19" t="inlineStr"/>
      <c r="X271" s="19" t="inlineStr"/>
      <c r="Y271" s="20" t="n"/>
      <c r="Z271" s="19" t="inlineStr"/>
      <c r="AA271" s="18">
        <f>IF(OR(V271="Aprobada"),R271,IF(AND(OR(V271="Aprobada con ajuste",V271="Rechazada"),W271&lt;&gt;""),W271,""))</f>
        <v/>
      </c>
    </row>
    <row r="272">
      <c r="A272" s="18" t="inlineStr">
        <is>
          <t>C0271</t>
        </is>
      </c>
      <c r="B272" s="18" t="inlineStr">
        <is>
          <t>Registro académico</t>
        </is>
      </c>
      <c r="C272" s="18" t="inlineStr">
        <is>
          <t>academic_registration</t>
        </is>
      </c>
      <c r="D272" s="18" t="inlineStr">
        <is>
          <t>graduation_certificate_requests</t>
        </is>
      </c>
      <c r="E272" s="18" t="n">
        <v>392</v>
      </c>
      <c r="F272" s="18" t="inlineStr">
        <is>
          <t>requester_support_original_name</t>
        </is>
      </c>
      <c r="G272" s="18" t="inlineStr">
        <is>
          <t>character varying(255)</t>
        </is>
      </c>
      <c r="H272" s="18" t="inlineStr">
        <is>
          <t>Sí</t>
        </is>
      </c>
      <c r="I272" s="18" t="inlineStr"/>
      <c r="J272" s="18" t="inlineStr"/>
      <c r="K272" s="18" t="inlineStr"/>
      <c r="L272" s="18" t="inlineStr">
        <is>
          <t>No</t>
        </is>
      </c>
      <c r="M272" s="18" t="inlineStr">
        <is>
          <t>No</t>
        </is>
      </c>
      <c r="N272" s="18" t="inlineStr"/>
      <c r="O272" s="18" t="inlineStr"/>
      <c r="P272" s="18" t="inlineStr">
        <is>
          <t>Mapeada en academic-registration-service/src/graduation-certificates/graduation-certificate-request.entity.ts:194 (GraduationCertificateRequest.requesterSupportOriginalName)</t>
        </is>
      </c>
      <c r="Q272" s="18" t="inlineStr">
        <is>
          <t>Propuesta semántica</t>
        </is>
      </c>
      <c r="R272" s="18" t="inlineStr">
        <is>
          <t>Nombre original del archivo de soporte cargado por el solicitante.</t>
        </is>
      </c>
      <c r="S272" s="18" t="inlineStr">
        <is>
          <t>Alta</t>
        </is>
      </c>
      <c r="T272" s="18" t="inlineStr">
        <is>
          <t>nombre + tipo + columnas vecinas</t>
        </is>
      </c>
      <c r="U272" s="18" t="inlineStr"/>
      <c r="V272" s="19" t="inlineStr">
        <is>
          <t>Pendiente</t>
        </is>
      </c>
      <c r="W272" s="19" t="inlineStr"/>
      <c r="X272" s="19" t="inlineStr"/>
      <c r="Y272" s="20" t="n"/>
      <c r="Z272" s="19" t="inlineStr"/>
      <c r="AA272" s="18">
        <f>IF(OR(V272="Aprobada"),R272,IF(AND(OR(V272="Aprobada con ajuste",V272="Rechazada"),W272&lt;&gt;""),W272,""))</f>
        <v/>
      </c>
    </row>
    <row r="273">
      <c r="A273" s="18" t="inlineStr">
        <is>
          <t>C0272</t>
        </is>
      </c>
      <c r="B273" s="18" t="inlineStr">
        <is>
          <t>Registro académico</t>
        </is>
      </c>
      <c r="C273" s="18" t="inlineStr">
        <is>
          <t>academic_registration</t>
        </is>
      </c>
      <c r="D273" s="18" t="inlineStr">
        <is>
          <t>graduation_certificate_requests</t>
        </is>
      </c>
      <c r="E273" s="18" t="n">
        <v>392</v>
      </c>
      <c r="F273" s="18" t="inlineStr">
        <is>
          <t>requester_support_stored_name</t>
        </is>
      </c>
      <c r="G273" s="18" t="inlineStr">
        <is>
          <t>character varying(255)</t>
        </is>
      </c>
      <c r="H273" s="18" t="inlineStr">
        <is>
          <t>Sí</t>
        </is>
      </c>
      <c r="I273" s="18" t="inlineStr"/>
      <c r="J273" s="18" t="inlineStr"/>
      <c r="K273" s="18" t="inlineStr"/>
      <c r="L273" s="18" t="inlineStr">
        <is>
          <t>No</t>
        </is>
      </c>
      <c r="M273" s="18" t="inlineStr">
        <is>
          <t>No</t>
        </is>
      </c>
      <c r="N273" s="18" t="inlineStr"/>
      <c r="O273" s="18" t="inlineStr"/>
      <c r="P273" s="18" t="inlineStr">
        <is>
          <t>Mapeada en academic-registration-service/src/graduation-certificates/graduation-certificate-request.entity.ts:197 (GraduationCertificateRequest.requesterSupportStoredName)</t>
        </is>
      </c>
      <c r="Q273" s="18" t="inlineStr">
        <is>
          <t>Propuesta semántica</t>
        </is>
      </c>
      <c r="R273" s="18" t="inlineStr">
        <is>
          <t>Nombre con el que se guarda en el almacenamiento el archivo de soporte del solicitante.</t>
        </is>
      </c>
      <c r="S273" s="18" t="inlineStr">
        <is>
          <t>Alta</t>
        </is>
      </c>
      <c r="T273" s="18" t="inlineStr">
        <is>
          <t>nombre + tipo + columnas vecinas</t>
        </is>
      </c>
      <c r="U273" s="18" t="inlineStr"/>
      <c r="V273" s="19" t="inlineStr">
        <is>
          <t>Pendiente</t>
        </is>
      </c>
      <c r="W273" s="19" t="inlineStr"/>
      <c r="X273" s="19" t="inlineStr"/>
      <c r="Y273" s="20" t="n"/>
      <c r="Z273" s="19" t="inlineStr"/>
      <c r="AA273" s="18">
        <f>IF(OR(V273="Aprobada"),R273,IF(AND(OR(V273="Aprobada con ajuste",V273="Rechazada"),W273&lt;&gt;""),W273,""))</f>
        <v/>
      </c>
    </row>
    <row r="274">
      <c r="A274" s="18" t="inlineStr">
        <is>
          <t>C0273</t>
        </is>
      </c>
      <c r="B274" s="18" t="inlineStr">
        <is>
          <t>Registro académico</t>
        </is>
      </c>
      <c r="C274" s="18" t="inlineStr">
        <is>
          <t>academic_registration</t>
        </is>
      </c>
      <c r="D274" s="18" t="inlineStr">
        <is>
          <t>graduation_certificate_requests</t>
        </is>
      </c>
      <c r="E274" s="18" t="n">
        <v>392</v>
      </c>
      <c r="F274" s="18" t="inlineStr">
        <is>
          <t>requester_support_mime_type</t>
        </is>
      </c>
      <c r="G274" s="18" t="inlineStr">
        <is>
          <t>character varying(150)</t>
        </is>
      </c>
      <c r="H274" s="18" t="inlineStr">
        <is>
          <t>Sí</t>
        </is>
      </c>
      <c r="I274" s="18" t="inlineStr"/>
      <c r="J274" s="18" t="inlineStr"/>
      <c r="K274" s="18" t="inlineStr"/>
      <c r="L274" s="18" t="inlineStr">
        <is>
          <t>No</t>
        </is>
      </c>
      <c r="M274" s="18" t="inlineStr">
        <is>
          <t>No</t>
        </is>
      </c>
      <c r="N274" s="18" t="inlineStr"/>
      <c r="O274" s="18" t="inlineStr"/>
      <c r="P274" s="18" t="inlineStr">
        <is>
          <t>Mapeada en academic-registration-service/src/graduation-certificates/graduation-certificate-request.entity.ts:200 (GraduationCertificateRequest.requesterSupportMimeType)</t>
        </is>
      </c>
      <c r="Q274" s="18" t="inlineStr">
        <is>
          <t>Propuesta semántica</t>
        </is>
      </c>
      <c r="R274" s="18" t="inlineStr">
        <is>
          <t>Tipo MIME del archivo de soporte del solicitante.</t>
        </is>
      </c>
      <c r="S274" s="18" t="inlineStr">
        <is>
          <t>Alta</t>
        </is>
      </c>
      <c r="T274" s="18" t="inlineStr">
        <is>
          <t>nombre + tipo + columnas vecinas</t>
        </is>
      </c>
      <c r="U274" s="18" t="inlineStr"/>
      <c r="V274" s="19" t="inlineStr">
        <is>
          <t>Pendiente</t>
        </is>
      </c>
      <c r="W274" s="19" t="inlineStr"/>
      <c r="X274" s="19" t="inlineStr"/>
      <c r="Y274" s="20" t="n"/>
      <c r="Z274" s="19" t="inlineStr"/>
      <c r="AA274" s="18">
        <f>IF(OR(V274="Aprobada"),R274,IF(AND(OR(V274="Aprobada con ajuste",V274="Rechazada"),W274&lt;&gt;""),W274,""))</f>
        <v/>
      </c>
    </row>
    <row r="275">
      <c r="A275" s="18" t="inlineStr">
        <is>
          <t>C0274</t>
        </is>
      </c>
      <c r="B275" s="18" t="inlineStr">
        <is>
          <t>Registro académico</t>
        </is>
      </c>
      <c r="C275" s="18" t="inlineStr">
        <is>
          <t>academic_registration</t>
        </is>
      </c>
      <c r="D275" s="18" t="inlineStr">
        <is>
          <t>graduation_certificate_requests</t>
        </is>
      </c>
      <c r="E275" s="18" t="n">
        <v>392</v>
      </c>
      <c r="F275" s="18" t="inlineStr">
        <is>
          <t>requester_support_size_bytes</t>
        </is>
      </c>
      <c r="G275" s="18" t="inlineStr">
        <is>
          <t>integer</t>
        </is>
      </c>
      <c r="H275" s="18" t="inlineStr">
        <is>
          <t>Sí</t>
        </is>
      </c>
      <c r="I275" s="18" t="inlineStr"/>
      <c r="J275" s="18" t="inlineStr"/>
      <c r="K275" s="18" t="inlineStr"/>
      <c r="L275" s="18" t="inlineStr">
        <is>
          <t>No</t>
        </is>
      </c>
      <c r="M275" s="18" t="inlineStr">
        <is>
          <t>No</t>
        </is>
      </c>
      <c r="N275" s="18" t="inlineStr"/>
      <c r="O275" s="18" t="inlineStr"/>
      <c r="P275" s="18" t="inlineStr">
        <is>
          <t>Mapeada en academic-registration-service/src/graduation-certificates/graduation-certificate-request.entity.ts:203 (GraduationCertificateRequest.requesterSupportSizeBytes)</t>
        </is>
      </c>
      <c r="Q275" s="18" t="inlineStr">
        <is>
          <t>Propuesta semántica</t>
        </is>
      </c>
      <c r="R275" s="18" t="inlineStr">
        <is>
          <t>Tamaño en bytes del archivo de soporte del solicitante.</t>
        </is>
      </c>
      <c r="S275" s="18" t="inlineStr">
        <is>
          <t>Alta</t>
        </is>
      </c>
      <c r="T275" s="18" t="inlineStr">
        <is>
          <t>nombre + tipo + columnas vecinas</t>
        </is>
      </c>
      <c r="U275" s="18" t="inlineStr"/>
      <c r="V275" s="19" t="inlineStr">
        <is>
          <t>Pendiente</t>
        </is>
      </c>
      <c r="W275" s="19" t="inlineStr"/>
      <c r="X275" s="19" t="inlineStr"/>
      <c r="Y275" s="20" t="n"/>
      <c r="Z275" s="19" t="inlineStr"/>
      <c r="AA275" s="18">
        <f>IF(OR(V275="Aprobada"),R275,IF(AND(OR(V275="Aprobada con ajuste",V275="Rechazada"),W275&lt;&gt;""),W275,""))</f>
        <v/>
      </c>
    </row>
    <row r="276">
      <c r="A276" s="18" t="inlineStr">
        <is>
          <t>C0275</t>
        </is>
      </c>
      <c r="B276" s="18" t="inlineStr">
        <is>
          <t>Registro académico</t>
        </is>
      </c>
      <c r="C276" s="18" t="inlineStr">
        <is>
          <t>academic_registration</t>
        </is>
      </c>
      <c r="D276" s="18" t="inlineStr">
        <is>
          <t>graduation_certificate_requests</t>
        </is>
      </c>
      <c r="E276" s="18" t="n">
        <v>392</v>
      </c>
      <c r="F276" s="18" t="inlineStr">
        <is>
          <t>requester_support_uploaded_at</t>
        </is>
      </c>
      <c r="G276" s="18" t="inlineStr">
        <is>
          <t>timestamp without time zone</t>
        </is>
      </c>
      <c r="H276" s="18" t="inlineStr">
        <is>
          <t>Sí</t>
        </is>
      </c>
      <c r="I276" s="18" t="inlineStr"/>
      <c r="J276" s="18" t="inlineStr"/>
      <c r="K276" s="18" t="inlineStr"/>
      <c r="L276" s="18" t="inlineStr">
        <is>
          <t>No</t>
        </is>
      </c>
      <c r="M276" s="18" t="inlineStr">
        <is>
          <t>No</t>
        </is>
      </c>
      <c r="N276" s="18" t="inlineStr"/>
      <c r="O276" s="18" t="inlineStr"/>
      <c r="P276" s="18" t="inlineStr">
        <is>
          <t>Mapeada en academic-registration-service/src/graduation-certificates/graduation-certificate-request.entity.ts:206 (GraduationCertificateRequest.requesterSupportUploadedAt)</t>
        </is>
      </c>
      <c r="Q276" s="18" t="inlineStr">
        <is>
          <t>Propuesta semántica</t>
        </is>
      </c>
      <c r="R276" s="18" t="inlineStr">
        <is>
          <t>Fecha y hora de carga del archivo de soporte del solicitante.</t>
        </is>
      </c>
      <c r="S276" s="18" t="inlineStr">
        <is>
          <t>Alta</t>
        </is>
      </c>
      <c r="T276" s="18" t="inlineStr">
        <is>
          <t>nombre + tipo + columnas vecinas</t>
        </is>
      </c>
      <c r="U276" s="18" t="inlineStr"/>
      <c r="V276" s="19" t="inlineStr">
        <is>
          <t>Pendiente</t>
        </is>
      </c>
      <c r="W276" s="19" t="inlineStr"/>
      <c r="X276" s="19" t="inlineStr"/>
      <c r="Y276" s="20" t="n"/>
      <c r="Z276" s="19" t="inlineStr"/>
      <c r="AA276" s="18">
        <f>IF(OR(V276="Aprobada"),R276,IF(AND(OR(V276="Aprobada con ajuste",V276="Rechazada"),W276&lt;&gt;""),W276,""))</f>
        <v/>
      </c>
    </row>
    <row r="277">
      <c r="A277" s="18" t="inlineStr">
        <is>
          <t>C0276</t>
        </is>
      </c>
      <c r="B277" s="18" t="inlineStr">
        <is>
          <t>Registro académico</t>
        </is>
      </c>
      <c r="C277" s="18" t="inlineStr">
        <is>
          <t>academic_registration</t>
        </is>
      </c>
      <c r="D277" s="18" t="inlineStr">
        <is>
          <t>graduation_certificates</t>
        </is>
      </c>
      <c r="E277" s="18" t="n">
        <v>161</v>
      </c>
      <c r="F277" s="18" t="inlineStr">
        <is>
          <t>certificate_number</t>
        </is>
      </c>
      <c r="G277" s="18" t="inlineStr">
        <is>
          <t>character varying(100)</t>
        </is>
      </c>
      <c r="H277" s="18" t="inlineStr">
        <is>
          <t>No</t>
        </is>
      </c>
      <c r="I277" s="18" t="inlineStr">
        <is>
          <t>Única</t>
        </is>
      </c>
      <c r="J277" s="18" t="inlineStr"/>
      <c r="K277" s="18" t="inlineStr"/>
      <c r="L277" s="18" t="inlineStr">
        <is>
          <t>No</t>
        </is>
      </c>
      <c r="M277" s="18" t="inlineStr">
        <is>
          <t>No</t>
        </is>
      </c>
      <c r="N277" s="18" t="inlineStr"/>
      <c r="O277" s="18" t="inlineStr">
        <is>
          <t>graduation_certificates_certificate_number_key, idx_certificates_number</t>
        </is>
      </c>
      <c r="P277" s="18" t="inlineStr">
        <is>
          <t>academic-registration-service/src/graduation-certificates/graduation-certificate.entity.ts:29: Número de certificado | db/migrations/old/042_create_graduation_tables.sql:140: Número de certificado Ej: CERT-GR-2025-0001</t>
        </is>
      </c>
      <c r="Q277" s="18" t="inlineStr">
        <is>
          <t>Código fuente</t>
        </is>
      </c>
      <c r="R277" s="18" t="inlineStr">
        <is>
          <t>Número único del certificado de grado expedido, con formato CERT-GR-AAAA-NNNN (por ejemplo, CERT-GR-2025-0001).</t>
        </is>
      </c>
      <c r="S277" s="18" t="inlineStr">
        <is>
          <t>Alta</t>
        </is>
      </c>
      <c r="T277" s="18" t="inlineStr">
        <is>
          <t>código: db/migrations/old/042_create_graduation_tables.sql:140</t>
        </is>
      </c>
      <c r="U277" s="18" t="inlineStr"/>
      <c r="V277" s="19" t="inlineStr">
        <is>
          <t>Pendiente</t>
        </is>
      </c>
      <c r="W277" s="19" t="inlineStr"/>
      <c r="X277" s="19" t="inlineStr"/>
      <c r="Y277" s="20" t="n"/>
      <c r="Z277" s="19" t="inlineStr"/>
      <c r="AA277" s="18">
        <f>IF(OR(V277="Aprobada"),R277,IF(AND(OR(V277="Aprobada con ajuste",V277="Rechazada"),W277&lt;&gt;""),W277,""))</f>
        <v/>
      </c>
    </row>
    <row r="278">
      <c r="A278" s="18" t="inlineStr">
        <is>
          <t>C0277</t>
        </is>
      </c>
      <c r="B278" s="18" t="inlineStr">
        <is>
          <t>Registro académico</t>
        </is>
      </c>
      <c r="C278" s="18" t="inlineStr">
        <is>
          <t>academic_registration</t>
        </is>
      </c>
      <c r="D278" s="18" t="inlineStr">
        <is>
          <t>graduation_certificates</t>
        </is>
      </c>
      <c r="E278" s="18" t="n">
        <v>161</v>
      </c>
      <c r="F278" s="18" t="inlineStr">
        <is>
          <t>verification_code</t>
        </is>
      </c>
      <c r="G278" s="18" t="inlineStr">
        <is>
          <t>character varying(50)</t>
        </is>
      </c>
      <c r="H278" s="18" t="inlineStr">
        <is>
          <t>No</t>
        </is>
      </c>
      <c r="I278" s="18" t="inlineStr">
        <is>
          <t>Única</t>
        </is>
      </c>
      <c r="J278" s="18" t="inlineStr"/>
      <c r="K278" s="18" t="inlineStr"/>
      <c r="L278" s="18" t="inlineStr">
        <is>
          <t>No</t>
        </is>
      </c>
      <c r="M278" s="18" t="inlineStr">
        <is>
          <t>No</t>
        </is>
      </c>
      <c r="N278" s="18" t="inlineStr"/>
      <c r="O278" s="18" t="inlineStr">
        <is>
          <t>graduation_certificates_verification_code_key, idx_certificates_verification</t>
        </is>
      </c>
      <c r="P278" s="18" t="inlineStr">
        <is>
          <t>academic-registration-service/src/graduation-certificates/graduation-certificate.entity.ts:33: Código de verificación único (QR) | db/migrations/old/042_create_graduation_tables.sql:143: Código de verificación único (QR)</t>
        </is>
      </c>
      <c r="Q278" s="18" t="inlineStr">
        <is>
          <t>Código fuente</t>
        </is>
      </c>
      <c r="R278" s="18" t="inlineStr">
        <is>
          <t>Código de verificación único del certificado, contenido en el código QR.</t>
        </is>
      </c>
      <c r="S278" s="18" t="inlineStr">
        <is>
          <t>Alta</t>
        </is>
      </c>
      <c r="T278" s="18" t="inlineStr">
        <is>
          <t>código: academic-registration-service/src/graduation-certificates/graduation-certificate.entity.ts:33</t>
        </is>
      </c>
      <c r="U278" s="18" t="inlineStr"/>
      <c r="V278" s="19" t="inlineStr">
        <is>
          <t>Pendiente</t>
        </is>
      </c>
      <c r="W278" s="19" t="inlineStr"/>
      <c r="X278" s="19" t="inlineStr"/>
      <c r="Y278" s="20" t="n"/>
      <c r="Z278" s="19" t="inlineStr"/>
      <c r="AA278" s="18">
        <f>IF(OR(V278="Aprobada"),R278,IF(AND(OR(V278="Aprobada con ajuste",V278="Rechazada"),W278&lt;&gt;""),W278,""))</f>
        <v/>
      </c>
    </row>
    <row r="279">
      <c r="A279" s="18" t="inlineStr">
        <is>
          <t>C0278</t>
        </is>
      </c>
      <c r="B279" s="18" t="inlineStr">
        <is>
          <t>Registro académico</t>
        </is>
      </c>
      <c r="C279" s="18" t="inlineStr">
        <is>
          <t>academic_registration</t>
        </is>
      </c>
      <c r="D279" s="18" t="inlineStr">
        <is>
          <t>graduation_certificates</t>
        </is>
      </c>
      <c r="E279" s="18" t="n">
        <v>161</v>
      </c>
      <c r="F279" s="18" t="inlineStr">
        <is>
          <t>full_name</t>
        </is>
      </c>
      <c r="G279" s="18" t="inlineStr">
        <is>
          <t>character varying(255)</t>
        </is>
      </c>
      <c r="H279" s="18" t="inlineStr">
        <is>
          <t>No</t>
        </is>
      </c>
      <c r="I279" s="18" t="inlineStr"/>
      <c r="J279" s="18" t="inlineStr"/>
      <c r="K279" s="18" t="inlineStr"/>
      <c r="L279" s="18" t="inlineStr">
        <is>
          <t>No</t>
        </is>
      </c>
      <c r="M279" s="18" t="inlineStr">
        <is>
          <t>No</t>
        </is>
      </c>
      <c r="N279" s="18" t="inlineStr"/>
      <c r="O279" s="18" t="inlineStr"/>
      <c r="P279" s="18" t="inlineStr">
        <is>
          <t>academic-registration-service/src/graduation-certificates/graduation-certificate.entity.ts:37: Información del graduado | db/migrations/old/042_create_graduation_tables.sql:146: Información del graduado</t>
        </is>
      </c>
      <c r="Q279" s="18" t="inlineStr">
        <is>
          <t>Código fuente</t>
        </is>
      </c>
      <c r="R279" s="18" t="inlineStr">
        <is>
          <t>Nombre completo del graduado, registrado en el certificado.</t>
        </is>
      </c>
      <c r="S279" s="18" t="inlineStr">
        <is>
          <t>Alta</t>
        </is>
      </c>
      <c r="T279" s="18" t="inlineStr">
        <is>
          <t>código: academic-registration-service/src/graduation-certificates/graduation-certificate.entity.ts:37</t>
        </is>
      </c>
      <c r="U279" s="18" t="inlineStr"/>
      <c r="V279" s="19" t="inlineStr">
        <is>
          <t>Pendiente</t>
        </is>
      </c>
      <c r="W279" s="19" t="inlineStr"/>
      <c r="X279" s="19" t="inlineStr"/>
      <c r="Y279" s="20" t="n"/>
      <c r="Z279" s="19" t="inlineStr"/>
      <c r="AA279" s="18">
        <f>IF(OR(V279="Aprobada"),R279,IF(AND(OR(V279="Aprobada con ajuste",V279="Rechazada"),W279&lt;&gt;""),W279,""))</f>
        <v/>
      </c>
    </row>
    <row r="280">
      <c r="A280" s="18" t="inlineStr">
        <is>
          <t>C0279</t>
        </is>
      </c>
      <c r="B280" s="18" t="inlineStr">
        <is>
          <t>Registro académico</t>
        </is>
      </c>
      <c r="C280" s="18" t="inlineStr">
        <is>
          <t>academic_registration</t>
        </is>
      </c>
      <c r="D280" s="18" t="inlineStr">
        <is>
          <t>graduation_certificates</t>
        </is>
      </c>
      <c r="E280" s="18" t="n">
        <v>161</v>
      </c>
      <c r="F280" s="18" t="inlineStr">
        <is>
          <t>id_number</t>
        </is>
      </c>
      <c r="G280" s="18" t="inlineStr">
        <is>
          <t>character varying(50)</t>
        </is>
      </c>
      <c r="H280" s="18" t="inlineStr">
        <is>
          <t>No</t>
        </is>
      </c>
      <c r="I280" s="18" t="inlineStr"/>
      <c r="J280" s="18" t="inlineStr"/>
      <c r="K280" s="18" t="inlineStr"/>
      <c r="L280" s="18" t="inlineStr">
        <is>
          <t>No</t>
        </is>
      </c>
      <c r="M280" s="18" t="inlineStr">
        <is>
          <t>No</t>
        </is>
      </c>
      <c r="N280" s="18" t="inlineStr"/>
      <c r="O280" s="18" t="inlineStr">
        <is>
          <t>idx_certificates_id_number</t>
        </is>
      </c>
      <c r="P280" s="18" t="inlineStr">
        <is>
          <t>Mapeada en academic-registration-service/src/graduation-certificates/graduation-certificate.entity.ts:40 (GraduationCertificate.idNumber)</t>
        </is>
      </c>
      <c r="Q280" s="18" t="inlineStr">
        <is>
          <t>Propuesta semántica</t>
        </is>
      </c>
      <c r="R280" s="18" t="inlineStr">
        <is>
          <t>Número del documento de identidad del graduado al que se emite el certificado.</t>
        </is>
      </c>
      <c r="S280" s="18" t="inlineStr">
        <is>
          <t>Alta</t>
        </is>
      </c>
      <c r="T280" s="18" t="inlineStr">
        <is>
          <t>nombre + tipo + columnas vecinas</t>
        </is>
      </c>
      <c r="U280" s="18" t="inlineStr"/>
      <c r="V280" s="19" t="inlineStr">
        <is>
          <t>Pendiente</t>
        </is>
      </c>
      <c r="W280" s="19" t="inlineStr"/>
      <c r="X280" s="19" t="inlineStr"/>
      <c r="Y280" s="20" t="n"/>
      <c r="Z280" s="19" t="inlineStr"/>
      <c r="AA280" s="18">
        <f>IF(OR(V280="Aprobada"),R280,IF(AND(OR(V280="Aprobada con ajuste",V280="Rechazada"),W280&lt;&gt;""),W280,""))</f>
        <v/>
      </c>
    </row>
    <row r="281">
      <c r="A281" s="18" t="inlineStr">
        <is>
          <t>C0280</t>
        </is>
      </c>
      <c r="B281" s="18" t="inlineStr">
        <is>
          <t>Registro académico</t>
        </is>
      </c>
      <c r="C281" s="18" t="inlineStr">
        <is>
          <t>academic_registration</t>
        </is>
      </c>
      <c r="D281" s="18" t="inlineStr">
        <is>
          <t>graduation_certificates</t>
        </is>
      </c>
      <c r="E281" s="18" t="n">
        <v>161</v>
      </c>
      <c r="F281" s="18" t="inlineStr">
        <is>
          <t>program_name</t>
        </is>
      </c>
      <c r="G281" s="18" t="inlineStr">
        <is>
          <t>character varying(255)</t>
        </is>
      </c>
      <c r="H281" s="18" t="inlineStr">
        <is>
          <t>No</t>
        </is>
      </c>
      <c r="I281" s="18" t="inlineStr"/>
      <c r="J281" s="18" t="inlineStr"/>
      <c r="K281" s="18" t="inlineStr"/>
      <c r="L281" s="18" t="inlineStr">
        <is>
          <t>No</t>
        </is>
      </c>
      <c r="M281" s="18" t="inlineStr">
        <is>
          <t>No</t>
        </is>
      </c>
      <c r="N281" s="18" t="inlineStr"/>
      <c r="O281" s="18" t="inlineStr"/>
      <c r="P281" s="18" t="inlineStr">
        <is>
          <t>academic-registration-service/src/graduation-certificates/graduation-certificate.entity.ts:44: Información académica | db/migrations/old/042_create_graduation_tables.sql:150: Información académica</t>
        </is>
      </c>
      <c r="Q281" s="18" t="inlineStr">
        <is>
          <t>Código fuente</t>
        </is>
      </c>
      <c r="R281" s="18" t="inlineStr">
        <is>
          <t>Nombre del programa académico del graduado, registrado en el certificado.</t>
        </is>
      </c>
      <c r="S281" s="18" t="inlineStr">
        <is>
          <t>Alta</t>
        </is>
      </c>
      <c r="T281" s="18" t="inlineStr">
        <is>
          <t>código: academic-registration-service/src/graduation-certificates/graduation-certificate.entity.ts:44</t>
        </is>
      </c>
      <c r="U281" s="18" t="inlineStr"/>
      <c r="V281" s="19" t="inlineStr">
        <is>
          <t>Pendiente</t>
        </is>
      </c>
      <c r="W281" s="19" t="inlineStr"/>
      <c r="X281" s="19" t="inlineStr"/>
      <c r="Y281" s="20" t="n"/>
      <c r="Z281" s="19" t="inlineStr"/>
      <c r="AA281" s="18">
        <f>IF(OR(V281="Aprobada"),R281,IF(AND(OR(V281="Aprobada con ajuste",V281="Rechazada"),W281&lt;&gt;""),W281,""))</f>
        <v/>
      </c>
    </row>
    <row r="282">
      <c r="A282" s="18" t="inlineStr">
        <is>
          <t>C0281</t>
        </is>
      </c>
      <c r="B282" s="18" t="inlineStr">
        <is>
          <t>Registro académico</t>
        </is>
      </c>
      <c r="C282" s="18" t="inlineStr">
        <is>
          <t>academic_registration</t>
        </is>
      </c>
      <c r="D282" s="18" t="inlineStr">
        <is>
          <t>graduation_certificates</t>
        </is>
      </c>
      <c r="E282" s="18" t="n">
        <v>161</v>
      </c>
      <c r="F282" s="18" t="inlineStr">
        <is>
          <t>program_type</t>
        </is>
      </c>
      <c r="G282" s="18" t="inlineStr">
        <is>
          <t>character varying(50)</t>
        </is>
      </c>
      <c r="H282" s="18" t="inlineStr">
        <is>
          <t>No</t>
        </is>
      </c>
      <c r="I282" s="18" t="inlineStr"/>
      <c r="J282" s="18" t="inlineStr"/>
      <c r="K282" s="18" t="inlineStr"/>
      <c r="L282" s="18" t="inlineStr">
        <is>
          <t>No</t>
        </is>
      </c>
      <c r="M282" s="18" t="inlineStr">
        <is>
          <t>No</t>
        </is>
      </c>
      <c r="N282" s="18" t="inlineStr"/>
      <c r="O282" s="18" t="inlineStr"/>
      <c r="P282" s="18" t="inlineStr">
        <is>
          <t>Mapeada en academic-registration-service/src/graduation-certificates/graduation-certificate.entity.ts:47 (GraduationCertificate.programType)</t>
        </is>
      </c>
      <c r="Q282" s="18" t="inlineStr">
        <is>
          <t>Propuesta semántica</t>
        </is>
      </c>
      <c r="R282" s="18" t="inlineStr">
        <is>
          <t>Tipo de programa académico del graduado.</t>
        </is>
      </c>
      <c r="S282" s="18" t="inlineStr">
        <is>
          <t>Media</t>
        </is>
      </c>
      <c r="T282" s="18" t="inlineStr">
        <is>
          <t>nombre + tipo + columnas vecinas</t>
        </is>
      </c>
      <c r="U282" s="18" t="inlineStr">
        <is>
          <t>¿Qué valores toma program_type (pregrado, especialización, maestría…)?</t>
        </is>
      </c>
      <c r="V282" s="19" t="inlineStr">
        <is>
          <t>Pendiente</t>
        </is>
      </c>
      <c r="W282" s="19" t="inlineStr"/>
      <c r="X282" s="19" t="inlineStr"/>
      <c r="Y282" s="20" t="n"/>
      <c r="Z282" s="19" t="inlineStr"/>
      <c r="AA282" s="18">
        <f>IF(OR(V282="Aprobada"),R282,IF(AND(OR(V282="Aprobada con ajuste",V282="Rechazada"),W282&lt;&gt;""),W282,""))</f>
        <v/>
      </c>
    </row>
    <row r="283">
      <c r="A283" s="18" t="inlineStr">
        <is>
          <t>C0282</t>
        </is>
      </c>
      <c r="B283" s="18" t="inlineStr">
        <is>
          <t>Registro académico</t>
        </is>
      </c>
      <c r="C283" s="18" t="inlineStr">
        <is>
          <t>academic_registration</t>
        </is>
      </c>
      <c r="D283" s="18" t="inlineStr">
        <is>
          <t>graduation_certificates</t>
        </is>
      </c>
      <c r="E283" s="18" t="n">
        <v>161</v>
      </c>
      <c r="F283" s="18" t="inlineStr">
        <is>
          <t>degree_title</t>
        </is>
      </c>
      <c r="G283" s="18" t="inlineStr">
        <is>
          <t>character varying(255)</t>
        </is>
      </c>
      <c r="H283" s="18" t="inlineStr">
        <is>
          <t>No</t>
        </is>
      </c>
      <c r="I283" s="18" t="inlineStr"/>
      <c r="J283" s="18" t="inlineStr"/>
      <c r="K283" s="18" t="inlineStr"/>
      <c r="L283" s="18" t="inlineStr">
        <is>
          <t>No</t>
        </is>
      </c>
      <c r="M283" s="18" t="inlineStr">
        <is>
          <t>No</t>
        </is>
      </c>
      <c r="N283" s="18" t="inlineStr"/>
      <c r="O283" s="18" t="inlineStr"/>
      <c r="P283" s="18" t="inlineStr">
        <is>
          <t>Mapeada en academic-registration-service/src/graduation-certificates/graduation-certificate.entity.ts:50 (GraduationCertificate.degreeTitle)</t>
        </is>
      </c>
      <c r="Q283" s="18" t="inlineStr">
        <is>
          <t>Propuesta semántica</t>
        </is>
      </c>
      <c r="R283" s="18" t="inlineStr">
        <is>
          <t>Título académico otorgado que figura en el certificado.</t>
        </is>
      </c>
      <c r="S283" s="18" t="inlineStr">
        <is>
          <t>Alta</t>
        </is>
      </c>
      <c r="T283" s="18" t="inlineStr">
        <is>
          <t>nombre + tipo + columnas vecinas</t>
        </is>
      </c>
      <c r="U283" s="18" t="inlineStr"/>
      <c r="V283" s="19" t="inlineStr">
        <is>
          <t>Pendiente</t>
        </is>
      </c>
      <c r="W283" s="19" t="inlineStr"/>
      <c r="X283" s="19" t="inlineStr"/>
      <c r="Y283" s="20" t="n"/>
      <c r="Z283" s="19" t="inlineStr"/>
      <c r="AA283" s="18">
        <f>IF(OR(V283="Aprobada"),R283,IF(AND(OR(V283="Aprobada con ajuste",V283="Rechazada"),W283&lt;&gt;""),W283,""))</f>
        <v/>
      </c>
    </row>
    <row r="284">
      <c r="A284" s="18" t="inlineStr">
        <is>
          <t>C0283</t>
        </is>
      </c>
      <c r="B284" s="18" t="inlineStr">
        <is>
          <t>Registro académico</t>
        </is>
      </c>
      <c r="C284" s="18" t="inlineStr">
        <is>
          <t>academic_registration</t>
        </is>
      </c>
      <c r="D284" s="18" t="inlineStr">
        <is>
          <t>graduation_certificates</t>
        </is>
      </c>
      <c r="E284" s="18" t="n">
        <v>161</v>
      </c>
      <c r="F284" s="18" t="inlineStr">
        <is>
          <t>graduation_date</t>
        </is>
      </c>
      <c r="G284" s="18" t="inlineStr">
        <is>
          <t>date</t>
        </is>
      </c>
      <c r="H284" s="18" t="inlineStr">
        <is>
          <t>No</t>
        </is>
      </c>
      <c r="I284" s="18" t="inlineStr"/>
      <c r="J284" s="18" t="inlineStr"/>
      <c r="K284" s="18" t="inlineStr"/>
      <c r="L284" s="18" t="inlineStr">
        <is>
          <t>No</t>
        </is>
      </c>
      <c r="M284" s="18" t="inlineStr">
        <is>
          <t>No</t>
        </is>
      </c>
      <c r="N284" s="18" t="inlineStr"/>
      <c r="O284" s="18" t="inlineStr"/>
      <c r="P284" s="18" t="inlineStr">
        <is>
          <t>Mapeada en academic-registration-service/src/graduation-certificates/graduation-certificate.entity.ts:53 (GraduationCertificate.graduationDate)</t>
        </is>
      </c>
      <c r="Q284" s="18" t="inlineStr">
        <is>
          <t>Propuesta semántica</t>
        </is>
      </c>
      <c r="R284" s="18" t="inlineStr">
        <is>
          <t>Fecha de graduación que figura en el certificado.</t>
        </is>
      </c>
      <c r="S284" s="18" t="inlineStr">
        <is>
          <t>Alta</t>
        </is>
      </c>
      <c r="T284" s="18" t="inlineStr">
        <is>
          <t>nombre + tipo + columnas vecinas</t>
        </is>
      </c>
      <c r="U284" s="18" t="inlineStr"/>
      <c r="V284" s="19" t="inlineStr">
        <is>
          <t>Pendiente</t>
        </is>
      </c>
      <c r="W284" s="19" t="inlineStr"/>
      <c r="X284" s="19" t="inlineStr"/>
      <c r="Y284" s="20" t="n"/>
      <c r="Z284" s="19" t="inlineStr"/>
      <c r="AA284" s="18">
        <f>IF(OR(V284="Aprobada"),R284,IF(AND(OR(V284="Aprobada con ajuste",V284="Rechazada"),W284&lt;&gt;""),W284,""))</f>
        <v/>
      </c>
    </row>
    <row r="285">
      <c r="A285" s="18" t="inlineStr">
        <is>
          <t>C0284</t>
        </is>
      </c>
      <c r="B285" s="18" t="inlineStr">
        <is>
          <t>Registro académico</t>
        </is>
      </c>
      <c r="C285" s="18" t="inlineStr">
        <is>
          <t>academic_registration</t>
        </is>
      </c>
      <c r="D285" s="18" t="inlineStr">
        <is>
          <t>graduation_certificates</t>
        </is>
      </c>
      <c r="E285" s="18" t="n">
        <v>161</v>
      </c>
      <c r="F285" s="18" t="inlineStr">
        <is>
          <t>diploma_number</t>
        </is>
      </c>
      <c r="G285" s="18" t="inlineStr">
        <is>
          <t>character varying(100)</t>
        </is>
      </c>
      <c r="H285" s="18" t="inlineStr">
        <is>
          <t>Sí</t>
        </is>
      </c>
      <c r="I285" s="18" t="inlineStr"/>
      <c r="J285" s="18" t="inlineStr"/>
      <c r="K285" s="18" t="inlineStr"/>
      <c r="L285" s="18" t="inlineStr">
        <is>
          <t>No</t>
        </is>
      </c>
      <c r="M285" s="18" t="inlineStr">
        <is>
          <t>No</t>
        </is>
      </c>
      <c r="N285" s="18" t="inlineStr"/>
      <c r="O285" s="18" t="inlineStr"/>
      <c r="P285" s="18" t="inlineStr">
        <is>
          <t>Mapeada en academic-registration-service/src/graduation-certificates/graduation-certificate.entity.ts:56 (GraduationCertificate.diplomaNumber)</t>
        </is>
      </c>
      <c r="Q285" s="18" t="inlineStr">
        <is>
          <t>Propuesta semántica</t>
        </is>
      </c>
      <c r="R285" s="18" t="inlineStr">
        <is>
          <t>Número del diploma del graduado que figura en el certificado.</t>
        </is>
      </c>
      <c r="S285" s="18" t="inlineStr">
        <is>
          <t>Alta</t>
        </is>
      </c>
      <c r="T285" s="18" t="inlineStr">
        <is>
          <t>nombre + tipo + columnas vecinas</t>
        </is>
      </c>
      <c r="U285" s="18" t="inlineStr"/>
      <c r="V285" s="19" t="inlineStr">
        <is>
          <t>Pendiente</t>
        </is>
      </c>
      <c r="W285" s="19" t="inlineStr"/>
      <c r="X285" s="19" t="inlineStr"/>
      <c r="Y285" s="20" t="n"/>
      <c r="Z285" s="19" t="inlineStr"/>
      <c r="AA285" s="18">
        <f>IF(OR(V285="Aprobada"),R285,IF(AND(OR(V285="Aprobada con ajuste",V285="Rechazada"),W285&lt;&gt;""),W285,""))</f>
        <v/>
      </c>
    </row>
    <row r="286">
      <c r="A286" s="18" t="inlineStr">
        <is>
          <t>C0285</t>
        </is>
      </c>
      <c r="B286" s="18" t="inlineStr">
        <is>
          <t>Registro académico</t>
        </is>
      </c>
      <c r="C286" s="18" t="inlineStr">
        <is>
          <t>academic_registration</t>
        </is>
      </c>
      <c r="D286" s="18" t="inlineStr">
        <is>
          <t>graduation_certificates</t>
        </is>
      </c>
      <c r="E286" s="18" t="n">
        <v>161</v>
      </c>
      <c r="F286" s="18" t="inlineStr">
        <is>
          <t>campus</t>
        </is>
      </c>
      <c r="G286" s="18" t="inlineStr">
        <is>
          <t>character varying(100)</t>
        </is>
      </c>
      <c r="H286" s="18" t="inlineStr">
        <is>
          <t>Sí</t>
        </is>
      </c>
      <c r="I286" s="18" t="inlineStr"/>
      <c r="J286" s="18" t="inlineStr"/>
      <c r="K286" s="18" t="inlineStr"/>
      <c r="L286" s="18" t="inlineStr">
        <is>
          <t>No</t>
        </is>
      </c>
      <c r="M286" s="18" t="inlineStr">
        <is>
          <t>No</t>
        </is>
      </c>
      <c r="N286" s="18" t="inlineStr"/>
      <c r="O286" s="18" t="inlineStr"/>
      <c r="P286" s="18" t="inlineStr">
        <is>
          <t>academic-registration-service/src/graduation-certificates/graduation-certificate.entity.ts:71: Información adicional | db/migrations/old/042_create_graduation_tables.sql:158: Información adicional</t>
        </is>
      </c>
      <c r="Q286" s="18" t="inlineStr">
        <is>
          <t>Código fuente</t>
        </is>
      </c>
      <c r="R286" s="18" t="inlineStr">
        <is>
          <t>Sede del graduado, registrada en el certificado.</t>
        </is>
      </c>
      <c r="S286" s="18" t="inlineStr">
        <is>
          <t>Alta</t>
        </is>
      </c>
      <c r="T286" s="18" t="inlineStr">
        <is>
          <t>código: academic-registration-service/src/graduation-certificates/graduation-certificate.entity.ts:71</t>
        </is>
      </c>
      <c r="U286" s="18" t="inlineStr"/>
      <c r="V286" s="19" t="inlineStr">
        <is>
          <t>Pendiente</t>
        </is>
      </c>
      <c r="W286" s="19" t="inlineStr"/>
      <c r="X286" s="19" t="inlineStr"/>
      <c r="Y286" s="20" t="n"/>
      <c r="Z286" s="19" t="inlineStr"/>
      <c r="AA286" s="18">
        <f>IF(OR(V286="Aprobada"),R286,IF(AND(OR(V286="Aprobada con ajuste",V286="Rechazada"),W286&lt;&gt;""),W286,""))</f>
        <v/>
      </c>
    </row>
    <row r="287">
      <c r="A287" s="18" t="inlineStr">
        <is>
          <t>C0286</t>
        </is>
      </c>
      <c r="B287" s="18" t="inlineStr">
        <is>
          <t>Registro académico</t>
        </is>
      </c>
      <c r="C287" s="18" t="inlineStr">
        <is>
          <t>academic_registration</t>
        </is>
      </c>
      <c r="D287" s="18" t="inlineStr">
        <is>
          <t>graduation_certificates</t>
        </is>
      </c>
      <c r="E287" s="18" t="n">
        <v>161</v>
      </c>
      <c r="F287" s="18" t="inlineStr">
        <is>
          <t>signer_name</t>
        </is>
      </c>
      <c r="G287" s="18" t="inlineStr">
        <is>
          <t>character varying(255)</t>
        </is>
      </c>
      <c r="H287" s="18" t="inlineStr">
        <is>
          <t>No</t>
        </is>
      </c>
      <c r="I287" s="18" t="inlineStr"/>
      <c r="J287" s="18" t="inlineStr"/>
      <c r="K287" s="18" t="inlineStr"/>
      <c r="L287" s="18" t="inlineStr">
        <is>
          <t>No</t>
        </is>
      </c>
      <c r="M287" s="18" t="inlineStr">
        <is>
          <t>No</t>
        </is>
      </c>
      <c r="N287" s="18" t="inlineStr"/>
      <c r="O287" s="18" t="inlineStr"/>
      <c r="P287" s="18" t="inlineStr">
        <is>
          <t>academic-registration-service/src/graduation-certificates/graduation-certificate.entity.ts:84: Datos del firmante | db/migrations/old/042_create_graduation_tables.sql:161: Datos del firmante</t>
        </is>
      </c>
      <c r="Q287" s="18" t="inlineStr">
        <is>
          <t>Código fuente</t>
        </is>
      </c>
      <c r="R287" s="18" t="inlineStr">
        <is>
          <t>Nombre del firmante del certificado.</t>
        </is>
      </c>
      <c r="S287" s="18" t="inlineStr">
        <is>
          <t>Alta</t>
        </is>
      </c>
      <c r="T287" s="18" t="inlineStr">
        <is>
          <t>código: academic-registration-service/src/graduation-certificates/graduation-certificate.entity.ts:84</t>
        </is>
      </c>
      <c r="U287" s="18" t="inlineStr"/>
      <c r="V287" s="19" t="inlineStr">
        <is>
          <t>Pendiente</t>
        </is>
      </c>
      <c r="W287" s="19" t="inlineStr"/>
      <c r="X287" s="19" t="inlineStr"/>
      <c r="Y287" s="20" t="n"/>
      <c r="Z287" s="19" t="inlineStr"/>
      <c r="AA287" s="18">
        <f>IF(OR(V287="Aprobada"),R287,IF(AND(OR(V287="Aprobada con ajuste",V287="Rechazada"),W287&lt;&gt;""),W287,""))</f>
        <v/>
      </c>
    </row>
    <row r="288">
      <c r="A288" s="18" t="inlineStr">
        <is>
          <t>C0287</t>
        </is>
      </c>
      <c r="B288" s="18" t="inlineStr">
        <is>
          <t>Registro académico</t>
        </is>
      </c>
      <c r="C288" s="18" t="inlineStr">
        <is>
          <t>academic_registration</t>
        </is>
      </c>
      <c r="D288" s="18" t="inlineStr">
        <is>
          <t>graduation_certificates</t>
        </is>
      </c>
      <c r="E288" s="18" t="n">
        <v>161</v>
      </c>
      <c r="F288" s="18" t="inlineStr">
        <is>
          <t>signer_position</t>
        </is>
      </c>
      <c r="G288" s="18" t="inlineStr">
        <is>
          <t>character varying(255)</t>
        </is>
      </c>
      <c r="H288" s="18" t="inlineStr">
        <is>
          <t>No</t>
        </is>
      </c>
      <c r="I288" s="18" t="inlineStr"/>
      <c r="J288" s="18" t="inlineStr"/>
      <c r="K288" s="18" t="inlineStr"/>
      <c r="L288" s="18" t="inlineStr">
        <is>
          <t>No</t>
        </is>
      </c>
      <c r="M288" s="18" t="inlineStr">
        <is>
          <t>No</t>
        </is>
      </c>
      <c r="N288" s="18" t="inlineStr"/>
      <c r="O288" s="18" t="inlineStr"/>
      <c r="P288" s="18" t="inlineStr">
        <is>
          <t>Mapeada en academic-registration-service/src/graduation-certificates/graduation-certificate.entity.ts:87 (GraduationCertificate.signerPosition)</t>
        </is>
      </c>
      <c r="Q288" s="18" t="inlineStr">
        <is>
          <t>Propuesta semántica</t>
        </is>
      </c>
      <c r="R288" s="18" t="inlineStr">
        <is>
          <t>Cargo del firmante del certificado.</t>
        </is>
      </c>
      <c r="S288" s="18" t="inlineStr">
        <is>
          <t>Alta</t>
        </is>
      </c>
      <c r="T288" s="18" t="inlineStr">
        <is>
          <t>nombre + tipo + columnas vecinas (signer_name)</t>
        </is>
      </c>
      <c r="U288" s="18" t="inlineStr"/>
      <c r="V288" s="19" t="inlineStr">
        <is>
          <t>Pendiente</t>
        </is>
      </c>
      <c r="W288" s="19" t="inlineStr"/>
      <c r="X288" s="19" t="inlineStr"/>
      <c r="Y288" s="20" t="n"/>
      <c r="Z288" s="19" t="inlineStr"/>
      <c r="AA288" s="18">
        <f>IF(OR(V288="Aprobada"),R288,IF(AND(OR(V288="Aprobada con ajuste",V288="Rechazada"),W288&lt;&gt;""),W288,""))</f>
        <v/>
      </c>
    </row>
    <row r="289">
      <c r="A289" s="18" t="inlineStr">
        <is>
          <t>C0288</t>
        </is>
      </c>
      <c r="B289" s="18" t="inlineStr">
        <is>
          <t>Registro académico</t>
        </is>
      </c>
      <c r="C289" s="18" t="inlineStr">
        <is>
          <t>academic_registration</t>
        </is>
      </c>
      <c r="D289" s="18" t="inlineStr">
        <is>
          <t>graduation_certificates</t>
        </is>
      </c>
      <c r="E289" s="18" t="n">
        <v>161</v>
      </c>
      <c r="F289" s="18" t="inlineStr">
        <is>
          <t>signature_url</t>
        </is>
      </c>
      <c r="G289" s="18" t="inlineStr">
        <is>
          <t>text</t>
        </is>
      </c>
      <c r="H289" s="18" t="inlineStr">
        <is>
          <t>Sí</t>
        </is>
      </c>
      <c r="I289" s="18" t="inlineStr"/>
      <c r="J289" s="18" t="inlineStr"/>
      <c r="K289" s="18" t="inlineStr"/>
      <c r="L289" s="18" t="inlineStr">
        <is>
          <t>No</t>
        </is>
      </c>
      <c r="M289" s="18" t="inlineStr">
        <is>
          <t>No</t>
        </is>
      </c>
      <c r="N289" s="18" t="inlineStr"/>
      <c r="O289" s="18" t="inlineStr"/>
      <c r="P289" s="18" t="inlineStr">
        <is>
          <t>Mapeada en academic-registration-service/src/graduation-certificates/graduation-certificate.entity.ts:90 (GraduationCertificate.signatureUrl)</t>
        </is>
      </c>
      <c r="Q289" s="18" t="inlineStr">
        <is>
          <t>Propuesta semántica</t>
        </is>
      </c>
      <c r="R289" s="18" t="inlineStr">
        <is>
          <t>URL de la imagen de la firma usada en el certificado.</t>
        </is>
      </c>
      <c r="S289" s="18" t="inlineStr">
        <is>
          <t>Alta</t>
        </is>
      </c>
      <c r="T289" s="18" t="inlineStr">
        <is>
          <t>nombre + tipo + columnas vecinas</t>
        </is>
      </c>
      <c r="U289" s="18" t="inlineStr"/>
      <c r="V289" s="19" t="inlineStr">
        <is>
          <t>Pendiente</t>
        </is>
      </c>
      <c r="W289" s="19" t="inlineStr"/>
      <c r="X289" s="19" t="inlineStr"/>
      <c r="Y289" s="20" t="n"/>
      <c r="Z289" s="19" t="inlineStr"/>
      <c r="AA289" s="18">
        <f>IF(OR(V289="Aprobada"),R289,IF(AND(OR(V289="Aprobada con ajuste",V289="Rechazada"),W289&lt;&gt;""),W289,""))</f>
        <v/>
      </c>
    </row>
    <row r="290">
      <c r="A290" s="18" t="inlineStr">
        <is>
          <t>C0289</t>
        </is>
      </c>
      <c r="B290" s="18" t="inlineStr">
        <is>
          <t>Registro académico</t>
        </is>
      </c>
      <c r="C290" s="18" t="inlineStr">
        <is>
          <t>academic_registration</t>
        </is>
      </c>
      <c r="D290" s="18" t="inlineStr">
        <is>
          <t>graduation_certificates</t>
        </is>
      </c>
      <c r="E290" s="18" t="n">
        <v>161</v>
      </c>
      <c r="F290" s="18" t="inlineStr">
        <is>
          <t>pdf_url</t>
        </is>
      </c>
      <c r="G290" s="18" t="inlineStr">
        <is>
          <t>text</t>
        </is>
      </c>
      <c r="H290" s="18" t="inlineStr">
        <is>
          <t>Sí</t>
        </is>
      </c>
      <c r="I290" s="18" t="inlineStr"/>
      <c r="J290" s="18" t="inlineStr"/>
      <c r="K290" s="18" t="inlineStr"/>
      <c r="L290" s="18" t="inlineStr">
        <is>
          <t>No</t>
        </is>
      </c>
      <c r="M290" s="18" t="inlineStr">
        <is>
          <t>No</t>
        </is>
      </c>
      <c r="N290" s="18" t="inlineStr"/>
      <c r="O290" s="18" t="inlineStr"/>
      <c r="P290" s="18" t="inlineStr">
        <is>
          <t>academic-registration-service/src/graduation-certificates/graduation-certificate.entity.ts:94: Archivo PDF | db/migrations/old/042_create_graduation_tables.sql:166: Archivo PDF</t>
        </is>
      </c>
      <c r="Q290" s="18" t="inlineStr">
        <is>
          <t>Código fuente</t>
        </is>
      </c>
      <c r="R290" s="18" t="inlineStr">
        <is>
          <t>URL del archivo PDF del certificado.</t>
        </is>
      </c>
      <c r="S290" s="18" t="inlineStr">
        <is>
          <t>Alta</t>
        </is>
      </c>
      <c r="T290" s="18" t="inlineStr">
        <is>
          <t>código: academic-registration-service/src/graduation-certificates/graduation-certificate.entity.ts:94</t>
        </is>
      </c>
      <c r="U290" s="18" t="inlineStr"/>
      <c r="V290" s="19" t="inlineStr">
        <is>
          <t>Pendiente</t>
        </is>
      </c>
      <c r="W290" s="19" t="inlineStr"/>
      <c r="X290" s="19" t="inlineStr"/>
      <c r="Y290" s="20" t="n"/>
      <c r="Z290" s="19" t="inlineStr"/>
      <c r="AA290" s="18">
        <f>IF(OR(V290="Aprobada"),R290,IF(AND(OR(V290="Aprobada con ajuste",V290="Rechazada"),W290&lt;&gt;""),W290,""))</f>
        <v/>
      </c>
    </row>
    <row r="291">
      <c r="A291" s="18" t="inlineStr">
        <is>
          <t>C0290</t>
        </is>
      </c>
      <c r="B291" s="18" t="inlineStr">
        <is>
          <t>Registro académico</t>
        </is>
      </c>
      <c r="C291" s="18" t="inlineStr">
        <is>
          <t>academic_registration</t>
        </is>
      </c>
      <c r="D291" s="18" t="inlineStr">
        <is>
          <t>graduation_certificates</t>
        </is>
      </c>
      <c r="E291" s="18" t="n">
        <v>161</v>
      </c>
      <c r="F291" s="18" t="inlineStr">
        <is>
          <t>pdf_filename</t>
        </is>
      </c>
      <c r="G291" s="18" t="inlineStr">
        <is>
          <t>character varying(255)</t>
        </is>
      </c>
      <c r="H291" s="18" t="inlineStr">
        <is>
          <t>Sí</t>
        </is>
      </c>
      <c r="I291" s="18" t="inlineStr"/>
      <c r="J291" s="18" t="inlineStr"/>
      <c r="K291" s="18" t="inlineStr"/>
      <c r="L291" s="18" t="inlineStr">
        <is>
          <t>No</t>
        </is>
      </c>
      <c r="M291" s="18" t="inlineStr">
        <is>
          <t>No</t>
        </is>
      </c>
      <c r="N291" s="18" t="inlineStr"/>
      <c r="O291" s="18" t="inlineStr"/>
      <c r="P291" s="18" t="inlineStr">
        <is>
          <t>Mapeada en academic-registration-service/src/graduation-certificates/graduation-certificate.entity.ts:97 (GraduationCertificate.pdfFilename)</t>
        </is>
      </c>
      <c r="Q291" s="18" t="inlineStr">
        <is>
          <t>Propuesta semántica</t>
        </is>
      </c>
      <c r="R291" s="18" t="inlineStr">
        <is>
          <t>Nombre del archivo PDF del certificado emitido.</t>
        </is>
      </c>
      <c r="S291" s="18" t="inlineStr">
        <is>
          <t>Alta</t>
        </is>
      </c>
      <c r="T291" s="18" t="inlineStr">
        <is>
          <t>nombre + tipo + columnas vecinas (pdf_url)</t>
        </is>
      </c>
      <c r="U291" s="18" t="inlineStr"/>
      <c r="V291" s="19" t="inlineStr">
        <is>
          <t>Pendiente</t>
        </is>
      </c>
      <c r="W291" s="19" t="inlineStr"/>
      <c r="X291" s="19" t="inlineStr"/>
      <c r="Y291" s="20" t="n"/>
      <c r="Z291" s="19" t="inlineStr"/>
      <c r="AA291" s="18">
        <f>IF(OR(V291="Aprobada"),R291,IF(AND(OR(V291="Aprobada con ajuste",V291="Rechazada"),W291&lt;&gt;""),W291,""))</f>
        <v/>
      </c>
    </row>
    <row r="292">
      <c r="A292" s="18" t="inlineStr">
        <is>
          <t>C0291</t>
        </is>
      </c>
      <c r="B292" s="18" t="inlineStr">
        <is>
          <t>Registro académico</t>
        </is>
      </c>
      <c r="C292" s="18" t="inlineStr">
        <is>
          <t>academic_registration</t>
        </is>
      </c>
      <c r="D292" s="18" t="inlineStr">
        <is>
          <t>graduation_certificates</t>
        </is>
      </c>
      <c r="E292" s="18" t="n">
        <v>161</v>
      </c>
      <c r="F292" s="18" t="inlineStr">
        <is>
          <t>status</t>
        </is>
      </c>
      <c r="G292" s="18" t="inlineStr">
        <is>
          <t>character varying(50)</t>
        </is>
      </c>
      <c r="H292" s="18" t="inlineStr">
        <is>
          <t>Sí</t>
        </is>
      </c>
      <c r="I292" s="18" t="inlineStr">
        <is>
          <t>CHECK</t>
        </is>
      </c>
      <c r="J292" s="18" t="inlineStr">
        <is>
          <t>EXPIRED, REVOKED, VALID</t>
        </is>
      </c>
      <c r="K292" s="18" t="inlineStr"/>
      <c r="L292" s="18" t="inlineStr">
        <is>
          <t>Sí</t>
        </is>
      </c>
      <c r="M292" s="18" t="inlineStr">
        <is>
          <t>No</t>
        </is>
      </c>
      <c r="N292" s="18" t="inlineStr"/>
      <c r="O292" s="18" t="inlineStr">
        <is>
          <t>idx_certificates_status</t>
        </is>
      </c>
      <c r="P292" s="18" t="inlineStr">
        <is>
          <t>academic-registration-service/src/graduation-certificates/graduation-certificate.entity.ts:104: Estado del certificado VALID, REVOKED, EXPIRED | db/migrations/old/042_create_graduation_tables.sql:170: Estado del certificado VALID, REVOKED, EXPIRED</t>
        </is>
      </c>
      <c r="Q292" s="18" t="inlineStr">
        <is>
          <t>Código fuente</t>
        </is>
      </c>
      <c r="R292" s="18" t="inlineStr">
        <is>
          <t>Estado del certificado emitido. Valores permitidos: VALID, REVOKED, EXPIRED; por defecto VALID.</t>
        </is>
      </c>
      <c r="S292" s="18" t="inlineStr">
        <is>
          <t>Alta</t>
        </is>
      </c>
      <c r="T292" s="18" t="inlineStr">
        <is>
          <t>código: academic-registration-service/src/graduation-certificates/graduation-certificate.entity.ts:104</t>
        </is>
      </c>
      <c r="U292" s="18" t="inlineStr"/>
      <c r="V292" s="19" t="inlineStr">
        <is>
          <t>Pendiente</t>
        </is>
      </c>
      <c r="W292" s="19" t="inlineStr"/>
      <c r="X292" s="19" t="inlineStr"/>
      <c r="Y292" s="20" t="n"/>
      <c r="Z292" s="19" t="inlineStr"/>
      <c r="AA292" s="18">
        <f>IF(OR(V292="Aprobada"),R292,IF(AND(OR(V292="Aprobada con ajuste",V292="Rechazada"),W292&lt;&gt;""),W292,""))</f>
        <v/>
      </c>
    </row>
    <row r="293">
      <c r="A293" s="18" t="inlineStr">
        <is>
          <t>C0292</t>
        </is>
      </c>
      <c r="B293" s="18" t="inlineStr">
        <is>
          <t>Registro académico</t>
        </is>
      </c>
      <c r="C293" s="18" t="inlineStr">
        <is>
          <t>academic_registration</t>
        </is>
      </c>
      <c r="D293" s="18" t="inlineStr">
        <is>
          <t>graduation_certificates</t>
        </is>
      </c>
      <c r="E293" s="18" t="n">
        <v>161</v>
      </c>
      <c r="F293" s="18" t="inlineStr">
        <is>
          <t>issue_date</t>
        </is>
      </c>
      <c r="G293" s="18" t="inlineStr">
        <is>
          <t>date</t>
        </is>
      </c>
      <c r="H293" s="18" t="inlineStr">
        <is>
          <t>Sí</t>
        </is>
      </c>
      <c r="I293" s="18" t="inlineStr"/>
      <c r="J293" s="18" t="inlineStr"/>
      <c r="K293" s="18" t="inlineStr"/>
      <c r="L293" s="18" t="inlineStr">
        <is>
          <t>No</t>
        </is>
      </c>
      <c r="M293" s="18" t="inlineStr">
        <is>
          <t>No</t>
        </is>
      </c>
      <c r="N293" s="18" t="inlineStr"/>
      <c r="O293" s="18" t="inlineStr"/>
      <c r="P293" s="18" t="inlineStr">
        <is>
          <t>academic-registration-service/src/graduation-certificates/graduation-certificate.entity.ts:108: Fechas | db/migrations/old/042_create_graduation_tables.sql:173: Fechas</t>
        </is>
      </c>
      <c r="Q293" s="18" t="inlineStr">
        <is>
          <t>Código fuente</t>
        </is>
      </c>
      <c r="R293" s="18" t="inlineStr">
        <is>
          <t>Fecha de expedición del certificado; por defecto la fecha actual.</t>
        </is>
      </c>
      <c r="S293" s="18" t="inlineStr">
        <is>
          <t>Alta</t>
        </is>
      </c>
      <c r="T293" s="18" t="inlineStr">
        <is>
          <t>código: academic-registration-service/src/graduation-certificates/graduation-certificate.entity.ts:108</t>
        </is>
      </c>
      <c r="U293" s="18" t="inlineStr"/>
      <c r="V293" s="19" t="inlineStr">
        <is>
          <t>Pendiente</t>
        </is>
      </c>
      <c r="W293" s="19" t="inlineStr"/>
      <c r="X293" s="19" t="inlineStr"/>
      <c r="Y293" s="20" t="n"/>
      <c r="Z293" s="19" t="inlineStr"/>
      <c r="AA293" s="18">
        <f>IF(OR(V293="Aprobada"),R293,IF(AND(OR(V293="Aprobada con ajuste",V293="Rechazada"),W293&lt;&gt;""),W293,""))</f>
        <v/>
      </c>
    </row>
    <row r="294">
      <c r="A294" s="18" t="inlineStr">
        <is>
          <t>C0293</t>
        </is>
      </c>
      <c r="B294" s="18" t="inlineStr">
        <is>
          <t>Registro académico</t>
        </is>
      </c>
      <c r="C294" s="18" t="inlineStr">
        <is>
          <t>academic_registration</t>
        </is>
      </c>
      <c r="D294" s="18" t="inlineStr">
        <is>
          <t>graduation_certificates</t>
        </is>
      </c>
      <c r="E294" s="18" t="n">
        <v>161</v>
      </c>
      <c r="F294" s="18" t="inlineStr">
        <is>
          <t>expiry_date</t>
        </is>
      </c>
      <c r="G294" s="18" t="inlineStr">
        <is>
          <t>date</t>
        </is>
      </c>
      <c r="H294" s="18" t="inlineStr">
        <is>
          <t>Sí</t>
        </is>
      </c>
      <c r="I294" s="18" t="inlineStr"/>
      <c r="J294" s="18" t="inlineStr"/>
      <c r="K294" s="18" t="inlineStr"/>
      <c r="L294" s="18" t="inlineStr">
        <is>
          <t>No</t>
        </is>
      </c>
      <c r="M294" s="18" t="inlineStr">
        <is>
          <t>No</t>
        </is>
      </c>
      <c r="N294" s="18" t="inlineStr"/>
      <c r="O294" s="18" t="inlineStr"/>
      <c r="P294" s="18" t="inlineStr">
        <is>
          <t>db/migrations/old/042_create_graduation_tables.sql:174: Algunos certificados pueden tener fecha de expiración</t>
        </is>
      </c>
      <c r="Q294" s="18" t="inlineStr">
        <is>
          <t>Código fuente</t>
        </is>
      </c>
      <c r="R294" s="18" t="inlineStr">
        <is>
          <t>Fecha de expiración del certificado, para los certificados que la tienen.</t>
        </is>
      </c>
      <c r="S294" s="18" t="inlineStr">
        <is>
          <t>Alta</t>
        </is>
      </c>
      <c r="T294" s="18" t="inlineStr">
        <is>
          <t>código: db/migrations/old/042_create_graduation_tables.sql:174</t>
        </is>
      </c>
      <c r="U294" s="18" t="inlineStr"/>
      <c r="V294" s="19" t="inlineStr">
        <is>
          <t>Pendiente</t>
        </is>
      </c>
      <c r="W294" s="19" t="inlineStr"/>
      <c r="X294" s="19" t="inlineStr"/>
      <c r="Y294" s="20" t="n"/>
      <c r="Z294" s="19" t="inlineStr"/>
      <c r="AA294" s="18">
        <f>IF(OR(V294="Aprobada"),R294,IF(AND(OR(V294="Aprobada con ajuste",V294="Rechazada"),W294&lt;&gt;""),W294,""))</f>
        <v/>
      </c>
    </row>
    <row r="295">
      <c r="A295" s="18" t="inlineStr">
        <is>
          <t>C0294</t>
        </is>
      </c>
      <c r="B295" s="18" t="inlineStr">
        <is>
          <t>Registro académico</t>
        </is>
      </c>
      <c r="C295" s="18" t="inlineStr">
        <is>
          <t>academic_registration</t>
        </is>
      </c>
      <c r="D295" s="18" t="inlineStr">
        <is>
          <t>graduation_request_review_files</t>
        </is>
      </c>
      <c r="E295" s="18" t="n">
        <v>30</v>
      </c>
      <c r="F295" s="18" t="inlineStr">
        <is>
          <t>original_name</t>
        </is>
      </c>
      <c r="G295" s="18" t="inlineStr">
        <is>
          <t>character varying(255)</t>
        </is>
      </c>
      <c r="H295" s="18" t="inlineStr">
        <is>
          <t>No</t>
        </is>
      </c>
      <c r="I295" s="18" t="inlineStr"/>
      <c r="J295" s="18" t="inlineStr"/>
      <c r="K295" s="18" t="inlineStr"/>
      <c r="L295" s="18" t="inlineStr">
        <is>
          <t>No</t>
        </is>
      </c>
      <c r="M295" s="18" t="inlineStr">
        <is>
          <t>No</t>
        </is>
      </c>
      <c r="N295" s="18" t="inlineStr"/>
      <c r="O295" s="18" t="inlineStr"/>
      <c r="P295" s="18" t="inlineStr">
        <is>
          <t>Mapeada en academic-registration-service/src/graduation-certificates/graduation-request-review-file.entity.ts:28 (GraduationRequestReviewFile.originalName)</t>
        </is>
      </c>
      <c r="Q295" s="18" t="inlineStr">
        <is>
          <t>Propuesta semántica</t>
        </is>
      </c>
      <c r="R295" s="18" t="inlineStr">
        <is>
          <t>Nombre original del archivo cargado en la revisión de la solicitud.</t>
        </is>
      </c>
      <c r="S295" s="18" t="inlineStr">
        <is>
          <t>Alta</t>
        </is>
      </c>
      <c r="T295" s="18" t="inlineStr">
        <is>
          <t>nombre + tipo + columnas vecinas (stored_name, mime_type)</t>
        </is>
      </c>
      <c r="U295" s="18" t="inlineStr"/>
      <c r="V295" s="19" t="inlineStr">
        <is>
          <t>Pendiente</t>
        </is>
      </c>
      <c r="W295" s="19" t="inlineStr"/>
      <c r="X295" s="19" t="inlineStr"/>
      <c r="Y295" s="20" t="n"/>
      <c r="Z295" s="19" t="inlineStr"/>
      <c r="AA295" s="18">
        <f>IF(OR(V295="Aprobada"),R295,IF(AND(OR(V295="Aprobada con ajuste",V295="Rechazada"),W295&lt;&gt;""),W295,""))</f>
        <v/>
      </c>
    </row>
    <row r="296">
      <c r="A296" s="18" t="inlineStr">
        <is>
          <t>C0295</t>
        </is>
      </c>
      <c r="B296" s="18" t="inlineStr">
        <is>
          <t>Registro académico</t>
        </is>
      </c>
      <c r="C296" s="18" t="inlineStr">
        <is>
          <t>academic_registration</t>
        </is>
      </c>
      <c r="D296" s="18" t="inlineStr">
        <is>
          <t>graduation_request_review_files</t>
        </is>
      </c>
      <c r="E296" s="18" t="n">
        <v>30</v>
      </c>
      <c r="F296" s="18" t="inlineStr">
        <is>
          <t>stored_name</t>
        </is>
      </c>
      <c r="G296" s="18" t="inlineStr">
        <is>
          <t>character varying(255)</t>
        </is>
      </c>
      <c r="H296" s="18" t="inlineStr">
        <is>
          <t>No</t>
        </is>
      </c>
      <c r="I296" s="18" t="inlineStr"/>
      <c r="J296" s="18" t="inlineStr"/>
      <c r="K296" s="18" t="inlineStr"/>
      <c r="L296" s="18" t="inlineStr">
        <is>
          <t>No</t>
        </is>
      </c>
      <c r="M296" s="18" t="inlineStr">
        <is>
          <t>No</t>
        </is>
      </c>
      <c r="N296" s="18" t="inlineStr"/>
      <c r="O296" s="18" t="inlineStr"/>
      <c r="P296" s="18" t="inlineStr">
        <is>
          <t>Mapeada en academic-registration-service/src/graduation-certificates/graduation-request-review-file.entity.ts:31 (GraduationRequestReviewFile.storedName)</t>
        </is>
      </c>
      <c r="Q296" s="18" t="inlineStr">
        <is>
          <t>Propuesta semántica</t>
        </is>
      </c>
      <c r="R296" s="18" t="inlineStr">
        <is>
          <t>Nombre con el que se guarda el archivo en el almacenamiento del sistema.</t>
        </is>
      </c>
      <c r="S296" s="18" t="inlineStr">
        <is>
          <t>Alta</t>
        </is>
      </c>
      <c r="T296" s="18" t="inlineStr">
        <is>
          <t>nombre + tipo + columnas vecinas</t>
        </is>
      </c>
      <c r="U296" s="18" t="inlineStr"/>
      <c r="V296" s="19" t="inlineStr">
        <is>
          <t>Pendiente</t>
        </is>
      </c>
      <c r="W296" s="19" t="inlineStr"/>
      <c r="X296" s="19" t="inlineStr"/>
      <c r="Y296" s="20" t="n"/>
      <c r="Z296" s="19" t="inlineStr"/>
      <c r="AA296" s="18">
        <f>IF(OR(V296="Aprobada"),R296,IF(AND(OR(V296="Aprobada con ajuste",V296="Rechazada"),W296&lt;&gt;""),W296,""))</f>
        <v/>
      </c>
    </row>
    <row r="297">
      <c r="A297" s="18" t="inlineStr">
        <is>
          <t>C0296</t>
        </is>
      </c>
      <c r="B297" s="18" t="inlineStr">
        <is>
          <t>Registro académico</t>
        </is>
      </c>
      <c r="C297" s="18" t="inlineStr">
        <is>
          <t>academic_registration</t>
        </is>
      </c>
      <c r="D297" s="18" t="inlineStr">
        <is>
          <t>graduation_request_review_files</t>
        </is>
      </c>
      <c r="E297" s="18" t="n">
        <v>30</v>
      </c>
      <c r="F297" s="18" t="inlineStr">
        <is>
          <t>mime_type</t>
        </is>
      </c>
      <c r="G297" s="18" t="inlineStr">
        <is>
          <t>character varying(150)</t>
        </is>
      </c>
      <c r="H297" s="18" t="inlineStr">
        <is>
          <t>No</t>
        </is>
      </c>
      <c r="I297" s="18" t="inlineStr"/>
      <c r="J297" s="18" t="inlineStr"/>
      <c r="K297" s="18" t="inlineStr"/>
      <c r="L297" s="18" t="inlineStr">
        <is>
          <t>No</t>
        </is>
      </c>
      <c r="M297" s="18" t="inlineStr">
        <is>
          <t>No</t>
        </is>
      </c>
      <c r="N297" s="18" t="inlineStr"/>
      <c r="O297" s="18" t="inlineStr"/>
      <c r="P297" s="18" t="inlineStr">
        <is>
          <t>Mapeada en academic-registration-service/src/graduation-certificates/graduation-request-review-file.entity.ts:34 (GraduationRequestReviewFile.mimeType)</t>
        </is>
      </c>
      <c r="Q297" s="18" t="inlineStr">
        <is>
          <t>Regla estructural</t>
        </is>
      </c>
      <c r="R297" s="18" t="inlineStr">
        <is>
          <t>Tipo MIME del archivo.</t>
        </is>
      </c>
      <c r="S297" s="18" t="inlineStr">
        <is>
          <t>Media</t>
        </is>
      </c>
      <c r="T297" s="18" t="inlineStr">
        <is>
          <t>Convención de nombre de la columna.</t>
        </is>
      </c>
      <c r="U297" s="18" t="inlineStr"/>
      <c r="V297" s="19" t="inlineStr">
        <is>
          <t>Pendiente</t>
        </is>
      </c>
      <c r="W297" s="19" t="inlineStr"/>
      <c r="X297" s="19" t="inlineStr"/>
      <c r="Y297" s="20" t="n"/>
      <c r="Z297" s="19" t="inlineStr"/>
      <c r="AA297" s="18">
        <f>IF(OR(V297="Aprobada"),R297,IF(AND(OR(V297="Aprobada con ajuste",V297="Rechazada"),W297&lt;&gt;""),W297,""))</f>
        <v/>
      </c>
    </row>
    <row r="298">
      <c r="A298" s="18" t="inlineStr">
        <is>
          <t>C0297</t>
        </is>
      </c>
      <c r="B298" s="18" t="inlineStr">
        <is>
          <t>Registro académico</t>
        </is>
      </c>
      <c r="C298" s="18" t="inlineStr">
        <is>
          <t>academic_registration</t>
        </is>
      </c>
      <c r="D298" s="18" t="inlineStr">
        <is>
          <t>graduation_request_review_files</t>
        </is>
      </c>
      <c r="E298" s="18" t="n">
        <v>30</v>
      </c>
      <c r="F298" s="18" t="inlineStr">
        <is>
          <t>size_bytes</t>
        </is>
      </c>
      <c r="G298" s="18" t="inlineStr">
        <is>
          <t>integer</t>
        </is>
      </c>
      <c r="H298" s="18" t="inlineStr">
        <is>
          <t>No</t>
        </is>
      </c>
      <c r="I298" s="18" t="inlineStr"/>
      <c r="J298" s="18" t="inlineStr"/>
      <c r="K298" s="18" t="inlineStr"/>
      <c r="L298" s="18" t="inlineStr">
        <is>
          <t>No</t>
        </is>
      </c>
      <c r="M298" s="18" t="inlineStr">
        <is>
          <t>No</t>
        </is>
      </c>
      <c r="N298" s="18" t="inlineStr"/>
      <c r="O298" s="18" t="inlineStr"/>
      <c r="P298" s="18" t="inlineStr">
        <is>
          <t>Mapeada en academic-registration-service/src/graduation-certificates/graduation-request-review-file.entity.ts:37 (GraduationRequestReviewFile.sizeBytes)</t>
        </is>
      </c>
      <c r="Q298" s="18" t="inlineStr">
        <is>
          <t>Regla estructural</t>
        </is>
      </c>
      <c r="R298" s="18" t="inlineStr">
        <is>
          <t>Tamaño del archivo en bytes.</t>
        </is>
      </c>
      <c r="S298" s="18" t="inlineStr">
        <is>
          <t>Media</t>
        </is>
      </c>
      <c r="T298" s="18" t="inlineStr">
        <is>
          <t>Convención de nombre de la columna.</t>
        </is>
      </c>
      <c r="U298" s="18" t="inlineStr"/>
      <c r="V298" s="19" t="inlineStr">
        <is>
          <t>Pendiente</t>
        </is>
      </c>
      <c r="W298" s="19" t="inlineStr"/>
      <c r="X298" s="19" t="inlineStr"/>
      <c r="Y298" s="20" t="n"/>
      <c r="Z298" s="19" t="inlineStr"/>
      <c r="AA298" s="18">
        <f>IF(OR(V298="Aprobada"),R298,IF(AND(OR(V298="Aprobada con ajuste",V298="Rechazada"),W298&lt;&gt;""),W298,""))</f>
        <v/>
      </c>
    </row>
    <row r="299">
      <c r="A299" s="18" t="inlineStr">
        <is>
          <t>C0298</t>
        </is>
      </c>
      <c r="B299" s="18" t="inlineStr">
        <is>
          <t>Registro académico</t>
        </is>
      </c>
      <c r="C299" s="18" t="inlineStr">
        <is>
          <t>academic_registration</t>
        </is>
      </c>
      <c r="D299" s="18" t="inlineStr">
        <is>
          <t>graduation_request_review_files</t>
        </is>
      </c>
      <c r="E299" s="18" t="n">
        <v>30</v>
      </c>
      <c r="F299" s="18" t="inlineStr">
        <is>
          <t>uploaded_by</t>
        </is>
      </c>
      <c r="G299" s="18" t="inlineStr">
        <is>
          <t>character varying(255)</t>
        </is>
      </c>
      <c r="H299" s="18" t="inlineStr">
        <is>
          <t>Sí</t>
        </is>
      </c>
      <c r="I299" s="18" t="inlineStr"/>
      <c r="J299" s="18" t="inlineStr"/>
      <c r="K299" s="18" t="inlineStr"/>
      <c r="L299" s="18" t="inlineStr">
        <is>
          <t>No</t>
        </is>
      </c>
      <c r="M299" s="18" t="inlineStr">
        <is>
          <t>No</t>
        </is>
      </c>
      <c r="N299" s="18" t="inlineStr"/>
      <c r="O299" s="18" t="inlineStr"/>
      <c r="P299" s="18" t="inlineStr">
        <is>
          <t>Mapeada en academic-registration-service/src/graduation-certificates/graduation-request-review-file.entity.ts:40 (GraduationRequestReviewFile.uploadedBy)</t>
        </is>
      </c>
      <c r="Q299" s="18" t="inlineStr">
        <is>
          <t>Propuesta semántica</t>
        </is>
      </c>
      <c r="R299" s="18" t="inlineStr">
        <is>
          <t>Identificador o nombre del usuario que cargó el archivo.</t>
        </is>
      </c>
      <c r="S299" s="18" t="inlineStr">
        <is>
          <t>Media</t>
        </is>
      </c>
      <c r="T299" s="18" t="inlineStr">
        <is>
          <t>nombre + tipo + columnas vecinas</t>
        </is>
      </c>
      <c r="U299" s="18" t="inlineStr">
        <is>
          <t>¿uploaded_by guarda el id del usuario, su correo o su nombre?</t>
        </is>
      </c>
      <c r="V299" s="19" t="inlineStr">
        <is>
          <t>Pendiente</t>
        </is>
      </c>
      <c r="W299" s="19" t="inlineStr"/>
      <c r="X299" s="19" t="inlineStr"/>
      <c r="Y299" s="20" t="n"/>
      <c r="Z299" s="19" t="inlineStr"/>
      <c r="AA299" s="18">
        <f>IF(OR(V299="Aprobada"),R299,IF(AND(OR(V299="Aprobada con ajuste",V299="Rechazada"),W299&lt;&gt;""),W299,""))</f>
        <v/>
      </c>
    </row>
    <row r="300">
      <c r="A300" s="18" t="inlineStr">
        <is>
          <t>C0299</t>
        </is>
      </c>
      <c r="B300" s="18" t="inlineStr">
        <is>
          <t>Registro académico</t>
        </is>
      </c>
      <c r="C300" s="18" t="inlineStr">
        <is>
          <t>academic_registration</t>
        </is>
      </c>
      <c r="D300" s="18" t="inlineStr">
        <is>
          <t>graduation_request_review_files</t>
        </is>
      </c>
      <c r="E300" s="18" t="n">
        <v>30</v>
      </c>
      <c r="F300" s="18" t="inlineStr">
        <is>
          <t>uploaded_at</t>
        </is>
      </c>
      <c r="G300" s="18" t="inlineStr">
        <is>
          <t>timestamp without time zone</t>
        </is>
      </c>
      <c r="H300" s="18" t="inlineStr">
        <is>
          <t>No</t>
        </is>
      </c>
      <c r="I300" s="18" t="inlineStr"/>
      <c r="J300" s="18" t="inlineStr"/>
      <c r="K300" s="18" t="inlineStr"/>
      <c r="L300" s="18" t="inlineStr">
        <is>
          <t>No</t>
        </is>
      </c>
      <c r="M300" s="18" t="inlineStr">
        <is>
          <t>No</t>
        </is>
      </c>
      <c r="N300" s="18" t="inlineStr"/>
      <c r="O300" s="18" t="inlineStr"/>
      <c r="P300" s="18" t="inlineStr">
        <is>
          <t>Mapeada en academic-registration-service/src/graduation-certificates/graduation-request-review-file.entity.ts:43 (GraduationRequestReviewFile.uploadedAt)</t>
        </is>
      </c>
      <c r="Q300" s="18" t="inlineStr">
        <is>
          <t>Regla estructural</t>
        </is>
      </c>
      <c r="R300" s="18" t="inlineStr">
        <is>
          <t>Fecha y hora de la carga.</t>
        </is>
      </c>
      <c r="S300" s="18" t="inlineStr">
        <is>
          <t>Media</t>
        </is>
      </c>
      <c r="T300" s="18" t="inlineStr">
        <is>
          <t>Convención de nombre de la columna.</t>
        </is>
      </c>
      <c r="U300" s="18" t="inlineStr"/>
      <c r="V300" s="19" t="inlineStr">
        <is>
          <t>Pendiente</t>
        </is>
      </c>
      <c r="W300" s="19" t="inlineStr"/>
      <c r="X300" s="19" t="inlineStr"/>
      <c r="Y300" s="20" t="n"/>
      <c r="Z300" s="19" t="inlineStr"/>
      <c r="AA300" s="18">
        <f>IF(OR(V300="Aprobada"),R300,IF(AND(OR(V300="Aprobada con ajuste",V300="Rechazada"),W300&lt;&gt;""),W300,""))</f>
        <v/>
      </c>
    </row>
    <row r="301">
      <c r="A301" s="18" t="inlineStr">
        <is>
          <t>C0300</t>
        </is>
      </c>
      <c r="B301" s="18" t="inlineStr">
        <is>
          <t>Registro académico</t>
        </is>
      </c>
      <c r="C301" s="18" t="inlineStr">
        <is>
          <t>academic_registration</t>
        </is>
      </c>
      <c r="D301" s="18" t="inlineStr">
        <is>
          <t>signers</t>
        </is>
      </c>
      <c r="E301" s="18" t="n">
        <v>1</v>
      </c>
      <c r="F301" s="18" t="inlineStr">
        <is>
          <t>full_name</t>
        </is>
      </c>
      <c r="G301" s="18" t="inlineStr">
        <is>
          <t>character varying(255)</t>
        </is>
      </c>
      <c r="H301" s="18" t="inlineStr">
        <is>
          <t>No</t>
        </is>
      </c>
      <c r="I301" s="18" t="inlineStr"/>
      <c r="J301" s="18" t="inlineStr"/>
      <c r="K301" s="18" t="inlineStr"/>
      <c r="L301" s="18" t="inlineStr">
        <is>
          <t>No</t>
        </is>
      </c>
      <c r="M301" s="18" t="inlineStr">
        <is>
          <t>No</t>
        </is>
      </c>
      <c r="N301" s="18" t="inlineStr"/>
      <c r="O301" s="18" t="inlineStr"/>
      <c r="P301" s="18" t="inlineStr">
        <is>
          <t>academic-registration-service/src/graduation-certificates/signer.entity.ts:15: Información del firmante | db/migrations/old/042_create_graduation_tables.sql:230: Información del firmante</t>
        </is>
      </c>
      <c r="Q301" s="18" t="inlineStr">
        <is>
          <t>Código fuente</t>
        </is>
      </c>
      <c r="R301" s="18" t="inlineStr">
        <is>
          <t>Nombre completo del firmante autorizado de certificados de grado.</t>
        </is>
      </c>
      <c r="S301" s="18" t="inlineStr">
        <is>
          <t>Alta</t>
        </is>
      </c>
      <c r="T301" s="18" t="inlineStr">
        <is>
          <t>código: academic-registration-service/src/graduation-certificates/signer.entity.ts:15</t>
        </is>
      </c>
      <c r="U301" s="18" t="inlineStr"/>
      <c r="V301" s="19" t="inlineStr">
        <is>
          <t>Pendiente</t>
        </is>
      </c>
      <c r="W301" s="19" t="inlineStr"/>
      <c r="X301" s="19" t="inlineStr"/>
      <c r="Y301" s="20" t="n"/>
      <c r="Z301" s="19" t="inlineStr"/>
      <c r="AA301" s="18">
        <f>IF(OR(V301="Aprobada"),R301,IF(AND(OR(V301="Aprobada con ajuste",V301="Rechazada"),W301&lt;&gt;""),W301,""))</f>
        <v/>
      </c>
    </row>
    <row r="302">
      <c r="A302" s="18" t="inlineStr">
        <is>
          <t>C0301</t>
        </is>
      </c>
      <c r="B302" s="18" t="inlineStr">
        <is>
          <t>Registro académico</t>
        </is>
      </c>
      <c r="C302" s="18" t="inlineStr">
        <is>
          <t>academic_registration</t>
        </is>
      </c>
      <c r="D302" s="18" t="inlineStr">
        <is>
          <t>signers</t>
        </is>
      </c>
      <c r="E302" s="18" t="n">
        <v>1</v>
      </c>
      <c r="F302" s="18" t="inlineStr">
        <is>
          <t>position</t>
        </is>
      </c>
      <c r="G302" s="18" t="inlineStr">
        <is>
          <t>character varying(255)</t>
        </is>
      </c>
      <c r="H302" s="18" t="inlineStr">
        <is>
          <t>No</t>
        </is>
      </c>
      <c r="I302" s="18" t="inlineStr"/>
      <c r="J302" s="18" t="inlineStr"/>
      <c r="K302" s="18" t="inlineStr"/>
      <c r="L302" s="18" t="inlineStr">
        <is>
          <t>No</t>
        </is>
      </c>
      <c r="M302" s="18" t="inlineStr">
        <is>
          <t>No</t>
        </is>
      </c>
      <c r="N302" s="18" t="inlineStr"/>
      <c r="O302" s="18" t="inlineStr"/>
      <c r="P302" s="18" t="inlineStr">
        <is>
          <t>db/migrations/old/042_create_graduation_tables.sql:231: Ej: "Director de Verificación de títulos"</t>
        </is>
      </c>
      <c r="Q302" s="18" t="inlineStr">
        <is>
          <t>Código fuente</t>
        </is>
      </c>
      <c r="R302" s="18" t="inlineStr">
        <is>
          <t>Cargo del firmante (por ejemplo, «Director de Verificación de títulos»).</t>
        </is>
      </c>
      <c r="S302" s="18" t="inlineStr">
        <is>
          <t>Alta</t>
        </is>
      </c>
      <c r="T302" s="18" t="inlineStr">
        <is>
          <t>código: db/migrations/old/042_create_graduation_tables.sql:231</t>
        </is>
      </c>
      <c r="U302" s="18" t="inlineStr"/>
      <c r="V302" s="19" t="inlineStr">
        <is>
          <t>Pendiente</t>
        </is>
      </c>
      <c r="W302" s="19" t="inlineStr"/>
      <c r="X302" s="19" t="inlineStr"/>
      <c r="Y302" s="20" t="n"/>
      <c r="Z302" s="19" t="inlineStr"/>
      <c r="AA302" s="18">
        <f>IF(OR(V302="Aprobada"),R302,IF(AND(OR(V302="Aprobada con ajuste",V302="Rechazada"),W302&lt;&gt;""),W302,""))</f>
        <v/>
      </c>
    </row>
    <row r="303">
      <c r="A303" s="18" t="inlineStr">
        <is>
          <t>C0302</t>
        </is>
      </c>
      <c r="B303" s="18" t="inlineStr">
        <is>
          <t>Registro académico</t>
        </is>
      </c>
      <c r="C303" s="18" t="inlineStr">
        <is>
          <t>academic_registration</t>
        </is>
      </c>
      <c r="D303" s="18" t="inlineStr">
        <is>
          <t>signers</t>
        </is>
      </c>
      <c r="E303" s="18" t="n">
        <v>1</v>
      </c>
      <c r="F303" s="18" t="inlineStr">
        <is>
          <t>department</t>
        </is>
      </c>
      <c r="G303" s="18" t="inlineStr">
        <is>
          <t>character varying(255)</t>
        </is>
      </c>
      <c r="H303" s="18" t="inlineStr">
        <is>
          <t>Sí</t>
        </is>
      </c>
      <c r="I303" s="18" t="inlineStr"/>
      <c r="J303" s="18" t="inlineStr"/>
      <c r="K303" s="18" t="inlineStr"/>
      <c r="L303" s="18" t="inlineStr">
        <is>
          <t>No</t>
        </is>
      </c>
      <c r="M303" s="18" t="inlineStr">
        <is>
          <t>No</t>
        </is>
      </c>
      <c r="N303" s="18" t="inlineStr"/>
      <c r="O303" s="18" t="inlineStr"/>
      <c r="P303" s="18" t="inlineStr">
        <is>
          <t>Mapeada en academic-registration-service/src/graduation-certificates/signer.entity.ts:21 (Signer.department)</t>
        </is>
      </c>
      <c r="Q303" s="18" t="inlineStr">
        <is>
          <t>Propuesta semántica</t>
        </is>
      </c>
      <c r="R303" s="18" t="inlineStr">
        <is>
          <t>Dependencia a la que pertenece el firmante.</t>
        </is>
      </c>
      <c r="S303" s="18" t="inlineStr">
        <is>
          <t>Alta</t>
        </is>
      </c>
      <c r="T303" s="18" t="inlineStr">
        <is>
          <t>nombre + tipo + columnas vecinas (position)</t>
        </is>
      </c>
      <c r="U303" s="18" t="inlineStr"/>
      <c r="V303" s="19" t="inlineStr">
        <is>
          <t>Pendiente</t>
        </is>
      </c>
      <c r="W303" s="19" t="inlineStr"/>
      <c r="X303" s="19" t="inlineStr"/>
      <c r="Y303" s="20" t="n"/>
      <c r="Z303" s="19" t="inlineStr"/>
      <c r="AA303" s="18">
        <f>IF(OR(V303="Aprobada"),R303,IF(AND(OR(V303="Aprobada con ajuste",V303="Rechazada"),W303&lt;&gt;""),W303,""))</f>
        <v/>
      </c>
    </row>
    <row r="304">
      <c r="A304" s="18" t="inlineStr">
        <is>
          <t>C0303</t>
        </is>
      </c>
      <c r="B304" s="18" t="inlineStr">
        <is>
          <t>Registro académico</t>
        </is>
      </c>
      <c r="C304" s="18" t="inlineStr">
        <is>
          <t>academic_registration</t>
        </is>
      </c>
      <c r="D304" s="18" t="inlineStr">
        <is>
          <t>signers</t>
        </is>
      </c>
      <c r="E304" s="18" t="n">
        <v>1</v>
      </c>
      <c r="F304" s="18" t="inlineStr">
        <is>
          <t>signature_url</t>
        </is>
      </c>
      <c r="G304" s="18" t="inlineStr">
        <is>
          <t>text</t>
        </is>
      </c>
      <c r="H304" s="18" t="inlineStr">
        <is>
          <t>Sí</t>
        </is>
      </c>
      <c r="I304" s="18" t="inlineStr"/>
      <c r="J304" s="18" t="inlineStr"/>
      <c r="K304" s="18" t="inlineStr"/>
      <c r="L304" s="18" t="inlineStr">
        <is>
          <t>No</t>
        </is>
      </c>
      <c r="M304" s="18" t="inlineStr">
        <is>
          <t>No</t>
        </is>
      </c>
      <c r="N304" s="18" t="inlineStr"/>
      <c r="O304" s="18" t="inlineStr"/>
      <c r="P304" s="18" t="inlineStr">
        <is>
          <t>academic-registration-service/src/graduation-certificates/signer.entity.ts:25: Firma digital | db/migrations/old/042_create_graduation_tables.sql:236: Firma digital</t>
        </is>
      </c>
      <c r="Q304" s="18" t="inlineStr">
        <is>
          <t>Código fuente</t>
        </is>
      </c>
      <c r="R304" s="18" t="inlineStr">
        <is>
          <t>URL de la imagen de la firma digital del firmante.</t>
        </is>
      </c>
      <c r="S304" s="18" t="inlineStr">
        <is>
          <t>Alta</t>
        </is>
      </c>
      <c r="T304" s="18" t="inlineStr">
        <is>
          <t>código: academic-registration-service/src/graduation-certificates/signer.entity.ts:25</t>
        </is>
      </c>
      <c r="U304" s="18" t="inlineStr"/>
      <c r="V304" s="19" t="inlineStr">
        <is>
          <t>Pendiente</t>
        </is>
      </c>
      <c r="W304" s="19" t="inlineStr"/>
      <c r="X304" s="19" t="inlineStr"/>
      <c r="Y304" s="20" t="n"/>
      <c r="Z304" s="19" t="inlineStr"/>
      <c r="AA304" s="18">
        <f>IF(OR(V304="Aprobada"),R304,IF(AND(OR(V304="Aprobada con ajuste",V304="Rechazada"),W304&lt;&gt;""),W304,""))</f>
        <v/>
      </c>
    </row>
    <row r="305">
      <c r="A305" s="18" t="inlineStr">
        <is>
          <t>C0304</t>
        </is>
      </c>
      <c r="B305" s="18" t="inlineStr">
        <is>
          <t>Registro académico</t>
        </is>
      </c>
      <c r="C305" s="18" t="inlineStr">
        <is>
          <t>academic_registration</t>
        </is>
      </c>
      <c r="D305" s="18" t="inlineStr">
        <is>
          <t>signers</t>
        </is>
      </c>
      <c r="E305" s="18" t="n">
        <v>1</v>
      </c>
      <c r="F305" s="18" t="inlineStr">
        <is>
          <t>is_active</t>
        </is>
      </c>
      <c r="G305" s="18" t="inlineStr">
        <is>
          <t>boolean</t>
        </is>
      </c>
      <c r="H305" s="18" t="inlineStr">
        <is>
          <t>Sí</t>
        </is>
      </c>
      <c r="I305" s="18" t="inlineStr"/>
      <c r="J305" s="18" t="inlineStr"/>
      <c r="K305" s="18" t="inlineStr"/>
      <c r="L305" s="18" t="inlineStr">
        <is>
          <t>No</t>
        </is>
      </c>
      <c r="M305" s="18" t="inlineStr">
        <is>
          <t>No</t>
        </is>
      </c>
      <c r="N305" s="18" t="inlineStr"/>
      <c r="O305" s="18" t="inlineStr">
        <is>
          <t>idx_signers_active</t>
        </is>
      </c>
      <c r="P305" s="18" t="inlineStr">
        <is>
          <t>academic-registration-service/src/graduation-certificates/signer.entity.ts:29: Estado | db/migrations/old/042_create_graduation_tables.sql:240: Estado</t>
        </is>
      </c>
      <c r="Q305" s="18" t="inlineStr">
        <is>
          <t>Código fuente</t>
        </is>
      </c>
      <c r="R305" s="18" t="inlineStr">
        <is>
          <t>Indica si el firmante está activo; por defecto verdadero.</t>
        </is>
      </c>
      <c r="S305" s="18" t="inlineStr">
        <is>
          <t>Alta</t>
        </is>
      </c>
      <c r="T305" s="18" t="inlineStr">
        <is>
          <t>código: academic-registration-service/src/graduation-certificates/signer.entity.ts:29</t>
        </is>
      </c>
      <c r="U305" s="18" t="inlineStr"/>
      <c r="V305" s="19" t="inlineStr">
        <is>
          <t>Pendiente</t>
        </is>
      </c>
      <c r="W305" s="19" t="inlineStr"/>
      <c r="X305" s="19" t="inlineStr"/>
      <c r="Y305" s="20" t="n"/>
      <c r="Z305" s="19" t="inlineStr"/>
      <c r="AA305" s="18">
        <f>IF(OR(V305="Aprobada"),R305,IF(AND(OR(V305="Aprobada con ajuste",V305="Rechazada"),W305&lt;&gt;""),W305,""))</f>
        <v/>
      </c>
    </row>
    <row r="306">
      <c r="A306" s="18" t="inlineStr">
        <is>
          <t>C0305</t>
        </is>
      </c>
      <c r="B306" s="18" t="inlineStr">
        <is>
          <t>Registro académico</t>
        </is>
      </c>
      <c r="C306" s="18" t="inlineStr">
        <is>
          <t>academic_registration</t>
        </is>
      </c>
      <c r="D306" s="18" t="inlineStr">
        <is>
          <t>signers</t>
        </is>
      </c>
      <c r="E306" s="18" t="n">
        <v>1</v>
      </c>
      <c r="F306" s="18" t="inlineStr">
        <is>
          <t>is_primary</t>
        </is>
      </c>
      <c r="G306" s="18" t="inlineStr">
        <is>
          <t>boolean</t>
        </is>
      </c>
      <c r="H306" s="18" t="inlineStr">
        <is>
          <t>Sí</t>
        </is>
      </c>
      <c r="I306" s="18" t="inlineStr"/>
      <c r="J306" s="18" t="inlineStr"/>
      <c r="K306" s="18" t="inlineStr"/>
      <c r="L306" s="18" t="inlineStr">
        <is>
          <t>No</t>
        </is>
      </c>
      <c r="M306" s="18" t="inlineStr">
        <is>
          <t>No</t>
        </is>
      </c>
      <c r="N306" s="18" t="inlineStr"/>
      <c r="O306" s="18" t="inlineStr">
        <is>
          <t>unique_primary_signer</t>
        </is>
      </c>
      <c r="P306" s="18" t="inlineStr">
        <is>
          <t>db/migrations/old/042_create_graduation_tables.sql:241: Firmante principal por defecto</t>
        </is>
      </c>
      <c r="Q306" s="18" t="inlineStr">
        <is>
          <t>Código fuente</t>
        </is>
      </c>
      <c r="R306" s="18" t="inlineStr">
        <is>
          <t>Indica si es el firmante principal, usado por defecto; por defecto falso.</t>
        </is>
      </c>
      <c r="S306" s="18" t="inlineStr">
        <is>
          <t>Alta</t>
        </is>
      </c>
      <c r="T306" s="18" t="inlineStr">
        <is>
          <t>código: db/migrations/old/042_create_graduation_tables.sql:241</t>
        </is>
      </c>
      <c r="U306" s="18" t="inlineStr"/>
      <c r="V306" s="19" t="inlineStr">
        <is>
          <t>Pendiente</t>
        </is>
      </c>
      <c r="W306" s="19" t="inlineStr"/>
      <c r="X306" s="19" t="inlineStr"/>
      <c r="Y306" s="20" t="n"/>
      <c r="Z306" s="19" t="inlineStr"/>
      <c r="AA306" s="18">
        <f>IF(OR(V306="Aprobada"),R306,IF(AND(OR(V306="Aprobada con ajuste",V306="Rechazada"),W306&lt;&gt;""),W306,""))</f>
        <v/>
      </c>
    </row>
    <row r="307">
      <c r="A307" s="18" t="inlineStr">
        <is>
          <t>C0306</t>
        </is>
      </c>
      <c r="B307" s="18" t="inlineStr">
        <is>
          <t>Registro académico</t>
        </is>
      </c>
      <c r="C307" s="18" t="inlineStr">
        <is>
          <t>academic_registration</t>
        </is>
      </c>
      <c r="D307" s="18" t="inlineStr">
        <is>
          <t>template_config_changes</t>
        </is>
      </c>
      <c r="E307" s="18" t="n">
        <v>6</v>
      </c>
      <c r="F307" s="18" t="inlineStr">
        <is>
          <t>change_type</t>
        </is>
      </c>
      <c r="G307" s="18" t="inlineStr">
        <is>
          <t>character varying(50)</t>
        </is>
      </c>
      <c r="H307" s="18" t="inlineStr">
        <is>
          <t>No</t>
        </is>
      </c>
      <c r="I307" s="18" t="inlineStr"/>
      <c r="J307" s="18" t="inlineStr"/>
      <c r="K307" s="18" t="inlineStr"/>
      <c r="L307" s="18" t="inlineStr">
        <is>
          <t>No</t>
        </is>
      </c>
      <c r="M307" s="18" t="inlineStr">
        <is>
          <t>No</t>
        </is>
      </c>
      <c r="N307" s="18" t="inlineStr"/>
      <c r="O307" s="18" t="inlineStr"/>
      <c r="P307" s="18" t="inlineStr">
        <is>
          <t>academic-registration-service/src/graduation-certificates/template-config-change.entity.ts:21: Tipo de cambio CREATED, UPDATED, PUBLISHED, REVERTED | db/migrations/old/042_create_graduation_tables.sql:310: Tipo de cambio CREATED, UPDATED, PUBLISHED, REVERTED</t>
        </is>
      </c>
      <c r="Q307" s="18" t="inlineStr">
        <is>
          <t>Código fuente</t>
        </is>
      </c>
      <c r="R307" s="18" t="inlineStr">
        <is>
          <t>Tipo de cambio registrado sobre la configuración de la plantilla de certificado. Valores esperados: CREATED, UPDATED, PUBLISHED, REVERTED.</t>
        </is>
      </c>
      <c r="S307" s="18" t="inlineStr">
        <is>
          <t>Alta</t>
        </is>
      </c>
      <c r="T307" s="18" t="inlineStr">
        <is>
          <t>código: academic-registration-service/src/graduation-certificates/template-config-change.entity.ts:21</t>
        </is>
      </c>
      <c r="U307" s="18" t="inlineStr"/>
      <c r="V307" s="19" t="inlineStr">
        <is>
          <t>Pendiente</t>
        </is>
      </c>
      <c r="W307" s="19" t="inlineStr"/>
      <c r="X307" s="19" t="inlineStr"/>
      <c r="Y307" s="20" t="n"/>
      <c r="Z307" s="19" t="inlineStr"/>
      <c r="AA307" s="18">
        <f>IF(OR(V307="Aprobada"),R307,IF(AND(OR(V307="Aprobada con ajuste",V307="Rechazada"),W307&lt;&gt;""),W307,""))</f>
        <v/>
      </c>
    </row>
    <row r="308">
      <c r="A308" s="18" t="inlineStr">
        <is>
          <t>C0307</t>
        </is>
      </c>
      <c r="B308" s="18" t="inlineStr">
        <is>
          <t>Registro académico</t>
        </is>
      </c>
      <c r="C308" s="18" t="inlineStr">
        <is>
          <t>academic_registration</t>
        </is>
      </c>
      <c r="D308" s="18" t="inlineStr">
        <is>
          <t>template_config_changes</t>
        </is>
      </c>
      <c r="E308" s="18" t="n">
        <v>6</v>
      </c>
      <c r="F308" s="18" t="inlineStr">
        <is>
          <t>field_changed</t>
        </is>
      </c>
      <c r="G308" s="18" t="inlineStr">
        <is>
          <t>character varying(100)</t>
        </is>
      </c>
      <c r="H308" s="18" t="inlineStr">
        <is>
          <t>Sí</t>
        </is>
      </c>
      <c r="I308" s="18" t="inlineStr"/>
      <c r="J308" s="18" t="inlineStr"/>
      <c r="K308" s="18" t="inlineStr"/>
      <c r="L308" s="18" t="inlineStr">
        <is>
          <t>No</t>
        </is>
      </c>
      <c r="M308" s="18" t="inlineStr">
        <is>
          <t>No</t>
        </is>
      </c>
      <c r="N308" s="18" t="inlineStr"/>
      <c r="O308" s="18" t="inlineStr"/>
      <c r="P308" s="18" t="inlineStr">
        <is>
          <t>academic-registration-service/src/graduation-certificates/template-config-change.entity.ts:25: Descripción del cambio | db/migrations/old/042_create_graduation_tables.sql:313: Descripción del cambio ej: 'signer_name', 'logo', 'content'</t>
        </is>
      </c>
      <c r="Q308" s="18" t="inlineStr">
        <is>
          <t>Código fuente</t>
        </is>
      </c>
      <c r="R308" s="18" t="inlineStr">
        <is>
          <t>Campo de la plantilla que se modificó (por ejemplo, signer_name, logo, content).</t>
        </is>
      </c>
      <c r="S308" s="18" t="inlineStr">
        <is>
          <t>Alta</t>
        </is>
      </c>
      <c r="T308" s="18" t="inlineStr">
        <is>
          <t>código: db/migrations/old/042_create_graduation_tables.sql:313</t>
        </is>
      </c>
      <c r="U308" s="18" t="inlineStr"/>
      <c r="V308" s="19" t="inlineStr">
        <is>
          <t>Pendiente</t>
        </is>
      </c>
      <c r="W308" s="19" t="inlineStr"/>
      <c r="X308" s="19" t="inlineStr"/>
      <c r="Y308" s="20" t="n"/>
      <c r="Z308" s="19" t="inlineStr"/>
      <c r="AA308" s="18">
        <f>IF(OR(V308="Aprobada"),R308,IF(AND(OR(V308="Aprobada con ajuste",V308="Rechazada"),W308&lt;&gt;""),W308,""))</f>
        <v/>
      </c>
    </row>
    <row r="309">
      <c r="A309" s="18" t="inlineStr">
        <is>
          <t>C0308</t>
        </is>
      </c>
      <c r="B309" s="18" t="inlineStr">
        <is>
          <t>Registro académico</t>
        </is>
      </c>
      <c r="C309" s="18" t="inlineStr">
        <is>
          <t>academic_registration</t>
        </is>
      </c>
      <c r="D309" s="18" t="inlineStr">
        <is>
          <t>template_config_changes</t>
        </is>
      </c>
      <c r="E309" s="18" t="n">
        <v>6</v>
      </c>
      <c r="F309" s="18" t="inlineStr">
        <is>
          <t>old_value</t>
        </is>
      </c>
      <c r="G309" s="18" t="inlineStr">
        <is>
          <t>text</t>
        </is>
      </c>
      <c r="H309" s="18" t="inlineStr">
        <is>
          <t>Sí</t>
        </is>
      </c>
      <c r="I309" s="18" t="inlineStr"/>
      <c r="J309" s="18" t="inlineStr"/>
      <c r="K309" s="18" t="inlineStr"/>
      <c r="L309" s="18" t="inlineStr">
        <is>
          <t>No</t>
        </is>
      </c>
      <c r="M309" s="18" t="inlineStr">
        <is>
          <t>No</t>
        </is>
      </c>
      <c r="N309" s="18" t="inlineStr"/>
      <c r="O309" s="18" t="inlineStr"/>
      <c r="P309" s="18" t="inlineStr">
        <is>
          <t>Mapeada en academic-registration-service/src/graduation-certificates/template-config-change.entity.ts:28 (TemplateConfigChange.oldValue)</t>
        </is>
      </c>
      <c r="Q309" s="18" t="inlineStr">
        <is>
          <t>Propuesta semántica</t>
        </is>
      </c>
      <c r="R309" s="18" t="inlineStr">
        <is>
          <t>Valor del campo antes del cambio en la plantilla.</t>
        </is>
      </c>
      <c r="S309" s="18" t="inlineStr">
        <is>
          <t>Alta</t>
        </is>
      </c>
      <c r="T309" s="18" t="inlineStr">
        <is>
          <t>nombre + tipo + columnas vecinas (field_changed, new_value)</t>
        </is>
      </c>
      <c r="U309" s="18" t="inlineStr"/>
      <c r="V309" s="19" t="inlineStr">
        <is>
          <t>Pendiente</t>
        </is>
      </c>
      <c r="W309" s="19" t="inlineStr"/>
      <c r="X309" s="19" t="inlineStr"/>
      <c r="Y309" s="20" t="n"/>
      <c r="Z309" s="19" t="inlineStr"/>
      <c r="AA309" s="18">
        <f>IF(OR(V309="Aprobada"),R309,IF(AND(OR(V309="Aprobada con ajuste",V309="Rechazada"),W309&lt;&gt;""),W309,""))</f>
        <v/>
      </c>
    </row>
    <row r="310">
      <c r="A310" s="18" t="inlineStr">
        <is>
          <t>C0309</t>
        </is>
      </c>
      <c r="B310" s="18" t="inlineStr">
        <is>
          <t>Registro académico</t>
        </is>
      </c>
      <c r="C310" s="18" t="inlineStr">
        <is>
          <t>academic_registration</t>
        </is>
      </c>
      <c r="D310" s="18" t="inlineStr">
        <is>
          <t>template_config_changes</t>
        </is>
      </c>
      <c r="E310" s="18" t="n">
        <v>6</v>
      </c>
      <c r="F310" s="18" t="inlineStr">
        <is>
          <t>new_value</t>
        </is>
      </c>
      <c r="G310" s="18" t="inlineStr">
        <is>
          <t>text</t>
        </is>
      </c>
      <c r="H310" s="18" t="inlineStr">
        <is>
          <t>Sí</t>
        </is>
      </c>
      <c r="I310" s="18" t="inlineStr"/>
      <c r="J310" s="18" t="inlineStr"/>
      <c r="K310" s="18" t="inlineStr"/>
      <c r="L310" s="18" t="inlineStr">
        <is>
          <t>No</t>
        </is>
      </c>
      <c r="M310" s="18" t="inlineStr">
        <is>
          <t>No</t>
        </is>
      </c>
      <c r="N310" s="18" t="inlineStr"/>
      <c r="O310" s="18" t="inlineStr"/>
      <c r="P310" s="18" t="inlineStr">
        <is>
          <t>Mapeada en academic-registration-service/src/graduation-certificates/template-config-change.entity.ts:31 (TemplateConfigChange.newValue)</t>
        </is>
      </c>
      <c r="Q310" s="18" t="inlineStr">
        <is>
          <t>Propuesta semántica</t>
        </is>
      </c>
      <c r="R310" s="18" t="inlineStr">
        <is>
          <t>Valor del campo después del cambio en la plantilla.</t>
        </is>
      </c>
      <c r="S310" s="18" t="inlineStr">
        <is>
          <t>Alta</t>
        </is>
      </c>
      <c r="T310" s="18" t="inlineStr">
        <is>
          <t>nombre + tipo + columnas vecinas (field_changed, old_value)</t>
        </is>
      </c>
      <c r="U310" s="18" t="inlineStr"/>
      <c r="V310" s="19" t="inlineStr">
        <is>
          <t>Pendiente</t>
        </is>
      </c>
      <c r="W310" s="19" t="inlineStr"/>
      <c r="X310" s="19" t="inlineStr"/>
      <c r="Y310" s="20" t="n"/>
      <c r="Z310" s="19" t="inlineStr"/>
      <c r="AA310" s="18">
        <f>IF(OR(V310="Aprobada"),R310,IF(AND(OR(V310="Aprobada con ajuste",V310="Rechazada"),W310&lt;&gt;""),W310,""))</f>
        <v/>
      </c>
    </row>
    <row r="311">
      <c r="A311" s="18" t="inlineStr">
        <is>
          <t>C0310</t>
        </is>
      </c>
      <c r="B311" s="18" t="inlineStr">
        <is>
          <t>Registro académico</t>
        </is>
      </c>
      <c r="C311" s="18" t="inlineStr">
        <is>
          <t>academic_registration</t>
        </is>
      </c>
      <c r="D311" s="18" t="inlineStr">
        <is>
          <t>template_config_changes</t>
        </is>
      </c>
      <c r="E311" s="18" t="n">
        <v>6</v>
      </c>
      <c r="F311" s="18" t="inlineStr">
        <is>
          <t>changed_by</t>
        </is>
      </c>
      <c r="G311" s="18" t="inlineStr">
        <is>
          <t>character varying(255)</t>
        </is>
      </c>
      <c r="H311" s="18" t="inlineStr">
        <is>
          <t>No</t>
        </is>
      </c>
      <c r="I311" s="18" t="inlineStr"/>
      <c r="J311" s="18" t="inlineStr"/>
      <c r="K311" s="18" t="inlineStr"/>
      <c r="L311" s="18" t="inlineStr">
        <is>
          <t>No</t>
        </is>
      </c>
      <c r="M311" s="18" t="inlineStr">
        <is>
          <t>No</t>
        </is>
      </c>
      <c r="N311" s="18" t="inlineStr"/>
      <c r="O311" s="18" t="inlineStr"/>
      <c r="P311" s="18" t="inlineStr">
        <is>
          <t>academic-registration-service/src/graduation-certificates/template-config-change.entity.ts:35: Actor | db/migrations/old/042_create_graduation_tables.sql:318: Actor</t>
        </is>
      </c>
      <c r="Q311" s="18" t="inlineStr">
        <is>
          <t>Código fuente</t>
        </is>
      </c>
      <c r="R311" s="18" t="inlineStr">
        <is>
          <t>Usuario que realizó el cambio en la plantilla.</t>
        </is>
      </c>
      <c r="S311" s="18" t="inlineStr">
        <is>
          <t>Media</t>
        </is>
      </c>
      <c r="T311" s="18" t="inlineStr">
        <is>
          <t>código: academic-registration-service/src/graduation-certificates/template-config-change.entity.ts:35</t>
        </is>
      </c>
      <c r="U311" s="18" t="inlineStr">
        <is>
          <t>¿changed_by guarda el nombre, el correo o el identificador del usuario?</t>
        </is>
      </c>
      <c r="V311" s="19" t="inlineStr">
        <is>
          <t>Pendiente</t>
        </is>
      </c>
      <c r="W311" s="19" t="inlineStr"/>
      <c r="X311" s="19" t="inlineStr"/>
      <c r="Y311" s="20" t="n"/>
      <c r="Z311" s="19" t="inlineStr"/>
      <c r="AA311" s="18">
        <f>IF(OR(V311="Aprobada"),R311,IF(AND(OR(V311="Aprobada con ajuste",V311="Rechazada"),W311&lt;&gt;""),W311,""))</f>
        <v/>
      </c>
    </row>
    <row r="312">
      <c r="A312" s="18" t="inlineStr">
        <is>
          <t>C0311</t>
        </is>
      </c>
      <c r="B312" s="18" t="inlineStr">
        <is>
          <t>Registro académico</t>
        </is>
      </c>
      <c r="C312" s="18" t="inlineStr">
        <is>
          <t>academic_registration</t>
        </is>
      </c>
      <c r="D312" s="18" t="inlineStr">
        <is>
          <t>template_config_changes</t>
        </is>
      </c>
      <c r="E312" s="18" t="n">
        <v>6</v>
      </c>
      <c r="F312" s="18" t="inlineStr">
        <is>
          <t>change_date</t>
        </is>
      </c>
      <c r="G312" s="18" t="inlineStr">
        <is>
          <t>timestamp without time zone</t>
        </is>
      </c>
      <c r="H312" s="18" t="inlineStr">
        <is>
          <t>Sí</t>
        </is>
      </c>
      <c r="I312" s="18" t="inlineStr"/>
      <c r="J312" s="18" t="inlineStr"/>
      <c r="K312" s="18" t="inlineStr"/>
      <c r="L312" s="18" t="inlineStr">
        <is>
          <t>No</t>
        </is>
      </c>
      <c r="M312" s="18" t="inlineStr">
        <is>
          <t>No</t>
        </is>
      </c>
      <c r="N312" s="18" t="inlineStr"/>
      <c r="O312" s="18" t="inlineStr">
        <is>
          <t>idx_template_changes_date</t>
        </is>
      </c>
      <c r="P312" s="18" t="inlineStr">
        <is>
          <t>Mapeada en academic-registration-service/src/graduation-certificates/template-config-change.entity.ts:38 (TemplateConfigChange.changeDate)</t>
        </is>
      </c>
      <c r="Q312" s="18" t="inlineStr">
        <is>
          <t>Propuesta semántica</t>
        </is>
      </c>
      <c r="R312" s="18" t="inlineStr">
        <is>
          <t>Fecha y hora del cambio; por defecto, la fecha y hora de registro.</t>
        </is>
      </c>
      <c r="S312" s="18" t="inlineStr">
        <is>
          <t>Alta</t>
        </is>
      </c>
      <c r="T312" s="18" t="inlineStr">
        <is>
          <t>nombre + tipo + columnas vecinas + defecto</t>
        </is>
      </c>
      <c r="U312" s="18" t="inlineStr"/>
      <c r="V312" s="19" t="inlineStr">
        <is>
          <t>Pendiente</t>
        </is>
      </c>
      <c r="W312" s="19" t="inlineStr"/>
      <c r="X312" s="19" t="inlineStr"/>
      <c r="Y312" s="20" t="n"/>
      <c r="Z312" s="19" t="inlineStr"/>
      <c r="AA312" s="18">
        <f>IF(OR(V312="Aprobada"),R312,IF(AND(OR(V312="Aprobada con ajuste",V312="Rechazada"),W312&lt;&gt;""),W312,""))</f>
        <v/>
      </c>
    </row>
    <row r="313">
      <c r="A313" s="18" t="inlineStr">
        <is>
          <t>C0312</t>
        </is>
      </c>
      <c r="B313" s="18" t="inlineStr">
        <is>
          <t>Registro académico</t>
        </is>
      </c>
      <c r="C313" s="18" t="inlineStr">
        <is>
          <t>academic_registration</t>
        </is>
      </c>
      <c r="D313" s="18" t="inlineStr">
        <is>
          <t>template_config_changes</t>
        </is>
      </c>
      <c r="E313" s="18" t="n">
        <v>6</v>
      </c>
      <c r="F313" s="18" t="inlineStr">
        <is>
          <t>observations</t>
        </is>
      </c>
      <c r="G313" s="18" t="inlineStr">
        <is>
          <t>text</t>
        </is>
      </c>
      <c r="H313" s="18" t="inlineStr">
        <is>
          <t>Sí</t>
        </is>
      </c>
      <c r="I313" s="18" t="inlineStr"/>
      <c r="J313" s="18" t="inlineStr"/>
      <c r="K313" s="18" t="inlineStr"/>
      <c r="L313" s="18" t="inlineStr">
        <is>
          <t>No</t>
        </is>
      </c>
      <c r="M313" s="18" t="inlineStr">
        <is>
          <t>No</t>
        </is>
      </c>
      <c r="N313" s="18" t="inlineStr"/>
      <c r="O313" s="18" t="inlineStr"/>
      <c r="P313" s="18" t="inlineStr">
        <is>
          <t>academic-registration-service/src/graduation-certificates/template-config-change.entity.ts:42: Observaciones | db/migrations/old/042_create_graduation_tables.sql:322: Observaciones</t>
        </is>
      </c>
      <c r="Q313" s="18" t="inlineStr">
        <is>
          <t>Código fuente</t>
        </is>
      </c>
      <c r="R313" s="18" t="inlineStr">
        <is>
          <t>Observaciones sobre el cambio realizado en la plantilla.</t>
        </is>
      </c>
      <c r="S313" s="18" t="inlineStr">
        <is>
          <t>Alta</t>
        </is>
      </c>
      <c r="T313" s="18" t="inlineStr">
        <is>
          <t>código: academic-registration-service/src/graduation-certificates/template-config-change.entity.ts:42</t>
        </is>
      </c>
      <c r="U313" s="18" t="inlineStr"/>
      <c r="V313" s="19" t="inlineStr">
        <is>
          <t>Pendiente</t>
        </is>
      </c>
      <c r="W313" s="19" t="inlineStr"/>
      <c r="X313" s="19" t="inlineStr"/>
      <c r="Y313" s="20" t="n"/>
      <c r="Z313" s="19" t="inlineStr"/>
      <c r="AA313" s="18">
        <f>IF(OR(V313="Aprobada"),R313,IF(AND(OR(V313="Aprobada con ajuste",V313="Rechazada"),W313&lt;&gt;""),W313,""))</f>
        <v/>
      </c>
    </row>
    <row r="314">
      <c r="A314" s="18" t="inlineStr">
        <is>
          <t>C0313</t>
        </is>
      </c>
      <c r="B314" s="18" t="inlineStr">
        <is>
          <t>Plan de trabajo académico</t>
        </is>
      </c>
      <c r="C314" s="18" t="inlineStr">
        <is>
          <t>academic_work_plan</t>
        </is>
      </c>
      <c r="D314" s="18" t="inlineStr">
        <is>
          <t>AprobacionJefatura</t>
        </is>
      </c>
      <c r="E314" s="18" t="n">
        <v>8</v>
      </c>
      <c r="F314" s="18" t="inlineStr">
        <is>
          <t>jefaturaUserId</t>
        </is>
      </c>
      <c r="G314" s="18" t="inlineStr">
        <is>
          <t>text</t>
        </is>
      </c>
      <c r="H314" s="18" t="inlineStr">
        <is>
          <t>No</t>
        </is>
      </c>
      <c r="I314" s="18" t="inlineStr"/>
      <c r="J314" s="18" t="inlineStr"/>
      <c r="K314" s="18" t="inlineStr"/>
      <c r="L314" s="18" t="inlineStr">
        <is>
          <t>No</t>
        </is>
      </c>
      <c r="M314" s="18" t="inlineStr">
        <is>
          <t>No</t>
        </is>
      </c>
      <c r="N314" s="18" t="inlineStr"/>
      <c r="O314" s="18" t="inlineStr">
        <is>
          <t>idx_aprobacion_jefatura_jefaturaUserId, idx_aprobacion_jefatura_user</t>
        </is>
      </c>
      <c r="P314" s="18" t="inlineStr">
        <is>
          <t>Mapeada en academic-work-plan-service/src/pta/entities/aprobacion-jefatura.entity.ts:22 (AprobacionJefaturaEntity.jefaturaUserId)</t>
        </is>
      </c>
      <c r="Q314" s="18" t="inlineStr">
        <is>
          <t>Propuesta semántica</t>
        </is>
      </c>
      <c r="R314" s="18" t="inlineStr">
        <is>
          <t>Identificador del usuario de la jefatura que registra la decisión sobre el plan de trabajo académico.</t>
        </is>
      </c>
      <c r="S314" s="18" t="inlineStr">
        <is>
          <t>Media</t>
        </is>
      </c>
      <c r="T314" s="18" t="inlineStr">
        <is>
          <t>nombre + tipo + columnas vecinas + índices</t>
        </is>
      </c>
      <c r="U314" s="18" t="inlineStr">
        <is>
          <t>¿Es el id de auth."user" o de otra tabla de usuarios?</t>
        </is>
      </c>
      <c r="V314" s="19" t="inlineStr">
        <is>
          <t>Pendiente</t>
        </is>
      </c>
      <c r="W314" s="19" t="inlineStr"/>
      <c r="X314" s="19" t="inlineStr"/>
      <c r="Y314" s="20" t="n"/>
      <c r="Z314" s="19" t="inlineStr"/>
      <c r="AA314" s="18">
        <f>IF(OR(V314="Aprobada"),R314,IF(AND(OR(V314="Aprobada con ajuste",V314="Rechazada"),W314&lt;&gt;""),W314,""))</f>
        <v/>
      </c>
    </row>
    <row r="315">
      <c r="A315" s="18" t="inlineStr">
        <is>
          <t>C0314</t>
        </is>
      </c>
      <c r="B315" s="18" t="inlineStr">
        <is>
          <t>Plan de trabajo académico</t>
        </is>
      </c>
      <c r="C315" s="18" t="inlineStr">
        <is>
          <t>academic_work_plan</t>
        </is>
      </c>
      <c r="D315" s="18" t="inlineStr">
        <is>
          <t>AprobacionJefatura</t>
        </is>
      </c>
      <c r="E315" s="18" t="n">
        <v>8</v>
      </c>
      <c r="F315" s="18" t="inlineStr">
        <is>
          <t>jefaturaRol</t>
        </is>
      </c>
      <c r="G315" s="18" t="inlineStr">
        <is>
          <t>text</t>
        </is>
      </c>
      <c r="H315" s="18" t="inlineStr">
        <is>
          <t>No</t>
        </is>
      </c>
      <c r="I315" s="18" t="inlineStr"/>
      <c r="J315" s="18" t="inlineStr"/>
      <c r="K315" s="18" t="inlineStr"/>
      <c r="L315" s="18" t="inlineStr">
        <is>
          <t>No</t>
        </is>
      </c>
      <c r="M315" s="18" t="inlineStr">
        <is>
          <t>No</t>
        </is>
      </c>
      <c r="N315" s="18" t="inlineStr"/>
      <c r="O315" s="18" t="inlineStr"/>
      <c r="P315" s="18" t="inlineStr">
        <is>
          <t>Mapeada en academic-work-plan-service/src/pta/entities/aprobacion-jefatura.entity.ts:25 (AprobacionJefaturaEntity.jefaturaRol)</t>
        </is>
      </c>
      <c r="Q315" s="18" t="inlineStr">
        <is>
          <t>Propuesta semántica</t>
        </is>
      </c>
      <c r="R315" s="18" t="inlineStr">
        <is>
          <t>Rol de la jefatura que registra la decisión; por defecto, «Jefatura de Zona».</t>
        </is>
      </c>
      <c r="S315" s="18" t="inlineStr">
        <is>
          <t>Alta</t>
        </is>
      </c>
      <c r="T315" s="18" t="inlineStr">
        <is>
          <t>nombre + tipo + columnas vecinas + defecto</t>
        </is>
      </c>
      <c r="U315" s="18" t="inlineStr"/>
      <c r="V315" s="19" t="inlineStr">
        <is>
          <t>Pendiente</t>
        </is>
      </c>
      <c r="W315" s="19" t="inlineStr"/>
      <c r="X315" s="19" t="inlineStr"/>
      <c r="Y315" s="20" t="n"/>
      <c r="Z315" s="19" t="inlineStr"/>
      <c r="AA315" s="18">
        <f>IF(OR(V315="Aprobada"),R315,IF(AND(OR(V315="Aprobada con ajuste",V315="Rechazada"),W315&lt;&gt;""),W315,""))</f>
        <v/>
      </c>
    </row>
    <row r="316">
      <c r="A316" s="18" t="inlineStr">
        <is>
          <t>C0315</t>
        </is>
      </c>
      <c r="B316" s="18" t="inlineStr">
        <is>
          <t>Plan de trabajo académico</t>
        </is>
      </c>
      <c r="C316" s="18" t="inlineStr">
        <is>
          <t>academic_work_plan</t>
        </is>
      </c>
      <c r="D316" s="18" t="inlineStr">
        <is>
          <t>AprobacionJefatura</t>
        </is>
      </c>
      <c r="E316" s="18" t="n">
        <v>8</v>
      </c>
      <c r="F316" s="18" t="inlineStr">
        <is>
          <t>territorialId</t>
        </is>
      </c>
      <c r="G316" s="18" t="inlineStr">
        <is>
          <t>text</t>
        </is>
      </c>
      <c r="H316" s="18" t="inlineStr">
        <is>
          <t>No</t>
        </is>
      </c>
      <c r="I316" s="18" t="inlineStr"/>
      <c r="J316" s="18" t="inlineStr"/>
      <c r="K316" s="18" t="inlineStr"/>
      <c r="L316" s="18" t="inlineStr">
        <is>
          <t>No</t>
        </is>
      </c>
      <c r="M316" s="18" t="inlineStr">
        <is>
          <t>No</t>
        </is>
      </c>
      <c r="N316" s="18" t="inlineStr"/>
      <c r="O316" s="18" t="inlineStr">
        <is>
          <t>idx_aprobacion_jefatura_pta_territorial</t>
        </is>
      </c>
      <c r="P316" s="18" t="inlineStr">
        <is>
          <t>Mapeada en academic-work-plan-service/src/pta/entities/aprobacion-jefatura.entity.ts:28 (AprobacionJefaturaEntity.territorialId)</t>
        </is>
      </c>
      <c r="Q316" s="18" t="inlineStr">
        <is>
          <t>Propuesta semántica</t>
        </is>
      </c>
      <c r="R316" s="18" t="inlineStr">
        <is>
          <t>Identificador de la territorial a la que corresponde la aprobación.</t>
        </is>
      </c>
      <c r="S316" s="18" t="inlineStr">
        <is>
          <t>Media</t>
        </is>
      </c>
      <c r="T316" s="18" t="inlineStr">
        <is>
          <t>nombre + tipo + columnas vecinas + índice (ptaId, territorialId)</t>
        </is>
      </c>
      <c r="U316" s="18" t="inlineStr">
        <is>
          <t>¿A qué tabla apunta territorialId?</t>
        </is>
      </c>
      <c r="V316" s="19" t="inlineStr">
        <is>
          <t>Pendiente</t>
        </is>
      </c>
      <c r="W316" s="19" t="inlineStr"/>
      <c r="X316" s="19" t="inlineStr"/>
      <c r="Y316" s="20" t="n"/>
      <c r="Z316" s="19" t="inlineStr"/>
      <c r="AA316" s="18">
        <f>IF(OR(V316="Aprobada"),R316,IF(AND(OR(V316="Aprobada con ajuste",V316="Rechazada"),W316&lt;&gt;""),W316,""))</f>
        <v/>
      </c>
    </row>
    <row r="317">
      <c r="A317" s="18" t="inlineStr">
        <is>
          <t>C0316</t>
        </is>
      </c>
      <c r="B317" s="18" t="inlineStr">
        <is>
          <t>Plan de trabajo académico</t>
        </is>
      </c>
      <c r="C317" s="18" t="inlineStr">
        <is>
          <t>academic_work_plan</t>
        </is>
      </c>
      <c r="D317" s="18" t="inlineStr">
        <is>
          <t>AprobacionJefatura</t>
        </is>
      </c>
      <c r="E317" s="18" t="n">
        <v>8</v>
      </c>
      <c r="F317" s="18" t="inlineStr">
        <is>
          <t>territorialNombre</t>
        </is>
      </c>
      <c r="G317" s="18" t="inlineStr">
        <is>
          <t>text</t>
        </is>
      </c>
      <c r="H317" s="18" t="inlineStr">
        <is>
          <t>Sí</t>
        </is>
      </c>
      <c r="I317" s="18" t="inlineStr"/>
      <c r="J317" s="18" t="inlineStr"/>
      <c r="K317" s="18" t="inlineStr"/>
      <c r="L317" s="18" t="inlineStr">
        <is>
          <t>No</t>
        </is>
      </c>
      <c r="M317" s="18" t="inlineStr">
        <is>
          <t>No</t>
        </is>
      </c>
      <c r="N317" s="18" t="inlineStr"/>
      <c r="O317" s="18" t="inlineStr"/>
      <c r="P317" s="18" t="inlineStr">
        <is>
          <t>Mapeada en academic-work-plan-service/src/pta/entities/aprobacion-jefatura.entity.ts:31 (AprobacionJefaturaEntity.territorialNombre)</t>
        </is>
      </c>
      <c r="Q317" s="18" t="inlineStr">
        <is>
          <t>Propuesta semántica</t>
        </is>
      </c>
      <c r="R317" s="18" t="inlineStr">
        <is>
          <t>Nombre de la territorial a la que corresponde la aprobación.</t>
        </is>
      </c>
      <c r="S317" s="18" t="inlineStr">
        <is>
          <t>Alta</t>
        </is>
      </c>
      <c r="T317" s="18" t="inlineStr">
        <is>
          <t>nombre + tipo + columnas vecinas (territorialId)</t>
        </is>
      </c>
      <c r="U317" s="18" t="inlineStr"/>
      <c r="V317" s="19" t="inlineStr">
        <is>
          <t>Pendiente</t>
        </is>
      </c>
      <c r="W317" s="19" t="inlineStr"/>
      <c r="X317" s="19" t="inlineStr"/>
      <c r="Y317" s="20" t="n"/>
      <c r="Z317" s="19" t="inlineStr"/>
      <c r="AA317" s="18">
        <f>IF(OR(V317="Aprobada"),R317,IF(AND(OR(V317="Aprobada con ajuste",V317="Rechazada"),W317&lt;&gt;""),W317,""))</f>
        <v/>
      </c>
    </row>
    <row r="318">
      <c r="A318" s="18" t="inlineStr">
        <is>
          <t>C0317</t>
        </is>
      </c>
      <c r="B318" s="18" t="inlineStr">
        <is>
          <t>Plan de trabajo académico</t>
        </is>
      </c>
      <c r="C318" s="18" t="inlineStr">
        <is>
          <t>academic_work_plan</t>
        </is>
      </c>
      <c r="D318" s="18" t="inlineStr">
        <is>
          <t>AprobacionJefatura</t>
        </is>
      </c>
      <c r="E318" s="18" t="n">
        <v>8</v>
      </c>
      <c r="F318" s="18" t="inlineStr">
        <is>
          <t>decision</t>
        </is>
      </c>
      <c r="G318" s="18" t="inlineStr">
        <is>
          <t>text</t>
        </is>
      </c>
      <c r="H318" s="18" t="inlineStr">
        <is>
          <t>No</t>
        </is>
      </c>
      <c r="I318" s="18" t="inlineStr"/>
      <c r="J318" s="18" t="inlineStr"/>
      <c r="K318" s="18" t="inlineStr"/>
      <c r="L318" s="18" t="inlineStr">
        <is>
          <t>No</t>
        </is>
      </c>
      <c r="M318" s="18" t="inlineStr">
        <is>
          <t>No</t>
        </is>
      </c>
      <c r="N318" s="18" t="inlineStr"/>
      <c r="O318" s="18" t="inlineStr"/>
      <c r="P318" s="18" t="inlineStr">
        <is>
          <t>academic-work-plan-service/src/pta/entities/aprobacion-jefatura.entity.ts:35: pendiente | aprobado | aprobado_con_cambios | devuelto</t>
        </is>
      </c>
      <c r="Q318" s="18" t="inlineStr">
        <is>
          <t>Código fuente</t>
        </is>
      </c>
      <c r="R318" s="18" t="inlineStr">
        <is>
          <t>Decisión de la jefatura sobre el PTA (plan de trabajo académico). Valores previstos: pendiente, aprobado, aprobado_con_cambios, devuelto; por defecto pendiente.</t>
        </is>
      </c>
      <c r="S318" s="18" t="inlineStr">
        <is>
          <t>Alta</t>
        </is>
      </c>
      <c r="T318" s="18" t="inlineStr">
        <is>
          <t>código: academic-work-plan-service/src/pta/entities/aprobacion-jefatura.entity.ts:35</t>
        </is>
      </c>
      <c r="U318" s="18" t="inlineStr"/>
      <c r="V318" s="19" t="inlineStr">
        <is>
          <t>Pendiente</t>
        </is>
      </c>
      <c r="W318" s="19" t="inlineStr"/>
      <c r="X318" s="19" t="inlineStr"/>
      <c r="Y318" s="20" t="n"/>
      <c r="Z318" s="19" t="inlineStr"/>
      <c r="AA318" s="18">
        <f>IF(OR(V318="Aprobada"),R318,IF(AND(OR(V318="Aprobada con ajuste",V318="Rechazada"),W318&lt;&gt;""),W318,""))</f>
        <v/>
      </c>
    </row>
    <row r="319">
      <c r="A319" s="18" t="inlineStr">
        <is>
          <t>C0318</t>
        </is>
      </c>
      <c r="B319" s="18" t="inlineStr">
        <is>
          <t>Plan de trabajo académico</t>
        </is>
      </c>
      <c r="C319" s="18" t="inlineStr">
        <is>
          <t>academic_work_plan</t>
        </is>
      </c>
      <c r="D319" s="18" t="inlineStr">
        <is>
          <t>AprobacionJefatura</t>
        </is>
      </c>
      <c r="E319" s="18" t="n">
        <v>8</v>
      </c>
      <c r="F319" s="18" t="inlineStr">
        <is>
          <t>comentarios</t>
        </is>
      </c>
      <c r="G319" s="18" t="inlineStr">
        <is>
          <t>text</t>
        </is>
      </c>
      <c r="H319" s="18" t="inlineStr">
        <is>
          <t>Sí</t>
        </is>
      </c>
      <c r="I319" s="18" t="inlineStr"/>
      <c r="J319" s="18" t="inlineStr"/>
      <c r="K319" s="18" t="inlineStr"/>
      <c r="L319" s="18" t="inlineStr">
        <is>
          <t>No</t>
        </is>
      </c>
      <c r="M319" s="18" t="inlineStr">
        <is>
          <t>No</t>
        </is>
      </c>
      <c r="N319" s="18" t="inlineStr"/>
      <c r="O319" s="18" t="inlineStr"/>
      <c r="P319" s="18" t="inlineStr">
        <is>
          <t>Mapeada en academic-work-plan-service/src/pta/entities/aprobacion-jefatura.entity.ts:38 (AprobacionJefaturaEntity.comentarios)</t>
        </is>
      </c>
      <c r="Q319" s="18" t="inlineStr">
        <is>
          <t>Propuesta semántica</t>
        </is>
      </c>
      <c r="R319" s="18" t="inlineStr">
        <is>
          <t>Comentarios de la jefatura sobre su decisión.</t>
        </is>
      </c>
      <c r="S319" s="18" t="inlineStr">
        <is>
          <t>Alta</t>
        </is>
      </c>
      <c r="T319" s="18" t="inlineStr">
        <is>
          <t>nombre + tipo + columnas vecinas (decision)</t>
        </is>
      </c>
      <c r="U319" s="18" t="inlineStr"/>
      <c r="V319" s="19" t="inlineStr">
        <is>
          <t>Pendiente</t>
        </is>
      </c>
      <c r="W319" s="19" t="inlineStr"/>
      <c r="X319" s="19" t="inlineStr"/>
      <c r="Y319" s="20" t="n"/>
      <c r="Z319" s="19" t="inlineStr"/>
      <c r="AA319" s="18">
        <f>IF(OR(V319="Aprobada"),R319,IF(AND(OR(V319="Aprobada con ajuste",V319="Rechazada"),W319&lt;&gt;""),W319,""))</f>
        <v/>
      </c>
    </row>
    <row r="320">
      <c r="A320" s="18" t="inlineStr">
        <is>
          <t>C0319</t>
        </is>
      </c>
      <c r="B320" s="18" t="inlineStr">
        <is>
          <t>Plan de trabajo académico</t>
        </is>
      </c>
      <c r="C320" s="18" t="inlineStr">
        <is>
          <t>academic_work_plan</t>
        </is>
      </c>
      <c r="D320" s="18" t="inlineStr">
        <is>
          <t>AprobacionJefatura</t>
        </is>
      </c>
      <c r="E320" s="18" t="n">
        <v>8</v>
      </c>
      <c r="F320" s="18" t="inlineStr">
        <is>
          <t>camposModificados</t>
        </is>
      </c>
      <c r="G320" s="18" t="inlineStr">
        <is>
          <t>jsonb</t>
        </is>
      </c>
      <c r="H320" s="18" t="inlineStr">
        <is>
          <t>Sí</t>
        </is>
      </c>
      <c r="I320" s="18" t="inlineStr"/>
      <c r="J320" s="18" t="inlineStr"/>
      <c r="K320" s="18" t="inlineStr"/>
      <c r="L320" s="18" t="inlineStr">
        <is>
          <t>No</t>
        </is>
      </c>
      <c r="M320" s="18" t="inlineStr">
        <is>
          <t>No</t>
        </is>
      </c>
      <c r="N320" s="18" t="inlineStr"/>
      <c r="O320" s="18" t="inlineStr"/>
      <c r="P320" s="18" t="inlineStr">
        <is>
          <t>Mapeada en academic-work-plan-service/src/pta/entities/aprobacion-jefatura.entity.ts:41 (AprobacionJefaturaEntity.camposModificados)</t>
        </is>
      </c>
      <c r="Q320" s="18" t="inlineStr">
        <is>
          <t>Propuesta semántica</t>
        </is>
      </c>
      <c r="R320" s="18" t="inlineStr">
        <is>
          <t>Campos del plan de trabajo modificados por la jefatura, en formato JSON.</t>
        </is>
      </c>
      <c r="S320" s="18" t="inlineStr">
        <is>
          <t>Media</t>
        </is>
      </c>
      <c r="T320" s="18" t="inlineStr">
        <is>
          <t>nombre + tipo + columnas vecinas</t>
        </is>
      </c>
      <c r="U320" s="18" t="inlineStr">
        <is>
          <t>¿Qué estructura tiene el JSON de camposModificados?</t>
        </is>
      </c>
      <c r="V320" s="19" t="inlineStr">
        <is>
          <t>Pendiente</t>
        </is>
      </c>
      <c r="W320" s="19" t="inlineStr"/>
      <c r="X320" s="19" t="inlineStr"/>
      <c r="Y320" s="20" t="n"/>
      <c r="Z320" s="19" t="inlineStr"/>
      <c r="AA320" s="18">
        <f>IF(OR(V320="Aprobada"),R320,IF(AND(OR(V320="Aprobada con ajuste",V320="Rechazada"),W320&lt;&gt;""),W320,""))</f>
        <v/>
      </c>
    </row>
    <row r="321">
      <c r="A321" s="18" t="inlineStr">
        <is>
          <t>C0320</t>
        </is>
      </c>
      <c r="B321" s="18" t="inlineStr">
        <is>
          <t>Plan de trabajo académico</t>
        </is>
      </c>
      <c r="C321" s="18" t="inlineStr">
        <is>
          <t>academic_work_plan</t>
        </is>
      </c>
      <c r="D321" s="18" t="inlineStr">
        <is>
          <t>AprobacionJefatura</t>
        </is>
      </c>
      <c r="E321" s="18" t="n">
        <v>8</v>
      </c>
      <c r="F321" s="18" t="inlineStr">
        <is>
          <t>componentesBloqueados</t>
        </is>
      </c>
      <c r="G321" s="18" t="inlineStr">
        <is>
          <t>jsonb</t>
        </is>
      </c>
      <c r="H321" s="18" t="inlineStr">
        <is>
          <t>Sí</t>
        </is>
      </c>
      <c r="I321" s="18" t="inlineStr"/>
      <c r="J321" s="18" t="inlineStr"/>
      <c r="K321" s="18" t="inlineStr"/>
      <c r="L321" s="18" t="inlineStr">
        <is>
          <t>No</t>
        </is>
      </c>
      <c r="M321" s="18" t="inlineStr">
        <is>
          <t>No</t>
        </is>
      </c>
      <c r="N321" s="18" t="inlineStr"/>
      <c r="O321" s="18" t="inlineStr"/>
      <c r="P321" s="18" t="inlineStr">
        <is>
          <t>Mapeada en academic-work-plan-service/src/pta/entities/aprobacion-jefatura.entity.ts:44 (AprobacionJefaturaEntity.componentesBloqueados)</t>
        </is>
      </c>
      <c r="Q321" s="18" t="inlineStr">
        <is>
          <t>Propuesta semántica</t>
        </is>
      </c>
      <c r="R321" s="18" t="inlineStr">
        <is>
          <t>Componentes del plan de trabajo que la jefatura bloquea para edición, en formato JSON.</t>
        </is>
      </c>
      <c r="S321" s="18" t="inlineStr">
        <is>
          <t>Baja</t>
        </is>
      </c>
      <c r="T321" s="18" t="inlineStr">
        <is>
          <t>nombre + tipo + columnas vecinas</t>
        </is>
      </c>
      <c r="U321" s="18" t="inlineStr">
        <is>
          <t>¿Qué significa que un componente quede bloqueado y qué estructura tiene el JSON?</t>
        </is>
      </c>
      <c r="V321" s="19" t="inlineStr">
        <is>
          <t>Pendiente</t>
        </is>
      </c>
      <c r="W321" s="19" t="inlineStr"/>
      <c r="X321" s="19" t="inlineStr"/>
      <c r="Y321" s="20" t="n"/>
      <c r="Z321" s="19" t="inlineStr"/>
      <c r="AA321" s="18">
        <f>IF(OR(V321="Aprobada"),R321,IF(AND(OR(V321="Aprobada con ajuste",V321="Rechazada"),W321&lt;&gt;""),W321,""))</f>
        <v/>
      </c>
    </row>
    <row r="322">
      <c r="A322" s="18" t="inlineStr">
        <is>
          <t>C0321</t>
        </is>
      </c>
      <c r="B322" s="18" t="inlineStr">
        <is>
          <t>Plan de trabajo académico</t>
        </is>
      </c>
      <c r="C322" s="18" t="inlineStr">
        <is>
          <t>academic_work_plan</t>
        </is>
      </c>
      <c r="D322" s="18" t="inlineStr">
        <is>
          <t>AprobacionJefatura</t>
        </is>
      </c>
      <c r="E322" s="18" t="n">
        <v>8</v>
      </c>
      <c r="F322" s="18" t="inlineStr">
        <is>
          <t>firmaId</t>
        </is>
      </c>
      <c r="G322" s="18" t="inlineStr">
        <is>
          <t>text</t>
        </is>
      </c>
      <c r="H322" s="18" t="inlineStr">
        <is>
          <t>Sí</t>
        </is>
      </c>
      <c r="I322" s="18" t="inlineStr"/>
      <c r="J322" s="18" t="inlineStr"/>
      <c r="K322" s="18" t="inlineStr"/>
      <c r="L322" s="18" t="inlineStr">
        <is>
          <t>No</t>
        </is>
      </c>
      <c r="M322" s="18" t="inlineStr">
        <is>
          <t>No</t>
        </is>
      </c>
      <c r="N322" s="18" t="inlineStr"/>
      <c r="O322" s="18" t="inlineStr"/>
      <c r="P322" s="18" t="inlineStr">
        <is>
          <t>Mapeada en academic-work-plan-service/src/pta/entities/aprobacion-jefatura.entity.ts:47 (AprobacionJefaturaEntity.firmaId)</t>
        </is>
      </c>
      <c r="Q322" s="18" t="inlineStr">
        <is>
          <t>Propuesta semántica</t>
        </is>
      </c>
      <c r="R322" s="18" t="inlineStr">
        <is>
          <t>Identificador de la firma asociada a la decisión de la jefatura.</t>
        </is>
      </c>
      <c r="S322" s="18" t="inlineStr">
        <is>
          <t>Baja</t>
        </is>
      </c>
      <c r="T322" s="18" t="inlineStr">
        <is>
          <t>nombre + tipo + columnas vecinas</t>
        </is>
      </c>
      <c r="U322" s="18" t="inlineStr">
        <is>
          <t>¿A qué tabla o servicio apunta firmaId?</t>
        </is>
      </c>
      <c r="V322" s="19" t="inlineStr">
        <is>
          <t>Pendiente</t>
        </is>
      </c>
      <c r="W322" s="19" t="inlineStr"/>
      <c r="X322" s="19" t="inlineStr"/>
      <c r="Y322" s="20" t="n"/>
      <c r="Z322" s="19" t="inlineStr"/>
      <c r="AA322" s="18">
        <f>IF(OR(V322="Aprobada"),R322,IF(AND(OR(V322="Aprobada con ajuste",V322="Rechazada"),W322&lt;&gt;""),W322,""))</f>
        <v/>
      </c>
    </row>
    <row r="323">
      <c r="A323" s="18" t="inlineStr">
        <is>
          <t>C0322</t>
        </is>
      </c>
      <c r="B323" s="18" t="inlineStr">
        <is>
          <t>Plan de trabajo académico</t>
        </is>
      </c>
      <c r="C323" s="18" t="inlineStr">
        <is>
          <t>academic_work_plan</t>
        </is>
      </c>
      <c r="D323" s="18" t="inlineStr">
        <is>
          <t>asignatura</t>
        </is>
      </c>
      <c r="E323" s="18" t="n">
        <v>503</v>
      </c>
      <c r="F323" s="18" t="inlineStr">
        <is>
          <t>codigo</t>
        </is>
      </c>
      <c r="G323" s="18" t="inlineStr">
        <is>
          <t>character varying(20)</t>
        </is>
      </c>
      <c r="H323" s="18" t="inlineStr">
        <is>
          <t>No</t>
        </is>
      </c>
      <c r="I323" s="18" t="inlineStr">
        <is>
          <t>Única</t>
        </is>
      </c>
      <c r="J323" s="18" t="inlineStr"/>
      <c r="K323" s="18" t="inlineStr"/>
      <c r="L323" s="18" t="inlineStr">
        <is>
          <t>No</t>
        </is>
      </c>
      <c r="M323" s="18" t="inlineStr">
        <is>
          <t>No</t>
        </is>
      </c>
      <c r="N323" s="18" t="inlineStr"/>
      <c r="O323" s="18" t="inlineStr">
        <is>
          <t>asignatura_codigo_key</t>
        </is>
      </c>
      <c r="P323" s="18" t="inlineStr">
        <is>
          <t>academic-schedule-service/src/catalogo/entities/asignatura.readonly.entity.ts:19: Llave maestra del SNIES (RN-01). Puede faltar en registros heredados.</t>
        </is>
      </c>
      <c r="Q323" s="18" t="inlineStr">
        <is>
          <t>Código fuente</t>
        </is>
      </c>
      <c r="R323" s="18" t="inlineStr">
        <is>
          <t>Código único de la asignatura; llave maestra del SNIES (RN-01).</t>
        </is>
      </c>
      <c r="S323" s="18" t="inlineStr">
        <is>
          <t>Media</t>
        </is>
      </c>
      <c r="T323" s="18" t="inlineStr">
        <is>
          <t>código: academic-schedule-service/src/catalogo/entities/asignatura.readonly.entity.ts:19</t>
        </is>
      </c>
      <c r="U323" s="18" t="inlineStr">
        <is>
          <t>El código indica que el valor puede faltar en registros heredados, pero la columna es NOT NULL: ¿qué valor llevan esos registros?</t>
        </is>
      </c>
      <c r="V323" s="19" t="inlineStr">
        <is>
          <t>Pendiente</t>
        </is>
      </c>
      <c r="W323" s="19" t="inlineStr"/>
      <c r="X323" s="19" t="inlineStr"/>
      <c r="Y323" s="20" t="n"/>
      <c r="Z323" s="19" t="inlineStr"/>
      <c r="AA323" s="18">
        <f>IF(OR(V323="Aprobada"),R323,IF(AND(OR(V323="Aprobada con ajuste",V323="Rechazada"),W323&lt;&gt;""),W323,""))</f>
        <v/>
      </c>
    </row>
    <row r="324">
      <c r="A324" s="18" t="inlineStr">
        <is>
          <t>C0323</t>
        </is>
      </c>
      <c r="B324" s="18" t="inlineStr">
        <is>
          <t>Plan de trabajo académico</t>
        </is>
      </c>
      <c r="C324" s="18" t="inlineStr">
        <is>
          <t>academic_work_plan</t>
        </is>
      </c>
      <c r="D324" s="18" t="inlineStr">
        <is>
          <t>asignatura</t>
        </is>
      </c>
      <c r="E324" s="18" t="n">
        <v>503</v>
      </c>
      <c r="F324" s="18" t="inlineStr">
        <is>
          <t>nombre</t>
        </is>
      </c>
      <c r="G324" s="18" t="inlineStr">
        <is>
          <t>character varying(200)</t>
        </is>
      </c>
      <c r="H324" s="18" t="inlineStr">
        <is>
          <t>No</t>
        </is>
      </c>
      <c r="I324" s="18" t="inlineStr"/>
      <c r="J324" s="18" t="inlineStr"/>
      <c r="K324" s="18" t="inlineStr"/>
      <c r="L324" s="18" t="inlineStr">
        <is>
          <t>No</t>
        </is>
      </c>
      <c r="M324" s="18" t="inlineStr">
        <is>
          <t>No</t>
        </is>
      </c>
      <c r="N324" s="18" t="inlineStr"/>
      <c r="O324" s="18" t="inlineStr">
        <is>
          <t>idx_asig_nombre</t>
        </is>
      </c>
      <c r="P324" s="18" t="inlineStr">
        <is>
          <t>Mapeada en academic-work-plan-service/src/pta/entities/asignatura.entity.ts:15 (AsignaturaEntity.nombre)</t>
        </is>
      </c>
      <c r="Q324" s="18" t="inlineStr">
        <is>
          <t>Regla estructural</t>
        </is>
      </c>
      <c r="R324" s="18" t="inlineStr">
        <is>
          <t>Nombre del registro de asignatura.</t>
        </is>
      </c>
      <c r="S324" s="18" t="inlineStr">
        <is>
          <t>Media</t>
        </is>
      </c>
      <c r="T324" s="18" t="inlineStr">
        <is>
          <t>Convención de nombre de la columna.</t>
        </is>
      </c>
      <c r="U324" s="18" t="inlineStr"/>
      <c r="V324" s="19" t="inlineStr">
        <is>
          <t>Pendiente</t>
        </is>
      </c>
      <c r="W324" s="19" t="inlineStr"/>
      <c r="X324" s="19" t="inlineStr"/>
      <c r="Y324" s="20" t="n"/>
      <c r="Z324" s="19" t="inlineStr"/>
      <c r="AA324" s="18">
        <f>IF(OR(V324="Aprobada"),R324,IF(AND(OR(V324="Aprobada con ajuste",V324="Rechazada"),W324&lt;&gt;""),W324,""))</f>
        <v/>
      </c>
    </row>
    <row r="325">
      <c r="A325" s="18" t="inlineStr">
        <is>
          <t>C0324</t>
        </is>
      </c>
      <c r="B325" s="18" t="inlineStr">
        <is>
          <t>Plan de trabajo académico</t>
        </is>
      </c>
      <c r="C325" s="18" t="inlineStr">
        <is>
          <t>academic_work_plan</t>
        </is>
      </c>
      <c r="D325" s="18" t="inlineStr">
        <is>
          <t>asignatura</t>
        </is>
      </c>
      <c r="E325" s="18" t="n">
        <v>503</v>
      </c>
      <c r="F325" s="18" t="inlineStr">
        <is>
          <t>nombre_base</t>
        </is>
      </c>
      <c r="G325" s="18" t="inlineStr">
        <is>
          <t>character varying(200)</t>
        </is>
      </c>
      <c r="H325" s="18" t="inlineStr">
        <is>
          <t>Sí</t>
        </is>
      </c>
      <c r="I325" s="18" t="inlineStr"/>
      <c r="J325" s="18" t="inlineStr"/>
      <c r="K325" s="18" t="inlineStr"/>
      <c r="L325" s="18" t="inlineStr">
        <is>
          <t>No</t>
        </is>
      </c>
      <c r="M325" s="18" t="inlineStr">
        <is>
          <t>No</t>
        </is>
      </c>
      <c r="N325" s="18" t="inlineStr"/>
      <c r="O325" s="18" t="inlineStr"/>
      <c r="P325" s="18" t="inlineStr">
        <is>
          <t>Mapeada en academic-work-plan-service/src/pta/entities/asignatura.entity.ts:18 (AsignaturaEntity.nombreBase)</t>
        </is>
      </c>
      <c r="Q325" s="18" t="inlineStr">
        <is>
          <t>Propuesta semántica</t>
        </is>
      </c>
      <c r="R325" s="18" t="inlineStr">
        <is>
          <t>Nombre de la asignatura sin el sufijo de modalidad.</t>
        </is>
      </c>
      <c r="S325" s="18" t="inlineStr">
        <is>
          <t>Media</t>
        </is>
      </c>
      <c r="T325" s="18" t="inlineStr">
        <is>
          <t>nombre + tipo + columnas vecinas (nombre, modalidad_sufijo)</t>
        </is>
      </c>
      <c r="U325" s="18" t="inlineStr">
        <is>
          <t>¿nombre_base se obtiene quitando modalidad_sufijo del nombre de la asignatura?</t>
        </is>
      </c>
      <c r="V325" s="19" t="inlineStr">
        <is>
          <t>Pendiente</t>
        </is>
      </c>
      <c r="W325" s="19" t="inlineStr"/>
      <c r="X325" s="19" t="inlineStr"/>
      <c r="Y325" s="20" t="n"/>
      <c r="Z325" s="19" t="inlineStr"/>
      <c r="AA325" s="18">
        <f>IF(OR(V325="Aprobada"),R325,IF(AND(OR(V325="Aprobada con ajuste",V325="Rechazada"),W325&lt;&gt;""),W325,""))</f>
        <v/>
      </c>
    </row>
    <row r="326">
      <c r="A326" s="18" t="inlineStr">
        <is>
          <t>C0325</t>
        </is>
      </c>
      <c r="B326" s="18" t="inlineStr">
        <is>
          <t>Plan de trabajo académico</t>
        </is>
      </c>
      <c r="C326" s="18" t="inlineStr">
        <is>
          <t>academic_work_plan</t>
        </is>
      </c>
      <c r="D326" s="18" t="inlineStr">
        <is>
          <t>asignatura</t>
        </is>
      </c>
      <c r="E326" s="18" t="n">
        <v>503</v>
      </c>
      <c r="F326" s="18" t="inlineStr">
        <is>
          <t>modalidad_sufijo</t>
        </is>
      </c>
      <c r="G326" s="18" t="inlineStr">
        <is>
          <t>character varying(30)</t>
        </is>
      </c>
      <c r="H326" s="18" t="inlineStr">
        <is>
          <t>Sí</t>
        </is>
      </c>
      <c r="I326" s="18" t="inlineStr"/>
      <c r="J326" s="18" t="inlineStr"/>
      <c r="K326" s="18" t="inlineStr"/>
      <c r="L326" s="18" t="inlineStr">
        <is>
          <t>No</t>
        </is>
      </c>
      <c r="M326" s="18" t="inlineStr">
        <is>
          <t>No</t>
        </is>
      </c>
      <c r="N326" s="18" t="inlineStr"/>
      <c r="O326" s="18" t="inlineStr"/>
      <c r="P326" s="18" t="inlineStr">
        <is>
          <t>Mapeada en academic-work-plan-service/src/pta/entities/asignatura.entity.ts:24 (AsignaturaEntity.modalidadSufijo)</t>
        </is>
      </c>
      <c r="Q326" s="18" t="inlineStr">
        <is>
          <t>Propuesta semántica</t>
        </is>
      </c>
      <c r="R326" s="18" t="inlineStr">
        <is>
          <t>Sufijo del nombre de la asignatura que indica su modalidad.</t>
        </is>
      </c>
      <c r="S326" s="18" t="inlineStr">
        <is>
          <t>Media</t>
        </is>
      </c>
      <c r="T326" s="18" t="inlineStr">
        <is>
          <t>nombre + tipo + columnas vecinas (nombre_base, modalidad)</t>
        </is>
      </c>
      <c r="U326" s="18" t="inlineStr">
        <is>
          <t>¿Qué valores toma el sufijo y cómo se relaciona con la columna modalidad?</t>
        </is>
      </c>
      <c r="V326" s="19" t="inlineStr">
        <is>
          <t>Pendiente</t>
        </is>
      </c>
      <c r="W326" s="19" t="inlineStr"/>
      <c r="X326" s="19" t="inlineStr"/>
      <c r="Y326" s="20" t="n"/>
      <c r="Z326" s="19" t="inlineStr"/>
      <c r="AA326" s="18">
        <f>IF(OR(V326="Aprobada"),R326,IF(AND(OR(V326="Aprobada con ajuste",V326="Rechazada"),W326&lt;&gt;""),W326,""))</f>
        <v/>
      </c>
    </row>
    <row r="327">
      <c r="A327" s="18" t="inlineStr">
        <is>
          <t>C0326</t>
        </is>
      </c>
      <c r="B327" s="18" t="inlineStr">
        <is>
          <t>Plan de trabajo académico</t>
        </is>
      </c>
      <c r="C327" s="18" t="inlineStr">
        <is>
          <t>academic_work_plan</t>
        </is>
      </c>
      <c r="D327" s="18" t="inlineStr">
        <is>
          <t>asignatura</t>
        </is>
      </c>
      <c r="E327" s="18" t="n">
        <v>503</v>
      </c>
      <c r="F327" s="18" t="inlineStr">
        <is>
          <t>modalidad</t>
        </is>
      </c>
      <c r="G327" s="18" t="inlineStr">
        <is>
          <t>character varying(30)</t>
        </is>
      </c>
      <c r="H327" s="18" t="inlineStr">
        <is>
          <t>No</t>
        </is>
      </c>
      <c r="I327" s="18" t="inlineStr">
        <is>
          <t>CHECK</t>
        </is>
      </c>
      <c r="J327" s="18" t="inlineStr">
        <is>
          <t>distancia, mixta, presencial, presencial_dia, presencial_noche, sin_definir, virtual</t>
        </is>
      </c>
      <c r="K327" s="18" t="inlineStr"/>
      <c r="L327" s="18" t="inlineStr">
        <is>
          <t>Sí</t>
        </is>
      </c>
      <c r="M327" s="18" t="inlineStr">
        <is>
          <t>No</t>
        </is>
      </c>
      <c r="N327" s="18" t="inlineStr"/>
      <c r="O327" s="18" t="inlineStr">
        <is>
          <t>idx_asig_modalidad</t>
        </is>
      </c>
      <c r="P327" s="18" t="inlineStr">
        <is>
          <t>academic-work-plan-service/src/pta/entities/asignatura.entity.ts:27: 'presencial' | 'presencial_dia' | 'presencial_noche' | 'virtual' | 'distancia' | 'mixta' | 'sin_definir'</t>
        </is>
      </c>
      <c r="Q327" s="18" t="inlineStr">
        <is>
          <t>Código fuente</t>
        </is>
      </c>
      <c r="R327" s="18" t="inlineStr">
        <is>
          <t>Modalidad de oferta de la asignatura. Valores permitidos: presencial, presencial_dia, presencial_noche, virtual, distancia, mixta, sin_definir; por defecto sin_definir.</t>
        </is>
      </c>
      <c r="S327" s="18" t="inlineStr">
        <is>
          <t>Alta</t>
        </is>
      </c>
      <c r="T327" s="18" t="inlineStr">
        <is>
          <t>código: academic-work-plan-service/src/pta/entities/asignatura.entity.ts:27</t>
        </is>
      </c>
      <c r="U327" s="18" t="inlineStr"/>
      <c r="V327" s="19" t="inlineStr">
        <is>
          <t>Pendiente</t>
        </is>
      </c>
      <c r="W327" s="19" t="inlineStr"/>
      <c r="X327" s="19" t="inlineStr"/>
      <c r="Y327" s="20" t="n"/>
      <c r="Z327" s="19" t="inlineStr"/>
      <c r="AA327" s="18">
        <f>IF(OR(V327="Aprobada"),R327,IF(AND(OR(V327="Aprobada con ajuste",V327="Rechazada"),W327&lt;&gt;""),W327,""))</f>
        <v/>
      </c>
    </row>
    <row r="328">
      <c r="A328" s="18" t="inlineStr">
        <is>
          <t>C0327</t>
        </is>
      </c>
      <c r="B328" s="18" t="inlineStr">
        <is>
          <t>Plan de trabajo académico</t>
        </is>
      </c>
      <c r="C328" s="18" t="inlineStr">
        <is>
          <t>academic_work_plan</t>
        </is>
      </c>
      <c r="D328" s="18" t="inlineStr">
        <is>
          <t>asignatura</t>
        </is>
      </c>
      <c r="E328" s="18" t="n">
        <v>503</v>
      </c>
      <c r="F328" s="18" t="inlineStr">
        <is>
          <t>requiere_revision_modalidad</t>
        </is>
      </c>
      <c r="G328" s="18" t="inlineStr">
        <is>
          <t>boolean</t>
        </is>
      </c>
      <c r="H328" s="18" t="inlineStr">
        <is>
          <t>No</t>
        </is>
      </c>
      <c r="I328" s="18" t="inlineStr"/>
      <c r="J328" s="18" t="inlineStr"/>
      <c r="K328" s="18" t="inlineStr"/>
      <c r="L328" s="18" t="inlineStr">
        <is>
          <t>No</t>
        </is>
      </c>
      <c r="M328" s="18" t="inlineStr">
        <is>
          <t>No</t>
        </is>
      </c>
      <c r="N328" s="18" t="inlineStr"/>
      <c r="O328" s="18" t="inlineStr"/>
      <c r="P328" s="18" t="inlineStr">
        <is>
          <t>Mapeada en academic-work-plan-service/src/pta/entities/asignatura.entity.ts:30 (AsignaturaEntity.requiereRevisionModalidad)</t>
        </is>
      </c>
      <c r="Q328" s="18" t="inlineStr">
        <is>
          <t>Regla estructural</t>
        </is>
      </c>
      <c r="R328" s="18" t="inlineStr">
        <is>
          <t>Indica si requiere revisión modalidad.</t>
        </is>
      </c>
      <c r="S328" s="18" t="inlineStr">
        <is>
          <t>Media</t>
        </is>
      </c>
      <c r="T328" s="18" t="inlineStr">
        <is>
          <t>Convención de nombre de la columna.</t>
        </is>
      </c>
      <c r="U328" s="18" t="inlineStr"/>
      <c r="V328" s="19" t="inlineStr">
        <is>
          <t>Pendiente</t>
        </is>
      </c>
      <c r="W328" s="19" t="inlineStr"/>
      <c r="X328" s="19" t="inlineStr"/>
      <c r="Y328" s="20" t="n"/>
      <c r="Z328" s="19" t="inlineStr"/>
      <c r="AA328" s="18">
        <f>IF(OR(V328="Aprobada"),R328,IF(AND(OR(V328="Aprobada con ajuste",V328="Rechazada"),W328&lt;&gt;""),W328,""))</f>
        <v/>
      </c>
    </row>
    <row r="329">
      <c r="A329" s="18" t="inlineStr">
        <is>
          <t>C0328</t>
        </is>
      </c>
      <c r="B329" s="18" t="inlineStr">
        <is>
          <t>Plan de trabajo académico</t>
        </is>
      </c>
      <c r="C329" s="18" t="inlineStr">
        <is>
          <t>academic_work_plan</t>
        </is>
      </c>
      <c r="D329" s="18" t="inlineStr">
        <is>
          <t>asignatura</t>
        </is>
      </c>
      <c r="E329" s="18" t="n">
        <v>503</v>
      </c>
      <c r="F329" s="18" t="inlineStr">
        <is>
          <t>creditos</t>
        </is>
      </c>
      <c r="G329" s="18" t="inlineStr">
        <is>
          <t>smallint</t>
        </is>
      </c>
      <c r="H329" s="18" t="inlineStr">
        <is>
          <t>No</t>
        </is>
      </c>
      <c r="I329" s="18" t="inlineStr">
        <is>
          <t>CHECK</t>
        </is>
      </c>
      <c r="J329" s="18" t="inlineStr"/>
      <c r="K329" s="18" t="inlineStr"/>
      <c r="L329" s="18" t="inlineStr">
        <is>
          <t>No</t>
        </is>
      </c>
      <c r="M329" s="18" t="inlineStr">
        <is>
          <t>No</t>
        </is>
      </c>
      <c r="N329" s="18" t="inlineStr"/>
      <c r="O329" s="18" t="inlineStr"/>
      <c r="P329" s="18" t="inlineStr">
        <is>
          <t>Mapeada en academic-work-plan-service/src/pta/entities/asignatura.entity.ts:33 (AsignaturaEntity.creditos)</t>
        </is>
      </c>
      <c r="Q329" s="18" t="inlineStr">
        <is>
          <t>Propuesta semántica</t>
        </is>
      </c>
      <c r="R329" s="18" t="inlineStr">
        <is>
          <t>Número de créditos académicos de la asignatura.</t>
        </is>
      </c>
      <c r="S329" s="18" t="inlineStr">
        <is>
          <t>Alta</t>
        </is>
      </c>
      <c r="T329" s="18" t="inlineStr">
        <is>
          <t>nombre + tipo + columnas vecinas</t>
        </is>
      </c>
      <c r="U329" s="18" t="inlineStr"/>
      <c r="V329" s="19" t="inlineStr">
        <is>
          <t>Pendiente</t>
        </is>
      </c>
      <c r="W329" s="19" t="inlineStr"/>
      <c r="X329" s="19" t="inlineStr"/>
      <c r="Y329" s="20" t="n"/>
      <c r="Z329" s="19" t="inlineStr"/>
      <c r="AA329" s="18">
        <f>IF(OR(V329="Aprobada"),R329,IF(AND(OR(V329="Aprobada con ajuste",V329="Rechazada"),W329&lt;&gt;""),W329,""))</f>
        <v/>
      </c>
    </row>
    <row r="330">
      <c r="A330" s="18" t="inlineStr">
        <is>
          <t>C0329</t>
        </is>
      </c>
      <c r="B330" s="18" t="inlineStr">
        <is>
          <t>Plan de trabajo académico</t>
        </is>
      </c>
      <c r="C330" s="18" t="inlineStr">
        <is>
          <t>academic_work_plan</t>
        </is>
      </c>
      <c r="D330" s="18" t="inlineStr">
        <is>
          <t>asignatura</t>
        </is>
      </c>
      <c r="E330" s="18" t="n">
        <v>503</v>
      </c>
      <c r="F330" s="18" t="inlineStr">
        <is>
          <t>horas_fijas_pta</t>
        </is>
      </c>
      <c r="G330" s="18" t="inlineStr">
        <is>
          <t>integer</t>
        </is>
      </c>
      <c r="H330" s="18" t="inlineStr">
        <is>
          <t>Sí</t>
        </is>
      </c>
      <c r="I330" s="18" t="inlineStr">
        <is>
          <t>CHECK</t>
        </is>
      </c>
      <c r="J330" s="18" t="inlineStr"/>
      <c r="K330" s="18" t="inlineStr"/>
      <c r="L330" s="18" t="inlineStr">
        <is>
          <t>No</t>
        </is>
      </c>
      <c r="M330" s="18" t="inlineStr">
        <is>
          <t>No</t>
        </is>
      </c>
      <c r="N330" s="18" t="inlineStr"/>
      <c r="O330" s="18" t="inlineStr"/>
      <c r="P330" s="18" t="inlineStr">
        <is>
          <t>Mapeada en academic-work-plan-service/src/pta/entities/asignatura.entity.ts:64 (AsignaturaEntity.horasFijasPta)</t>
        </is>
      </c>
      <c r="Q330" s="18" t="inlineStr">
        <is>
          <t>Propuesta semántica</t>
        </is>
      </c>
      <c r="R330" s="18" t="inlineStr">
        <is>
          <t>Número fijo de horas que la asignatura aporta al plan de trabajo académico (PTA) del docente, cuando no se calcula por créditos.</t>
        </is>
      </c>
      <c r="S330" s="18" t="inlineStr">
        <is>
          <t>Media</t>
        </is>
      </c>
      <c r="T330" s="18" t="inlineStr">
        <is>
          <t>nombre + tipo + columnas vecinas (tipo_excepcion, horas_pta)</t>
        </is>
      </c>
      <c r="U330" s="18" t="inlineStr">
        <is>
          <t>¿horas_fijas_pta reemplaza el cálculo por créditos en las asignaturas con tipo_excepcion? ¿Es horas semestrales o semanales?</t>
        </is>
      </c>
      <c r="V330" s="19" t="inlineStr">
        <is>
          <t>Pendiente</t>
        </is>
      </c>
      <c r="W330" s="19" t="inlineStr"/>
      <c r="X330" s="19" t="inlineStr"/>
      <c r="Y330" s="20" t="n"/>
      <c r="Z330" s="19" t="inlineStr"/>
      <c r="AA330" s="18">
        <f>IF(OR(V330="Aprobada"),R330,IF(AND(OR(V330="Aprobada con ajuste",V330="Rechazada"),W330&lt;&gt;""),W330,""))</f>
        <v/>
      </c>
    </row>
    <row r="331">
      <c r="A331" s="18" t="inlineStr">
        <is>
          <t>C0330</t>
        </is>
      </c>
      <c r="B331" s="18" t="inlineStr">
        <is>
          <t>Plan de trabajo académico</t>
        </is>
      </c>
      <c r="C331" s="18" t="inlineStr">
        <is>
          <t>academic_work_plan</t>
        </is>
      </c>
      <c r="D331" s="18" t="inlineStr">
        <is>
          <t>asignatura</t>
        </is>
      </c>
      <c r="E331" s="18" t="n">
        <v>503</v>
      </c>
      <c r="F331" s="18" t="inlineStr">
        <is>
          <t>tipo_excepcion</t>
        </is>
      </c>
      <c r="G331" s="18" t="inlineStr">
        <is>
          <t>character varying(40)</t>
        </is>
      </c>
      <c r="H331" s="18" t="inlineStr">
        <is>
          <t>Sí</t>
        </is>
      </c>
      <c r="I331" s="18" t="inlineStr">
        <is>
          <t>CHECK</t>
        </is>
      </c>
      <c r="J331" s="18" t="inlineStr">
        <is>
          <t>opciones_grado_ap, seminario_enfasis, seminario_opciones_apt</t>
        </is>
      </c>
      <c r="K331" s="18" t="inlineStr"/>
      <c r="L331" s="18" t="inlineStr">
        <is>
          <t>Sí</t>
        </is>
      </c>
      <c r="M331" s="18" t="inlineStr">
        <is>
          <t>No</t>
        </is>
      </c>
      <c r="N331" s="18" t="inlineStr"/>
      <c r="O331" s="18" t="inlineStr"/>
      <c r="P331" s="18" t="inlineStr">
        <is>
          <t>academic-work-plan-service/src/pta/entities/asignatura.entity.ts:76: 'seminario_enfasis' | 'opciones_grado_ap' | 'seminario_opciones_apt' | academic-schedule-service/src/catalogo/entities/asignatura.readonly.entity.ts:44: Excepción de la Circular 003: seminario_enfasis, opciones_grado_ap, seminario_opciones_apt.</t>
        </is>
      </c>
      <c r="Q331" s="18" t="inlineStr">
        <is>
          <t>Código fuente</t>
        </is>
      </c>
      <c r="R331" s="18" t="inlineStr">
        <is>
          <t>Tipo de excepción de la Circular 003 que aplica a la asignatura. Valores permitidos: seminario_enfasis, opciones_grado_ap, seminario_opciones_apt.</t>
        </is>
      </c>
      <c r="S331" s="18" t="inlineStr">
        <is>
          <t>Alta</t>
        </is>
      </c>
      <c r="T331" s="18" t="inlineStr">
        <is>
          <t>código: academic-schedule-service/src/catalogo/entities/asignatura.readonly.entity.ts:44</t>
        </is>
      </c>
      <c r="U331" s="18" t="inlineStr"/>
      <c r="V331" s="19" t="inlineStr">
        <is>
          <t>Pendiente</t>
        </is>
      </c>
      <c r="W331" s="19" t="inlineStr"/>
      <c r="X331" s="19" t="inlineStr"/>
      <c r="Y331" s="20" t="n"/>
      <c r="Z331" s="19" t="inlineStr"/>
      <c r="AA331" s="18">
        <f>IF(OR(V331="Aprobada"),R331,IF(AND(OR(V331="Aprobada con ajuste",V331="Rechazada"),W331&lt;&gt;""),W331,""))</f>
        <v/>
      </c>
    </row>
    <row r="332">
      <c r="A332" s="18" t="inlineStr">
        <is>
          <t>C0331</t>
        </is>
      </c>
      <c r="B332" s="18" t="inlineStr">
        <is>
          <t>Plan de trabajo académico</t>
        </is>
      </c>
      <c r="C332" s="18" t="inlineStr">
        <is>
          <t>academic_work_plan</t>
        </is>
      </c>
      <c r="D332" s="18" t="inlineStr">
        <is>
          <t>asignatura</t>
        </is>
      </c>
      <c r="E332" s="18" t="n">
        <v>503</v>
      </c>
      <c r="F332" s="18" t="inlineStr">
        <is>
          <t>activa</t>
        </is>
      </c>
      <c r="G332" s="18" t="inlineStr">
        <is>
          <t>boolean</t>
        </is>
      </c>
      <c r="H332" s="18" t="inlineStr">
        <is>
          <t>No</t>
        </is>
      </c>
      <c r="I332" s="18" t="inlineStr"/>
      <c r="J332" s="18" t="inlineStr"/>
      <c r="K332" s="18" t="inlineStr"/>
      <c r="L332" s="18" t="inlineStr">
        <is>
          <t>No</t>
        </is>
      </c>
      <c r="M332" s="18" t="inlineStr">
        <is>
          <t>No</t>
        </is>
      </c>
      <c r="N332" s="18" t="inlineStr"/>
      <c r="O332" s="18" t="inlineStr">
        <is>
          <t>idx_asig_activa</t>
        </is>
      </c>
      <c r="P332" s="18" t="inlineStr">
        <is>
          <t>Mapeada en academic-work-plan-service/src/pta/entities/asignatura.entity.ts:79 (AsignaturaEntity.activa)</t>
        </is>
      </c>
      <c r="Q332" s="18" t="inlineStr">
        <is>
          <t>Regla estructural</t>
        </is>
      </c>
      <c r="R332" s="18" t="inlineStr">
        <is>
          <t>Indica si el registro está activo.</t>
        </is>
      </c>
      <c r="S332" s="18" t="inlineStr">
        <is>
          <t>Media</t>
        </is>
      </c>
      <c r="T332" s="18" t="inlineStr">
        <is>
          <t>Convención de nombre de la columna.</t>
        </is>
      </c>
      <c r="U332" s="18" t="inlineStr"/>
      <c r="V332" s="19" t="inlineStr">
        <is>
          <t>Pendiente</t>
        </is>
      </c>
      <c r="W332" s="19" t="inlineStr"/>
      <c r="X332" s="19" t="inlineStr"/>
      <c r="Y332" s="20" t="n"/>
      <c r="Z332" s="19" t="inlineStr"/>
      <c r="AA332" s="18">
        <f>IF(OR(V332="Aprobada"),R332,IF(AND(OR(V332="Aprobada con ajuste",V332="Rechazada"),W332&lt;&gt;""),W332,""))</f>
        <v/>
      </c>
    </row>
    <row r="333">
      <c r="A333" s="18" t="inlineStr">
        <is>
          <t>C0332</t>
        </is>
      </c>
      <c r="B333" s="18" t="inlineStr">
        <is>
          <t>Plan de trabajo académico</t>
        </is>
      </c>
      <c r="C333" s="18" t="inlineStr">
        <is>
          <t>academic_work_plan</t>
        </is>
      </c>
      <c r="D333" s="18" t="inlineStr">
        <is>
          <t>asignatura</t>
        </is>
      </c>
      <c r="E333" s="18" t="n">
        <v>503</v>
      </c>
      <c r="F333" s="18" t="inlineStr">
        <is>
          <t>observaciones</t>
        </is>
      </c>
      <c r="G333" s="18" t="inlineStr">
        <is>
          <t>text</t>
        </is>
      </c>
      <c r="H333" s="18" t="inlineStr">
        <is>
          <t>Sí</t>
        </is>
      </c>
      <c r="I333" s="18" t="inlineStr"/>
      <c r="J333" s="18" t="inlineStr"/>
      <c r="K333" s="18" t="inlineStr"/>
      <c r="L333" s="18" t="inlineStr">
        <is>
          <t>No</t>
        </is>
      </c>
      <c r="M333" s="18" t="inlineStr">
        <is>
          <t>No</t>
        </is>
      </c>
      <c r="N333" s="18" t="inlineStr"/>
      <c r="O333" s="18" t="inlineStr"/>
      <c r="P333" s="18" t="inlineStr">
        <is>
          <t>Mapeada en academic-work-plan-service/src/pta/entities/asignatura.entity.ts:82 (AsignaturaEntity.observaciones)</t>
        </is>
      </c>
      <c r="Q333" s="18" t="inlineStr">
        <is>
          <t>Regla estructural</t>
        </is>
      </c>
      <c r="R333" s="18" t="inlineStr">
        <is>
          <t>Observaciones registradas sobre el registro.</t>
        </is>
      </c>
      <c r="S333" s="18" t="inlineStr">
        <is>
          <t>Media</t>
        </is>
      </c>
      <c r="T333" s="18" t="inlineStr">
        <is>
          <t>Convención de nombre de la columna.</t>
        </is>
      </c>
      <c r="U333" s="18" t="inlineStr"/>
      <c r="V333" s="19" t="inlineStr">
        <is>
          <t>Pendiente</t>
        </is>
      </c>
      <c r="W333" s="19" t="inlineStr"/>
      <c r="X333" s="19" t="inlineStr"/>
      <c r="Y333" s="20" t="n"/>
      <c r="Z333" s="19" t="inlineStr"/>
      <c r="AA333" s="18">
        <f>IF(OR(V333="Aprobada"),R333,IF(AND(OR(V333="Aprobada con ajuste",V333="Rechazada"),W333&lt;&gt;""),W333,""))</f>
        <v/>
      </c>
    </row>
    <row r="334">
      <c r="A334" s="18" t="inlineStr">
        <is>
          <t>C0333</t>
        </is>
      </c>
      <c r="B334" s="18" t="inlineStr">
        <is>
          <t>Plan de trabajo académico</t>
        </is>
      </c>
      <c r="C334" s="18" t="inlineStr">
        <is>
          <t>academic_work_plan</t>
        </is>
      </c>
      <c r="D334" s="18" t="inlineStr">
        <is>
          <t>asignatura</t>
        </is>
      </c>
      <c r="E334" s="18" t="n">
        <v>503</v>
      </c>
      <c r="F334" s="18" t="inlineStr">
        <is>
          <t>deleted_at</t>
        </is>
      </c>
      <c r="G334" s="18" t="inlineStr">
        <is>
          <t>timestamp without time zone</t>
        </is>
      </c>
      <c r="H334" s="18" t="inlineStr">
        <is>
          <t>Sí</t>
        </is>
      </c>
      <c r="I334" s="18" t="inlineStr"/>
      <c r="J334" s="18" t="inlineStr"/>
      <c r="K334" s="18" t="inlineStr"/>
      <c r="L334" s="18" t="inlineStr">
        <is>
          <t>No</t>
        </is>
      </c>
      <c r="M334" s="18" t="inlineStr">
        <is>
          <t>No</t>
        </is>
      </c>
      <c r="N334" s="18" t="inlineStr"/>
      <c r="O334" s="18" t="inlineStr"/>
      <c r="P334" s="18" t="inlineStr">
        <is>
          <t>Mapeada en academic-work-plan-service/src/pta/entities/asignatura.entity.ts:97 (AsignaturaEntity.deletedAt)</t>
        </is>
      </c>
      <c r="Q334" s="18" t="inlineStr">
        <is>
          <t>Regla estructural</t>
        </is>
      </c>
      <c r="R334" s="18" t="inlineStr">
        <is>
          <t>Fecha y hora de la eliminación.</t>
        </is>
      </c>
      <c r="S334" s="18" t="inlineStr">
        <is>
          <t>Media</t>
        </is>
      </c>
      <c r="T334" s="18" t="inlineStr">
        <is>
          <t>Convención de nombre de la columna.</t>
        </is>
      </c>
      <c r="U334" s="18" t="inlineStr"/>
      <c r="V334" s="19" t="inlineStr">
        <is>
          <t>Pendiente</t>
        </is>
      </c>
      <c r="W334" s="19" t="inlineStr"/>
      <c r="X334" s="19" t="inlineStr"/>
      <c r="Y334" s="20" t="n"/>
      <c r="Z334" s="19" t="inlineStr"/>
      <c r="AA334" s="18">
        <f>IF(OR(V334="Aprobada"),R334,IF(AND(OR(V334="Aprobada con ajuste",V334="Rechazada"),W334&lt;&gt;""),W334,""))</f>
        <v/>
      </c>
    </row>
    <row r="335">
      <c r="A335" s="18" t="inlineStr">
        <is>
          <t>C0334</t>
        </is>
      </c>
      <c r="B335" s="18" t="inlineStr">
        <is>
          <t>Plan de trabajo académico</t>
        </is>
      </c>
      <c r="C335" s="18" t="inlineStr">
        <is>
          <t>academic_work_plan</t>
        </is>
      </c>
      <c r="D335" s="18" t="inlineStr">
        <is>
          <t>asignatura</t>
        </is>
      </c>
      <c r="E335" s="18" t="n">
        <v>503</v>
      </c>
      <c r="F335" s="18" t="inlineStr">
        <is>
          <t>deleted_by</t>
        </is>
      </c>
      <c r="G335" s="18" t="inlineStr">
        <is>
          <t>bigint</t>
        </is>
      </c>
      <c r="H335" s="18" t="inlineStr">
        <is>
          <t>Sí</t>
        </is>
      </c>
      <c r="I335" s="18" t="inlineStr"/>
      <c r="J335" s="18" t="inlineStr"/>
      <c r="K335" s="18" t="inlineStr"/>
      <c r="L335" s="18" t="inlineStr">
        <is>
          <t>No</t>
        </is>
      </c>
      <c r="M335" s="18" t="inlineStr">
        <is>
          <t>No</t>
        </is>
      </c>
      <c r="N335" s="18" t="inlineStr"/>
      <c r="O335" s="18" t="inlineStr"/>
      <c r="P335" s="18" t="inlineStr">
        <is>
          <t>Mapeada en academic-work-plan-service/src/pta/entities/asignatura.entity.ts:100 (AsignaturaEntity.deletedBy)</t>
        </is>
      </c>
      <c r="Q335" s="18" t="inlineStr">
        <is>
          <t>Propuesta semántica</t>
        </is>
      </c>
      <c r="R335" s="18" t="inlineStr">
        <is>
          <t>Identificador del usuario que eliminó lógicamente el registro.</t>
        </is>
      </c>
      <c r="S335" s="18" t="inlineStr">
        <is>
          <t>Media</t>
        </is>
      </c>
      <c r="T335" s="18" t="inlineStr">
        <is>
          <t>nombre + tipo + columnas vecinas (deleted_at)</t>
        </is>
      </c>
      <c r="U335" s="18" t="inlineStr">
        <is>
          <t>¿deleted_by guarda el id de auth."user" (id_user) o de otra tabla de usuarios?</t>
        </is>
      </c>
      <c r="V335" s="19" t="inlineStr">
        <is>
          <t>Pendiente</t>
        </is>
      </c>
      <c r="W335" s="19" t="inlineStr"/>
      <c r="X335" s="19" t="inlineStr"/>
      <c r="Y335" s="20" t="n"/>
      <c r="Z335" s="19" t="inlineStr"/>
      <c r="AA335" s="18">
        <f>IF(OR(V335="Aprobada"),R335,IF(AND(OR(V335="Aprobada con ajuste",V335="Rechazada"),W335&lt;&gt;""),W335,""))</f>
        <v/>
      </c>
    </row>
    <row r="336">
      <c r="A336" s="18" t="inlineStr">
        <is>
          <t>C0335</t>
        </is>
      </c>
      <c r="B336" s="18" t="inlineStr">
        <is>
          <t>Plan de trabajo académico</t>
        </is>
      </c>
      <c r="C336" s="18" t="inlineStr">
        <is>
          <t>academic_work_plan</t>
        </is>
      </c>
      <c r="D336" s="18" t="inlineStr">
        <is>
          <t>asignatura</t>
        </is>
      </c>
      <c r="E336" s="18" t="n">
        <v>503</v>
      </c>
      <c r="F336" s="18" t="inlineStr">
        <is>
          <t>tipo_asignatura</t>
        </is>
      </c>
      <c r="G336" s="18" t="inlineStr">
        <is>
          <t>character varying(30)</t>
        </is>
      </c>
      <c r="H336" s="18" t="inlineStr">
        <is>
          <t>No</t>
        </is>
      </c>
      <c r="I336" s="18" t="inlineStr">
        <is>
          <t>CHECK</t>
        </is>
      </c>
      <c r="J336" s="18" t="inlineStr">
        <is>
          <t>laboratorio, practica, seminario, taller, teorica</t>
        </is>
      </c>
      <c r="K336" s="18" t="inlineStr"/>
      <c r="L336" s="18" t="inlineStr">
        <is>
          <t>Sí</t>
        </is>
      </c>
      <c r="M336" s="18" t="inlineStr">
        <is>
          <t>No</t>
        </is>
      </c>
      <c r="N336" s="18" t="inlineStr"/>
      <c r="O336" s="18" t="inlineStr"/>
      <c r="P336" s="18" t="inlineStr">
        <is>
          <t>Mapeada en academic-work-plan-service/src/pta/entities/asignatura.entity.ts:73 (AsignaturaEntity.tipoAsignatura)</t>
        </is>
      </c>
      <c r="Q336" s="18" t="inlineStr">
        <is>
          <t>Propuesta semántica</t>
        </is>
      </c>
      <c r="R336" s="18" t="inlineStr">
        <is>
          <t>Tipo de asignatura según su forma de desarrollo. Valores permitidos: laboratorio, practica, seminario, taller, teorica. Por defecto, teorica.</t>
        </is>
      </c>
      <c r="S336" s="18" t="inlineStr">
        <is>
          <t>Alta</t>
        </is>
      </c>
      <c r="T336" s="18" t="inlineStr">
        <is>
          <t>valores permitidos del CHECK</t>
        </is>
      </c>
      <c r="U336" s="18" t="inlineStr"/>
      <c r="V336" s="19" t="inlineStr">
        <is>
          <t>Pendiente</t>
        </is>
      </c>
      <c r="W336" s="19" t="inlineStr"/>
      <c r="X336" s="19" t="inlineStr"/>
      <c r="Y336" s="20" t="n"/>
      <c r="Z336" s="19" t="inlineStr"/>
      <c r="AA336" s="18">
        <f>IF(OR(V336="Aprobada"),R336,IF(AND(OR(V336="Aprobada con ajuste",V336="Rechazada"),W336&lt;&gt;""),W336,""))</f>
        <v/>
      </c>
    </row>
    <row r="337">
      <c r="A337" s="18" t="inlineStr">
        <is>
          <t>C0336</t>
        </is>
      </c>
      <c r="B337" s="18" t="inlineStr">
        <is>
          <t>Plan de trabajo académico</t>
        </is>
      </c>
      <c r="C337" s="18" t="inlineStr">
        <is>
          <t>academic_work_plan</t>
        </is>
      </c>
      <c r="D337" s="18" t="inlineStr">
        <is>
          <t>asignatura</t>
        </is>
      </c>
      <c r="E337" s="18" t="n">
        <v>503</v>
      </c>
      <c r="F337" s="18" t="inlineStr">
        <is>
          <t>pensum</t>
        </is>
      </c>
      <c r="G337" s="18" t="inlineStr">
        <is>
          <t>character varying(50)</t>
        </is>
      </c>
      <c r="H337" s="18" t="inlineStr">
        <is>
          <t>Sí</t>
        </is>
      </c>
      <c r="I337" s="18" t="inlineStr"/>
      <c r="J337" s="18" t="inlineStr"/>
      <c r="K337" s="18" t="inlineStr"/>
      <c r="L337" s="18" t="inlineStr">
        <is>
          <t>No</t>
        </is>
      </c>
      <c r="M337" s="18" t="inlineStr">
        <is>
          <t>No</t>
        </is>
      </c>
      <c r="N337" s="18" t="inlineStr"/>
      <c r="O337" s="18" t="inlineStr">
        <is>
          <t>idx_asig_programa_pensum</t>
        </is>
      </c>
      <c r="P337" s="18" t="inlineStr">
        <is>
          <t>Mapeada en academic-work-plan-service/src/pta/entities/asignatura.entity.ts:21 (AsignaturaEntity.pensum)</t>
        </is>
      </c>
      <c r="Q337" s="18" t="inlineStr">
        <is>
          <t>Propuesta semántica</t>
        </is>
      </c>
      <c r="R337" s="18" t="inlineStr">
        <is>
          <t>Identificador del plan de estudios (pensum) del programa al que pertenece la asignatura.</t>
        </is>
      </c>
      <c r="S337" s="18" t="inlineStr">
        <is>
          <t>Media</t>
        </is>
      </c>
      <c r="T337" s="18" t="inlineStr">
        <is>
          <t>nombre + tipo + columnas vecinas + índice idx_asig_programa_pensum</t>
        </is>
      </c>
      <c r="U337" s="18" t="inlineStr">
        <is>
          <t>¿Qué formato tiene el pensum (año, código de versión)?</t>
        </is>
      </c>
      <c r="V337" s="19" t="inlineStr">
        <is>
          <t>Pendiente</t>
        </is>
      </c>
      <c r="W337" s="19" t="inlineStr"/>
      <c r="X337" s="19" t="inlineStr"/>
      <c r="Y337" s="20" t="n"/>
      <c r="Z337" s="19" t="inlineStr"/>
      <c r="AA337" s="18">
        <f>IF(OR(V337="Aprobada"),R337,IF(AND(OR(V337="Aprobada con ajuste",V337="Rechazada"),W337&lt;&gt;""),W337,""))</f>
        <v/>
      </c>
    </row>
    <row r="338">
      <c r="A338" s="18" t="inlineStr">
        <is>
          <t>C0337</t>
        </is>
      </c>
      <c r="B338" s="18" t="inlineStr">
        <is>
          <t>Plan de trabajo académico</t>
        </is>
      </c>
      <c r="C338" s="18" t="inlineStr">
        <is>
          <t>academic_work_plan</t>
        </is>
      </c>
      <c r="D338" s="18" t="inlineStr">
        <is>
          <t>asignatura</t>
        </is>
      </c>
      <c r="E338" s="18" t="n">
        <v>503</v>
      </c>
      <c r="F338" s="18" t="inlineStr">
        <is>
          <t>horas_clase</t>
        </is>
      </c>
      <c r="G338" s="18" t="inlineStr">
        <is>
          <t>integer</t>
        </is>
      </c>
      <c r="H338" s="18" t="inlineStr">
        <is>
          <t>Sí</t>
        </is>
      </c>
      <c r="I338" s="18" t="inlineStr">
        <is>
          <t>CHECK</t>
        </is>
      </c>
      <c r="J338" s="18" t="inlineStr"/>
      <c r="K338" s="18" t="inlineStr"/>
      <c r="L338" s="18" t="inlineStr">
        <is>
          <t>No</t>
        </is>
      </c>
      <c r="M338" s="18" t="inlineStr">
        <is>
          <t>No</t>
        </is>
      </c>
      <c r="N338" s="18" t="inlineStr"/>
      <c r="O338" s="18" t="inlineStr"/>
      <c r="P338" s="18" t="inlineStr">
        <is>
          <t>Mapeada en academic-work-plan-service/src/pta/entities/asignatura.entity.ts:67 (AsignaturaEntity.horasClase)</t>
        </is>
      </c>
      <c r="Q338" s="18" t="inlineStr">
        <is>
          <t>Propuesta semántica</t>
        </is>
      </c>
      <c r="R338" s="18" t="inlineStr">
        <is>
          <t>Número de horas de clase de la asignatura.</t>
        </is>
      </c>
      <c r="S338" s="18" t="inlineStr">
        <is>
          <t>Media</t>
        </is>
      </c>
      <c r="T338" s="18" t="inlineStr">
        <is>
          <t>nombre + tipo + columnas vecinas (horas_pta, creditos)</t>
        </is>
      </c>
      <c r="U338" s="18" t="inlineStr">
        <is>
          <t>¿Las horas de clase son semanales o del semestre completo?</t>
        </is>
      </c>
      <c r="V338" s="19" t="inlineStr">
        <is>
          <t>Pendiente</t>
        </is>
      </c>
      <c r="W338" s="19" t="inlineStr"/>
      <c r="X338" s="19" t="inlineStr"/>
      <c r="Y338" s="20" t="n"/>
      <c r="Z338" s="19" t="inlineStr"/>
      <c r="AA338" s="18">
        <f>IF(OR(V338="Aprobada"),R338,IF(AND(OR(V338="Aprobada con ajuste",V338="Rechazada"),W338&lt;&gt;""),W338,""))</f>
        <v/>
      </c>
    </row>
    <row r="339">
      <c r="A339" s="18" t="inlineStr">
        <is>
          <t>C0338</t>
        </is>
      </c>
      <c r="B339" s="18" t="inlineStr">
        <is>
          <t>Plan de trabajo académico</t>
        </is>
      </c>
      <c r="C339" s="18" t="inlineStr">
        <is>
          <t>academic_work_plan</t>
        </is>
      </c>
      <c r="D339" s="18" t="inlineStr">
        <is>
          <t>asignatura</t>
        </is>
      </c>
      <c r="E339" s="18" t="n">
        <v>503</v>
      </c>
      <c r="F339" s="18" t="inlineStr">
        <is>
          <t>horas_pta</t>
        </is>
      </c>
      <c r="G339" s="18" t="inlineStr">
        <is>
          <t>integer</t>
        </is>
      </c>
      <c r="H339" s="18" t="inlineStr">
        <is>
          <t>Sí</t>
        </is>
      </c>
      <c r="I339" s="18" t="inlineStr">
        <is>
          <t>CHECK</t>
        </is>
      </c>
      <c r="J339" s="18" t="inlineStr"/>
      <c r="K339" s="18" t="inlineStr"/>
      <c r="L339" s="18" t="inlineStr">
        <is>
          <t>No</t>
        </is>
      </c>
      <c r="M339" s="18" t="inlineStr">
        <is>
          <t>No</t>
        </is>
      </c>
      <c r="N339" s="18" t="inlineStr"/>
      <c r="O339" s="18" t="inlineStr"/>
      <c r="P339" s="18" t="inlineStr">
        <is>
          <t>academic-schedule-service/src/catalogo/entities/asignatura.readonly.entity.ts:40: Horas del PTA, ya con el factor de carga aplicado. Se expone tal cual.</t>
        </is>
      </c>
      <c r="Q339" s="18" t="inlineStr">
        <is>
          <t>Código fuente</t>
        </is>
      </c>
      <c r="R339" s="18" t="inlineStr">
        <is>
          <t>Horas de la asignatura en el PTA, con el factor de carga ya aplicado.</t>
        </is>
      </c>
      <c r="S339" s="18" t="inlineStr">
        <is>
          <t>Alta</t>
        </is>
      </c>
      <c r="T339" s="18" t="inlineStr">
        <is>
          <t>código: academic-schedule-service/src/catalogo/entities/asignatura.readonly.entity.ts:40</t>
        </is>
      </c>
      <c r="U339" s="18" t="inlineStr"/>
      <c r="V339" s="19" t="inlineStr">
        <is>
          <t>Pendiente</t>
        </is>
      </c>
      <c r="W339" s="19" t="inlineStr"/>
      <c r="X339" s="19" t="inlineStr"/>
      <c r="Y339" s="20" t="n"/>
      <c r="Z339" s="19" t="inlineStr"/>
      <c r="AA339" s="18">
        <f>IF(OR(V339="Aprobada"),R339,IF(AND(OR(V339="Aprobada con ajuste",V339="Rechazada"),W339&lt;&gt;""),W339,""))</f>
        <v/>
      </c>
    </row>
    <row r="340">
      <c r="A340" s="18" t="inlineStr">
        <is>
          <t>C0339</t>
        </is>
      </c>
      <c r="B340" s="18" t="inlineStr">
        <is>
          <t>Plan de trabajo académico</t>
        </is>
      </c>
      <c r="C340" s="18" t="inlineStr">
        <is>
          <t>academic_work_plan</t>
        </is>
      </c>
      <c r="D340" s="18" t="inlineStr">
        <is>
          <t>AuditLog</t>
        </is>
      </c>
      <c r="E340" s="18" t="n">
        <v>2</v>
      </c>
      <c r="F340" s="18" t="inlineStr">
        <is>
          <t>timestamp</t>
        </is>
      </c>
      <c r="G340" s="18" t="inlineStr">
        <is>
          <t>timestamp(3) without time zone</t>
        </is>
      </c>
      <c r="H340" s="18" t="inlineStr">
        <is>
          <t>No</t>
        </is>
      </c>
      <c r="I340" s="18" t="inlineStr"/>
      <c r="J340" s="18" t="inlineStr"/>
      <c r="K340" s="18" t="inlineStr"/>
      <c r="L340" s="18" t="inlineStr">
        <is>
          <t>No</t>
        </is>
      </c>
      <c r="M340" s="18" t="inlineStr">
        <is>
          <t>No</t>
        </is>
      </c>
      <c r="N340" s="18" t="inlineStr"/>
      <c r="O340" s="18" t="inlineStr">
        <is>
          <t>AuditLog_timestamp_idx</t>
        </is>
      </c>
      <c r="P340" s="18" t="inlineStr"/>
      <c r="Q340" s="18" t="inlineStr">
        <is>
          <t>Propuesta semántica</t>
        </is>
      </c>
      <c r="R340" s="18" t="inlineStr">
        <is>
          <t>Fecha y hora del evento auditado; por defecto, la fecha y hora de registro.</t>
        </is>
      </c>
      <c r="S340" s="18" t="inlineStr">
        <is>
          <t>Alta</t>
        </is>
      </c>
      <c r="T340" s="18" t="inlineStr">
        <is>
          <t>nombre + tipo + columnas vecinas + defecto</t>
        </is>
      </c>
      <c r="U340" s="18" t="inlineStr"/>
      <c r="V340" s="19" t="inlineStr">
        <is>
          <t>Pendiente</t>
        </is>
      </c>
      <c r="W340" s="19" t="inlineStr"/>
      <c r="X340" s="19" t="inlineStr"/>
      <c r="Y340" s="20" t="n"/>
      <c r="Z340" s="19" t="inlineStr"/>
      <c r="AA340" s="18">
        <f>IF(OR(V340="Aprobada"),R340,IF(AND(OR(V340="Aprobada con ajuste",V340="Rechazada"),W340&lt;&gt;""),W340,""))</f>
        <v/>
      </c>
    </row>
    <row r="341">
      <c r="A341" s="18" t="inlineStr">
        <is>
          <t>C0340</t>
        </is>
      </c>
      <c r="B341" s="18" t="inlineStr">
        <is>
          <t>Plan de trabajo académico</t>
        </is>
      </c>
      <c r="C341" s="18" t="inlineStr">
        <is>
          <t>academic_work_plan</t>
        </is>
      </c>
      <c r="D341" s="18" t="inlineStr">
        <is>
          <t>AuditLog</t>
        </is>
      </c>
      <c r="E341" s="18" t="n">
        <v>2</v>
      </c>
      <c r="F341" s="18" t="inlineStr">
        <is>
          <t>usuario_id</t>
        </is>
      </c>
      <c r="G341" s="18" t="inlineStr">
        <is>
          <t>text</t>
        </is>
      </c>
      <c r="H341" s="18" t="inlineStr">
        <is>
          <t>Sí</t>
        </is>
      </c>
      <c r="I341" s="18" t="inlineStr"/>
      <c r="J341" s="18" t="inlineStr"/>
      <c r="K341" s="18" t="inlineStr"/>
      <c r="L341" s="18" t="inlineStr">
        <is>
          <t>No</t>
        </is>
      </c>
      <c r="M341" s="18" t="inlineStr">
        <is>
          <t>No</t>
        </is>
      </c>
      <c r="N341" s="18" t="inlineStr"/>
      <c r="O341" s="18" t="inlineStr"/>
      <c r="P341" s="18" t="inlineStr"/>
      <c r="Q341" s="18" t="inlineStr">
        <is>
          <t>Propuesta semántica</t>
        </is>
      </c>
      <c r="R341" s="18" t="inlineStr">
        <is>
          <t>Identificador del usuario que realizó la acción.</t>
        </is>
      </c>
      <c r="S341" s="18" t="inlineStr">
        <is>
          <t>Media</t>
        </is>
      </c>
      <c r="T341" s="18" t="inlineStr">
        <is>
          <t>nombre + tipo + columnas vecinas</t>
        </is>
      </c>
      <c r="U341" s="18" t="inlineStr">
        <is>
          <t>¿A qué tabla de usuarios corresponde usuario_id?</t>
        </is>
      </c>
      <c r="V341" s="19" t="inlineStr">
        <is>
          <t>Pendiente</t>
        </is>
      </c>
      <c r="W341" s="19" t="inlineStr"/>
      <c r="X341" s="19" t="inlineStr"/>
      <c r="Y341" s="20" t="n"/>
      <c r="Z341" s="19" t="inlineStr"/>
      <c r="AA341" s="18">
        <f>IF(OR(V341="Aprobada"),R341,IF(AND(OR(V341="Aprobada con ajuste",V341="Rechazada"),W341&lt;&gt;""),W341,""))</f>
        <v/>
      </c>
    </row>
    <row r="342">
      <c r="A342" s="18" t="inlineStr">
        <is>
          <t>C0341</t>
        </is>
      </c>
      <c r="B342" s="18" t="inlineStr">
        <is>
          <t>Plan de trabajo académico</t>
        </is>
      </c>
      <c r="C342" s="18" t="inlineStr">
        <is>
          <t>academic_work_plan</t>
        </is>
      </c>
      <c r="D342" s="18" t="inlineStr">
        <is>
          <t>AuditLog</t>
        </is>
      </c>
      <c r="E342" s="18" t="n">
        <v>2</v>
      </c>
      <c r="F342" s="18" t="inlineStr">
        <is>
          <t>usuario_nombre</t>
        </is>
      </c>
      <c r="G342" s="18" t="inlineStr">
        <is>
          <t>text</t>
        </is>
      </c>
      <c r="H342" s="18" t="inlineStr">
        <is>
          <t>Sí</t>
        </is>
      </c>
      <c r="I342" s="18" t="inlineStr"/>
      <c r="J342" s="18" t="inlineStr"/>
      <c r="K342" s="18" t="inlineStr"/>
      <c r="L342" s="18" t="inlineStr">
        <is>
          <t>No</t>
        </is>
      </c>
      <c r="M342" s="18" t="inlineStr">
        <is>
          <t>No</t>
        </is>
      </c>
      <c r="N342" s="18" t="inlineStr"/>
      <c r="O342" s="18" t="inlineStr"/>
      <c r="P342" s="18" t="inlineStr"/>
      <c r="Q342" s="18" t="inlineStr">
        <is>
          <t>Propuesta semántica</t>
        </is>
      </c>
      <c r="R342" s="18" t="inlineStr">
        <is>
          <t>Nombre del usuario que realizó la acción.</t>
        </is>
      </c>
      <c r="S342" s="18" t="inlineStr">
        <is>
          <t>Alta</t>
        </is>
      </c>
      <c r="T342" s="18" t="inlineStr">
        <is>
          <t>nombre + tipo + columnas vecinas</t>
        </is>
      </c>
      <c r="U342" s="18" t="inlineStr"/>
      <c r="V342" s="19" t="inlineStr">
        <is>
          <t>Pendiente</t>
        </is>
      </c>
      <c r="W342" s="19" t="inlineStr"/>
      <c r="X342" s="19" t="inlineStr"/>
      <c r="Y342" s="20" t="n"/>
      <c r="Z342" s="19" t="inlineStr"/>
      <c r="AA342" s="18">
        <f>IF(OR(V342="Aprobada"),R342,IF(AND(OR(V342="Aprobada con ajuste",V342="Rechazada"),W342&lt;&gt;""),W342,""))</f>
        <v/>
      </c>
    </row>
    <row r="343">
      <c r="A343" s="18" t="inlineStr">
        <is>
          <t>C0342</t>
        </is>
      </c>
      <c r="B343" s="18" t="inlineStr">
        <is>
          <t>Plan de trabajo académico</t>
        </is>
      </c>
      <c r="C343" s="18" t="inlineStr">
        <is>
          <t>academic_work_plan</t>
        </is>
      </c>
      <c r="D343" s="18" t="inlineStr">
        <is>
          <t>AuditLog</t>
        </is>
      </c>
      <c r="E343" s="18" t="n">
        <v>2</v>
      </c>
      <c r="F343" s="18" t="inlineStr">
        <is>
          <t>usuario_email</t>
        </is>
      </c>
      <c r="G343" s="18" t="inlineStr">
        <is>
          <t>text</t>
        </is>
      </c>
      <c r="H343" s="18" t="inlineStr">
        <is>
          <t>Sí</t>
        </is>
      </c>
      <c r="I343" s="18" t="inlineStr"/>
      <c r="J343" s="18" t="inlineStr"/>
      <c r="K343" s="18" t="inlineStr"/>
      <c r="L343" s="18" t="inlineStr">
        <is>
          <t>No</t>
        </is>
      </c>
      <c r="M343" s="18" t="inlineStr">
        <is>
          <t>No</t>
        </is>
      </c>
      <c r="N343" s="18" t="inlineStr"/>
      <c r="O343" s="18" t="inlineStr"/>
      <c r="P343" s="18" t="inlineStr"/>
      <c r="Q343" s="18" t="inlineStr">
        <is>
          <t>Propuesta semántica</t>
        </is>
      </c>
      <c r="R343" s="18" t="inlineStr">
        <is>
          <t>Correo electrónico del usuario que realizó la acción.</t>
        </is>
      </c>
      <c r="S343" s="18" t="inlineStr">
        <is>
          <t>Alta</t>
        </is>
      </c>
      <c r="T343" s="18" t="inlineStr">
        <is>
          <t>nombre + tipo + columnas vecinas</t>
        </is>
      </c>
      <c r="U343" s="18" t="inlineStr"/>
      <c r="V343" s="19" t="inlineStr">
        <is>
          <t>Pendiente</t>
        </is>
      </c>
      <c r="W343" s="19" t="inlineStr"/>
      <c r="X343" s="19" t="inlineStr"/>
      <c r="Y343" s="20" t="n"/>
      <c r="Z343" s="19" t="inlineStr"/>
      <c r="AA343" s="18">
        <f>IF(OR(V343="Aprobada"),R343,IF(AND(OR(V343="Aprobada con ajuste",V343="Rechazada"),W343&lt;&gt;""),W343,""))</f>
        <v/>
      </c>
    </row>
    <row r="344">
      <c r="A344" s="18" t="inlineStr">
        <is>
          <t>C0343</t>
        </is>
      </c>
      <c r="B344" s="18" t="inlineStr">
        <is>
          <t>Plan de trabajo académico</t>
        </is>
      </c>
      <c r="C344" s="18" t="inlineStr">
        <is>
          <t>academic_work_plan</t>
        </is>
      </c>
      <c r="D344" s="18" t="inlineStr">
        <is>
          <t>AuditLog</t>
        </is>
      </c>
      <c r="E344" s="18" t="n">
        <v>2</v>
      </c>
      <c r="F344" s="18" t="inlineStr">
        <is>
          <t>accion</t>
        </is>
      </c>
      <c r="G344" s="18" t="inlineStr">
        <is>
          <t>text</t>
        </is>
      </c>
      <c r="H344" s="18" t="inlineStr">
        <is>
          <t>No</t>
        </is>
      </c>
      <c r="I344" s="18" t="inlineStr"/>
      <c r="J344" s="18" t="inlineStr"/>
      <c r="K344" s="18" t="inlineStr"/>
      <c r="L344" s="18" t="inlineStr">
        <is>
          <t>No</t>
        </is>
      </c>
      <c r="M344" s="18" t="inlineStr">
        <is>
          <t>No</t>
        </is>
      </c>
      <c r="N344" s="18" t="inlineStr"/>
      <c r="O344" s="18" t="inlineStr">
        <is>
          <t>AuditLog_accion_idx</t>
        </is>
      </c>
      <c r="P344" s="18" t="inlineStr"/>
      <c r="Q344" s="18" t="inlineStr">
        <is>
          <t>Propuesta semántica</t>
        </is>
      </c>
      <c r="R344" s="18" t="inlineStr">
        <is>
          <t>Acción realizada por el usuario.</t>
        </is>
      </c>
      <c r="S344" s="18" t="inlineStr">
        <is>
          <t>Media</t>
        </is>
      </c>
      <c r="T344" s="18" t="inlineStr">
        <is>
          <t>nombre + tipo + columnas vecinas</t>
        </is>
      </c>
      <c r="U344" s="18" t="inlineStr">
        <is>
          <t>¿Qué valores toma accion (crear, actualizar, eliminar…)?</t>
        </is>
      </c>
      <c r="V344" s="19" t="inlineStr">
        <is>
          <t>Pendiente</t>
        </is>
      </c>
      <c r="W344" s="19" t="inlineStr"/>
      <c r="X344" s="19" t="inlineStr"/>
      <c r="Y344" s="20" t="n"/>
      <c r="Z344" s="19" t="inlineStr"/>
      <c r="AA344" s="18">
        <f>IF(OR(V344="Aprobada"),R344,IF(AND(OR(V344="Aprobada con ajuste",V344="Rechazada"),W344&lt;&gt;""),W344,""))</f>
        <v/>
      </c>
    </row>
    <row r="345">
      <c r="A345" s="18" t="inlineStr">
        <is>
          <t>C0344</t>
        </is>
      </c>
      <c r="B345" s="18" t="inlineStr">
        <is>
          <t>Plan de trabajo académico</t>
        </is>
      </c>
      <c r="C345" s="18" t="inlineStr">
        <is>
          <t>academic_work_plan</t>
        </is>
      </c>
      <c r="D345" s="18" t="inlineStr">
        <is>
          <t>AuditLog</t>
        </is>
      </c>
      <c r="E345" s="18" t="n">
        <v>2</v>
      </c>
      <c r="F345" s="18" t="inlineStr">
        <is>
          <t>modulo</t>
        </is>
      </c>
      <c r="G345" s="18" t="inlineStr">
        <is>
          <t>text</t>
        </is>
      </c>
      <c r="H345" s="18" t="inlineStr">
        <is>
          <t>No</t>
        </is>
      </c>
      <c r="I345" s="18" t="inlineStr"/>
      <c r="J345" s="18" t="inlineStr"/>
      <c r="K345" s="18" t="inlineStr"/>
      <c r="L345" s="18" t="inlineStr">
        <is>
          <t>No</t>
        </is>
      </c>
      <c r="M345" s="18" t="inlineStr">
        <is>
          <t>No</t>
        </is>
      </c>
      <c r="N345" s="18" t="inlineStr"/>
      <c r="O345" s="18" t="inlineStr">
        <is>
          <t>AuditLog_modulo_idx</t>
        </is>
      </c>
      <c r="P345" s="18" t="inlineStr"/>
      <c r="Q345" s="18" t="inlineStr">
        <is>
          <t>Propuesta semántica</t>
        </is>
      </c>
      <c r="R345" s="18" t="inlineStr">
        <is>
          <t>Módulo del sistema en que se realizó la acción.</t>
        </is>
      </c>
      <c r="S345" s="18" t="inlineStr">
        <is>
          <t>Media</t>
        </is>
      </c>
      <c r="T345" s="18" t="inlineStr">
        <is>
          <t>nombre + tipo + columnas vecinas</t>
        </is>
      </c>
      <c r="U345" s="18" t="inlineStr">
        <is>
          <t>¿Qué valores toma modulo?</t>
        </is>
      </c>
      <c r="V345" s="19" t="inlineStr">
        <is>
          <t>Pendiente</t>
        </is>
      </c>
      <c r="W345" s="19" t="inlineStr"/>
      <c r="X345" s="19" t="inlineStr"/>
      <c r="Y345" s="20" t="n"/>
      <c r="Z345" s="19" t="inlineStr"/>
      <c r="AA345" s="18">
        <f>IF(OR(V345="Aprobada"),R345,IF(AND(OR(V345="Aprobada con ajuste",V345="Rechazada"),W345&lt;&gt;""),W345,""))</f>
        <v/>
      </c>
    </row>
    <row r="346">
      <c r="A346" s="18" t="inlineStr">
        <is>
          <t>C0345</t>
        </is>
      </c>
      <c r="B346" s="18" t="inlineStr">
        <is>
          <t>Plan de trabajo académico</t>
        </is>
      </c>
      <c r="C346" s="18" t="inlineStr">
        <is>
          <t>academic_work_plan</t>
        </is>
      </c>
      <c r="D346" s="18" t="inlineStr">
        <is>
          <t>AuditLog</t>
        </is>
      </c>
      <c r="E346" s="18" t="n">
        <v>2</v>
      </c>
      <c r="F346" s="18" t="inlineStr">
        <is>
          <t>entidad_tipo</t>
        </is>
      </c>
      <c r="G346" s="18" t="inlineStr">
        <is>
          <t>text</t>
        </is>
      </c>
      <c r="H346" s="18" t="inlineStr">
        <is>
          <t>Sí</t>
        </is>
      </c>
      <c r="I346" s="18" t="inlineStr"/>
      <c r="J346" s="18" t="inlineStr"/>
      <c r="K346" s="18" t="inlineStr"/>
      <c r="L346" s="18" t="inlineStr">
        <is>
          <t>No</t>
        </is>
      </c>
      <c r="M346" s="18" t="inlineStr">
        <is>
          <t>No</t>
        </is>
      </c>
      <c r="N346" s="18" t="inlineStr"/>
      <c r="O346" s="18" t="inlineStr"/>
      <c r="P346" s="18" t="inlineStr"/>
      <c r="Q346" s="18" t="inlineStr">
        <is>
          <t>Propuesta semántica</t>
        </is>
      </c>
      <c r="R346" s="18" t="inlineStr">
        <is>
          <t>Tipo de entidad afectada por la acción.</t>
        </is>
      </c>
      <c r="S346" s="18" t="inlineStr">
        <is>
          <t>Media</t>
        </is>
      </c>
      <c r="T346" s="18" t="inlineStr">
        <is>
          <t>nombre + tipo + columnas vecinas (entidad_id)</t>
        </is>
      </c>
      <c r="U346" s="18" t="inlineStr">
        <is>
          <t>¿Qué valores toma entidad_tipo?</t>
        </is>
      </c>
      <c r="V346" s="19" t="inlineStr">
        <is>
          <t>Pendiente</t>
        </is>
      </c>
      <c r="W346" s="19" t="inlineStr"/>
      <c r="X346" s="19" t="inlineStr"/>
      <c r="Y346" s="20" t="n"/>
      <c r="Z346" s="19" t="inlineStr"/>
      <c r="AA346" s="18">
        <f>IF(OR(V346="Aprobada"),R346,IF(AND(OR(V346="Aprobada con ajuste",V346="Rechazada"),W346&lt;&gt;""),W346,""))</f>
        <v/>
      </c>
    </row>
    <row r="347">
      <c r="A347" s="18" t="inlineStr">
        <is>
          <t>C0346</t>
        </is>
      </c>
      <c r="B347" s="18" t="inlineStr">
        <is>
          <t>Plan de trabajo académico</t>
        </is>
      </c>
      <c r="C347" s="18" t="inlineStr">
        <is>
          <t>academic_work_plan</t>
        </is>
      </c>
      <c r="D347" s="18" t="inlineStr">
        <is>
          <t>AuditLog</t>
        </is>
      </c>
      <c r="E347" s="18" t="n">
        <v>2</v>
      </c>
      <c r="F347" s="18" t="inlineStr">
        <is>
          <t>entidad_id</t>
        </is>
      </c>
      <c r="G347" s="18" t="inlineStr">
        <is>
          <t>text</t>
        </is>
      </c>
      <c r="H347" s="18" t="inlineStr">
        <is>
          <t>Sí</t>
        </is>
      </c>
      <c r="I347" s="18" t="inlineStr"/>
      <c r="J347" s="18" t="inlineStr"/>
      <c r="K347" s="18" t="inlineStr"/>
      <c r="L347" s="18" t="inlineStr">
        <is>
          <t>No</t>
        </is>
      </c>
      <c r="M347" s="18" t="inlineStr">
        <is>
          <t>No</t>
        </is>
      </c>
      <c r="N347" s="18" t="inlineStr"/>
      <c r="O347" s="18" t="inlineStr"/>
      <c r="P347" s="18" t="inlineStr"/>
      <c r="Q347" s="18" t="inlineStr">
        <is>
          <t>Propuesta semántica</t>
        </is>
      </c>
      <c r="R347" s="18" t="inlineStr">
        <is>
          <t>Identificador del registro afectado por la acción.</t>
        </is>
      </c>
      <c r="S347" s="18" t="inlineStr">
        <is>
          <t>Alta</t>
        </is>
      </c>
      <c r="T347" s="18" t="inlineStr">
        <is>
          <t>nombre + tipo + columnas vecinas (entidad_tipo)</t>
        </is>
      </c>
      <c r="U347" s="18" t="inlineStr"/>
      <c r="V347" s="19" t="inlineStr">
        <is>
          <t>Pendiente</t>
        </is>
      </c>
      <c r="W347" s="19" t="inlineStr"/>
      <c r="X347" s="19" t="inlineStr"/>
      <c r="Y347" s="20" t="n"/>
      <c r="Z347" s="19" t="inlineStr"/>
      <c r="AA347" s="18">
        <f>IF(OR(V347="Aprobada"),R347,IF(AND(OR(V347="Aprobada con ajuste",V347="Rechazada"),W347&lt;&gt;""),W347,""))</f>
        <v/>
      </c>
    </row>
    <row r="348">
      <c r="A348" s="18" t="inlineStr">
        <is>
          <t>C0347</t>
        </is>
      </c>
      <c r="B348" s="18" t="inlineStr">
        <is>
          <t>Plan de trabajo académico</t>
        </is>
      </c>
      <c r="C348" s="18" t="inlineStr">
        <is>
          <t>academic_work_plan</t>
        </is>
      </c>
      <c r="D348" s="18" t="inlineStr">
        <is>
          <t>AuditLog</t>
        </is>
      </c>
      <c r="E348" s="18" t="n">
        <v>2</v>
      </c>
      <c r="F348" s="18" t="inlineStr">
        <is>
          <t>detalles</t>
        </is>
      </c>
      <c r="G348" s="18" t="inlineStr">
        <is>
          <t>text</t>
        </is>
      </c>
      <c r="H348" s="18" t="inlineStr">
        <is>
          <t>No</t>
        </is>
      </c>
      <c r="I348" s="18" t="inlineStr"/>
      <c r="J348" s="18" t="inlineStr"/>
      <c r="K348" s="18" t="inlineStr"/>
      <c r="L348" s="18" t="inlineStr">
        <is>
          <t>No</t>
        </is>
      </c>
      <c r="M348" s="18" t="inlineStr">
        <is>
          <t>No</t>
        </is>
      </c>
      <c r="N348" s="18" t="inlineStr"/>
      <c r="O348" s="18" t="inlineStr"/>
      <c r="P348" s="18" t="inlineStr"/>
      <c r="Q348" s="18" t="inlineStr">
        <is>
          <t>Propuesta semántica</t>
        </is>
      </c>
      <c r="R348" s="18" t="inlineStr">
        <is>
          <t>Detalle de la acción realizada; vacío por defecto.</t>
        </is>
      </c>
      <c r="S348" s="18" t="inlineStr">
        <is>
          <t>Alta</t>
        </is>
      </c>
      <c r="T348" s="18" t="inlineStr">
        <is>
          <t>nombre + tipo + columnas vecinas + defecto</t>
        </is>
      </c>
      <c r="U348" s="18" t="inlineStr"/>
      <c r="V348" s="19" t="inlineStr">
        <is>
          <t>Pendiente</t>
        </is>
      </c>
      <c r="W348" s="19" t="inlineStr"/>
      <c r="X348" s="19" t="inlineStr"/>
      <c r="Y348" s="20" t="n"/>
      <c r="Z348" s="19" t="inlineStr"/>
      <c r="AA348" s="18">
        <f>IF(OR(V348="Aprobada"),R348,IF(AND(OR(V348="Aprobada con ajuste",V348="Rechazada"),W348&lt;&gt;""),W348,""))</f>
        <v/>
      </c>
    </row>
    <row r="349">
      <c r="A349" s="18" t="inlineStr">
        <is>
          <t>C0348</t>
        </is>
      </c>
      <c r="B349" s="18" t="inlineStr">
        <is>
          <t>Plan de trabajo académico</t>
        </is>
      </c>
      <c r="C349" s="18" t="inlineStr">
        <is>
          <t>academic_work_plan</t>
        </is>
      </c>
      <c r="D349" s="18" t="inlineStr">
        <is>
          <t>AuditLog</t>
        </is>
      </c>
      <c r="E349" s="18" t="n">
        <v>2</v>
      </c>
      <c r="F349" s="18" t="inlineStr">
        <is>
          <t>resultado</t>
        </is>
      </c>
      <c r="G349" s="18" t="inlineStr">
        <is>
          <t>text</t>
        </is>
      </c>
      <c r="H349" s="18" t="inlineStr">
        <is>
          <t>No</t>
        </is>
      </c>
      <c r="I349" s="18" t="inlineStr"/>
      <c r="J349" s="18" t="inlineStr"/>
      <c r="K349" s="18" t="inlineStr"/>
      <c r="L349" s="18" t="inlineStr">
        <is>
          <t>No</t>
        </is>
      </c>
      <c r="M349" s="18" t="inlineStr">
        <is>
          <t>No</t>
        </is>
      </c>
      <c r="N349" s="18" t="inlineStr"/>
      <c r="O349" s="18" t="inlineStr"/>
      <c r="P349" s="18" t="inlineStr"/>
      <c r="Q349" s="18" t="inlineStr">
        <is>
          <t>Propuesta semántica</t>
        </is>
      </c>
      <c r="R349" s="18" t="inlineStr">
        <is>
          <t>Resultado de la acción; por defecto, «EXITO».</t>
        </is>
      </c>
      <c r="S349" s="18" t="inlineStr">
        <is>
          <t>Media</t>
        </is>
      </c>
      <c r="T349" s="18" t="inlineStr">
        <is>
          <t>nombre + tipo + columnas vecinas + defecto</t>
        </is>
      </c>
      <c r="U349" s="18" t="inlineStr">
        <is>
          <t>¿Qué otros valores toma resultado además de EXITO?</t>
        </is>
      </c>
      <c r="V349" s="19" t="inlineStr">
        <is>
          <t>Pendiente</t>
        </is>
      </c>
      <c r="W349" s="19" t="inlineStr"/>
      <c r="X349" s="19" t="inlineStr"/>
      <c r="Y349" s="20" t="n"/>
      <c r="Z349" s="19" t="inlineStr"/>
      <c r="AA349" s="18">
        <f>IF(OR(V349="Aprobada"),R349,IF(AND(OR(V349="Aprobada con ajuste",V349="Rechazada"),W349&lt;&gt;""),W349,""))</f>
        <v/>
      </c>
    </row>
    <row r="350">
      <c r="A350" s="18" t="inlineStr">
        <is>
          <t>C0349</t>
        </is>
      </c>
      <c r="B350" s="18" t="inlineStr">
        <is>
          <t>Plan de trabajo académico</t>
        </is>
      </c>
      <c r="C350" s="18" t="inlineStr">
        <is>
          <t>academic_work_plan</t>
        </is>
      </c>
      <c r="D350" s="18" t="inlineStr">
        <is>
          <t>AuditLog</t>
        </is>
      </c>
      <c r="E350" s="18" t="n">
        <v>2</v>
      </c>
      <c r="F350" s="18" t="inlineStr">
        <is>
          <t>ip_address</t>
        </is>
      </c>
      <c r="G350" s="18" t="inlineStr">
        <is>
          <t>text</t>
        </is>
      </c>
      <c r="H350" s="18" t="inlineStr">
        <is>
          <t>Sí</t>
        </is>
      </c>
      <c r="I350" s="18" t="inlineStr"/>
      <c r="J350" s="18" t="inlineStr"/>
      <c r="K350" s="18" t="inlineStr"/>
      <c r="L350" s="18" t="inlineStr">
        <is>
          <t>No</t>
        </is>
      </c>
      <c r="M350" s="18" t="inlineStr">
        <is>
          <t>No</t>
        </is>
      </c>
      <c r="N350" s="18" t="inlineStr"/>
      <c r="O350" s="18" t="inlineStr"/>
      <c r="P350" s="18" t="inlineStr"/>
      <c r="Q350" s="18" t="inlineStr">
        <is>
          <t>Propuesta semántica</t>
        </is>
      </c>
      <c r="R350" s="18" t="inlineStr">
        <is>
          <t>Dirección IP desde la que se realizó la acción.</t>
        </is>
      </c>
      <c r="S350" s="18" t="inlineStr">
        <is>
          <t>Alta</t>
        </is>
      </c>
      <c r="T350" s="18" t="inlineStr">
        <is>
          <t>nombre + tipo + columnas vecinas</t>
        </is>
      </c>
      <c r="U350" s="18" t="inlineStr"/>
      <c r="V350" s="19" t="inlineStr">
        <is>
          <t>Pendiente</t>
        </is>
      </c>
      <c r="W350" s="19" t="inlineStr"/>
      <c r="X350" s="19" t="inlineStr"/>
      <c r="Y350" s="20" t="n"/>
      <c r="Z350" s="19" t="inlineStr"/>
      <c r="AA350" s="18">
        <f>IF(OR(V350="Aprobada"),R350,IF(AND(OR(V350="Aprobada con ajuste",V350="Rechazada"),W350&lt;&gt;""),W350,""))</f>
        <v/>
      </c>
    </row>
    <row r="351">
      <c r="A351" s="18" t="inlineStr">
        <is>
          <t>C0350</t>
        </is>
      </c>
      <c r="B351" s="18" t="inlineStr">
        <is>
          <t>Plan de trabajo académico</t>
        </is>
      </c>
      <c r="C351" s="18" t="inlineStr">
        <is>
          <t>academic_work_plan</t>
        </is>
      </c>
      <c r="D351" s="18" t="inlineStr">
        <is>
          <t>BancoDocentesInvitaciones</t>
        </is>
      </c>
      <c r="E351" s="18" t="n">
        <v>3</v>
      </c>
      <c r="F351" s="18" t="inlineStr">
        <is>
          <t>correo_institucional</t>
        </is>
      </c>
      <c r="G351" s="18" t="inlineStr">
        <is>
          <t>text</t>
        </is>
      </c>
      <c r="H351" s="18" t="inlineStr">
        <is>
          <t>No</t>
        </is>
      </c>
      <c r="I351" s="18" t="inlineStr"/>
      <c r="J351" s="18" t="inlineStr"/>
      <c r="K351" s="18" t="inlineStr"/>
      <c r="L351" s="18" t="inlineStr">
        <is>
          <t>No</t>
        </is>
      </c>
      <c r="M351" s="18" t="inlineStr">
        <is>
          <t>No</t>
        </is>
      </c>
      <c r="N351" s="18" t="inlineStr"/>
      <c r="O351" s="18" t="inlineStr">
        <is>
          <t>idx_banco_invitaciones_correo</t>
        </is>
      </c>
      <c r="P351" s="18" t="inlineStr">
        <is>
          <t>Mapeada en academic-work-plan-service/src/pta/entities/banco-docente-invitacion.entity.ts:8 (BancoDocenteInvitacionEntity.correoInstitucional)</t>
        </is>
      </c>
      <c r="Q351" s="18" t="inlineStr">
        <is>
          <t>Propuesta semántica</t>
        </is>
      </c>
      <c r="R351" s="18" t="inlineStr">
        <is>
          <t>Correo institucional al que se envía la invitación de autogestión RUND.</t>
        </is>
      </c>
      <c r="S351" s="18" t="inlineStr">
        <is>
          <t>Alta</t>
        </is>
      </c>
      <c r="T351" s="18" t="inlineStr">
        <is>
          <t>nombre + tipo + columnas vecinas + descripción de la tabla</t>
        </is>
      </c>
      <c r="U351" s="18" t="inlineStr"/>
      <c r="V351" s="19" t="inlineStr">
        <is>
          <t>Pendiente</t>
        </is>
      </c>
      <c r="W351" s="19" t="inlineStr"/>
      <c r="X351" s="19" t="inlineStr"/>
      <c r="Y351" s="20" t="n"/>
      <c r="Z351" s="19" t="inlineStr"/>
      <c r="AA351" s="18">
        <f>IF(OR(V351="Aprobada"),R351,IF(AND(OR(V351="Aprobada con ajuste",V351="Rechazada"),W351&lt;&gt;""),W351,""))</f>
        <v/>
      </c>
    </row>
    <row r="352">
      <c r="A352" s="18" t="inlineStr">
        <is>
          <t>C0351</t>
        </is>
      </c>
      <c r="B352" s="18" t="inlineStr">
        <is>
          <t>Plan de trabajo académico</t>
        </is>
      </c>
      <c r="C352" s="18" t="inlineStr">
        <is>
          <t>academic_work_plan</t>
        </is>
      </c>
      <c r="D352" s="18" t="inlineStr">
        <is>
          <t>BancoDocentesInvitaciones</t>
        </is>
      </c>
      <c r="E352" s="18" t="n">
        <v>3</v>
      </c>
      <c r="F352" s="18" t="inlineStr">
        <is>
          <t>token_acceso</t>
        </is>
      </c>
      <c r="G352" s="18" t="inlineStr">
        <is>
          <t>text</t>
        </is>
      </c>
      <c r="H352" s="18" t="inlineStr">
        <is>
          <t>No</t>
        </is>
      </c>
      <c r="I352" s="18" t="inlineStr">
        <is>
          <t>Única</t>
        </is>
      </c>
      <c r="J352" s="18" t="inlineStr"/>
      <c r="K352" s="18" t="inlineStr"/>
      <c r="L352" s="18" t="inlineStr">
        <is>
          <t>No</t>
        </is>
      </c>
      <c r="M352" s="18" t="inlineStr">
        <is>
          <t>No</t>
        </is>
      </c>
      <c r="N352" s="18" t="inlineStr"/>
      <c r="O352" s="18" t="inlineStr">
        <is>
          <t>BancoDocentesInvitaciones_token_acceso_key, idx_banco_invitaciones_token</t>
        </is>
      </c>
      <c r="P352" s="18" t="inlineStr">
        <is>
          <t>Mapeada en academic-work-plan-service/src/pta/entities/banco-docente-invitacion.entity.ts:11 (BancoDocenteInvitacionEntity.tokenAcceso)</t>
        </is>
      </c>
      <c r="Q352" s="18" t="inlineStr">
        <is>
          <t>Propuesta semántica</t>
        </is>
      </c>
      <c r="R352" s="18" t="inlineStr">
        <is>
          <t>Token único del enlace público de la invitación.</t>
        </is>
      </c>
      <c r="S352" s="18" t="inlineStr">
        <is>
          <t>Alta</t>
        </is>
      </c>
      <c r="T352" s="18" t="inlineStr">
        <is>
          <t>nombre + tipo + columnas vecinas + descripción de la tabla + restricción única</t>
        </is>
      </c>
      <c r="U352" s="18" t="inlineStr"/>
      <c r="V352" s="19" t="inlineStr">
        <is>
          <t>Pendiente</t>
        </is>
      </c>
      <c r="W352" s="19" t="inlineStr"/>
      <c r="X352" s="19" t="inlineStr"/>
      <c r="Y352" s="20" t="n"/>
      <c r="Z352" s="19" t="inlineStr"/>
      <c r="AA352" s="18">
        <f>IF(OR(V352="Aprobada"),R352,IF(AND(OR(V352="Aprobada con ajuste",V352="Rechazada"),W352&lt;&gt;""),W352,""))</f>
        <v/>
      </c>
    </row>
    <row r="353">
      <c r="A353" s="18" t="inlineStr">
        <is>
          <t>C0352</t>
        </is>
      </c>
      <c r="B353" s="18" t="inlineStr">
        <is>
          <t>Plan de trabajo académico</t>
        </is>
      </c>
      <c r="C353" s="18" t="inlineStr">
        <is>
          <t>academic_work_plan</t>
        </is>
      </c>
      <c r="D353" s="18" t="inlineStr">
        <is>
          <t>BancoDocentesInvitaciones</t>
        </is>
      </c>
      <c r="E353" s="18" t="n">
        <v>3</v>
      </c>
      <c r="F353" s="18" t="inlineStr">
        <is>
          <t>otp_codigo</t>
        </is>
      </c>
      <c r="G353" s="18" t="inlineStr">
        <is>
          <t>text</t>
        </is>
      </c>
      <c r="H353" s="18" t="inlineStr">
        <is>
          <t>Sí</t>
        </is>
      </c>
      <c r="I353" s="18" t="inlineStr"/>
      <c r="J353" s="18" t="inlineStr"/>
      <c r="K353" s="18" t="inlineStr"/>
      <c r="L353" s="18" t="inlineStr">
        <is>
          <t>No</t>
        </is>
      </c>
      <c r="M353" s="18" t="inlineStr">
        <is>
          <t>No</t>
        </is>
      </c>
      <c r="N353" s="18" t="inlineStr"/>
      <c r="O353" s="18" t="inlineStr"/>
      <c r="P353" s="18" t="inlineStr">
        <is>
          <t>Mapeada en academic-work-plan-service/src/pta/entities/banco-docente-invitacion.entity.ts:20 (BancoDocenteInvitacionEntity.otpCodigo)</t>
        </is>
      </c>
      <c r="Q353" s="18" t="inlineStr">
        <is>
          <t>Propuesta semántica</t>
        </is>
      </c>
      <c r="R353" s="18" t="inlineStr">
        <is>
          <t>Código OTP enviado por correo para validar el acceso a la invitación.</t>
        </is>
      </c>
      <c r="S353" s="18" t="inlineStr">
        <is>
          <t>Alta</t>
        </is>
      </c>
      <c r="T353" s="18" t="inlineStr">
        <is>
          <t>nombre + tipo + columnas vecinas + descripción de la tabla</t>
        </is>
      </c>
      <c r="U353" s="18" t="inlineStr"/>
      <c r="V353" s="19" t="inlineStr">
        <is>
          <t>Pendiente</t>
        </is>
      </c>
      <c r="W353" s="19" t="inlineStr"/>
      <c r="X353" s="19" t="inlineStr"/>
      <c r="Y353" s="20" t="n"/>
      <c r="Z353" s="19" t="inlineStr"/>
      <c r="AA353" s="18">
        <f>IF(OR(V353="Aprobada"),R353,IF(AND(OR(V353="Aprobada con ajuste",V353="Rechazada"),W353&lt;&gt;""),W353,""))</f>
        <v/>
      </c>
    </row>
    <row r="354">
      <c r="A354" s="18" t="inlineStr">
        <is>
          <t>C0353</t>
        </is>
      </c>
      <c r="B354" s="18" t="inlineStr">
        <is>
          <t>Plan de trabajo académico</t>
        </is>
      </c>
      <c r="C354" s="18" t="inlineStr">
        <is>
          <t>academic_work_plan</t>
        </is>
      </c>
      <c r="D354" s="18" t="inlineStr">
        <is>
          <t>BancoDocentesInvitaciones</t>
        </is>
      </c>
      <c r="E354" s="18" t="n">
        <v>3</v>
      </c>
      <c r="F354" s="18" t="inlineStr">
        <is>
          <t>otp_expira_en</t>
        </is>
      </c>
      <c r="G354" s="18" t="inlineStr">
        <is>
          <t>timestamp without time zone</t>
        </is>
      </c>
      <c r="H354" s="18" t="inlineStr">
        <is>
          <t>Sí</t>
        </is>
      </c>
      <c r="I354" s="18" t="inlineStr"/>
      <c r="J354" s="18" t="inlineStr"/>
      <c r="K354" s="18" t="inlineStr"/>
      <c r="L354" s="18" t="inlineStr">
        <is>
          <t>No</t>
        </is>
      </c>
      <c r="M354" s="18" t="inlineStr">
        <is>
          <t>No</t>
        </is>
      </c>
      <c r="N354" s="18" t="inlineStr"/>
      <c r="O354" s="18" t="inlineStr"/>
      <c r="P354" s="18" t="inlineStr">
        <is>
          <t>Mapeada en academic-work-plan-service/src/pta/entities/banco-docente-invitacion.entity.ts:23 (BancoDocenteInvitacionEntity.otpExpiraEn)</t>
        </is>
      </c>
      <c r="Q354" s="18" t="inlineStr">
        <is>
          <t>Propuesta semántica</t>
        </is>
      </c>
      <c r="R354" s="18" t="inlineStr">
        <is>
          <t>Fecha y hora en que vence el código OTP.</t>
        </is>
      </c>
      <c r="S354" s="18" t="inlineStr">
        <is>
          <t>Alta</t>
        </is>
      </c>
      <c r="T354" s="18" t="inlineStr">
        <is>
          <t>nombre + tipo + columnas vecinas</t>
        </is>
      </c>
      <c r="U354" s="18" t="inlineStr"/>
      <c r="V354" s="19" t="inlineStr">
        <is>
          <t>Pendiente</t>
        </is>
      </c>
      <c r="W354" s="19" t="inlineStr"/>
      <c r="X354" s="19" t="inlineStr"/>
      <c r="Y354" s="20" t="n"/>
      <c r="Z354" s="19" t="inlineStr"/>
      <c r="AA354" s="18">
        <f>IF(OR(V354="Aprobada"),R354,IF(AND(OR(V354="Aprobada con ajuste",V354="Rechazada"),W354&lt;&gt;""),W354,""))</f>
        <v/>
      </c>
    </row>
    <row r="355">
      <c r="A355" s="18" t="inlineStr">
        <is>
          <t>C0354</t>
        </is>
      </c>
      <c r="B355" s="18" t="inlineStr">
        <is>
          <t>Plan de trabajo académico</t>
        </is>
      </c>
      <c r="C355" s="18" t="inlineStr">
        <is>
          <t>academic_work_plan</t>
        </is>
      </c>
      <c r="D355" s="18" t="inlineStr">
        <is>
          <t>BancoDocentesInvitaciones</t>
        </is>
      </c>
      <c r="E355" s="18" t="n">
        <v>3</v>
      </c>
      <c r="F355" s="18" t="inlineStr">
        <is>
          <t>intentos_otp</t>
        </is>
      </c>
      <c r="G355" s="18" t="inlineStr">
        <is>
          <t>integer</t>
        </is>
      </c>
      <c r="H355" s="18" t="inlineStr">
        <is>
          <t>No</t>
        </is>
      </c>
      <c r="I355" s="18" t="inlineStr"/>
      <c r="J355" s="18" t="inlineStr"/>
      <c r="K355" s="18" t="inlineStr"/>
      <c r="L355" s="18" t="inlineStr">
        <is>
          <t>No</t>
        </is>
      </c>
      <c r="M355" s="18" t="inlineStr">
        <is>
          <t>No</t>
        </is>
      </c>
      <c r="N355" s="18" t="inlineStr"/>
      <c r="O355" s="18" t="inlineStr"/>
      <c r="P355" s="18" t="inlineStr">
        <is>
          <t>Mapeada en academic-work-plan-service/src/pta/entities/banco-docente-invitacion.entity.ts:26 (BancoDocenteInvitacionEntity.intentosOtp)</t>
        </is>
      </c>
      <c r="Q355" s="18" t="inlineStr">
        <is>
          <t>Propuesta semántica</t>
        </is>
      </c>
      <c r="R355" s="18" t="inlineStr">
        <is>
          <t>Número de intentos de validación del código OTP; inicia en 0.</t>
        </is>
      </c>
      <c r="S355" s="18" t="inlineStr">
        <is>
          <t>Alta</t>
        </is>
      </c>
      <c r="T355" s="18" t="inlineStr">
        <is>
          <t>nombre + tipo + columnas vecinas + defecto</t>
        </is>
      </c>
      <c r="U355" s="18" t="inlineStr"/>
      <c r="V355" s="19" t="inlineStr">
        <is>
          <t>Pendiente</t>
        </is>
      </c>
      <c r="W355" s="19" t="inlineStr"/>
      <c r="X355" s="19" t="inlineStr"/>
      <c r="Y355" s="20" t="n"/>
      <c r="Z355" s="19" t="inlineStr"/>
      <c r="AA355" s="18">
        <f>IF(OR(V355="Aprobada"),R355,IF(AND(OR(V355="Aprobada con ajuste",V355="Rechazada"),W355&lt;&gt;""),W355,""))</f>
        <v/>
      </c>
    </row>
    <row r="356">
      <c r="A356" s="18" t="inlineStr">
        <is>
          <t>C0355</t>
        </is>
      </c>
      <c r="B356" s="18" t="inlineStr">
        <is>
          <t>Plan de trabajo académico</t>
        </is>
      </c>
      <c r="C356" s="18" t="inlineStr">
        <is>
          <t>academic_work_plan</t>
        </is>
      </c>
      <c r="D356" s="18" t="inlineStr">
        <is>
          <t>BancoDocentesInvitaciones</t>
        </is>
      </c>
      <c r="E356" s="18" t="n">
        <v>3</v>
      </c>
      <c r="F356" s="18" t="inlineStr">
        <is>
          <t>estado</t>
        </is>
      </c>
      <c r="G356" s="18" t="inlineStr">
        <is>
          <t>text</t>
        </is>
      </c>
      <c r="H356" s="18" t="inlineStr">
        <is>
          <t>No</t>
        </is>
      </c>
      <c r="I356" s="18" t="inlineStr"/>
      <c r="J356" s="18" t="inlineStr"/>
      <c r="K356" s="18" t="inlineStr"/>
      <c r="L356" s="18" t="inlineStr">
        <is>
          <t>No</t>
        </is>
      </c>
      <c r="M356" s="18" t="inlineStr">
        <is>
          <t>No</t>
        </is>
      </c>
      <c r="N356" s="18" t="inlineStr"/>
      <c r="O356" s="18" t="inlineStr"/>
      <c r="P356" s="18" t="inlineStr">
        <is>
          <t>academic-work-plan-service/src/pta/entities/banco-docente-invitacion.entity.ts:29: Enviada, Abierta, OTP validado, En proceso, Gestionada, Vencida</t>
        </is>
      </c>
      <c r="Q356" s="18" t="inlineStr">
        <is>
          <t>Código fuente</t>
        </is>
      </c>
      <c r="R356" s="18" t="inlineStr">
        <is>
          <t>Estado de la invitación de autogestión RUND. Valores: Enviada, Abierta, OTP validado, En proceso, Gestionada, Vencida; por defecto Enviada.</t>
        </is>
      </c>
      <c r="S356" s="18" t="inlineStr">
        <is>
          <t>Alta</t>
        </is>
      </c>
      <c r="T356" s="18" t="inlineStr">
        <is>
          <t>código: academic-work-plan-service/src/pta/entities/banco-docente-invitacion.entity.ts:29</t>
        </is>
      </c>
      <c r="U356" s="18" t="inlineStr"/>
      <c r="V356" s="19" t="inlineStr">
        <is>
          <t>Pendiente</t>
        </is>
      </c>
      <c r="W356" s="19" t="inlineStr"/>
      <c r="X356" s="19" t="inlineStr"/>
      <c r="Y356" s="20" t="n"/>
      <c r="Z356" s="19" t="inlineStr"/>
      <c r="AA356" s="18">
        <f>IF(OR(V356="Aprobada"),R356,IF(AND(OR(V356="Aprobada con ajuste",V356="Rechazada"),W356&lt;&gt;""),W356,""))</f>
        <v/>
      </c>
    </row>
    <row r="357">
      <c r="A357" s="18" t="inlineStr">
        <is>
          <t>C0356</t>
        </is>
      </c>
      <c r="B357" s="18" t="inlineStr">
        <is>
          <t>Plan de trabajo académico</t>
        </is>
      </c>
      <c r="C357" s="18" t="inlineStr">
        <is>
          <t>academic_work_plan</t>
        </is>
      </c>
      <c r="D357" s="18" t="inlineStr">
        <is>
          <t>BancoDocentesInvitaciones</t>
        </is>
      </c>
      <c r="E357" s="18" t="n">
        <v>3</v>
      </c>
      <c r="F357" s="18" t="inlineStr">
        <is>
          <t>fecha_expiracion</t>
        </is>
      </c>
      <c r="G357" s="18" t="inlineStr">
        <is>
          <t>timestamp without time zone</t>
        </is>
      </c>
      <c r="H357" s="18" t="inlineStr">
        <is>
          <t>No</t>
        </is>
      </c>
      <c r="I357" s="18" t="inlineStr"/>
      <c r="J357" s="18" t="inlineStr"/>
      <c r="K357" s="18" t="inlineStr"/>
      <c r="L357" s="18" t="inlineStr">
        <is>
          <t>No</t>
        </is>
      </c>
      <c r="M357" s="18" t="inlineStr">
        <is>
          <t>No</t>
        </is>
      </c>
      <c r="N357" s="18" t="inlineStr"/>
      <c r="O357" s="18" t="inlineStr"/>
      <c r="P357" s="18" t="inlineStr">
        <is>
          <t>Mapeada en academic-work-plan-service/src/pta/entities/banco-docente-invitacion.entity.ts:32 (BancoDocenteInvitacionEntity.fechaExpiracion)</t>
        </is>
      </c>
      <c r="Q357" s="18" t="inlineStr">
        <is>
          <t>Regla estructural</t>
        </is>
      </c>
      <c r="R357" s="18" t="inlineStr">
        <is>
          <t>Fecha de expiración.</t>
        </is>
      </c>
      <c r="S357" s="18" t="inlineStr">
        <is>
          <t>Media</t>
        </is>
      </c>
      <c r="T357" s="18" t="inlineStr">
        <is>
          <t>Convención de nombre de la columna.</t>
        </is>
      </c>
      <c r="U357" s="18" t="inlineStr"/>
      <c r="V357" s="19" t="inlineStr">
        <is>
          <t>Pendiente</t>
        </is>
      </c>
      <c r="W357" s="19" t="inlineStr"/>
      <c r="X357" s="19" t="inlineStr"/>
      <c r="Y357" s="20" t="n"/>
      <c r="Z357" s="19" t="inlineStr"/>
      <c r="AA357" s="18">
        <f>IF(OR(V357="Aprobada"),R357,IF(AND(OR(V357="Aprobada con ajuste",V357="Rechazada"),W357&lt;&gt;""),W357,""))</f>
        <v/>
      </c>
    </row>
    <row r="358">
      <c r="A358" s="18" t="inlineStr">
        <is>
          <t>C0357</t>
        </is>
      </c>
      <c r="B358" s="18" t="inlineStr">
        <is>
          <t>Plan de trabajo académico</t>
        </is>
      </c>
      <c r="C358" s="18" t="inlineStr">
        <is>
          <t>academic_work_plan</t>
        </is>
      </c>
      <c r="D358" s="18" t="inlineStr">
        <is>
          <t>BancoDocentesInvitaciones</t>
        </is>
      </c>
      <c r="E358" s="18" t="n">
        <v>3</v>
      </c>
      <c r="F358" s="18" t="inlineStr">
        <is>
          <t>borrador_json</t>
        </is>
      </c>
      <c r="G358" s="18" t="inlineStr">
        <is>
          <t>jsonb</t>
        </is>
      </c>
      <c r="H358" s="18" t="inlineStr">
        <is>
          <t>Sí</t>
        </is>
      </c>
      <c r="I358" s="18" t="inlineStr"/>
      <c r="J358" s="18" t="inlineStr"/>
      <c r="K358" s="18" t="inlineStr"/>
      <c r="L358" s="18" t="inlineStr">
        <is>
          <t>No</t>
        </is>
      </c>
      <c r="M358" s="18" t="inlineStr">
        <is>
          <t>No</t>
        </is>
      </c>
      <c r="N358" s="18" t="inlineStr"/>
      <c r="O358" s="18" t="inlineStr"/>
      <c r="P358" s="18" t="inlineStr">
        <is>
          <t>Mapeada en academic-work-plan-service/src/pta/entities/banco-docente-invitacion.entity.ts:35 (BancoDocenteInvitacionEntity.borradorJson)</t>
        </is>
      </c>
      <c r="Q358" s="18" t="inlineStr">
        <is>
          <t>Propuesta semántica</t>
        </is>
      </c>
      <c r="R358" s="18" t="inlineStr">
        <is>
          <t>Borrador de la información diligenciada por el docente en la invitación, en formato JSON.</t>
        </is>
      </c>
      <c r="S358" s="18" t="inlineStr">
        <is>
          <t>Media</t>
        </is>
      </c>
      <c r="T358" s="18" t="inlineStr">
        <is>
          <t>nombre + tipo + columnas vecinas + descripción de la tabla</t>
        </is>
      </c>
      <c r="U358" s="18" t="inlineStr">
        <is>
          <t>¿Qué estructura tiene borrador_json?</t>
        </is>
      </c>
      <c r="V358" s="19" t="inlineStr">
        <is>
          <t>Pendiente</t>
        </is>
      </c>
      <c r="W358" s="19" t="inlineStr"/>
      <c r="X358" s="19" t="inlineStr"/>
      <c r="Y358" s="20" t="n"/>
      <c r="Z358" s="19" t="inlineStr"/>
      <c r="AA358" s="18">
        <f>IF(OR(V358="Aprobada"),R358,IF(AND(OR(V358="Aprobada con ajuste",V358="Rechazada"),W358&lt;&gt;""),W358,""))</f>
        <v/>
      </c>
    </row>
    <row r="359">
      <c r="A359" s="18" t="inlineStr">
        <is>
          <t>C0358</t>
        </is>
      </c>
      <c r="B359" s="18" t="inlineStr">
        <is>
          <t>Plan de trabajo académico</t>
        </is>
      </c>
      <c r="C359" s="18" t="inlineStr">
        <is>
          <t>academic_work_plan</t>
        </is>
      </c>
      <c r="D359" s="18" t="inlineStr">
        <is>
          <t>BancoDocentesInvitaciones</t>
        </is>
      </c>
      <c r="E359" s="18" t="n">
        <v>3</v>
      </c>
      <c r="F359" s="18" t="inlineStr">
        <is>
          <t>sesion_token_hash</t>
        </is>
      </c>
      <c r="G359" s="18" t="inlineStr">
        <is>
          <t>text</t>
        </is>
      </c>
      <c r="H359" s="18" t="inlineStr">
        <is>
          <t>Sí</t>
        </is>
      </c>
      <c r="I359" s="18" t="inlineStr"/>
      <c r="J359" s="18" t="inlineStr"/>
      <c r="K359" s="18" t="inlineStr"/>
      <c r="L359" s="18" t="inlineStr">
        <is>
          <t>No</t>
        </is>
      </c>
      <c r="M359" s="18" t="inlineStr">
        <is>
          <t>No</t>
        </is>
      </c>
      <c r="N359" s="18" t="inlineStr"/>
      <c r="O359" s="18" t="inlineStr">
        <is>
          <t>idx_rund_invitacion_session_hash</t>
        </is>
      </c>
      <c r="P359" s="18" t="inlineStr">
        <is>
          <t>Mapeada en academic-work-plan-service/src/pta/entities/banco-docente-invitacion.entity.ts:14 (BancoDocenteInvitacionEntity.sesionTokenHash)</t>
        </is>
      </c>
      <c r="Q359" s="18" t="inlineStr">
        <is>
          <t>Propuesta semántica</t>
        </is>
      </c>
      <c r="R359" s="18" t="inlineStr">
        <is>
          <t>Hash del token de sesión abierta tras validar el OTP.</t>
        </is>
      </c>
      <c r="S359" s="18" t="inlineStr">
        <is>
          <t>Media</t>
        </is>
      </c>
      <c r="T359" s="18" t="inlineStr">
        <is>
          <t>nombre + tipo + columnas vecinas (sesion_expira_en)</t>
        </is>
      </c>
      <c r="U359" s="18" t="inlineStr">
        <is>
          <t>¿Qué algoritmo de hash se usa?</t>
        </is>
      </c>
      <c r="V359" s="19" t="inlineStr">
        <is>
          <t>Pendiente</t>
        </is>
      </c>
      <c r="W359" s="19" t="inlineStr"/>
      <c r="X359" s="19" t="inlineStr"/>
      <c r="Y359" s="20" t="n"/>
      <c r="Z359" s="19" t="inlineStr"/>
      <c r="AA359" s="18">
        <f>IF(OR(V359="Aprobada"),R359,IF(AND(OR(V359="Aprobada con ajuste",V359="Rechazada"),W359&lt;&gt;""),W359,""))</f>
        <v/>
      </c>
    </row>
    <row r="360">
      <c r="A360" s="18" t="inlineStr">
        <is>
          <t>C0359</t>
        </is>
      </c>
      <c r="B360" s="18" t="inlineStr">
        <is>
          <t>Plan de trabajo académico</t>
        </is>
      </c>
      <c r="C360" s="18" t="inlineStr">
        <is>
          <t>academic_work_plan</t>
        </is>
      </c>
      <c r="D360" s="18" t="inlineStr">
        <is>
          <t>BancoDocentesInvitaciones</t>
        </is>
      </c>
      <c r="E360" s="18" t="n">
        <v>3</v>
      </c>
      <c r="F360" s="18" t="inlineStr">
        <is>
          <t>sesion_expira_en</t>
        </is>
      </c>
      <c r="G360" s="18" t="inlineStr">
        <is>
          <t>timestamp with time zone</t>
        </is>
      </c>
      <c r="H360" s="18" t="inlineStr">
        <is>
          <t>Sí</t>
        </is>
      </c>
      <c r="I360" s="18" t="inlineStr"/>
      <c r="J360" s="18" t="inlineStr"/>
      <c r="K360" s="18" t="inlineStr"/>
      <c r="L360" s="18" t="inlineStr">
        <is>
          <t>No</t>
        </is>
      </c>
      <c r="M360" s="18" t="inlineStr">
        <is>
          <t>No</t>
        </is>
      </c>
      <c r="N360" s="18" t="inlineStr"/>
      <c r="O360" s="18" t="inlineStr"/>
      <c r="P360" s="18" t="inlineStr">
        <is>
          <t>Mapeada en academic-work-plan-service/src/pta/entities/banco-docente-invitacion.entity.ts:17 (BancoDocenteInvitacionEntity.sesionExpiraEn)</t>
        </is>
      </c>
      <c r="Q360" s="18" t="inlineStr">
        <is>
          <t>Propuesta semántica</t>
        </is>
      </c>
      <c r="R360" s="18" t="inlineStr">
        <is>
          <t>Fecha y hora en que vence la sesión de la invitación.</t>
        </is>
      </c>
      <c r="S360" s="18" t="inlineStr">
        <is>
          <t>Alta</t>
        </is>
      </c>
      <c r="T360" s="18" t="inlineStr">
        <is>
          <t>nombre + tipo + columnas vecinas</t>
        </is>
      </c>
      <c r="U360" s="18" t="inlineStr"/>
      <c r="V360" s="19" t="inlineStr">
        <is>
          <t>Pendiente</t>
        </is>
      </c>
      <c r="W360" s="19" t="inlineStr"/>
      <c r="X360" s="19" t="inlineStr"/>
      <c r="Y360" s="20" t="n"/>
      <c r="Z360" s="19" t="inlineStr"/>
      <c r="AA360" s="18">
        <f>IF(OR(V360="Aprobada"),R360,IF(AND(OR(V360="Aprobada con ajuste",V360="Rechazada"),W360&lt;&gt;""),W360,""))</f>
        <v/>
      </c>
    </row>
    <row r="361">
      <c r="A361" s="18" t="inlineStr">
        <is>
          <t>C0360</t>
        </is>
      </c>
      <c r="B361" s="18" t="inlineStr">
        <is>
          <t>Plan de trabajo académico</t>
        </is>
      </c>
      <c r="C361" s="18" t="inlineStr">
        <is>
          <t>academic_work_plan</t>
        </is>
      </c>
      <c r="D361" s="18" t="inlineStr">
        <is>
          <t>CarpetaDigital</t>
        </is>
      </c>
      <c r="E361" s="18" t="n">
        <v>278</v>
      </c>
      <c r="F361" s="18" t="inlineStr">
        <is>
          <t>estado</t>
        </is>
      </c>
      <c r="G361" s="18" t="inlineStr">
        <is>
          <t>text</t>
        </is>
      </c>
      <c r="H361" s="18" t="inlineStr">
        <is>
          <t>No</t>
        </is>
      </c>
      <c r="I361" s="18" t="inlineStr"/>
      <c r="J361" s="18" t="inlineStr"/>
      <c r="K361" s="18" t="inlineStr"/>
      <c r="L361" s="18" t="inlineStr">
        <is>
          <t>No</t>
        </is>
      </c>
      <c r="M361" s="18" t="inlineStr">
        <is>
          <t>No</t>
        </is>
      </c>
      <c r="N361" s="18" t="inlineStr"/>
      <c r="O361" s="18" t="inlineStr"/>
      <c r="P361" s="18" t="inlineStr"/>
      <c r="Q361" s="18" t="inlineStr">
        <is>
          <t>Regla estructural</t>
        </is>
      </c>
      <c r="R361" s="18" t="inlineStr">
        <is>
          <t>Estado del registro de CarpetaDigital.</t>
        </is>
      </c>
      <c r="S361" s="18" t="inlineStr">
        <is>
          <t>Media</t>
        </is>
      </c>
      <c r="T361" s="18" t="inlineStr">
        <is>
          <t>Convención de nombre de la columna.</t>
        </is>
      </c>
      <c r="U361" s="18" t="inlineStr"/>
      <c r="V361" s="19" t="inlineStr">
        <is>
          <t>Pendiente</t>
        </is>
      </c>
      <c r="W361" s="19" t="inlineStr"/>
      <c r="X361" s="19" t="inlineStr"/>
      <c r="Y361" s="20" t="n"/>
      <c r="Z361" s="19" t="inlineStr"/>
      <c r="AA361" s="18">
        <f>IF(OR(V361="Aprobada"),R361,IF(AND(OR(V361="Aprobada con ajuste",V361="Rechazada"),W361&lt;&gt;""),W361,""))</f>
        <v/>
      </c>
    </row>
    <row r="362">
      <c r="A362" s="18" t="inlineStr">
        <is>
          <t>C0361</t>
        </is>
      </c>
      <c r="B362" s="18" t="inlineStr">
        <is>
          <t>Plan de trabajo académico</t>
        </is>
      </c>
      <c r="C362" s="18" t="inlineStr">
        <is>
          <t>academic_work_plan</t>
        </is>
      </c>
      <c r="D362" s="18" t="inlineStr">
        <is>
          <t>CarpetaDigital</t>
        </is>
      </c>
      <c r="E362" s="18" t="n">
        <v>278</v>
      </c>
      <c r="F362" s="18" t="inlineStr">
        <is>
          <t>totalDocumentos</t>
        </is>
      </c>
      <c r="G362" s="18" t="inlineStr">
        <is>
          <t>integer</t>
        </is>
      </c>
      <c r="H362" s="18" t="inlineStr">
        <is>
          <t>No</t>
        </is>
      </c>
      <c r="I362" s="18" t="inlineStr"/>
      <c r="J362" s="18" t="inlineStr"/>
      <c r="K362" s="18" t="inlineStr"/>
      <c r="L362" s="18" t="inlineStr">
        <is>
          <t>No</t>
        </is>
      </c>
      <c r="M362" s="18" t="inlineStr">
        <is>
          <t>No</t>
        </is>
      </c>
      <c r="N362" s="18" t="inlineStr"/>
      <c r="O362" s="18" t="inlineStr"/>
      <c r="P362" s="18" t="inlineStr"/>
      <c r="Q362" s="18" t="inlineStr">
        <is>
          <t>Propuesta semántica</t>
        </is>
      </c>
      <c r="R362" s="18" t="inlineStr">
        <is>
          <t>Número total de documentos de la carpeta digital; inicia en 0.</t>
        </is>
      </c>
      <c r="S362" s="18" t="inlineStr">
        <is>
          <t>Alta</t>
        </is>
      </c>
      <c r="T362" s="18" t="inlineStr">
        <is>
          <t>nombre + tipo + columnas vecinas + defecto</t>
        </is>
      </c>
      <c r="U362" s="18" t="inlineStr"/>
      <c r="V362" s="19" t="inlineStr">
        <is>
          <t>Pendiente</t>
        </is>
      </c>
      <c r="W362" s="19" t="inlineStr"/>
      <c r="X362" s="19" t="inlineStr"/>
      <c r="Y362" s="20" t="n"/>
      <c r="Z362" s="19" t="inlineStr"/>
      <c r="AA362" s="18">
        <f>IF(OR(V362="Aprobada"),R362,IF(AND(OR(V362="Aprobada con ajuste",V362="Rechazada"),W362&lt;&gt;""),W362,""))</f>
        <v/>
      </c>
    </row>
    <row r="363">
      <c r="A363" s="18" t="inlineStr">
        <is>
          <t>C0362</t>
        </is>
      </c>
      <c r="B363" s="18" t="inlineStr">
        <is>
          <t>Plan de trabajo académico</t>
        </is>
      </c>
      <c r="C363" s="18" t="inlineStr">
        <is>
          <t>academic_work_plan</t>
        </is>
      </c>
      <c r="D363" s="18" t="inlineStr">
        <is>
          <t>CarpetaDigital</t>
        </is>
      </c>
      <c r="E363" s="18" t="n">
        <v>278</v>
      </c>
      <c r="F363" s="18" t="inlineStr">
        <is>
          <t>documentosRechazados</t>
        </is>
      </c>
      <c r="G363" s="18" t="inlineStr">
        <is>
          <t>integer</t>
        </is>
      </c>
      <c r="H363" s="18" t="inlineStr">
        <is>
          <t>No</t>
        </is>
      </c>
      <c r="I363" s="18" t="inlineStr"/>
      <c r="J363" s="18" t="inlineStr"/>
      <c r="K363" s="18" t="inlineStr"/>
      <c r="L363" s="18" t="inlineStr">
        <is>
          <t>No</t>
        </is>
      </c>
      <c r="M363" s="18" t="inlineStr">
        <is>
          <t>No</t>
        </is>
      </c>
      <c r="N363" s="18" t="inlineStr"/>
      <c r="O363" s="18" t="inlineStr"/>
      <c r="P363" s="18" t="inlineStr"/>
      <c r="Q363" s="18" t="inlineStr">
        <is>
          <t>Propuesta semántica</t>
        </is>
      </c>
      <c r="R363" s="18" t="inlineStr">
        <is>
          <t>Número de documentos rechazados de la carpeta digital; inicia en 0.</t>
        </is>
      </c>
      <c r="S363" s="18" t="inlineStr">
        <is>
          <t>Alta</t>
        </is>
      </c>
      <c r="T363" s="18" t="inlineStr">
        <is>
          <t>nombre + tipo + columnas vecinas + defecto</t>
        </is>
      </c>
      <c r="U363" s="18" t="inlineStr"/>
      <c r="V363" s="19" t="inlineStr">
        <is>
          <t>Pendiente</t>
        </is>
      </c>
      <c r="W363" s="19" t="inlineStr"/>
      <c r="X363" s="19" t="inlineStr"/>
      <c r="Y363" s="20" t="n"/>
      <c r="Z363" s="19" t="inlineStr"/>
      <c r="AA363" s="18">
        <f>IF(OR(V363="Aprobada"),R363,IF(AND(OR(V363="Aprobada con ajuste",V363="Rechazada"),W363&lt;&gt;""),W363,""))</f>
        <v/>
      </c>
    </row>
    <row r="364">
      <c r="A364" s="18" t="inlineStr">
        <is>
          <t>C0363</t>
        </is>
      </c>
      <c r="B364" s="18" t="inlineStr">
        <is>
          <t>Plan de trabajo académico</t>
        </is>
      </c>
      <c r="C364" s="18" t="inlineStr">
        <is>
          <t>academic_work_plan</t>
        </is>
      </c>
      <c r="D364" s="18" t="inlineStr">
        <is>
          <t>CarpetaDigital</t>
        </is>
      </c>
      <c r="E364" s="18" t="n">
        <v>278</v>
      </c>
      <c r="F364" s="18" t="inlineStr">
        <is>
          <t>ultimaActualizacion</t>
        </is>
      </c>
      <c r="G364" s="18" t="inlineStr">
        <is>
          <t>timestamp(3) without time zone</t>
        </is>
      </c>
      <c r="H364" s="18" t="inlineStr">
        <is>
          <t>No</t>
        </is>
      </c>
      <c r="I364" s="18" t="inlineStr"/>
      <c r="J364" s="18" t="inlineStr"/>
      <c r="K364" s="18" t="inlineStr"/>
      <c r="L364" s="18" t="inlineStr">
        <is>
          <t>No</t>
        </is>
      </c>
      <c r="M364" s="18" t="inlineStr">
        <is>
          <t>No</t>
        </is>
      </c>
      <c r="N364" s="18" t="inlineStr"/>
      <c r="O364" s="18" t="inlineStr"/>
      <c r="P364" s="18" t="inlineStr"/>
      <c r="Q364" s="18" t="inlineStr">
        <is>
          <t>Propuesta semántica</t>
        </is>
      </c>
      <c r="R364" s="18" t="inlineStr">
        <is>
          <t>Fecha y hora de la última actualización de la carpeta digital.</t>
        </is>
      </c>
      <c r="S364" s="18" t="inlineStr">
        <is>
          <t>Media</t>
        </is>
      </c>
      <c r="T364" s="18" t="inlineStr">
        <is>
          <t>nombre + tipo + columnas vecinas + defecto</t>
        </is>
      </c>
      <c r="U364" s="18" t="inlineStr">
        <is>
          <t>¿En qué se diferencia de updatedAt?</t>
        </is>
      </c>
      <c r="V364" s="19" t="inlineStr">
        <is>
          <t>Pendiente</t>
        </is>
      </c>
      <c r="W364" s="19" t="inlineStr"/>
      <c r="X364" s="19" t="inlineStr"/>
      <c r="Y364" s="20" t="n"/>
      <c r="Z364" s="19" t="inlineStr"/>
      <c r="AA364" s="18">
        <f>IF(OR(V364="Aprobada"),R364,IF(AND(OR(V364="Aprobada con ajuste",V364="Rechazada"),W364&lt;&gt;""),W364,""))</f>
        <v/>
      </c>
    </row>
    <row r="365">
      <c r="A365" s="18" t="inlineStr">
        <is>
          <t>C0364</t>
        </is>
      </c>
      <c r="B365" s="18" t="inlineStr">
        <is>
          <t>Plan de trabajo académico</t>
        </is>
      </c>
      <c r="C365" s="18" t="inlineStr">
        <is>
          <t>academic_work_plan</t>
        </is>
      </c>
      <c r="D365" s="18" t="inlineStr">
        <is>
          <t>Certificado</t>
        </is>
      </c>
      <c r="E365" s="18" t="n">
        <v>0</v>
      </c>
      <c r="F365" s="18" t="inlineStr">
        <is>
          <t>personaId</t>
        </is>
      </c>
      <c r="G365" s="18" t="inlineStr">
        <is>
          <t>text</t>
        </is>
      </c>
      <c r="H365" s="18" t="inlineStr">
        <is>
          <t>No</t>
        </is>
      </c>
      <c r="I365" s="18" t="inlineStr"/>
      <c r="J365" s="18" t="inlineStr"/>
      <c r="K365" s="18" t="inlineStr"/>
      <c r="L365" s="18" t="inlineStr">
        <is>
          <t>No</t>
        </is>
      </c>
      <c r="M365" s="18" t="inlineStr">
        <is>
          <t>No</t>
        </is>
      </c>
      <c r="N365" s="18" t="inlineStr"/>
      <c r="O365" s="18" t="inlineStr">
        <is>
          <t>Certificado_personaId_idx</t>
        </is>
      </c>
      <c r="P365" s="18" t="inlineStr"/>
      <c r="Q365" s="18" t="inlineStr">
        <is>
          <t>Propuesta semántica</t>
        </is>
      </c>
      <c r="R365" s="18" t="inlineStr">
        <is>
          <t>Identificador de la persona a la que se emite el certificado.</t>
        </is>
      </c>
      <c r="S365" s="18" t="inlineStr">
        <is>
          <t>Alta</t>
        </is>
      </c>
      <c r="T365" s="18" t="inlineStr">
        <is>
          <t>nombre + tipo + columnas vecinas (tabla Persona)</t>
        </is>
      </c>
      <c r="U365" s="18" t="inlineStr"/>
      <c r="V365" s="19" t="inlineStr">
        <is>
          <t>Pendiente</t>
        </is>
      </c>
      <c r="W365" s="19" t="inlineStr"/>
      <c r="X365" s="19" t="inlineStr"/>
      <c r="Y365" s="20" t="n"/>
      <c r="Z365" s="19" t="inlineStr"/>
      <c r="AA365" s="18">
        <f>IF(OR(V365="Aprobada"),R365,IF(AND(OR(V365="Aprobada con ajuste",V365="Rechazada"),W365&lt;&gt;""),W365,""))</f>
        <v/>
      </c>
    </row>
    <row r="366">
      <c r="A366" s="18" t="inlineStr">
        <is>
          <t>C0365</t>
        </is>
      </c>
      <c r="B366" s="18" t="inlineStr">
        <is>
          <t>Plan de trabajo académico</t>
        </is>
      </c>
      <c r="C366" s="18" t="inlineStr">
        <is>
          <t>academic_work_plan</t>
        </is>
      </c>
      <c r="D366" s="18" t="inlineStr">
        <is>
          <t>Certificado</t>
        </is>
      </c>
      <c r="E366" s="18" t="n">
        <v>0</v>
      </c>
      <c r="F366" s="18" t="inlineStr">
        <is>
          <t>tipo</t>
        </is>
      </c>
      <c r="G366" s="18" t="inlineStr">
        <is>
          <t>text</t>
        </is>
      </c>
      <c r="H366" s="18" t="inlineStr">
        <is>
          <t>No</t>
        </is>
      </c>
      <c r="I366" s="18" t="inlineStr"/>
      <c r="J366" s="18" t="inlineStr"/>
      <c r="K366" s="18" t="inlineStr"/>
      <c r="L366" s="18" t="inlineStr">
        <is>
          <t>No</t>
        </is>
      </c>
      <c r="M366" s="18" t="inlineStr">
        <is>
          <t>No</t>
        </is>
      </c>
      <c r="N366" s="18" t="inlineStr"/>
      <c r="O366" s="18" t="inlineStr"/>
      <c r="P366" s="18" t="inlineStr"/>
      <c r="Q366" s="18" t="inlineStr">
        <is>
          <t>Regla estructural</t>
        </is>
      </c>
      <c r="R366" s="18" t="inlineStr">
        <is>
          <t>Tipo del registro de Certificado.</t>
        </is>
      </c>
      <c r="S366" s="18" t="inlineStr">
        <is>
          <t>Media</t>
        </is>
      </c>
      <c r="T366" s="18" t="inlineStr">
        <is>
          <t>Convención de nombre de la columna.</t>
        </is>
      </c>
      <c r="U366" s="18" t="inlineStr"/>
      <c r="V366" s="19" t="inlineStr">
        <is>
          <t>Pendiente</t>
        </is>
      </c>
      <c r="W366" s="19" t="inlineStr"/>
      <c r="X366" s="19" t="inlineStr"/>
      <c r="Y366" s="20" t="n"/>
      <c r="Z366" s="19" t="inlineStr"/>
      <c r="AA366" s="18">
        <f>IF(OR(V366="Aprobada"),R366,IF(AND(OR(V366="Aprobada con ajuste",V366="Rechazada"),W366&lt;&gt;""),W366,""))</f>
        <v/>
      </c>
    </row>
    <row r="367">
      <c r="A367" s="18" t="inlineStr">
        <is>
          <t>C0366</t>
        </is>
      </c>
      <c r="B367" s="18" t="inlineStr">
        <is>
          <t>Plan de trabajo académico</t>
        </is>
      </c>
      <c r="C367" s="18" t="inlineStr">
        <is>
          <t>academic_work_plan</t>
        </is>
      </c>
      <c r="D367" s="18" t="inlineStr">
        <is>
          <t>Certificado</t>
        </is>
      </c>
      <c r="E367" s="18" t="n">
        <v>0</v>
      </c>
      <c r="F367" s="18" t="inlineStr">
        <is>
          <t>estado</t>
        </is>
      </c>
      <c r="G367" s="18" t="inlineStr">
        <is>
          <t>text</t>
        </is>
      </c>
      <c r="H367" s="18" t="inlineStr">
        <is>
          <t>No</t>
        </is>
      </c>
      <c r="I367" s="18" t="inlineStr"/>
      <c r="J367" s="18" t="inlineStr"/>
      <c r="K367" s="18" t="inlineStr"/>
      <c r="L367" s="18" t="inlineStr">
        <is>
          <t>No</t>
        </is>
      </c>
      <c r="M367" s="18" t="inlineStr">
        <is>
          <t>No</t>
        </is>
      </c>
      <c r="N367" s="18" t="inlineStr"/>
      <c r="O367" s="18" t="inlineStr">
        <is>
          <t>Certificado_estado_idx</t>
        </is>
      </c>
      <c r="P367" s="18" t="inlineStr"/>
      <c r="Q367" s="18" t="inlineStr">
        <is>
          <t>Regla estructural</t>
        </is>
      </c>
      <c r="R367" s="18" t="inlineStr">
        <is>
          <t>Estado del registro de Certificado.</t>
        </is>
      </c>
      <c r="S367" s="18" t="inlineStr">
        <is>
          <t>Media</t>
        </is>
      </c>
      <c r="T367" s="18" t="inlineStr">
        <is>
          <t>Convención de nombre de la columna.</t>
        </is>
      </c>
      <c r="U367" s="18" t="inlineStr"/>
      <c r="V367" s="19" t="inlineStr">
        <is>
          <t>Pendiente</t>
        </is>
      </c>
      <c r="W367" s="19" t="inlineStr"/>
      <c r="X367" s="19" t="inlineStr"/>
      <c r="Y367" s="20" t="n"/>
      <c r="Z367" s="19" t="inlineStr"/>
      <c r="AA367" s="18">
        <f>IF(OR(V367="Aprobada"),R367,IF(AND(OR(V367="Aprobada con ajuste",V367="Rechazada"),W367&lt;&gt;""),W367,""))</f>
        <v/>
      </c>
    </row>
    <row r="368">
      <c r="A368" s="18" t="inlineStr">
        <is>
          <t>C0367</t>
        </is>
      </c>
      <c r="B368" s="18" t="inlineStr">
        <is>
          <t>Plan de trabajo académico</t>
        </is>
      </c>
      <c r="C368" s="18" t="inlineStr">
        <is>
          <t>academic_work_plan</t>
        </is>
      </c>
      <c r="D368" s="18" t="inlineStr">
        <is>
          <t>Certificado</t>
        </is>
      </c>
      <c r="E368" s="18" t="n">
        <v>0</v>
      </c>
      <c r="F368" s="18" t="inlineStr">
        <is>
          <t>codigoQR</t>
        </is>
      </c>
      <c r="G368" s="18" t="inlineStr">
        <is>
          <t>text</t>
        </is>
      </c>
      <c r="H368" s="18" t="inlineStr">
        <is>
          <t>Sí</t>
        </is>
      </c>
      <c r="I368" s="18" t="inlineStr"/>
      <c r="J368" s="18" t="inlineStr"/>
      <c r="K368" s="18" t="inlineStr"/>
      <c r="L368" s="18" t="inlineStr">
        <is>
          <t>No</t>
        </is>
      </c>
      <c r="M368" s="18" t="inlineStr">
        <is>
          <t>No</t>
        </is>
      </c>
      <c r="N368" s="18" t="inlineStr"/>
      <c r="O368" s="18" t="inlineStr">
        <is>
          <t>Certificado_codigoQR_key</t>
        </is>
      </c>
      <c r="P368" s="18" t="inlineStr"/>
      <c r="Q368" s="18" t="inlineStr">
        <is>
          <t>Propuesta semántica</t>
        </is>
      </c>
      <c r="R368" s="18" t="inlineStr">
        <is>
          <t>Código QR de verificación del certificado.</t>
        </is>
      </c>
      <c r="S368" s="18" t="inlineStr">
        <is>
          <t>Media</t>
        </is>
      </c>
      <c r="T368" s="18" t="inlineStr">
        <is>
          <t>nombre + tipo + columnas vecinas</t>
        </is>
      </c>
      <c r="U368" s="18" t="inlineStr">
        <is>
          <t>¿codigoQR guarda el código de verificación o la imagen o URL del QR?</t>
        </is>
      </c>
      <c r="V368" s="19" t="inlineStr">
        <is>
          <t>Pendiente</t>
        </is>
      </c>
      <c r="W368" s="19" t="inlineStr"/>
      <c r="X368" s="19" t="inlineStr"/>
      <c r="Y368" s="20" t="n"/>
      <c r="Z368" s="19" t="inlineStr"/>
      <c r="AA368" s="18">
        <f>IF(OR(V368="Aprobada"),R368,IF(AND(OR(V368="Aprobada con ajuste",V368="Rechazada"),W368&lt;&gt;""),W368,""))</f>
        <v/>
      </c>
    </row>
    <row r="369">
      <c r="A369" s="18" t="inlineStr">
        <is>
          <t>C0368</t>
        </is>
      </c>
      <c r="B369" s="18" t="inlineStr">
        <is>
          <t>Plan de trabajo académico</t>
        </is>
      </c>
      <c r="C369" s="18" t="inlineStr">
        <is>
          <t>academic_work_plan</t>
        </is>
      </c>
      <c r="D369" s="18" t="inlineStr">
        <is>
          <t>Certificado</t>
        </is>
      </c>
      <c r="E369" s="18" t="n">
        <v>0</v>
      </c>
      <c r="F369" s="18" t="inlineStr">
        <is>
          <t>fechaEmision</t>
        </is>
      </c>
      <c r="G369" s="18" t="inlineStr">
        <is>
          <t>timestamp(3) without time zone</t>
        </is>
      </c>
      <c r="H369" s="18" t="inlineStr">
        <is>
          <t>Sí</t>
        </is>
      </c>
      <c r="I369" s="18" t="inlineStr"/>
      <c r="J369" s="18" t="inlineStr"/>
      <c r="K369" s="18" t="inlineStr"/>
      <c r="L369" s="18" t="inlineStr">
        <is>
          <t>No</t>
        </is>
      </c>
      <c r="M369" s="18" t="inlineStr">
        <is>
          <t>No</t>
        </is>
      </c>
      <c r="N369" s="18" t="inlineStr"/>
      <c r="O369" s="18" t="inlineStr"/>
      <c r="P369" s="18" t="inlineStr"/>
      <c r="Q369" s="18" t="inlineStr">
        <is>
          <t>Propuesta semántica</t>
        </is>
      </c>
      <c r="R369" s="18" t="inlineStr">
        <is>
          <t>Fecha y hora de emisión del certificado.</t>
        </is>
      </c>
      <c r="S369" s="18" t="inlineStr">
        <is>
          <t>Alta</t>
        </is>
      </c>
      <c r="T369" s="18" t="inlineStr">
        <is>
          <t>nombre + tipo + columnas vecinas</t>
        </is>
      </c>
      <c r="U369" s="18" t="inlineStr"/>
      <c r="V369" s="19" t="inlineStr">
        <is>
          <t>Pendiente</t>
        </is>
      </c>
      <c r="W369" s="19" t="inlineStr"/>
      <c r="X369" s="19" t="inlineStr"/>
      <c r="Y369" s="20" t="n"/>
      <c r="Z369" s="19" t="inlineStr"/>
      <c r="AA369" s="18">
        <f>IF(OR(V369="Aprobada"),R369,IF(AND(OR(V369="Aprobada con ajuste",V369="Rechazada"),W369&lt;&gt;""),W369,""))</f>
        <v/>
      </c>
    </row>
    <row r="370">
      <c r="A370" s="18" t="inlineStr">
        <is>
          <t>C0369</t>
        </is>
      </c>
      <c r="B370" s="18" t="inlineStr">
        <is>
          <t>Plan de trabajo académico</t>
        </is>
      </c>
      <c r="C370" s="18" t="inlineStr">
        <is>
          <t>academic_work_plan</t>
        </is>
      </c>
      <c r="D370" s="18" t="inlineStr">
        <is>
          <t>cetap</t>
        </is>
      </c>
      <c r="E370" s="18" t="n">
        <v>290</v>
      </c>
      <c r="F370" s="18" t="inlineStr">
        <is>
          <t>codigo</t>
        </is>
      </c>
      <c r="G370" s="18" t="inlineStr">
        <is>
          <t>character varying(20)</t>
        </is>
      </c>
      <c r="H370" s="18" t="inlineStr">
        <is>
          <t>No</t>
        </is>
      </c>
      <c r="I370" s="18" t="inlineStr">
        <is>
          <t>Única</t>
        </is>
      </c>
      <c r="J370" s="18" t="inlineStr"/>
      <c r="K370" s="18" t="inlineStr"/>
      <c r="L370" s="18" t="inlineStr">
        <is>
          <t>No</t>
        </is>
      </c>
      <c r="M370" s="18" t="inlineStr">
        <is>
          <t>No</t>
        </is>
      </c>
      <c r="N370" s="18" t="inlineStr"/>
      <c r="O370" s="18" t="inlineStr">
        <is>
          <t>cetap_codigo_key</t>
        </is>
      </c>
      <c r="P370" s="18" t="inlineStr">
        <is>
          <t>Mapeada en academic-work-plan-service/src/pta/entities/cetap.entity.ts:9 (CetapEntity.codigo)</t>
        </is>
      </c>
      <c r="Q370" s="18" t="inlineStr">
        <is>
          <t>Regla estructural</t>
        </is>
      </c>
      <c r="R370" s="18" t="inlineStr">
        <is>
          <t>Código del registro de cetap. Único en la tabla.</t>
        </is>
      </c>
      <c r="S370" s="18" t="inlineStr">
        <is>
          <t>Media</t>
        </is>
      </c>
      <c r="T370" s="18" t="inlineStr">
        <is>
          <t>Convención de nombre de la columna.</t>
        </is>
      </c>
      <c r="U370" s="18" t="inlineStr"/>
      <c r="V370" s="19" t="inlineStr">
        <is>
          <t>Pendiente</t>
        </is>
      </c>
      <c r="W370" s="19" t="inlineStr"/>
      <c r="X370" s="19" t="inlineStr"/>
      <c r="Y370" s="20" t="n"/>
      <c r="Z370" s="19" t="inlineStr"/>
      <c r="AA370" s="18">
        <f>IF(OR(V370="Aprobada"),R370,IF(AND(OR(V370="Aprobada con ajuste",V370="Rechazada"),W370&lt;&gt;""),W370,""))</f>
        <v/>
      </c>
    </row>
    <row r="371">
      <c r="A371" s="18" t="inlineStr">
        <is>
          <t>C0370</t>
        </is>
      </c>
      <c r="B371" s="18" t="inlineStr">
        <is>
          <t>Plan de trabajo académico</t>
        </is>
      </c>
      <c r="C371" s="18" t="inlineStr">
        <is>
          <t>academic_work_plan</t>
        </is>
      </c>
      <c r="D371" s="18" t="inlineStr">
        <is>
          <t>cetap</t>
        </is>
      </c>
      <c r="E371" s="18" t="n">
        <v>290</v>
      </c>
      <c r="F371" s="18" t="inlineStr">
        <is>
          <t>nombre</t>
        </is>
      </c>
      <c r="G371" s="18" t="inlineStr">
        <is>
          <t>character varying(100)</t>
        </is>
      </c>
      <c r="H371" s="18" t="inlineStr">
        <is>
          <t>No</t>
        </is>
      </c>
      <c r="I371" s="18" t="inlineStr"/>
      <c r="J371" s="18" t="inlineStr"/>
      <c r="K371" s="18" t="inlineStr"/>
      <c r="L371" s="18" t="inlineStr">
        <is>
          <t>No</t>
        </is>
      </c>
      <c r="M371" s="18" t="inlineStr">
        <is>
          <t>No</t>
        </is>
      </c>
      <c r="N371" s="18" t="inlineStr"/>
      <c r="O371" s="18" t="inlineStr"/>
      <c r="P371" s="18" t="inlineStr">
        <is>
          <t>Mapeada en academic-work-plan-service/src/pta/entities/cetap.entity.ts:12 (CetapEntity.nombre)</t>
        </is>
      </c>
      <c r="Q371" s="18" t="inlineStr">
        <is>
          <t>Regla estructural</t>
        </is>
      </c>
      <c r="R371" s="18" t="inlineStr">
        <is>
          <t>Nombre del registro de cetap.</t>
        </is>
      </c>
      <c r="S371" s="18" t="inlineStr">
        <is>
          <t>Media</t>
        </is>
      </c>
      <c r="T371" s="18" t="inlineStr">
        <is>
          <t>Convención de nombre de la columna.</t>
        </is>
      </c>
      <c r="U371" s="18" t="inlineStr"/>
      <c r="V371" s="19" t="inlineStr">
        <is>
          <t>Pendiente</t>
        </is>
      </c>
      <c r="W371" s="19" t="inlineStr"/>
      <c r="X371" s="19" t="inlineStr"/>
      <c r="Y371" s="20" t="n"/>
      <c r="Z371" s="19" t="inlineStr"/>
      <c r="AA371" s="18">
        <f>IF(OR(V371="Aprobada"),R371,IF(AND(OR(V371="Aprobada con ajuste",V371="Rechazada"),W371&lt;&gt;""),W371,""))</f>
        <v/>
      </c>
    </row>
    <row r="372">
      <c r="A372" s="18" t="inlineStr">
        <is>
          <t>C0371</t>
        </is>
      </c>
      <c r="B372" s="18" t="inlineStr">
        <is>
          <t>Plan de trabajo académico</t>
        </is>
      </c>
      <c r="C372" s="18" t="inlineStr">
        <is>
          <t>academic_work_plan</t>
        </is>
      </c>
      <c r="D372" s="18" t="inlineStr">
        <is>
          <t>cetap</t>
        </is>
      </c>
      <c r="E372" s="18" t="n">
        <v>290</v>
      </c>
      <c r="F372" s="18" t="inlineStr">
        <is>
          <t>nombre_normalizado</t>
        </is>
      </c>
      <c r="G372" s="18" t="inlineStr">
        <is>
          <t>character varying(100)</t>
        </is>
      </c>
      <c r="H372" s="18" t="inlineStr">
        <is>
          <t>No</t>
        </is>
      </c>
      <c r="I372" s="18" t="inlineStr"/>
      <c r="J372" s="18" t="inlineStr"/>
      <c r="K372" s="18" t="inlineStr"/>
      <c r="L372" s="18" t="inlineStr">
        <is>
          <t>No</t>
        </is>
      </c>
      <c r="M372" s="18" t="inlineStr">
        <is>
          <t>No</t>
        </is>
      </c>
      <c r="N372" s="18" t="inlineStr"/>
      <c r="O372" s="18" t="inlineStr">
        <is>
          <t>uq_cetap_dt_nombre</t>
        </is>
      </c>
      <c r="P372" s="18" t="inlineStr">
        <is>
          <t>Mapeada en academic-work-plan-service/src/pta/entities/cetap.entity.ts:15 (CetapEntity.nombreNormalizado)</t>
        </is>
      </c>
      <c r="Q372" s="18" t="inlineStr">
        <is>
          <t>Propuesta semántica</t>
        </is>
      </c>
      <c r="R372" s="18" t="inlineStr">
        <is>
          <t>Nombre del CETAP normalizado (sin tildes ni mayúsculas) para búsquedas y control de duplicados dentro de la dirección territorial.</t>
        </is>
      </c>
      <c r="S372" s="18" t="inlineStr">
        <is>
          <t>Media</t>
        </is>
      </c>
      <c r="T372" s="18" t="inlineStr">
        <is>
          <t>nombre + tipo + columnas vecinas + índice único uq_cetap_dt_nombre</t>
        </is>
      </c>
      <c r="U372" s="18" t="inlineStr">
        <is>
          <t>¿Qué reglas de normalización se aplican (minúsculas, sin tildes, sin espacios dobles)?</t>
        </is>
      </c>
      <c r="V372" s="19" t="inlineStr">
        <is>
          <t>Pendiente</t>
        </is>
      </c>
      <c r="W372" s="19" t="inlineStr"/>
      <c r="X372" s="19" t="inlineStr"/>
      <c r="Y372" s="20" t="n"/>
      <c r="Z372" s="19" t="inlineStr"/>
      <c r="AA372" s="18">
        <f>IF(OR(V372="Aprobada"),R372,IF(AND(OR(V372="Aprobada con ajuste",V372="Rechazada"),W372&lt;&gt;""),W372,""))</f>
        <v/>
      </c>
    </row>
    <row r="373">
      <c r="A373" s="18" t="inlineStr">
        <is>
          <t>C0372</t>
        </is>
      </c>
      <c r="B373" s="18" t="inlineStr">
        <is>
          <t>Plan de trabajo académico</t>
        </is>
      </c>
      <c r="C373" s="18" t="inlineStr">
        <is>
          <t>academic_work_plan</t>
        </is>
      </c>
      <c r="D373" s="18" t="inlineStr">
        <is>
          <t>cetap</t>
        </is>
      </c>
      <c r="E373" s="18" t="n">
        <v>290</v>
      </c>
      <c r="F373" s="18" t="inlineStr">
        <is>
          <t>tipo</t>
        </is>
      </c>
      <c r="G373" s="18" t="inlineStr">
        <is>
          <t>character varying(20)</t>
        </is>
      </c>
      <c r="H373" s="18" t="inlineStr">
        <is>
          <t>No</t>
        </is>
      </c>
      <c r="I373" s="18" t="inlineStr">
        <is>
          <t>CHECK</t>
        </is>
      </c>
      <c r="J373" s="18" t="inlineStr">
        <is>
          <t>cetap, otro, sede_central</t>
        </is>
      </c>
      <c r="K373" s="18" t="inlineStr"/>
      <c r="L373" s="18" t="inlineStr">
        <is>
          <t>Sí</t>
        </is>
      </c>
      <c r="M373" s="18" t="inlineStr">
        <is>
          <t>No</t>
        </is>
      </c>
      <c r="N373" s="18" t="inlineStr"/>
      <c r="O373" s="18" t="inlineStr"/>
      <c r="P373" s="18" t="inlineStr">
        <is>
          <t>academic-work-plan-service/src/pta/entities/cetap.entity.ts:25: 'sede_central' | 'cetap' | 'otro'</t>
        </is>
      </c>
      <c r="Q373" s="18" t="inlineStr">
        <is>
          <t>Código fuente</t>
        </is>
      </c>
      <c r="R373" s="18" t="inlineStr">
        <is>
          <t>Tipo de ubicación registrada en el catálogo de CETAP. Valores permitidos: sede_central, cetap, otro; por defecto cetap.</t>
        </is>
      </c>
      <c r="S373" s="18" t="inlineStr">
        <is>
          <t>Alta</t>
        </is>
      </c>
      <c r="T373" s="18" t="inlineStr">
        <is>
          <t>código: academic-work-plan-service/src/pta/entities/cetap.entity.ts:25</t>
        </is>
      </c>
      <c r="U373" s="18" t="inlineStr"/>
      <c r="V373" s="19" t="inlineStr">
        <is>
          <t>Pendiente</t>
        </is>
      </c>
      <c r="W373" s="19" t="inlineStr"/>
      <c r="X373" s="19" t="inlineStr"/>
      <c r="Y373" s="20" t="n"/>
      <c r="Z373" s="19" t="inlineStr"/>
      <c r="AA373" s="18">
        <f>IF(OR(V373="Aprobada"),R373,IF(AND(OR(V373="Aprobada con ajuste",V373="Rechazada"),W373&lt;&gt;""),W373,""))</f>
        <v/>
      </c>
    </row>
    <row r="374">
      <c r="A374" s="18" t="inlineStr">
        <is>
          <t>C0373</t>
        </is>
      </c>
      <c r="B374" s="18" t="inlineStr">
        <is>
          <t>Plan de trabajo académico</t>
        </is>
      </c>
      <c r="C374" s="18" t="inlineStr">
        <is>
          <t>academic_work_plan</t>
        </is>
      </c>
      <c r="D374" s="18" t="inlineStr">
        <is>
          <t>cetap</t>
        </is>
      </c>
      <c r="E374" s="18" t="n">
        <v>290</v>
      </c>
      <c r="F374" s="18" t="inlineStr">
        <is>
          <t>latitud</t>
        </is>
      </c>
      <c r="G374" s="18" t="inlineStr">
        <is>
          <t>numeric(10,7)</t>
        </is>
      </c>
      <c r="H374" s="18" t="inlineStr">
        <is>
          <t>Sí</t>
        </is>
      </c>
      <c r="I374" s="18" t="inlineStr"/>
      <c r="J374" s="18" t="inlineStr"/>
      <c r="K374" s="18" t="inlineStr"/>
      <c r="L374" s="18" t="inlineStr">
        <is>
          <t>No</t>
        </is>
      </c>
      <c r="M374" s="18" t="inlineStr">
        <is>
          <t>No</t>
        </is>
      </c>
      <c r="N374" s="18" t="inlineStr"/>
      <c r="O374" s="18" t="inlineStr"/>
      <c r="P374" s="18" t="inlineStr">
        <is>
          <t>Mapeada en academic-work-plan-service/src/pta/entities/cetap.entity.ts:28 (CetapEntity.latitud)</t>
        </is>
      </c>
      <c r="Q374" s="18" t="inlineStr">
        <is>
          <t>Propuesta semántica</t>
        </is>
      </c>
      <c r="R374" s="18" t="inlineStr">
        <is>
          <t>Latitud geográfica de la ubicación, en grados decimales.</t>
        </is>
      </c>
      <c r="S374" s="18" t="inlineStr">
        <is>
          <t>Media</t>
        </is>
      </c>
      <c r="T374" s="18" t="inlineStr">
        <is>
          <t>nombre + tipo + columnas vecinas (longitud)</t>
        </is>
      </c>
      <c r="U374" s="18" t="inlineStr">
        <is>
          <t>¿La coordenada está en el sistema WGS84 y en grados decimales?</t>
        </is>
      </c>
      <c r="V374" s="19" t="inlineStr">
        <is>
          <t>Pendiente</t>
        </is>
      </c>
      <c r="W374" s="19" t="inlineStr"/>
      <c r="X374" s="19" t="inlineStr"/>
      <c r="Y374" s="20" t="n"/>
      <c r="Z374" s="19" t="inlineStr"/>
      <c r="AA374" s="18">
        <f>IF(OR(V374="Aprobada"),R374,IF(AND(OR(V374="Aprobada con ajuste",V374="Rechazada"),W374&lt;&gt;""),W374,""))</f>
        <v/>
      </c>
    </row>
    <row r="375">
      <c r="A375" s="18" t="inlineStr">
        <is>
          <t>C0374</t>
        </is>
      </c>
      <c r="B375" s="18" t="inlineStr">
        <is>
          <t>Plan de trabajo académico</t>
        </is>
      </c>
      <c r="C375" s="18" t="inlineStr">
        <is>
          <t>academic_work_plan</t>
        </is>
      </c>
      <c r="D375" s="18" t="inlineStr">
        <is>
          <t>cetap</t>
        </is>
      </c>
      <c r="E375" s="18" t="n">
        <v>290</v>
      </c>
      <c r="F375" s="18" t="inlineStr">
        <is>
          <t>longitud</t>
        </is>
      </c>
      <c r="G375" s="18" t="inlineStr">
        <is>
          <t>numeric(10,7)</t>
        </is>
      </c>
      <c r="H375" s="18" t="inlineStr">
        <is>
          <t>Sí</t>
        </is>
      </c>
      <c r="I375" s="18" t="inlineStr"/>
      <c r="J375" s="18" t="inlineStr"/>
      <c r="K375" s="18" t="inlineStr"/>
      <c r="L375" s="18" t="inlineStr">
        <is>
          <t>No</t>
        </is>
      </c>
      <c r="M375" s="18" t="inlineStr">
        <is>
          <t>No</t>
        </is>
      </c>
      <c r="N375" s="18" t="inlineStr"/>
      <c r="O375" s="18" t="inlineStr"/>
      <c r="P375" s="18" t="inlineStr">
        <is>
          <t>Mapeada en academic-work-plan-service/src/pta/entities/cetap.entity.ts:31 (CetapEntity.longitud)</t>
        </is>
      </c>
      <c r="Q375" s="18" t="inlineStr">
        <is>
          <t>Propuesta semántica</t>
        </is>
      </c>
      <c r="R375" s="18" t="inlineStr">
        <is>
          <t>Longitud geográfica de la ubicación del CETAP, en grados decimales.</t>
        </is>
      </c>
      <c r="S375" s="18" t="inlineStr">
        <is>
          <t>Alta</t>
        </is>
      </c>
      <c r="T375" s="18" t="inlineStr">
        <is>
          <t>nombre + tipo + columnas vecinas (latitud)</t>
        </is>
      </c>
      <c r="U375" s="18" t="inlineStr"/>
      <c r="V375" s="19" t="inlineStr">
        <is>
          <t>Pendiente</t>
        </is>
      </c>
      <c r="W375" s="19" t="inlineStr"/>
      <c r="X375" s="19" t="inlineStr"/>
      <c r="Y375" s="20" t="n"/>
      <c r="Z375" s="19" t="inlineStr"/>
      <c r="AA375" s="18">
        <f>IF(OR(V375="Aprobada"),R375,IF(AND(OR(V375="Aprobada con ajuste",V375="Rechazada"),W375&lt;&gt;""),W375,""))</f>
        <v/>
      </c>
    </row>
    <row r="376">
      <c r="A376" s="18" t="inlineStr">
        <is>
          <t>C0375</t>
        </is>
      </c>
      <c r="B376" s="18" t="inlineStr">
        <is>
          <t>Plan de trabajo académico</t>
        </is>
      </c>
      <c r="C376" s="18" t="inlineStr">
        <is>
          <t>academic_work_plan</t>
        </is>
      </c>
      <c r="D376" s="18" t="inlineStr">
        <is>
          <t>cetap</t>
        </is>
      </c>
      <c r="E376" s="18" t="n">
        <v>290</v>
      </c>
      <c r="F376" s="18" t="inlineStr">
        <is>
          <t>activo</t>
        </is>
      </c>
      <c r="G376" s="18" t="inlineStr">
        <is>
          <t>boolean</t>
        </is>
      </c>
      <c r="H376" s="18" t="inlineStr">
        <is>
          <t>No</t>
        </is>
      </c>
      <c r="I376" s="18" t="inlineStr"/>
      <c r="J376" s="18" t="inlineStr"/>
      <c r="K376" s="18" t="inlineStr"/>
      <c r="L376" s="18" t="inlineStr">
        <is>
          <t>No</t>
        </is>
      </c>
      <c r="M376" s="18" t="inlineStr">
        <is>
          <t>No</t>
        </is>
      </c>
      <c r="N376" s="18" t="inlineStr"/>
      <c r="O376" s="18" t="inlineStr">
        <is>
          <t>idx_cetap_activo</t>
        </is>
      </c>
      <c r="P376" s="18" t="inlineStr">
        <is>
          <t>Mapeada en academic-work-plan-service/src/pta/entities/cetap.entity.ts:34 (CetapEntity.activo)</t>
        </is>
      </c>
      <c r="Q376" s="18" t="inlineStr">
        <is>
          <t>Regla estructural</t>
        </is>
      </c>
      <c r="R376" s="18" t="inlineStr">
        <is>
          <t>Indica si el registro está activo.</t>
        </is>
      </c>
      <c r="S376" s="18" t="inlineStr">
        <is>
          <t>Media</t>
        </is>
      </c>
      <c r="T376" s="18" t="inlineStr">
        <is>
          <t>Convención de nombre de la columna.</t>
        </is>
      </c>
      <c r="U376" s="18" t="inlineStr"/>
      <c r="V376" s="19" t="inlineStr">
        <is>
          <t>Pendiente</t>
        </is>
      </c>
      <c r="W376" s="19" t="inlineStr"/>
      <c r="X376" s="19" t="inlineStr"/>
      <c r="Y376" s="20" t="n"/>
      <c r="Z376" s="19" t="inlineStr"/>
      <c r="AA376" s="18">
        <f>IF(OR(V376="Aprobada"),R376,IF(AND(OR(V376="Aprobada con ajuste",V376="Rechazada"),W376&lt;&gt;""),W376,""))</f>
        <v/>
      </c>
    </row>
    <row r="377">
      <c r="A377" s="18" t="inlineStr">
        <is>
          <t>C0376</t>
        </is>
      </c>
      <c r="B377" s="18" t="inlineStr">
        <is>
          <t>Plan de trabajo académico</t>
        </is>
      </c>
      <c r="C377" s="18" t="inlineStr">
        <is>
          <t>academic_work_plan</t>
        </is>
      </c>
      <c r="D377" s="18" t="inlineStr">
        <is>
          <t>cetap</t>
        </is>
      </c>
      <c r="E377" s="18" t="n">
        <v>290</v>
      </c>
      <c r="F377" s="18" t="inlineStr">
        <is>
          <t>deleted_at</t>
        </is>
      </c>
      <c r="G377" s="18" t="inlineStr">
        <is>
          <t>timestamp without time zone</t>
        </is>
      </c>
      <c r="H377" s="18" t="inlineStr">
        <is>
          <t>Sí</t>
        </is>
      </c>
      <c r="I377" s="18" t="inlineStr"/>
      <c r="J377" s="18" t="inlineStr"/>
      <c r="K377" s="18" t="inlineStr"/>
      <c r="L377" s="18" t="inlineStr">
        <is>
          <t>No</t>
        </is>
      </c>
      <c r="M377" s="18" t="inlineStr">
        <is>
          <t>No</t>
        </is>
      </c>
      <c r="N377" s="18" t="inlineStr"/>
      <c r="O377" s="18" t="inlineStr"/>
      <c r="P377" s="18" t="inlineStr">
        <is>
          <t>Mapeada en academic-work-plan-service/src/pta/entities/cetap.entity.ts:49 (CetapEntity.deletedAt)</t>
        </is>
      </c>
      <c r="Q377" s="18" t="inlineStr">
        <is>
          <t>Regla estructural</t>
        </is>
      </c>
      <c r="R377" s="18" t="inlineStr">
        <is>
          <t>Fecha y hora de la eliminación.</t>
        </is>
      </c>
      <c r="S377" s="18" t="inlineStr">
        <is>
          <t>Media</t>
        </is>
      </c>
      <c r="T377" s="18" t="inlineStr">
        <is>
          <t>Convención de nombre de la columna.</t>
        </is>
      </c>
      <c r="U377" s="18" t="inlineStr"/>
      <c r="V377" s="19" t="inlineStr">
        <is>
          <t>Pendiente</t>
        </is>
      </c>
      <c r="W377" s="19" t="inlineStr"/>
      <c r="X377" s="19" t="inlineStr"/>
      <c r="Y377" s="20" t="n"/>
      <c r="Z377" s="19" t="inlineStr"/>
      <c r="AA377" s="18">
        <f>IF(OR(V377="Aprobada"),R377,IF(AND(OR(V377="Aprobada con ajuste",V377="Rechazada"),W377&lt;&gt;""),W377,""))</f>
        <v/>
      </c>
    </row>
    <row r="378">
      <c r="A378" s="18" t="inlineStr">
        <is>
          <t>C0377</t>
        </is>
      </c>
      <c r="B378" s="18" t="inlineStr">
        <is>
          <t>Plan de trabajo académico</t>
        </is>
      </c>
      <c r="C378" s="18" t="inlineStr">
        <is>
          <t>academic_work_plan</t>
        </is>
      </c>
      <c r="D378" s="18" t="inlineStr">
        <is>
          <t>cetap</t>
        </is>
      </c>
      <c r="E378" s="18" t="n">
        <v>290</v>
      </c>
      <c r="F378" s="18" t="inlineStr">
        <is>
          <t>deleted_by</t>
        </is>
      </c>
      <c r="G378" s="18" t="inlineStr">
        <is>
          <t>bigint</t>
        </is>
      </c>
      <c r="H378" s="18" t="inlineStr">
        <is>
          <t>Sí</t>
        </is>
      </c>
      <c r="I378" s="18" t="inlineStr"/>
      <c r="J378" s="18" t="inlineStr"/>
      <c r="K378" s="18" t="inlineStr"/>
      <c r="L378" s="18" t="inlineStr">
        <is>
          <t>No</t>
        </is>
      </c>
      <c r="M378" s="18" t="inlineStr">
        <is>
          <t>No</t>
        </is>
      </c>
      <c r="N378" s="18" t="inlineStr"/>
      <c r="O378" s="18" t="inlineStr"/>
      <c r="P378" s="18" t="inlineStr">
        <is>
          <t>Mapeada en academic-work-plan-service/src/pta/entities/cetap.entity.ts:52 (CetapEntity.deletedBy)</t>
        </is>
      </c>
      <c r="Q378" s="18" t="inlineStr">
        <is>
          <t>Propuesta semántica</t>
        </is>
      </c>
      <c r="R378" s="18" t="inlineStr">
        <is>
          <t>Identificador del usuario que eliminó lógicamente el registro.</t>
        </is>
      </c>
      <c r="S378" s="18" t="inlineStr">
        <is>
          <t>Media</t>
        </is>
      </c>
      <c r="T378" s="18" t="inlineStr">
        <is>
          <t>nombre + tipo + columnas vecinas (deleted_at)</t>
        </is>
      </c>
      <c r="U378" s="18" t="inlineStr">
        <is>
          <t>¿deleted_by guarda el id de auth."user" (id_user) o de otra tabla de usuarios?</t>
        </is>
      </c>
      <c r="V378" s="19" t="inlineStr">
        <is>
          <t>Pendiente</t>
        </is>
      </c>
      <c r="W378" s="19" t="inlineStr"/>
      <c r="X378" s="19" t="inlineStr"/>
      <c r="Y378" s="20" t="n"/>
      <c r="Z378" s="19" t="inlineStr"/>
      <c r="AA378" s="18">
        <f>IF(OR(V378="Aprobada"),R378,IF(AND(OR(V378="Aprobada con ajuste",V378="Rechazada"),W378&lt;&gt;""),W378,""))</f>
        <v/>
      </c>
    </row>
    <row r="379">
      <c r="A379" s="18" t="inlineStr">
        <is>
          <t>C0378</t>
        </is>
      </c>
      <c r="B379" s="18" t="inlineStr">
        <is>
          <t>Plan de trabajo académico</t>
        </is>
      </c>
      <c r="C379" s="18" t="inlineStr">
        <is>
          <t>academic_work_plan</t>
        </is>
      </c>
      <c r="D379" s="18" t="inlineStr">
        <is>
          <t>cetap_alias</t>
        </is>
      </c>
      <c r="E379" s="18" t="n">
        <v>0</v>
      </c>
      <c r="F379" s="18" t="inlineStr">
        <is>
          <t>alias</t>
        </is>
      </c>
      <c r="G379" s="18" t="inlineStr">
        <is>
          <t>character varying(100)</t>
        </is>
      </c>
      <c r="H379" s="18" t="inlineStr">
        <is>
          <t>No</t>
        </is>
      </c>
      <c r="I379" s="18" t="inlineStr"/>
      <c r="J379" s="18" t="inlineStr"/>
      <c r="K379" s="18" t="inlineStr"/>
      <c r="L379" s="18" t="inlineStr">
        <is>
          <t>No</t>
        </is>
      </c>
      <c r="M379" s="18" t="inlineStr">
        <is>
          <t>No</t>
        </is>
      </c>
      <c r="N379" s="18" t="inlineStr"/>
      <c r="O379" s="18" t="inlineStr"/>
      <c r="P379" s="18" t="inlineStr">
        <is>
          <t>Mapeada en academic-work-plan-service/src/pta/entities/cetap-alias.entity.ts:16 (CetapAliasEntity.alias)</t>
        </is>
      </c>
      <c r="Q379" s="18" t="inlineStr">
        <is>
          <t>Propuesta semántica</t>
        </is>
      </c>
      <c r="R379" s="18" t="inlineStr">
        <is>
          <t>Nombre alternativo con el que se identifica el CETAP en las fuentes de datos.</t>
        </is>
      </c>
      <c r="S379" s="18" t="inlineStr">
        <is>
          <t>Media</t>
        </is>
      </c>
      <c r="T379" s="18" t="inlineStr">
        <is>
          <t>nombre + tipo + columnas vecinas (id_cetap, origen)</t>
        </is>
      </c>
      <c r="U379" s="18" t="inlineStr">
        <is>
          <t>¿Los alias se usan para conciliar nombres del archivo de carga con el catálogo de CETAP?</t>
        </is>
      </c>
      <c r="V379" s="19" t="inlineStr">
        <is>
          <t>Pendiente</t>
        </is>
      </c>
      <c r="W379" s="19" t="inlineStr"/>
      <c r="X379" s="19" t="inlineStr"/>
      <c r="Y379" s="20" t="n"/>
      <c r="Z379" s="19" t="inlineStr"/>
      <c r="AA379" s="18">
        <f>IF(OR(V379="Aprobada"),R379,IF(AND(OR(V379="Aprobada con ajuste",V379="Rechazada"),W379&lt;&gt;""),W379,""))</f>
        <v/>
      </c>
    </row>
    <row r="380">
      <c r="A380" s="18" t="inlineStr">
        <is>
          <t>C0379</t>
        </is>
      </c>
      <c r="B380" s="18" t="inlineStr">
        <is>
          <t>Plan de trabajo académico</t>
        </is>
      </c>
      <c r="C380" s="18" t="inlineStr">
        <is>
          <t>academic_work_plan</t>
        </is>
      </c>
      <c r="D380" s="18" t="inlineStr">
        <is>
          <t>cetap_alias</t>
        </is>
      </c>
      <c r="E380" s="18" t="n">
        <v>0</v>
      </c>
      <c r="F380" s="18" t="inlineStr">
        <is>
          <t>alias_normalizado</t>
        </is>
      </c>
      <c r="G380" s="18" t="inlineStr">
        <is>
          <t>character varying(100)</t>
        </is>
      </c>
      <c r="H380" s="18" t="inlineStr">
        <is>
          <t>No</t>
        </is>
      </c>
      <c r="I380" s="18" t="inlineStr">
        <is>
          <t>Única</t>
        </is>
      </c>
      <c r="J380" s="18" t="inlineStr"/>
      <c r="K380" s="18" t="inlineStr"/>
      <c r="L380" s="18" t="inlineStr">
        <is>
          <t>No</t>
        </is>
      </c>
      <c r="M380" s="18" t="inlineStr">
        <is>
          <t>No</t>
        </is>
      </c>
      <c r="N380" s="18" t="inlineStr"/>
      <c r="O380" s="18" t="inlineStr">
        <is>
          <t>cetap_alias_alias_normalizado_key</t>
        </is>
      </c>
      <c r="P380" s="18" t="inlineStr">
        <is>
          <t>Mapeada en academic-work-plan-service/src/pta/entities/cetap-alias.entity.ts:19 (CetapAliasEntity.aliasNormalizado)</t>
        </is>
      </c>
      <c r="Q380" s="18" t="inlineStr">
        <is>
          <t>Propuesta semántica</t>
        </is>
      </c>
      <c r="R380" s="18" t="inlineStr">
        <is>
          <t>Alias del CETAP normalizado para la comparación; es único en la tabla.</t>
        </is>
      </c>
      <c r="S380" s="18" t="inlineStr">
        <is>
          <t>Media</t>
        </is>
      </c>
      <c r="T380" s="18" t="inlineStr">
        <is>
          <t>nombre + tipo + columnas vecinas + restricción única</t>
        </is>
      </c>
      <c r="U380" s="18" t="inlineStr">
        <is>
          <t>¿Qué reglas de normalización se aplican al alias?</t>
        </is>
      </c>
      <c r="V380" s="19" t="inlineStr">
        <is>
          <t>Pendiente</t>
        </is>
      </c>
      <c r="W380" s="19" t="inlineStr"/>
      <c r="X380" s="19" t="inlineStr"/>
      <c r="Y380" s="20" t="n"/>
      <c r="Z380" s="19" t="inlineStr"/>
      <c r="AA380" s="18">
        <f>IF(OR(V380="Aprobada"),R380,IF(AND(OR(V380="Aprobada con ajuste",V380="Rechazada"),W380&lt;&gt;""),W380,""))</f>
        <v/>
      </c>
    </row>
    <row r="381">
      <c r="A381" s="18" t="inlineStr">
        <is>
          <t>C0380</t>
        </is>
      </c>
      <c r="B381" s="18" t="inlineStr">
        <is>
          <t>Plan de trabajo académico</t>
        </is>
      </c>
      <c r="C381" s="18" t="inlineStr">
        <is>
          <t>academic_work_plan</t>
        </is>
      </c>
      <c r="D381" s="18" t="inlineStr">
        <is>
          <t>cetap_alias</t>
        </is>
      </c>
      <c r="E381" s="18" t="n">
        <v>0</v>
      </c>
      <c r="F381" s="18" t="inlineStr">
        <is>
          <t>origen</t>
        </is>
      </c>
      <c r="G381" s="18" t="inlineStr">
        <is>
          <t>character varying(50)</t>
        </is>
      </c>
      <c r="H381" s="18" t="inlineStr">
        <is>
          <t>Sí</t>
        </is>
      </c>
      <c r="I381" s="18" t="inlineStr"/>
      <c r="J381" s="18" t="inlineStr"/>
      <c r="K381" s="18" t="inlineStr"/>
      <c r="L381" s="18" t="inlineStr">
        <is>
          <t>No</t>
        </is>
      </c>
      <c r="M381" s="18" t="inlineStr">
        <is>
          <t>No</t>
        </is>
      </c>
      <c r="N381" s="18" t="inlineStr"/>
      <c r="O381" s="18" t="inlineStr"/>
      <c r="P381" s="18" t="inlineStr">
        <is>
          <t>Mapeada en academic-work-plan-service/src/pta/entities/cetap-alias.entity.ts:22 (CetapAliasEntity.origen)</t>
        </is>
      </c>
      <c r="Q381" s="18" t="inlineStr">
        <is>
          <t>Propuesta semántica</t>
        </is>
      </c>
      <c r="R381" s="18" t="inlineStr">
        <is>
          <t>Fuente de la que proviene el alias. Por defecto, excel_2025_2.</t>
        </is>
      </c>
      <c r="S381" s="18" t="inlineStr">
        <is>
          <t>Media</t>
        </is>
      </c>
      <c r="T381" s="18" t="inlineStr">
        <is>
          <t>nombre + tipo + columnas vecinas + defecto</t>
        </is>
      </c>
      <c r="U381" s="18" t="inlineStr">
        <is>
          <t>¿Qué otros orígenes se prevén además del archivo Excel de 2025-2?</t>
        </is>
      </c>
      <c r="V381" s="19" t="inlineStr">
        <is>
          <t>Pendiente</t>
        </is>
      </c>
      <c r="W381" s="19" t="inlineStr"/>
      <c r="X381" s="19" t="inlineStr"/>
      <c r="Y381" s="20" t="n"/>
      <c r="Z381" s="19" t="inlineStr"/>
      <c r="AA381" s="18">
        <f>IF(OR(V381="Aprobada"),R381,IF(AND(OR(V381="Aprobada con ajuste",V381="Rechazada"),W381&lt;&gt;""),W381,""))</f>
        <v/>
      </c>
    </row>
    <row r="382">
      <c r="A382" s="18" t="inlineStr">
        <is>
          <t>C0381</t>
        </is>
      </c>
      <c r="B382" s="18" t="inlineStr">
        <is>
          <t>Plan de trabajo académico</t>
        </is>
      </c>
      <c r="C382" s="18" t="inlineStr">
        <is>
          <t>academic_work_plan</t>
        </is>
      </c>
      <c r="D382" s="18" t="inlineStr">
        <is>
          <t>Concertacion</t>
        </is>
      </c>
      <c r="E382" s="18" t="n">
        <v>0</v>
      </c>
      <c r="F382" s="18" t="inlineStr">
        <is>
          <t>autorId</t>
        </is>
      </c>
      <c r="G382" s="18" t="inlineStr">
        <is>
          <t>text</t>
        </is>
      </c>
      <c r="H382" s="18" t="inlineStr">
        <is>
          <t>No</t>
        </is>
      </c>
      <c r="I382" s="18" t="inlineStr"/>
      <c r="J382" s="18" t="inlineStr"/>
      <c r="K382" s="18" t="inlineStr"/>
      <c r="L382" s="18" t="inlineStr">
        <is>
          <t>No</t>
        </is>
      </c>
      <c r="M382" s="18" t="inlineStr">
        <is>
          <t>No</t>
        </is>
      </c>
      <c r="N382" s="18" t="inlineStr"/>
      <c r="O382" s="18" t="inlineStr"/>
      <c r="P382" s="18" t="inlineStr"/>
      <c r="Q382" s="18" t="inlineStr">
        <is>
          <t>Propuesta semántica</t>
        </is>
      </c>
      <c r="R382" s="18" t="inlineStr">
        <is>
          <t>Identificador del autor del mensaje de concertación del plan de trabajo académico.</t>
        </is>
      </c>
      <c r="S382" s="18" t="inlineStr">
        <is>
          <t>Media</t>
        </is>
      </c>
      <c r="T382" s="18" t="inlineStr">
        <is>
          <t>nombre + tipo + columnas vecinas</t>
        </is>
      </c>
      <c r="U382" s="18" t="inlineStr">
        <is>
          <t>¿A qué tabla de usuarios corresponde autorId?</t>
        </is>
      </c>
      <c r="V382" s="19" t="inlineStr">
        <is>
          <t>Pendiente</t>
        </is>
      </c>
      <c r="W382" s="19" t="inlineStr"/>
      <c r="X382" s="19" t="inlineStr"/>
      <c r="Y382" s="20" t="n"/>
      <c r="Z382" s="19" t="inlineStr"/>
      <c r="AA382" s="18">
        <f>IF(OR(V382="Aprobada"),R382,IF(AND(OR(V382="Aprobada con ajuste",V382="Rechazada"),W382&lt;&gt;""),W382,""))</f>
        <v/>
      </c>
    </row>
    <row r="383">
      <c r="A383" s="18" t="inlineStr">
        <is>
          <t>C0382</t>
        </is>
      </c>
      <c r="B383" s="18" t="inlineStr">
        <is>
          <t>Plan de trabajo académico</t>
        </is>
      </c>
      <c r="C383" s="18" t="inlineStr">
        <is>
          <t>academic_work_plan</t>
        </is>
      </c>
      <c r="D383" s="18" t="inlineStr">
        <is>
          <t>Concertacion</t>
        </is>
      </c>
      <c r="E383" s="18" t="n">
        <v>0</v>
      </c>
      <c r="F383" s="18" t="inlineStr">
        <is>
          <t>autorRol</t>
        </is>
      </c>
      <c r="G383" s="18" t="inlineStr">
        <is>
          <t>text</t>
        </is>
      </c>
      <c r="H383" s="18" t="inlineStr">
        <is>
          <t>No</t>
        </is>
      </c>
      <c r="I383" s="18" t="inlineStr"/>
      <c r="J383" s="18" t="inlineStr"/>
      <c r="K383" s="18" t="inlineStr"/>
      <c r="L383" s="18" t="inlineStr">
        <is>
          <t>No</t>
        </is>
      </c>
      <c r="M383" s="18" t="inlineStr">
        <is>
          <t>No</t>
        </is>
      </c>
      <c r="N383" s="18" t="inlineStr"/>
      <c r="O383" s="18" t="inlineStr"/>
      <c r="P383" s="18" t="inlineStr"/>
      <c r="Q383" s="18" t="inlineStr">
        <is>
          <t>Propuesta semántica</t>
        </is>
      </c>
      <c r="R383" s="18" t="inlineStr">
        <is>
          <t>Rol del autor del mensaje de concertación.</t>
        </is>
      </c>
      <c r="S383" s="18" t="inlineStr">
        <is>
          <t>Media</t>
        </is>
      </c>
      <c r="T383" s="18" t="inlineStr">
        <is>
          <t>nombre + tipo + columnas vecinas</t>
        </is>
      </c>
      <c r="U383" s="18" t="inlineStr">
        <is>
          <t>¿Qué valores toma autorRol (docente, jefatura…)?</t>
        </is>
      </c>
      <c r="V383" s="19" t="inlineStr">
        <is>
          <t>Pendiente</t>
        </is>
      </c>
      <c r="W383" s="19" t="inlineStr"/>
      <c r="X383" s="19" t="inlineStr"/>
      <c r="Y383" s="20" t="n"/>
      <c r="Z383" s="19" t="inlineStr"/>
      <c r="AA383" s="18">
        <f>IF(OR(V383="Aprobada"),R383,IF(AND(OR(V383="Aprobada con ajuste",V383="Rechazada"),W383&lt;&gt;""),W383,""))</f>
        <v/>
      </c>
    </row>
    <row r="384">
      <c r="A384" s="18" t="inlineStr">
        <is>
          <t>C0383</t>
        </is>
      </c>
      <c r="B384" s="18" t="inlineStr">
        <is>
          <t>Plan de trabajo académico</t>
        </is>
      </c>
      <c r="C384" s="18" t="inlineStr">
        <is>
          <t>academic_work_plan</t>
        </is>
      </c>
      <c r="D384" s="18" t="inlineStr">
        <is>
          <t>Concertacion</t>
        </is>
      </c>
      <c r="E384" s="18" t="n">
        <v>0</v>
      </c>
      <c r="F384" s="18" t="inlineStr">
        <is>
          <t>mensaje</t>
        </is>
      </c>
      <c r="G384" s="18" t="inlineStr">
        <is>
          <t>text</t>
        </is>
      </c>
      <c r="H384" s="18" t="inlineStr">
        <is>
          <t>No</t>
        </is>
      </c>
      <c r="I384" s="18" t="inlineStr"/>
      <c r="J384" s="18" t="inlineStr"/>
      <c r="K384" s="18" t="inlineStr"/>
      <c r="L384" s="18" t="inlineStr">
        <is>
          <t>No</t>
        </is>
      </c>
      <c r="M384" s="18" t="inlineStr">
        <is>
          <t>No</t>
        </is>
      </c>
      <c r="N384" s="18" t="inlineStr"/>
      <c r="O384" s="18" t="inlineStr"/>
      <c r="P384" s="18" t="inlineStr"/>
      <c r="Q384" s="18" t="inlineStr">
        <is>
          <t>Propuesta semántica</t>
        </is>
      </c>
      <c r="R384" s="18" t="inlineStr">
        <is>
          <t>Texto del mensaje de concertación del plan de trabajo académico.</t>
        </is>
      </c>
      <c r="S384" s="18" t="inlineStr">
        <is>
          <t>Alta</t>
        </is>
      </c>
      <c r="T384" s="18" t="inlineStr">
        <is>
          <t>nombre + tipo + columnas vecinas</t>
        </is>
      </c>
      <c r="U384" s="18" t="inlineStr"/>
      <c r="V384" s="19" t="inlineStr">
        <is>
          <t>Pendiente</t>
        </is>
      </c>
      <c r="W384" s="19" t="inlineStr"/>
      <c r="X384" s="19" t="inlineStr"/>
      <c r="Y384" s="20" t="n"/>
      <c r="Z384" s="19" t="inlineStr"/>
      <c r="AA384" s="18">
        <f>IF(OR(V384="Aprobada"),R384,IF(AND(OR(V384="Aprobada con ajuste",V384="Rechazada"),W384&lt;&gt;""),W384,""))</f>
        <v/>
      </c>
    </row>
    <row r="385">
      <c r="A385" s="18" t="inlineStr">
        <is>
          <t>C0384</t>
        </is>
      </c>
      <c r="B385" s="18" t="inlineStr">
        <is>
          <t>Plan de trabajo académico</t>
        </is>
      </c>
      <c r="C385" s="18" t="inlineStr">
        <is>
          <t>academic_work_plan</t>
        </is>
      </c>
      <c r="D385" s="18" t="inlineStr">
        <is>
          <t>ConfiguracionSistema</t>
        </is>
      </c>
      <c r="E385" s="18" t="n">
        <v>3</v>
      </c>
      <c r="F385" s="18" t="inlineStr">
        <is>
          <t>valor</t>
        </is>
      </c>
      <c r="G385" s="18" t="inlineStr">
        <is>
          <t>jsonb</t>
        </is>
      </c>
      <c r="H385" s="18" t="inlineStr">
        <is>
          <t>No</t>
        </is>
      </c>
      <c r="I385" s="18" t="inlineStr"/>
      <c r="J385" s="18" t="inlineStr"/>
      <c r="K385" s="18" t="inlineStr"/>
      <c r="L385" s="18" t="inlineStr">
        <is>
          <t>Sí</t>
        </is>
      </c>
      <c r="M385" s="18" t="inlineStr">
        <is>
          <t>No</t>
        </is>
      </c>
      <c r="N385" s="18" t="inlineStr"/>
      <c r="O385" s="18" t="inlineStr"/>
      <c r="P385" s="18" t="inlineStr">
        <is>
          <t>Mapeada en academic-work-plan-service/src/pta/entities/pta-configuracion.entity.ts:8 (PtaConfiguracionEntity.rules)</t>
        </is>
      </c>
      <c r="Q385" s="18" t="inlineStr">
        <is>
          <t>Propuesta semántica</t>
        </is>
      </c>
      <c r="R385" s="18" t="inlineStr">
        <is>
          <t>Valor del parámetro de configuración identificado por la clave, en formato JSON.</t>
        </is>
      </c>
      <c r="S385" s="18" t="inlineStr">
        <is>
          <t>Alta</t>
        </is>
      </c>
      <c r="T385" s="18" t="inlineStr">
        <is>
          <t>nombre + tipo + columnas vecinas (clave, descripcion)</t>
        </is>
      </c>
      <c r="U385" s="18" t="inlineStr"/>
      <c r="V385" s="19" t="inlineStr">
        <is>
          <t>Pendiente</t>
        </is>
      </c>
      <c r="W385" s="19" t="inlineStr"/>
      <c r="X385" s="19" t="inlineStr"/>
      <c r="Y385" s="20" t="n"/>
      <c r="Z385" s="19" t="inlineStr"/>
      <c r="AA385" s="18">
        <f>IF(OR(V385="Aprobada"),R385,IF(AND(OR(V385="Aprobada con ajuste",V385="Rechazada"),W385&lt;&gt;""),W385,""))</f>
        <v/>
      </c>
    </row>
    <row r="386">
      <c r="A386" s="18" t="inlineStr">
        <is>
          <t>C0385</t>
        </is>
      </c>
      <c r="B386" s="18" t="inlineStr">
        <is>
          <t>Plan de trabajo académico</t>
        </is>
      </c>
      <c r="C386" s="18" t="inlineStr">
        <is>
          <t>academic_work_plan</t>
        </is>
      </c>
      <c r="D386" s="18" t="inlineStr">
        <is>
          <t>ConfiguracionSistema</t>
        </is>
      </c>
      <c r="E386" s="18" t="n">
        <v>3</v>
      </c>
      <c r="F386" s="18" t="inlineStr">
        <is>
          <t>descripcion</t>
        </is>
      </c>
      <c r="G386" s="18" t="inlineStr">
        <is>
          <t>text</t>
        </is>
      </c>
      <c r="H386" s="18" t="inlineStr">
        <is>
          <t>Sí</t>
        </is>
      </c>
      <c r="I386" s="18" t="inlineStr"/>
      <c r="J386" s="18" t="inlineStr"/>
      <c r="K386" s="18" t="inlineStr"/>
      <c r="L386" s="18" t="inlineStr">
        <is>
          <t>Sí</t>
        </is>
      </c>
      <c r="M386" s="18" t="inlineStr">
        <is>
          <t>No</t>
        </is>
      </c>
      <c r="N386" s="18" t="inlineStr"/>
      <c r="O386" s="18" t="inlineStr"/>
      <c r="P386" s="18" t="inlineStr"/>
      <c r="Q386" s="18" t="inlineStr">
        <is>
          <t>Regla estructural</t>
        </is>
      </c>
      <c r="R386" s="18" t="inlineStr">
        <is>
          <t>Descripción del registro de ConfiguracionSistema.</t>
        </is>
      </c>
      <c r="S386" s="18" t="inlineStr">
        <is>
          <t>Media</t>
        </is>
      </c>
      <c r="T386" s="18" t="inlineStr">
        <is>
          <t>Convención de nombre de la columna.</t>
        </is>
      </c>
      <c r="U386" s="18" t="inlineStr"/>
      <c r="V386" s="19" t="inlineStr">
        <is>
          <t>Pendiente</t>
        </is>
      </c>
      <c r="W386" s="19" t="inlineStr"/>
      <c r="X386" s="19" t="inlineStr"/>
      <c r="Y386" s="20" t="n"/>
      <c r="Z386" s="19" t="inlineStr"/>
      <c r="AA386" s="18">
        <f>IF(OR(V386="Aprobada"),R386,IF(AND(OR(V386="Aprobada con ajuste",V386="Rechazada"),W386&lt;&gt;""),W386,""))</f>
        <v/>
      </c>
    </row>
    <row r="387">
      <c r="A387" s="18" t="inlineStr">
        <is>
          <t>C0386</t>
        </is>
      </c>
      <c r="B387" s="18" t="inlineStr">
        <is>
          <t>Plan de trabajo académico</t>
        </is>
      </c>
      <c r="C387" s="18" t="inlineStr">
        <is>
          <t>academic_work_plan</t>
        </is>
      </c>
      <c r="D387" s="18" t="inlineStr">
        <is>
          <t>DetallesPta</t>
        </is>
      </c>
      <c r="E387" s="18" t="n">
        <v>0</v>
      </c>
      <c r="F387" s="18" t="inlineStr">
        <is>
          <t>asignaturaId</t>
        </is>
      </c>
      <c r="G387" s="18" t="inlineStr">
        <is>
          <t>text</t>
        </is>
      </c>
      <c r="H387" s="18" t="inlineStr">
        <is>
          <t>No</t>
        </is>
      </c>
      <c r="I387" s="18" t="inlineStr"/>
      <c r="J387" s="18" t="inlineStr"/>
      <c r="K387" s="18" t="inlineStr"/>
      <c r="L387" s="18" t="inlineStr">
        <is>
          <t>No</t>
        </is>
      </c>
      <c r="M387" s="18" t="inlineStr">
        <is>
          <t>No</t>
        </is>
      </c>
      <c r="N387" s="18" t="inlineStr"/>
      <c r="O387" s="18" t="inlineStr"/>
      <c r="P387" s="18" t="inlineStr"/>
      <c r="Q387" s="18" t="inlineStr">
        <is>
          <t>Propuesta semántica</t>
        </is>
      </c>
      <c r="R387" s="18" t="inlineStr">
        <is>
          <t>Identificador de la asignatura asignada en el plan de trabajo académico.</t>
        </is>
      </c>
      <c r="S387" s="18" t="inlineStr">
        <is>
          <t>Alta</t>
        </is>
      </c>
      <c r="T387" s="18" t="inlineStr">
        <is>
          <t>nombre + tipo + columnas vecinas</t>
        </is>
      </c>
      <c r="U387" s="18" t="inlineStr"/>
      <c r="V387" s="19" t="inlineStr">
        <is>
          <t>Pendiente</t>
        </is>
      </c>
      <c r="W387" s="19" t="inlineStr"/>
      <c r="X387" s="19" t="inlineStr"/>
      <c r="Y387" s="20" t="n"/>
      <c r="Z387" s="19" t="inlineStr"/>
      <c r="AA387" s="18">
        <f>IF(OR(V387="Aprobada"),R387,IF(AND(OR(V387="Aprobada con ajuste",V387="Rechazada"),W387&lt;&gt;""),W387,""))</f>
        <v/>
      </c>
    </row>
    <row r="388">
      <c r="A388" s="18" t="inlineStr">
        <is>
          <t>C0387</t>
        </is>
      </c>
      <c r="B388" s="18" t="inlineStr">
        <is>
          <t>Plan de trabajo académico</t>
        </is>
      </c>
      <c r="C388" s="18" t="inlineStr">
        <is>
          <t>academic_work_plan</t>
        </is>
      </c>
      <c r="D388" s="18" t="inlineStr">
        <is>
          <t>DetallesPta</t>
        </is>
      </c>
      <c r="E388" s="18" t="n">
        <v>0</v>
      </c>
      <c r="F388" s="18" t="inlineStr">
        <is>
          <t>grupo</t>
        </is>
      </c>
      <c r="G388" s="18" t="inlineStr">
        <is>
          <t>text</t>
        </is>
      </c>
      <c r="H388" s="18" t="inlineStr">
        <is>
          <t>Sí</t>
        </is>
      </c>
      <c r="I388" s="18" t="inlineStr"/>
      <c r="J388" s="18" t="inlineStr"/>
      <c r="K388" s="18" t="inlineStr"/>
      <c r="L388" s="18" t="inlineStr">
        <is>
          <t>No</t>
        </is>
      </c>
      <c r="M388" s="18" t="inlineStr">
        <is>
          <t>No</t>
        </is>
      </c>
      <c r="N388" s="18" t="inlineStr"/>
      <c r="O388" s="18" t="inlineStr"/>
      <c r="P388" s="18" t="inlineStr"/>
      <c r="Q388" s="18" t="inlineStr">
        <is>
          <t>Propuesta semántica</t>
        </is>
      </c>
      <c r="R388" s="18" t="inlineStr">
        <is>
          <t>Grupo de la asignatura.</t>
        </is>
      </c>
      <c r="S388" s="18" t="inlineStr">
        <is>
          <t>Alta</t>
        </is>
      </c>
      <c r="T388" s="18" t="inlineStr">
        <is>
          <t>nombre + tipo + columnas vecinas</t>
        </is>
      </c>
      <c r="U388" s="18" t="inlineStr"/>
      <c r="V388" s="19" t="inlineStr">
        <is>
          <t>Pendiente</t>
        </is>
      </c>
      <c r="W388" s="19" t="inlineStr"/>
      <c r="X388" s="19" t="inlineStr"/>
      <c r="Y388" s="20" t="n"/>
      <c r="Z388" s="19" t="inlineStr"/>
      <c r="AA388" s="18">
        <f>IF(OR(V388="Aprobada"),R388,IF(AND(OR(V388="Aprobada con ajuste",V388="Rechazada"),W388&lt;&gt;""),W388,""))</f>
        <v/>
      </c>
    </row>
    <row r="389">
      <c r="A389" s="18" t="inlineStr">
        <is>
          <t>C0388</t>
        </is>
      </c>
      <c r="B389" s="18" t="inlineStr">
        <is>
          <t>Plan de trabajo académico</t>
        </is>
      </c>
      <c r="C389" s="18" t="inlineStr">
        <is>
          <t>academic_work_plan</t>
        </is>
      </c>
      <c r="D389" s="18" t="inlineStr">
        <is>
          <t>DetallesPta</t>
        </is>
      </c>
      <c r="E389" s="18" t="n">
        <v>0</v>
      </c>
      <c r="F389" s="18" t="inlineStr">
        <is>
          <t>horas</t>
        </is>
      </c>
      <c r="G389" s="18" t="inlineStr">
        <is>
          <t>integer</t>
        </is>
      </c>
      <c r="H389" s="18" t="inlineStr">
        <is>
          <t>No</t>
        </is>
      </c>
      <c r="I389" s="18" t="inlineStr"/>
      <c r="J389" s="18" t="inlineStr"/>
      <c r="K389" s="18" t="inlineStr"/>
      <c r="L389" s="18" t="inlineStr">
        <is>
          <t>No</t>
        </is>
      </c>
      <c r="M389" s="18" t="inlineStr">
        <is>
          <t>No</t>
        </is>
      </c>
      <c r="N389" s="18" t="inlineStr"/>
      <c r="O389" s="18" t="inlineStr"/>
      <c r="P389" s="18" t="inlineStr"/>
      <c r="Q389" s="18" t="inlineStr">
        <is>
          <t>Propuesta semántica</t>
        </is>
      </c>
      <c r="R389" s="18" t="inlineStr">
        <is>
          <t>Número de horas asignadas a la asignatura en el plan.</t>
        </is>
      </c>
      <c r="S389" s="18" t="inlineStr">
        <is>
          <t>Media</t>
        </is>
      </c>
      <c r="T389" s="18" t="inlineStr">
        <is>
          <t>nombre + tipo + columnas vecinas</t>
        </is>
      </c>
      <c r="U389" s="18" t="inlineStr">
        <is>
          <t>¿Las horas son semanales o totales del periodo?</t>
        </is>
      </c>
      <c r="V389" s="19" t="inlineStr">
        <is>
          <t>Pendiente</t>
        </is>
      </c>
      <c r="W389" s="19" t="inlineStr"/>
      <c r="X389" s="19" t="inlineStr"/>
      <c r="Y389" s="20" t="n"/>
      <c r="Z389" s="19" t="inlineStr"/>
      <c r="AA389" s="18">
        <f>IF(OR(V389="Aprobada"),R389,IF(AND(OR(V389="Aprobada con ajuste",V389="Rechazada"),W389&lt;&gt;""),W389,""))</f>
        <v/>
      </c>
    </row>
    <row r="390">
      <c r="A390" s="18" t="inlineStr">
        <is>
          <t>C0389</t>
        </is>
      </c>
      <c r="B390" s="18" t="inlineStr">
        <is>
          <t>Plan de trabajo académico</t>
        </is>
      </c>
      <c r="C390" s="18" t="inlineStr">
        <is>
          <t>academic_work_plan</t>
        </is>
      </c>
      <c r="D390" s="18" t="inlineStr">
        <is>
          <t>DetallesPta</t>
        </is>
      </c>
      <c r="E390" s="18" t="n">
        <v>0</v>
      </c>
      <c r="F390" s="18" t="inlineStr">
        <is>
          <t>modalidad</t>
        </is>
      </c>
      <c r="G390" s="18" t="inlineStr">
        <is>
          <t>text</t>
        </is>
      </c>
      <c r="H390" s="18" t="inlineStr">
        <is>
          <t>No</t>
        </is>
      </c>
      <c r="I390" s="18" t="inlineStr"/>
      <c r="J390" s="18" t="inlineStr"/>
      <c r="K390" s="18" t="inlineStr"/>
      <c r="L390" s="18" t="inlineStr">
        <is>
          <t>No</t>
        </is>
      </c>
      <c r="M390" s="18" t="inlineStr">
        <is>
          <t>No</t>
        </is>
      </c>
      <c r="N390" s="18" t="inlineStr"/>
      <c r="O390" s="18" t="inlineStr"/>
      <c r="P390" s="18" t="inlineStr"/>
      <c r="Q390" s="18" t="inlineStr">
        <is>
          <t>Propuesta semántica</t>
        </is>
      </c>
      <c r="R390" s="18" t="inlineStr">
        <is>
          <t>Modalidad de la asignatura; por defecto, «PRESENCIAL».</t>
        </is>
      </c>
      <c r="S390" s="18" t="inlineStr">
        <is>
          <t>Media</t>
        </is>
      </c>
      <c r="T390" s="18" t="inlineStr">
        <is>
          <t>nombre + tipo + columnas vecinas + defecto</t>
        </is>
      </c>
      <c r="U390" s="18" t="inlineStr">
        <is>
          <t>¿Qué otros valores toma modalidad?</t>
        </is>
      </c>
      <c r="V390" s="19" t="inlineStr">
        <is>
          <t>Pendiente</t>
        </is>
      </c>
      <c r="W390" s="19" t="inlineStr"/>
      <c r="X390" s="19" t="inlineStr"/>
      <c r="Y390" s="20" t="n"/>
      <c r="Z390" s="19" t="inlineStr"/>
      <c r="AA390" s="18">
        <f>IF(OR(V390="Aprobada"),R390,IF(AND(OR(V390="Aprobada con ajuste",V390="Rechazada"),W390&lt;&gt;""),W390,""))</f>
        <v/>
      </c>
    </row>
    <row r="391">
      <c r="A391" s="18" t="inlineStr">
        <is>
          <t>C0390</t>
        </is>
      </c>
      <c r="B391" s="18" t="inlineStr">
        <is>
          <t>Plan de trabajo académico</t>
        </is>
      </c>
      <c r="C391" s="18" t="inlineStr">
        <is>
          <t>academic_work_plan</t>
        </is>
      </c>
      <c r="D391" s="18" t="inlineStr">
        <is>
          <t>DetallesPta</t>
        </is>
      </c>
      <c r="E391" s="18" t="n">
        <v>0</v>
      </c>
      <c r="F391" s="18" t="inlineStr">
        <is>
          <t>estudiantes</t>
        </is>
      </c>
      <c r="G391" s="18" t="inlineStr">
        <is>
          <t>integer</t>
        </is>
      </c>
      <c r="H391" s="18" t="inlineStr">
        <is>
          <t>No</t>
        </is>
      </c>
      <c r="I391" s="18" t="inlineStr"/>
      <c r="J391" s="18" t="inlineStr"/>
      <c r="K391" s="18" t="inlineStr"/>
      <c r="L391" s="18" t="inlineStr">
        <is>
          <t>No</t>
        </is>
      </c>
      <c r="M391" s="18" t="inlineStr">
        <is>
          <t>No</t>
        </is>
      </c>
      <c r="N391" s="18" t="inlineStr"/>
      <c r="O391" s="18" t="inlineStr"/>
      <c r="P391" s="18" t="inlineStr"/>
      <c r="Q391" s="18" t="inlineStr">
        <is>
          <t>Propuesta semántica</t>
        </is>
      </c>
      <c r="R391" s="18" t="inlineStr">
        <is>
          <t>Número de estudiantes del grupo; por defecto, 25.</t>
        </is>
      </c>
      <c r="S391" s="18" t="inlineStr">
        <is>
          <t>Alta</t>
        </is>
      </c>
      <c r="T391" s="18" t="inlineStr">
        <is>
          <t>nombre + tipo + columnas vecinas + defecto</t>
        </is>
      </c>
      <c r="U391" s="18" t="inlineStr"/>
      <c r="V391" s="19" t="inlineStr">
        <is>
          <t>Pendiente</t>
        </is>
      </c>
      <c r="W391" s="19" t="inlineStr"/>
      <c r="X391" s="19" t="inlineStr"/>
      <c r="Y391" s="20" t="n"/>
      <c r="Z391" s="19" t="inlineStr"/>
      <c r="AA391" s="18">
        <f>IF(OR(V391="Aprobada"),R391,IF(AND(OR(V391="Aprobada con ajuste",V391="Rechazada"),W391&lt;&gt;""),W391,""))</f>
        <v/>
      </c>
    </row>
    <row r="392">
      <c r="A392" s="18" t="inlineStr">
        <is>
          <t>C0391</t>
        </is>
      </c>
      <c r="B392" s="18" t="inlineStr">
        <is>
          <t>Plan de trabajo académico</t>
        </is>
      </c>
      <c r="C392" s="18" t="inlineStr">
        <is>
          <t>academic_work_plan</t>
        </is>
      </c>
      <c r="D392" s="18" t="inlineStr">
        <is>
          <t>DetallesPta</t>
        </is>
      </c>
      <c r="E392" s="18" t="n">
        <v>0</v>
      </c>
      <c r="F392" s="18" t="inlineStr">
        <is>
          <t>territorialId</t>
        </is>
      </c>
      <c r="G392" s="18" t="inlineStr">
        <is>
          <t>text</t>
        </is>
      </c>
      <c r="H392" s="18" t="inlineStr">
        <is>
          <t>Sí</t>
        </is>
      </c>
      <c r="I392" s="18" t="inlineStr"/>
      <c r="J392" s="18" t="inlineStr"/>
      <c r="K392" s="18" t="inlineStr"/>
      <c r="L392" s="18" t="inlineStr">
        <is>
          <t>No</t>
        </is>
      </c>
      <c r="M392" s="18" t="inlineStr">
        <is>
          <t>No</t>
        </is>
      </c>
      <c r="N392" s="18" t="inlineStr"/>
      <c r="O392" s="18" t="inlineStr"/>
      <c r="P392" s="18" t="inlineStr"/>
      <c r="Q392" s="18" t="inlineStr">
        <is>
          <t>Propuesta semántica</t>
        </is>
      </c>
      <c r="R392" s="18" t="inlineStr">
        <is>
          <t>Identificador de la territorial donde se dicta la asignatura.</t>
        </is>
      </c>
      <c r="S392" s="18" t="inlineStr">
        <is>
          <t>Media</t>
        </is>
      </c>
      <c r="T392" s="18" t="inlineStr">
        <is>
          <t>nombre + tipo + columnas vecinas</t>
        </is>
      </c>
      <c r="U392" s="18" t="inlineStr">
        <is>
          <t>¿A qué tabla apunta territorialId?</t>
        </is>
      </c>
      <c r="V392" s="19" t="inlineStr">
        <is>
          <t>Pendiente</t>
        </is>
      </c>
      <c r="W392" s="19" t="inlineStr"/>
      <c r="X392" s="19" t="inlineStr"/>
      <c r="Y392" s="20" t="n"/>
      <c r="Z392" s="19" t="inlineStr"/>
      <c r="AA392" s="18">
        <f>IF(OR(V392="Aprobada"),R392,IF(AND(OR(V392="Aprobada con ajuste",V392="Rechazada"),W392&lt;&gt;""),W392,""))</f>
        <v/>
      </c>
    </row>
    <row r="393">
      <c r="A393" s="18" t="inlineStr">
        <is>
          <t>C0392</t>
        </is>
      </c>
      <c r="B393" s="18" t="inlineStr">
        <is>
          <t>Plan de trabajo académico</t>
        </is>
      </c>
      <c r="C393" s="18" t="inlineStr">
        <is>
          <t>academic_work_plan</t>
        </is>
      </c>
      <c r="D393" s="18" t="inlineStr">
        <is>
          <t>DetallesPta</t>
        </is>
      </c>
      <c r="E393" s="18" t="n">
        <v>0</v>
      </c>
      <c r="F393" s="18" t="inlineStr">
        <is>
          <t>cetapId</t>
        </is>
      </c>
      <c r="G393" s="18" t="inlineStr">
        <is>
          <t>text</t>
        </is>
      </c>
      <c r="H393" s="18" t="inlineStr">
        <is>
          <t>Sí</t>
        </is>
      </c>
      <c r="I393" s="18" t="inlineStr"/>
      <c r="J393" s="18" t="inlineStr"/>
      <c r="K393" s="18" t="inlineStr"/>
      <c r="L393" s="18" t="inlineStr">
        <is>
          <t>No</t>
        </is>
      </c>
      <c r="M393" s="18" t="inlineStr">
        <is>
          <t>No</t>
        </is>
      </c>
      <c r="N393" s="18" t="inlineStr"/>
      <c r="O393" s="18" t="inlineStr"/>
      <c r="P393" s="18" t="inlineStr"/>
      <c r="Q393" s="18" t="inlineStr">
        <is>
          <t>Propuesta semántica</t>
        </is>
      </c>
      <c r="R393" s="18" t="inlineStr">
        <is>
          <t>Identificador del CETAP donde se dicta la asignatura.</t>
        </is>
      </c>
      <c r="S393" s="18" t="inlineStr">
        <is>
          <t>Media</t>
        </is>
      </c>
      <c r="T393" s="18" t="inlineStr">
        <is>
          <t>nombre + tipo + columnas vecinas</t>
        </is>
      </c>
      <c r="U393" s="18" t="inlineStr">
        <is>
          <t>¿A qué tabla apunta cetapId?</t>
        </is>
      </c>
      <c r="V393" s="19" t="inlineStr">
        <is>
          <t>Pendiente</t>
        </is>
      </c>
      <c r="W393" s="19" t="inlineStr"/>
      <c r="X393" s="19" t="inlineStr"/>
      <c r="Y393" s="20" t="n"/>
      <c r="Z393" s="19" t="inlineStr"/>
      <c r="AA393" s="18">
        <f>IF(OR(V393="Aprobada"),R393,IF(AND(OR(V393="Aprobada con ajuste",V393="Rechazada"),W393&lt;&gt;""),W393,""))</f>
        <v/>
      </c>
    </row>
    <row r="394">
      <c r="A394" s="18" t="inlineStr">
        <is>
          <t>C0393</t>
        </is>
      </c>
      <c r="B394" s="18" t="inlineStr">
        <is>
          <t>Plan de trabajo académico</t>
        </is>
      </c>
      <c r="C394" s="18" t="inlineStr">
        <is>
          <t>academic_work_plan</t>
        </is>
      </c>
      <c r="D394" s="18" t="inlineStr">
        <is>
          <t>DetallesPta</t>
        </is>
      </c>
      <c r="E394" s="18" t="n">
        <v>0</v>
      </c>
      <c r="F394" s="18" t="inlineStr">
        <is>
          <t>fechaInicio</t>
        </is>
      </c>
      <c r="G394" s="18" t="inlineStr">
        <is>
          <t>date</t>
        </is>
      </c>
      <c r="H394" s="18" t="inlineStr">
        <is>
          <t>Sí</t>
        </is>
      </c>
      <c r="I394" s="18" t="inlineStr"/>
      <c r="J394" s="18" t="inlineStr"/>
      <c r="K394" s="18" t="inlineStr"/>
      <c r="L394" s="18" t="inlineStr">
        <is>
          <t>No</t>
        </is>
      </c>
      <c r="M394" s="18" t="inlineStr">
        <is>
          <t>No</t>
        </is>
      </c>
      <c r="N394" s="18" t="inlineStr"/>
      <c r="O394" s="18" t="inlineStr"/>
      <c r="P394" s="18" t="inlineStr"/>
      <c r="Q394" s="18" t="inlineStr">
        <is>
          <t>Propuesta semántica</t>
        </is>
      </c>
      <c r="R394" s="18" t="inlineStr">
        <is>
          <t>Fecha de inicio de la asignatura.</t>
        </is>
      </c>
      <c r="S394" s="18" t="inlineStr">
        <is>
          <t>Alta</t>
        </is>
      </c>
      <c r="T394" s="18" t="inlineStr">
        <is>
          <t>nombre + tipo + columnas vecinas</t>
        </is>
      </c>
      <c r="U394" s="18" t="inlineStr"/>
      <c r="V394" s="19" t="inlineStr">
        <is>
          <t>Pendiente</t>
        </is>
      </c>
      <c r="W394" s="19" t="inlineStr"/>
      <c r="X394" s="19" t="inlineStr"/>
      <c r="Y394" s="20" t="n"/>
      <c r="Z394" s="19" t="inlineStr"/>
      <c r="AA394" s="18">
        <f>IF(OR(V394="Aprobada"),R394,IF(AND(OR(V394="Aprobada con ajuste",V394="Rechazada"),W394&lt;&gt;""),W394,""))</f>
        <v/>
      </c>
    </row>
    <row r="395">
      <c r="A395" s="18" t="inlineStr">
        <is>
          <t>C0394</t>
        </is>
      </c>
      <c r="B395" s="18" t="inlineStr">
        <is>
          <t>Plan de trabajo académico</t>
        </is>
      </c>
      <c r="C395" s="18" t="inlineStr">
        <is>
          <t>academic_work_plan</t>
        </is>
      </c>
      <c r="D395" s="18" t="inlineStr">
        <is>
          <t>DetallesPta</t>
        </is>
      </c>
      <c r="E395" s="18" t="n">
        <v>0</v>
      </c>
      <c r="F395" s="18" t="inlineStr">
        <is>
          <t>fechaFin</t>
        </is>
      </c>
      <c r="G395" s="18" t="inlineStr">
        <is>
          <t>date</t>
        </is>
      </c>
      <c r="H395" s="18" t="inlineStr">
        <is>
          <t>Sí</t>
        </is>
      </c>
      <c r="I395" s="18" t="inlineStr"/>
      <c r="J395" s="18" t="inlineStr"/>
      <c r="K395" s="18" t="inlineStr"/>
      <c r="L395" s="18" t="inlineStr">
        <is>
          <t>No</t>
        </is>
      </c>
      <c r="M395" s="18" t="inlineStr">
        <is>
          <t>No</t>
        </is>
      </c>
      <c r="N395" s="18" t="inlineStr"/>
      <c r="O395" s="18" t="inlineStr"/>
      <c r="P395" s="18" t="inlineStr"/>
      <c r="Q395" s="18" t="inlineStr">
        <is>
          <t>Propuesta semántica</t>
        </is>
      </c>
      <c r="R395" s="18" t="inlineStr">
        <is>
          <t>Fecha de finalización de la asignatura.</t>
        </is>
      </c>
      <c r="S395" s="18" t="inlineStr">
        <is>
          <t>Alta</t>
        </is>
      </c>
      <c r="T395" s="18" t="inlineStr">
        <is>
          <t>nombre + tipo + columnas vecinas</t>
        </is>
      </c>
      <c r="U395" s="18" t="inlineStr"/>
      <c r="V395" s="19" t="inlineStr">
        <is>
          <t>Pendiente</t>
        </is>
      </c>
      <c r="W395" s="19" t="inlineStr"/>
      <c r="X395" s="19" t="inlineStr"/>
      <c r="Y395" s="20" t="n"/>
      <c r="Z395" s="19" t="inlineStr"/>
      <c r="AA395" s="18">
        <f>IF(OR(V395="Aprobada"),R395,IF(AND(OR(V395="Aprobada con ajuste",V395="Rechazada"),W395&lt;&gt;""),W395,""))</f>
        <v/>
      </c>
    </row>
    <row r="396">
      <c r="A396" s="18" t="inlineStr">
        <is>
          <t>C0395</t>
        </is>
      </c>
      <c r="B396" s="18" t="inlineStr">
        <is>
          <t>Plan de trabajo académico</t>
        </is>
      </c>
      <c r="C396" s="18" t="inlineStr">
        <is>
          <t>academic_work_plan</t>
        </is>
      </c>
      <c r="D396" s="18" t="inlineStr">
        <is>
          <t>DetallesPta</t>
        </is>
      </c>
      <c r="E396" s="18" t="n">
        <v>0</v>
      </c>
      <c r="F396" s="18" t="inlineStr">
        <is>
          <t>observaciones</t>
        </is>
      </c>
      <c r="G396" s="18" t="inlineStr">
        <is>
          <t>text</t>
        </is>
      </c>
      <c r="H396" s="18" t="inlineStr">
        <is>
          <t>Sí</t>
        </is>
      </c>
      <c r="I396" s="18" t="inlineStr"/>
      <c r="J396" s="18" t="inlineStr"/>
      <c r="K396" s="18" t="inlineStr"/>
      <c r="L396" s="18" t="inlineStr">
        <is>
          <t>No</t>
        </is>
      </c>
      <c r="M396" s="18" t="inlineStr">
        <is>
          <t>No</t>
        </is>
      </c>
      <c r="N396" s="18" t="inlineStr"/>
      <c r="O396" s="18" t="inlineStr"/>
      <c r="P396" s="18" t="inlineStr"/>
      <c r="Q396" s="18" t="inlineStr">
        <is>
          <t>Regla estructural</t>
        </is>
      </c>
      <c r="R396" s="18" t="inlineStr">
        <is>
          <t>Observaciones registradas sobre el registro.</t>
        </is>
      </c>
      <c r="S396" s="18" t="inlineStr">
        <is>
          <t>Media</t>
        </is>
      </c>
      <c r="T396" s="18" t="inlineStr">
        <is>
          <t>Convención de nombre de la columna.</t>
        </is>
      </c>
      <c r="U396" s="18" t="inlineStr"/>
      <c r="V396" s="19" t="inlineStr">
        <is>
          <t>Pendiente</t>
        </is>
      </c>
      <c r="W396" s="19" t="inlineStr"/>
      <c r="X396" s="19" t="inlineStr"/>
      <c r="Y396" s="20" t="n"/>
      <c r="Z396" s="19" t="inlineStr"/>
      <c r="AA396" s="18">
        <f>IF(OR(V396="Aprobada"),R396,IF(AND(OR(V396="Aprobada con ajuste",V396="Rechazada"),W396&lt;&gt;""),W396,""))</f>
        <v/>
      </c>
    </row>
    <row r="397">
      <c r="A397" s="18" t="inlineStr">
        <is>
          <t>C0396</t>
        </is>
      </c>
      <c r="B397" s="18" t="inlineStr">
        <is>
          <t>Plan de trabajo académico</t>
        </is>
      </c>
      <c r="C397" s="18" t="inlineStr">
        <is>
          <t>academic_work_plan</t>
        </is>
      </c>
      <c r="D397" s="18" t="inlineStr">
        <is>
          <t>direccion_territorial</t>
        </is>
      </c>
      <c r="E397" s="18" t="n">
        <v>18</v>
      </c>
      <c r="F397" s="18" t="inlineStr">
        <is>
          <t>codigo</t>
        </is>
      </c>
      <c r="G397" s="18" t="inlineStr">
        <is>
          <t>character varying(20)</t>
        </is>
      </c>
      <c r="H397" s="18" t="inlineStr">
        <is>
          <t>No</t>
        </is>
      </c>
      <c r="I397" s="18" t="inlineStr">
        <is>
          <t>Única</t>
        </is>
      </c>
      <c r="J397" s="18" t="inlineStr"/>
      <c r="K397" s="18" t="inlineStr"/>
      <c r="L397" s="18" t="inlineStr">
        <is>
          <t>No</t>
        </is>
      </c>
      <c r="M397" s="18" t="inlineStr">
        <is>
          <t>No</t>
        </is>
      </c>
      <c r="N397" s="18" t="inlineStr"/>
      <c r="O397" s="18" t="inlineStr">
        <is>
          <t>direccion_territorial_codigo_key</t>
        </is>
      </c>
      <c r="P397" s="18" t="inlineStr">
        <is>
          <t>Mapeada en academic-work-plan-service/src/pta/entities/direccion-territorial.entity.ts:8 (DireccionTerritorialEntity.codigo)</t>
        </is>
      </c>
      <c r="Q397" s="18" t="inlineStr">
        <is>
          <t>Regla estructural</t>
        </is>
      </c>
      <c r="R397" s="18" t="inlineStr">
        <is>
          <t>Código del registro de direccion_territorial. Único en la tabla.</t>
        </is>
      </c>
      <c r="S397" s="18" t="inlineStr">
        <is>
          <t>Media</t>
        </is>
      </c>
      <c r="T397" s="18" t="inlineStr">
        <is>
          <t>Convención de nombre de la columna.</t>
        </is>
      </c>
      <c r="U397" s="18" t="inlineStr"/>
      <c r="V397" s="19" t="inlineStr">
        <is>
          <t>Pendiente</t>
        </is>
      </c>
      <c r="W397" s="19" t="inlineStr"/>
      <c r="X397" s="19" t="inlineStr"/>
      <c r="Y397" s="20" t="n"/>
      <c r="Z397" s="19" t="inlineStr"/>
      <c r="AA397" s="18">
        <f>IF(OR(V397="Aprobada"),R397,IF(AND(OR(V397="Aprobada con ajuste",V397="Rechazada"),W397&lt;&gt;""),W397,""))</f>
        <v/>
      </c>
    </row>
    <row r="398">
      <c r="A398" s="18" t="inlineStr">
        <is>
          <t>C0397</t>
        </is>
      </c>
      <c r="B398" s="18" t="inlineStr">
        <is>
          <t>Plan de trabajo académico</t>
        </is>
      </c>
      <c r="C398" s="18" t="inlineStr">
        <is>
          <t>academic_work_plan</t>
        </is>
      </c>
      <c r="D398" s="18" t="inlineStr">
        <is>
          <t>direccion_territorial</t>
        </is>
      </c>
      <c r="E398" s="18" t="n">
        <v>18</v>
      </c>
      <c r="F398" s="18" t="inlineStr">
        <is>
          <t>nombre</t>
        </is>
      </c>
      <c r="G398" s="18" t="inlineStr">
        <is>
          <t>character varying(50)</t>
        </is>
      </c>
      <c r="H398" s="18" t="inlineStr">
        <is>
          <t>No</t>
        </is>
      </c>
      <c r="I398" s="18" t="inlineStr">
        <is>
          <t>Única</t>
        </is>
      </c>
      <c r="J398" s="18" t="inlineStr"/>
      <c r="K398" s="18" t="inlineStr"/>
      <c r="L398" s="18" t="inlineStr">
        <is>
          <t>No</t>
        </is>
      </c>
      <c r="M398" s="18" t="inlineStr">
        <is>
          <t>No</t>
        </is>
      </c>
      <c r="N398" s="18" t="inlineStr"/>
      <c r="O398" s="18" t="inlineStr">
        <is>
          <t>direccion_territorial_nombre_key</t>
        </is>
      </c>
      <c r="P398" s="18" t="inlineStr">
        <is>
          <t>Mapeada en academic-work-plan-service/src/pta/entities/direccion-territorial.entity.ts:11 (DireccionTerritorialEntity.nombre)</t>
        </is>
      </c>
      <c r="Q398" s="18" t="inlineStr">
        <is>
          <t>Regla estructural</t>
        </is>
      </c>
      <c r="R398" s="18" t="inlineStr">
        <is>
          <t>Nombre del registro de direccion_territorial.</t>
        </is>
      </c>
      <c r="S398" s="18" t="inlineStr">
        <is>
          <t>Media</t>
        </is>
      </c>
      <c r="T398" s="18" t="inlineStr">
        <is>
          <t>Convención de nombre de la columna.</t>
        </is>
      </c>
      <c r="U398" s="18" t="inlineStr"/>
      <c r="V398" s="19" t="inlineStr">
        <is>
          <t>Pendiente</t>
        </is>
      </c>
      <c r="W398" s="19" t="inlineStr"/>
      <c r="X398" s="19" t="inlineStr"/>
      <c r="Y398" s="20" t="n"/>
      <c r="Z398" s="19" t="inlineStr"/>
      <c r="AA398" s="18">
        <f>IF(OR(V398="Aprobada"),R398,IF(AND(OR(V398="Aprobada con ajuste",V398="Rechazada"),W398&lt;&gt;""),W398,""))</f>
        <v/>
      </c>
    </row>
    <row r="399">
      <c r="A399" s="18" t="inlineStr">
        <is>
          <t>C0398</t>
        </is>
      </c>
      <c r="B399" s="18" t="inlineStr">
        <is>
          <t>Plan de trabajo académico</t>
        </is>
      </c>
      <c r="C399" s="18" t="inlineStr">
        <is>
          <t>academic_work_plan</t>
        </is>
      </c>
      <c r="D399" s="18" t="inlineStr">
        <is>
          <t>direccion_territorial</t>
        </is>
      </c>
      <c r="E399" s="18" t="n">
        <v>18</v>
      </c>
      <c r="F399" s="18" t="inlineStr">
        <is>
          <t>nombre_normalizado</t>
        </is>
      </c>
      <c r="G399" s="18" t="inlineStr">
        <is>
          <t>character varying(50)</t>
        </is>
      </c>
      <c r="H399" s="18" t="inlineStr">
        <is>
          <t>No</t>
        </is>
      </c>
      <c r="I399" s="18" t="inlineStr">
        <is>
          <t>Única</t>
        </is>
      </c>
      <c r="J399" s="18" t="inlineStr"/>
      <c r="K399" s="18" t="inlineStr"/>
      <c r="L399" s="18" t="inlineStr">
        <is>
          <t>No</t>
        </is>
      </c>
      <c r="M399" s="18" t="inlineStr">
        <is>
          <t>No</t>
        </is>
      </c>
      <c r="N399" s="18" t="inlineStr"/>
      <c r="O399" s="18" t="inlineStr">
        <is>
          <t>direccion_territorial_nombre_normalizado_key</t>
        </is>
      </c>
      <c r="P399" s="18" t="inlineStr">
        <is>
          <t>Mapeada en academic-work-plan-service/src/pta/entities/direccion-territorial.entity.ts:14 (DireccionTerritorialEntity.nombreNormalizado)</t>
        </is>
      </c>
      <c r="Q399" s="18" t="inlineStr">
        <is>
          <t>Propuesta semántica</t>
        </is>
      </c>
      <c r="R399" s="18" t="inlineStr">
        <is>
          <t>Nombre de la dirección territorial normalizado para búsquedas y comparación; es único en la tabla.</t>
        </is>
      </c>
      <c r="S399" s="18" t="inlineStr">
        <is>
          <t>Media</t>
        </is>
      </c>
      <c r="T399" s="18" t="inlineStr">
        <is>
          <t>nombre + tipo + columnas vecinas + restricción única</t>
        </is>
      </c>
      <c r="U399" s="18" t="inlineStr">
        <is>
          <t>¿Qué reglas de normalización se aplican al nombre?</t>
        </is>
      </c>
      <c r="V399" s="19" t="inlineStr">
        <is>
          <t>Pendiente</t>
        </is>
      </c>
      <c r="W399" s="19" t="inlineStr"/>
      <c r="X399" s="19" t="inlineStr"/>
      <c r="Y399" s="20" t="n"/>
      <c r="Z399" s="19" t="inlineStr"/>
      <c r="AA399" s="18">
        <f>IF(OR(V399="Aprobada"),R399,IF(AND(OR(V399="Aprobada con ajuste",V399="Rechazada"),W399&lt;&gt;""),W399,""))</f>
        <v/>
      </c>
    </row>
    <row r="400">
      <c r="A400" s="18" t="inlineStr">
        <is>
          <t>C0399</t>
        </is>
      </c>
      <c r="B400" s="18" t="inlineStr">
        <is>
          <t>Plan de trabajo académico</t>
        </is>
      </c>
      <c r="C400" s="18" t="inlineStr">
        <is>
          <t>academic_work_plan</t>
        </is>
      </c>
      <c r="D400" s="18" t="inlineStr">
        <is>
          <t>direccion_territorial</t>
        </is>
      </c>
      <c r="E400" s="18" t="n">
        <v>18</v>
      </c>
      <c r="F400" s="18" t="inlineStr">
        <is>
          <t>activo</t>
        </is>
      </c>
      <c r="G400" s="18" t="inlineStr">
        <is>
          <t>boolean</t>
        </is>
      </c>
      <c r="H400" s="18" t="inlineStr">
        <is>
          <t>No</t>
        </is>
      </c>
      <c r="I400" s="18" t="inlineStr"/>
      <c r="J400" s="18" t="inlineStr"/>
      <c r="K400" s="18" t="inlineStr"/>
      <c r="L400" s="18" t="inlineStr">
        <is>
          <t>No</t>
        </is>
      </c>
      <c r="M400" s="18" t="inlineStr">
        <is>
          <t>No</t>
        </is>
      </c>
      <c r="N400" s="18" t="inlineStr"/>
      <c r="O400" s="18" t="inlineStr"/>
      <c r="P400" s="18" t="inlineStr">
        <is>
          <t>Mapeada en academic-work-plan-service/src/pta/entities/direccion-territorial.entity.ts:17 (DireccionTerritorialEntity.activo)</t>
        </is>
      </c>
      <c r="Q400" s="18" t="inlineStr">
        <is>
          <t>Regla estructural</t>
        </is>
      </c>
      <c r="R400" s="18" t="inlineStr">
        <is>
          <t>Indica si el registro está activo.</t>
        </is>
      </c>
      <c r="S400" s="18" t="inlineStr">
        <is>
          <t>Media</t>
        </is>
      </c>
      <c r="T400" s="18" t="inlineStr">
        <is>
          <t>Convención de nombre de la columna.</t>
        </is>
      </c>
      <c r="U400" s="18" t="inlineStr"/>
      <c r="V400" s="19" t="inlineStr">
        <is>
          <t>Pendiente</t>
        </is>
      </c>
      <c r="W400" s="19" t="inlineStr"/>
      <c r="X400" s="19" t="inlineStr"/>
      <c r="Y400" s="20" t="n"/>
      <c r="Z400" s="19" t="inlineStr"/>
      <c r="AA400" s="18">
        <f>IF(OR(V400="Aprobada"),R400,IF(AND(OR(V400="Aprobada con ajuste",V400="Rechazada"),W400&lt;&gt;""),W400,""))</f>
        <v/>
      </c>
    </row>
    <row r="401">
      <c r="A401" s="18" t="inlineStr">
        <is>
          <t>C0400</t>
        </is>
      </c>
      <c r="B401" s="18" t="inlineStr">
        <is>
          <t>Plan de trabajo académico</t>
        </is>
      </c>
      <c r="C401" s="18" t="inlineStr">
        <is>
          <t>academic_work_plan</t>
        </is>
      </c>
      <c r="D401" s="18" t="inlineStr">
        <is>
          <t>direccion_territorial</t>
        </is>
      </c>
      <c r="E401" s="18" t="n">
        <v>18</v>
      </c>
      <c r="F401" s="18" t="inlineStr">
        <is>
          <t>orden_visualizacion</t>
        </is>
      </c>
      <c r="G401" s="18" t="inlineStr">
        <is>
          <t>integer</t>
        </is>
      </c>
      <c r="H401" s="18" t="inlineStr">
        <is>
          <t>No</t>
        </is>
      </c>
      <c r="I401" s="18" t="inlineStr"/>
      <c r="J401" s="18" t="inlineStr"/>
      <c r="K401" s="18" t="inlineStr"/>
      <c r="L401" s="18" t="inlineStr">
        <is>
          <t>No</t>
        </is>
      </c>
      <c r="M401" s="18" t="inlineStr">
        <is>
          <t>No</t>
        </is>
      </c>
      <c r="N401" s="18" t="inlineStr"/>
      <c r="O401" s="18" t="inlineStr"/>
      <c r="P401" s="18" t="inlineStr">
        <is>
          <t>Mapeada en academic-work-plan-service/src/pta/entities/direccion-territorial.entity.ts:20 (DireccionTerritorialEntity.ordenVisualizacion)</t>
        </is>
      </c>
      <c r="Q401" s="18" t="inlineStr">
        <is>
          <t>Propuesta semántica</t>
        </is>
      </c>
      <c r="R401" s="18" t="inlineStr">
        <is>
          <t>Posición de la dirección territorial en las listas de presentación. Por defecto, 999.</t>
        </is>
      </c>
      <c r="S401" s="18" t="inlineStr">
        <is>
          <t>Alta</t>
        </is>
      </c>
      <c r="T401" s="18" t="inlineStr">
        <is>
          <t>nombre + tipo + columnas vecinas + defecto</t>
        </is>
      </c>
      <c r="U401" s="18" t="inlineStr"/>
      <c r="V401" s="19" t="inlineStr">
        <is>
          <t>Pendiente</t>
        </is>
      </c>
      <c r="W401" s="19" t="inlineStr"/>
      <c r="X401" s="19" t="inlineStr"/>
      <c r="Y401" s="20" t="n"/>
      <c r="Z401" s="19" t="inlineStr"/>
      <c r="AA401" s="18">
        <f>IF(OR(V401="Aprobada"),R401,IF(AND(OR(V401="Aprobada con ajuste",V401="Rechazada"),W401&lt;&gt;""),W401,""))</f>
        <v/>
      </c>
    </row>
    <row r="402">
      <c r="A402" s="18" t="inlineStr">
        <is>
          <t>C0401</t>
        </is>
      </c>
      <c r="B402" s="18" t="inlineStr">
        <is>
          <t>Plan de trabajo académico</t>
        </is>
      </c>
      <c r="C402" s="18" t="inlineStr">
        <is>
          <t>academic_work_plan</t>
        </is>
      </c>
      <c r="D402" s="18" t="inlineStr">
        <is>
          <t>direccion_territorial</t>
        </is>
      </c>
      <c r="E402" s="18" t="n">
        <v>18</v>
      </c>
      <c r="F402" s="18" t="inlineStr">
        <is>
          <t>deleted_at</t>
        </is>
      </c>
      <c r="G402" s="18" t="inlineStr">
        <is>
          <t>timestamp without time zone</t>
        </is>
      </c>
      <c r="H402" s="18" t="inlineStr">
        <is>
          <t>Sí</t>
        </is>
      </c>
      <c r="I402" s="18" t="inlineStr"/>
      <c r="J402" s="18" t="inlineStr"/>
      <c r="K402" s="18" t="inlineStr"/>
      <c r="L402" s="18" t="inlineStr">
        <is>
          <t>No</t>
        </is>
      </c>
      <c r="M402" s="18" t="inlineStr">
        <is>
          <t>No</t>
        </is>
      </c>
      <c r="N402" s="18" t="inlineStr"/>
      <c r="O402" s="18" t="inlineStr"/>
      <c r="P402" s="18" t="inlineStr">
        <is>
          <t>Mapeada en academic-work-plan-service/src/pta/entities/direccion-territorial.entity.ts:35 (DireccionTerritorialEntity.deletedAt)</t>
        </is>
      </c>
      <c r="Q402" s="18" t="inlineStr">
        <is>
          <t>Regla estructural</t>
        </is>
      </c>
      <c r="R402" s="18" t="inlineStr">
        <is>
          <t>Fecha y hora de la eliminación.</t>
        </is>
      </c>
      <c r="S402" s="18" t="inlineStr">
        <is>
          <t>Media</t>
        </is>
      </c>
      <c r="T402" s="18" t="inlineStr">
        <is>
          <t>Convención de nombre de la columna.</t>
        </is>
      </c>
      <c r="U402" s="18" t="inlineStr"/>
      <c r="V402" s="19" t="inlineStr">
        <is>
          <t>Pendiente</t>
        </is>
      </c>
      <c r="W402" s="19" t="inlineStr"/>
      <c r="X402" s="19" t="inlineStr"/>
      <c r="Y402" s="20" t="n"/>
      <c r="Z402" s="19" t="inlineStr"/>
      <c r="AA402" s="18">
        <f>IF(OR(V402="Aprobada"),R402,IF(AND(OR(V402="Aprobada con ajuste",V402="Rechazada"),W402&lt;&gt;""),W402,""))</f>
        <v/>
      </c>
    </row>
    <row r="403">
      <c r="A403" s="18" t="inlineStr">
        <is>
          <t>C0402</t>
        </is>
      </c>
      <c r="B403" s="18" t="inlineStr">
        <is>
          <t>Plan de trabajo académico</t>
        </is>
      </c>
      <c r="C403" s="18" t="inlineStr">
        <is>
          <t>academic_work_plan</t>
        </is>
      </c>
      <c r="D403" s="18" t="inlineStr">
        <is>
          <t>direccion_territorial</t>
        </is>
      </c>
      <c r="E403" s="18" t="n">
        <v>18</v>
      </c>
      <c r="F403" s="18" t="inlineStr">
        <is>
          <t>deleted_by</t>
        </is>
      </c>
      <c r="G403" s="18" t="inlineStr">
        <is>
          <t>bigint</t>
        </is>
      </c>
      <c r="H403" s="18" t="inlineStr">
        <is>
          <t>Sí</t>
        </is>
      </c>
      <c r="I403" s="18" t="inlineStr"/>
      <c r="J403" s="18" t="inlineStr"/>
      <c r="K403" s="18" t="inlineStr"/>
      <c r="L403" s="18" t="inlineStr">
        <is>
          <t>No</t>
        </is>
      </c>
      <c r="M403" s="18" t="inlineStr">
        <is>
          <t>No</t>
        </is>
      </c>
      <c r="N403" s="18" t="inlineStr"/>
      <c r="O403" s="18" t="inlineStr"/>
      <c r="P403" s="18" t="inlineStr">
        <is>
          <t>Mapeada en academic-work-plan-service/src/pta/entities/direccion-territorial.entity.ts:38 (DireccionTerritorialEntity.deletedBy)</t>
        </is>
      </c>
      <c r="Q403" s="18" t="inlineStr">
        <is>
          <t>Propuesta semántica</t>
        </is>
      </c>
      <c r="R403" s="18" t="inlineStr">
        <is>
          <t>Identificador del usuario que eliminó lógicamente el registro.</t>
        </is>
      </c>
      <c r="S403" s="18" t="inlineStr">
        <is>
          <t>Media</t>
        </is>
      </c>
      <c r="T403" s="18" t="inlineStr">
        <is>
          <t>nombre + tipo + columnas vecinas (deleted_at)</t>
        </is>
      </c>
      <c r="U403" s="18" t="inlineStr">
        <is>
          <t>¿deleted_by guarda el id de auth."user" (id_user) o de otra tabla de usuarios?</t>
        </is>
      </c>
      <c r="V403" s="19" t="inlineStr">
        <is>
          <t>Pendiente</t>
        </is>
      </c>
      <c r="W403" s="19" t="inlineStr"/>
      <c r="X403" s="19" t="inlineStr"/>
      <c r="Y403" s="20" t="n"/>
      <c r="Z403" s="19" t="inlineStr"/>
      <c r="AA403" s="18">
        <f>IF(OR(V403="Aprobada"),R403,IF(AND(OR(V403="Aprobada con ajuste",V403="Rechazada"),W403&lt;&gt;""),W403,""))</f>
        <v/>
      </c>
    </row>
    <row r="404">
      <c r="A404" s="18" t="inlineStr">
        <is>
          <t>C0403</t>
        </is>
      </c>
      <c r="B404" s="18" t="inlineStr">
        <is>
          <t>Plan de trabajo académico</t>
        </is>
      </c>
      <c r="C404" s="18" t="inlineStr">
        <is>
          <t>academic_work_plan</t>
        </is>
      </c>
      <c r="D404" s="18" t="inlineStr">
        <is>
          <t>docencia_concertada</t>
        </is>
      </c>
      <c r="E404" s="18" t="n">
        <v>0</v>
      </c>
      <c r="F404" s="18" t="inlineStr">
        <is>
          <t>documento_docente</t>
        </is>
      </c>
      <c r="G404" s="18" t="inlineStr">
        <is>
          <t>character varying(40)</t>
        </is>
      </c>
      <c r="H404" s="18" t="inlineStr">
        <is>
          <t>No</t>
        </is>
      </c>
      <c r="I404" s="18" t="inlineStr"/>
      <c r="J404" s="18" t="inlineStr"/>
      <c r="K404" s="18" t="inlineStr"/>
      <c r="L404" s="18" t="inlineStr">
        <is>
          <t>No</t>
        </is>
      </c>
      <c r="M404" s="18" t="inlineStr">
        <is>
          <t>No</t>
        </is>
      </c>
      <c r="N404" s="18" t="inlineStr"/>
      <c r="O404" s="18" t="inlineStr">
        <is>
          <t>idx_docencia_concertada_docente_periodo</t>
        </is>
      </c>
      <c r="P404" s="18" t="inlineStr"/>
      <c r="Q404" s="18" t="inlineStr">
        <is>
          <t>Propuesta semántica</t>
        </is>
      </c>
      <c r="R404" s="18" t="inlineStr">
        <is>
          <t>Número de documento de identidad del docente al que corresponde la docencia concertada.</t>
        </is>
      </c>
      <c r="S404" s="18" t="inlineStr">
        <is>
          <t>Alta</t>
        </is>
      </c>
      <c r="T404" s="18" t="inlineStr">
        <is>
          <t>nombre + tipo + columnas vecinas + índice idx_docencia_concertada_docente_periodo</t>
        </is>
      </c>
      <c r="U404" s="18" t="inlineStr"/>
      <c r="V404" s="19" t="inlineStr">
        <is>
          <t>Pendiente</t>
        </is>
      </c>
      <c r="W404" s="19" t="inlineStr"/>
      <c r="X404" s="19" t="inlineStr"/>
      <c r="Y404" s="20" t="n"/>
      <c r="Z404" s="19" t="inlineStr"/>
      <c r="AA404" s="18">
        <f>IF(OR(V404="Aprobada"),R404,IF(AND(OR(V404="Aprobada con ajuste",V404="Rechazada"),W404&lt;&gt;""),W404,""))</f>
        <v/>
      </c>
    </row>
    <row r="405">
      <c r="A405" s="18" t="inlineStr">
        <is>
          <t>C0404</t>
        </is>
      </c>
      <c r="B405" s="18" t="inlineStr">
        <is>
          <t>Plan de trabajo académico</t>
        </is>
      </c>
      <c r="C405" s="18" t="inlineStr">
        <is>
          <t>academic_work_plan</t>
        </is>
      </c>
      <c r="D405" s="18" t="inlineStr">
        <is>
          <t>docencia_concertada</t>
        </is>
      </c>
      <c r="E405" s="18" t="n">
        <v>0</v>
      </c>
      <c r="F405" s="18" t="inlineStr">
        <is>
          <t>periodo</t>
        </is>
      </c>
      <c r="G405" s="18" t="inlineStr">
        <is>
          <t>character varying(40)</t>
        </is>
      </c>
      <c r="H405" s="18" t="inlineStr">
        <is>
          <t>Sí</t>
        </is>
      </c>
      <c r="I405" s="18" t="inlineStr"/>
      <c r="J405" s="18" t="inlineStr"/>
      <c r="K405" s="18" t="inlineStr"/>
      <c r="L405" s="18" t="inlineStr">
        <is>
          <t>No</t>
        </is>
      </c>
      <c r="M405" s="18" t="inlineStr">
        <is>
          <t>No</t>
        </is>
      </c>
      <c r="N405" s="18" t="inlineStr"/>
      <c r="O405" s="18" t="inlineStr">
        <is>
          <t>idx_docencia_concertada_docente_periodo</t>
        </is>
      </c>
      <c r="P405" s="18" t="inlineStr"/>
      <c r="Q405" s="18" t="inlineStr">
        <is>
          <t>Propuesta semántica</t>
        </is>
      </c>
      <c r="R405" s="18" t="inlineStr">
        <is>
          <t>Periodo académico de la docencia concertada.</t>
        </is>
      </c>
      <c r="S405" s="18" t="inlineStr">
        <is>
          <t>Media</t>
        </is>
      </c>
      <c r="T405" s="18" t="inlineStr">
        <is>
          <t>nombre + tipo + columnas vecinas + índice con documento_docente</t>
        </is>
      </c>
      <c r="U405" s="18" t="inlineStr">
        <is>
          <t>¿Qué formato tiene el periodo (por ejemplo, 2025-2) y se relaciona con periodo_academico.codigo?</t>
        </is>
      </c>
      <c r="V405" s="19" t="inlineStr">
        <is>
          <t>Pendiente</t>
        </is>
      </c>
      <c r="W405" s="19" t="inlineStr"/>
      <c r="X405" s="19" t="inlineStr"/>
      <c r="Y405" s="20" t="n"/>
      <c r="Z405" s="19" t="inlineStr"/>
      <c r="AA405" s="18">
        <f>IF(OR(V405="Aprobada"),R405,IF(AND(OR(V405="Aprobada con ajuste",V405="Rechazada"),W405&lt;&gt;""),W405,""))</f>
        <v/>
      </c>
    </row>
    <row r="406">
      <c r="A406" s="18" t="inlineStr">
        <is>
          <t>C0405</t>
        </is>
      </c>
      <c r="B406" s="18" t="inlineStr">
        <is>
          <t>Plan de trabajo académico</t>
        </is>
      </c>
      <c r="C406" s="18" t="inlineStr">
        <is>
          <t>academic_work_plan</t>
        </is>
      </c>
      <c r="D406" s="18" t="inlineStr">
        <is>
          <t>docencia_concertada</t>
        </is>
      </c>
      <c r="E406" s="18" t="n">
        <v>0</v>
      </c>
      <c r="F406" s="18" t="inlineStr">
        <is>
          <t>nivel</t>
        </is>
      </c>
      <c r="G406" s="18" t="inlineStr">
        <is>
          <t>character varying(10)</t>
        </is>
      </c>
      <c r="H406" s="18" t="inlineStr">
        <is>
          <t>No</t>
        </is>
      </c>
      <c r="I406" s="18" t="inlineStr">
        <is>
          <t>CHECK</t>
        </is>
      </c>
      <c r="J406" s="18" t="inlineStr">
        <is>
          <t>posgrado, pregrado</t>
        </is>
      </c>
      <c r="K406" s="18" t="inlineStr"/>
      <c r="L406" s="18" t="inlineStr">
        <is>
          <t>Sí</t>
        </is>
      </c>
      <c r="M406" s="18" t="inlineStr">
        <is>
          <t>No</t>
        </is>
      </c>
      <c r="N406" s="18" t="inlineStr"/>
      <c r="O406" s="18" t="inlineStr"/>
      <c r="P406" s="18" t="inlineStr"/>
      <c r="Q406" s="18" t="inlineStr">
        <is>
          <t>Propuesta semántica</t>
        </is>
      </c>
      <c r="R406" s="18" t="inlineStr">
        <is>
          <t>Nivel de formación de la docencia concertada. Valores permitidos: posgrado, pregrado.</t>
        </is>
      </c>
      <c r="S406" s="18" t="inlineStr">
        <is>
          <t>Alta</t>
        </is>
      </c>
      <c r="T406" s="18" t="inlineStr">
        <is>
          <t>valores permitidos del CHECK</t>
        </is>
      </c>
      <c r="U406" s="18" t="inlineStr"/>
      <c r="V406" s="19" t="inlineStr">
        <is>
          <t>Pendiente</t>
        </is>
      </c>
      <c r="W406" s="19" t="inlineStr"/>
      <c r="X406" s="19" t="inlineStr"/>
      <c r="Y406" s="20" t="n"/>
      <c r="Z406" s="19" t="inlineStr"/>
      <c r="AA406" s="18">
        <f>IF(OR(V406="Aprobada"),R406,IF(AND(OR(V406="Aprobada con ajuste",V406="Rechazada"),W406&lt;&gt;""),W406,""))</f>
        <v/>
      </c>
    </row>
    <row r="407">
      <c r="A407" s="18" t="inlineStr">
        <is>
          <t>C0406</t>
        </is>
      </c>
      <c r="B407" s="18" t="inlineStr">
        <is>
          <t>Plan de trabajo académico</t>
        </is>
      </c>
      <c r="C407" s="18" t="inlineStr">
        <is>
          <t>academic_work_plan</t>
        </is>
      </c>
      <c r="D407" s="18" t="inlineStr">
        <is>
          <t>docencia_concertada</t>
        </is>
      </c>
      <c r="E407" s="18" t="n">
        <v>0</v>
      </c>
      <c r="F407" s="18" t="inlineStr">
        <is>
          <t>horas</t>
        </is>
      </c>
      <c r="G407" s="18" t="inlineStr">
        <is>
          <t>numeric(8,1)</t>
        </is>
      </c>
      <c r="H407" s="18" t="inlineStr">
        <is>
          <t>No</t>
        </is>
      </c>
      <c r="I407" s="18" t="inlineStr"/>
      <c r="J407" s="18" t="inlineStr"/>
      <c r="K407" s="18" t="inlineStr"/>
      <c r="L407" s="18" t="inlineStr">
        <is>
          <t>No</t>
        </is>
      </c>
      <c r="M407" s="18" t="inlineStr">
        <is>
          <t>No</t>
        </is>
      </c>
      <c r="N407" s="18" t="inlineStr"/>
      <c r="O407" s="18" t="inlineStr"/>
      <c r="P407" s="18" t="inlineStr"/>
      <c r="Q407" s="18" t="inlineStr">
        <is>
          <t>Propuesta semántica</t>
        </is>
      </c>
      <c r="R407" s="18" t="inlineStr">
        <is>
          <t>Número de horas de docencia concertadas para el docente en el periodo.</t>
        </is>
      </c>
      <c r="S407" s="18" t="inlineStr">
        <is>
          <t>Media</t>
        </is>
      </c>
      <c r="T407" s="18" t="inlineStr">
        <is>
          <t>nombre + tipo + columnas vecinas</t>
        </is>
      </c>
      <c r="U407" s="18" t="inlineStr">
        <is>
          <t>¿Las horas son semanales o del periodo completo?</t>
        </is>
      </c>
      <c r="V407" s="19" t="inlineStr">
        <is>
          <t>Pendiente</t>
        </is>
      </c>
      <c r="W407" s="19" t="inlineStr"/>
      <c r="X407" s="19" t="inlineStr"/>
      <c r="Y407" s="20" t="n"/>
      <c r="Z407" s="19" t="inlineStr"/>
      <c r="AA407" s="18">
        <f>IF(OR(V407="Aprobada"),R407,IF(AND(OR(V407="Aprobada con ajuste",V407="Rechazada"),W407&lt;&gt;""),W407,""))</f>
        <v/>
      </c>
    </row>
    <row r="408">
      <c r="A408" s="18" t="inlineStr">
        <is>
          <t>C0407</t>
        </is>
      </c>
      <c r="B408" s="18" t="inlineStr">
        <is>
          <t>Plan de trabajo académico</t>
        </is>
      </c>
      <c r="C408" s="18" t="inlineStr">
        <is>
          <t>academic_work_plan</t>
        </is>
      </c>
      <c r="D408" s="18" t="inlineStr">
        <is>
          <t>docencia_concertada</t>
        </is>
      </c>
      <c r="E408" s="18" t="n">
        <v>0</v>
      </c>
      <c r="F408" s="18" t="inlineStr">
        <is>
          <t>huella</t>
        </is>
      </c>
      <c r="G408" s="18" t="inlineStr">
        <is>
          <t>character(64)</t>
        </is>
      </c>
      <c r="H408" s="18" t="inlineStr">
        <is>
          <t>No</t>
        </is>
      </c>
      <c r="I408" s="18" t="inlineStr"/>
      <c r="J408" s="18" t="inlineStr"/>
      <c r="K408" s="18" t="inlineStr"/>
      <c r="L408" s="18" t="inlineStr">
        <is>
          <t>No</t>
        </is>
      </c>
      <c r="M408" s="18" t="inlineStr">
        <is>
          <t>No</t>
        </is>
      </c>
      <c r="N408" s="18" t="inlineStr"/>
      <c r="O408" s="18" t="inlineStr"/>
      <c r="P408" s="18" t="inlineStr"/>
      <c r="Q408" s="18" t="inlineStr">
        <is>
          <t>Propuesta semántica</t>
        </is>
      </c>
      <c r="R408" s="18" t="inlineStr">
        <is>
          <t>Huella (hash de 64 caracteres) del contenido de la concertación, usada para verificar su integridad.</t>
        </is>
      </c>
      <c r="S408" s="18" t="inlineStr">
        <is>
          <t>Media</t>
        </is>
      </c>
      <c r="T408" s="18" t="inlineStr">
        <is>
          <t>nombre + tipo + columnas vecinas (character(64))</t>
        </is>
      </c>
      <c r="U408" s="18" t="inlineStr">
        <is>
          <t>¿Qué algoritmo genera la huella (por ejemplo, SHA-256) y sobre qué campos se calcula?</t>
        </is>
      </c>
      <c r="V408" s="19" t="inlineStr">
        <is>
          <t>Pendiente</t>
        </is>
      </c>
      <c r="W408" s="19" t="inlineStr"/>
      <c r="X408" s="19" t="inlineStr"/>
      <c r="Y408" s="20" t="n"/>
      <c r="Z408" s="19" t="inlineStr"/>
      <c r="AA408" s="18">
        <f>IF(OR(V408="Aprobada"),R408,IF(AND(OR(V408="Aprobada con ajuste",V408="Rechazada"),W408&lt;&gt;""),W408,""))</f>
        <v/>
      </c>
    </row>
    <row r="409">
      <c r="A409" s="18" t="inlineStr">
        <is>
          <t>C0408</t>
        </is>
      </c>
      <c r="B409" s="18" t="inlineStr">
        <is>
          <t>Plan de trabajo académico</t>
        </is>
      </c>
      <c r="C409" s="18" t="inlineStr">
        <is>
          <t>academic_work_plan</t>
        </is>
      </c>
      <c r="D409" s="18" t="inlineStr">
        <is>
          <t>docencia_concertada</t>
        </is>
      </c>
      <c r="E409" s="18" t="n">
        <v>0</v>
      </c>
      <c r="F409" s="18" t="inlineStr">
        <is>
          <t>asignaturas</t>
        </is>
      </c>
      <c r="G409" s="18" t="inlineStr">
        <is>
          <t>jsonb</t>
        </is>
      </c>
      <c r="H409" s="18" t="inlineStr">
        <is>
          <t>No</t>
        </is>
      </c>
      <c r="I409" s="18" t="inlineStr"/>
      <c r="J409" s="18" t="inlineStr"/>
      <c r="K409" s="18" t="inlineStr"/>
      <c r="L409" s="18" t="inlineStr">
        <is>
          <t>No</t>
        </is>
      </c>
      <c r="M409" s="18" t="inlineStr">
        <is>
          <t>No</t>
        </is>
      </c>
      <c r="N409" s="18" t="inlineStr"/>
      <c r="O409" s="18" t="inlineStr"/>
      <c r="P409" s="18" t="inlineStr"/>
      <c r="Q409" s="18" t="inlineStr">
        <is>
          <t>Propuesta semántica</t>
        </is>
      </c>
      <c r="R409" s="18" t="inlineStr">
        <is>
          <t>Lista de asignaturas incluidas en la docencia concertada, en formato JSON.</t>
        </is>
      </c>
      <c r="S409" s="18" t="inlineStr">
        <is>
          <t>Media</t>
        </is>
      </c>
      <c r="T409" s="18" t="inlineStr">
        <is>
          <t>nombre + tipo + columnas vecinas</t>
        </is>
      </c>
      <c r="U409" s="18" t="inlineStr">
        <is>
          <t>¿Qué estructura tiene cada elemento del JSON de asignaturas?</t>
        </is>
      </c>
      <c r="V409" s="19" t="inlineStr">
        <is>
          <t>Pendiente</t>
        </is>
      </c>
      <c r="W409" s="19" t="inlineStr"/>
      <c r="X409" s="19" t="inlineStr"/>
      <c r="Y409" s="20" t="n"/>
      <c r="Z409" s="19" t="inlineStr"/>
      <c r="AA409" s="18">
        <f>IF(OR(V409="Aprobada"),R409,IF(AND(OR(V409="Aprobada con ajuste",V409="Rechazada"),W409&lt;&gt;""),W409,""))</f>
        <v/>
      </c>
    </row>
    <row r="410">
      <c r="A410" s="18" t="inlineStr">
        <is>
          <t>C0409</t>
        </is>
      </c>
      <c r="B410" s="18" t="inlineStr">
        <is>
          <t>Plan de trabajo académico</t>
        </is>
      </c>
      <c r="C410" s="18" t="inlineStr">
        <is>
          <t>academic_work_plan</t>
        </is>
      </c>
      <c r="D410" s="18" t="inlineStr">
        <is>
          <t>docencia_concertada</t>
        </is>
      </c>
      <c r="E410" s="18" t="n">
        <v>0</v>
      </c>
      <c r="F410" s="18" t="inlineStr">
        <is>
          <t>firmas</t>
        </is>
      </c>
      <c r="G410" s="18" t="inlineStr">
        <is>
          <t>jsonb</t>
        </is>
      </c>
      <c r="H410" s="18" t="inlineStr">
        <is>
          <t>No</t>
        </is>
      </c>
      <c r="I410" s="18" t="inlineStr"/>
      <c r="J410" s="18" t="inlineStr"/>
      <c r="K410" s="18" t="inlineStr"/>
      <c r="L410" s="18" t="inlineStr">
        <is>
          <t>No</t>
        </is>
      </c>
      <c r="M410" s="18" t="inlineStr">
        <is>
          <t>No</t>
        </is>
      </c>
      <c r="N410" s="18" t="inlineStr"/>
      <c r="O410" s="18" t="inlineStr"/>
      <c r="P410" s="18" t="inlineStr"/>
      <c r="Q410" s="18" t="inlineStr">
        <is>
          <t>Propuesta semántica</t>
        </is>
      </c>
      <c r="R410" s="18" t="inlineStr">
        <is>
          <t>Firmas registradas para la concertación, en formato JSON.</t>
        </is>
      </c>
      <c r="S410" s="18" t="inlineStr">
        <is>
          <t>Media</t>
        </is>
      </c>
      <c r="T410" s="18" t="inlineStr">
        <is>
          <t>nombre + tipo + columnas vecinas</t>
        </is>
      </c>
      <c r="U410" s="18" t="inlineStr">
        <is>
          <t>¿Qué firmantes y qué datos de cada firma se guardan en el JSON?</t>
        </is>
      </c>
      <c r="V410" s="19" t="inlineStr">
        <is>
          <t>Pendiente</t>
        </is>
      </c>
      <c r="W410" s="19" t="inlineStr"/>
      <c r="X410" s="19" t="inlineStr"/>
      <c r="Y410" s="20" t="n"/>
      <c r="Z410" s="19" t="inlineStr"/>
      <c r="AA410" s="18">
        <f>IF(OR(V410="Aprobada"),R410,IF(AND(OR(V410="Aprobada con ajuste",V410="Rechazada"),W410&lt;&gt;""),W410,""))</f>
        <v/>
      </c>
    </row>
    <row r="411">
      <c r="A411" s="18" t="inlineStr">
        <is>
          <t>C0410</t>
        </is>
      </c>
      <c r="B411" s="18" t="inlineStr">
        <is>
          <t>Plan de trabajo académico</t>
        </is>
      </c>
      <c r="C411" s="18" t="inlineStr">
        <is>
          <t>academic_work_plan</t>
        </is>
      </c>
      <c r="D411" s="18" t="inlineStr">
        <is>
          <t>docencia_concertada</t>
        </is>
      </c>
      <c r="E411" s="18" t="n">
        <v>0</v>
      </c>
      <c r="F411" s="18" t="inlineStr">
        <is>
          <t>registrada_por</t>
        </is>
      </c>
      <c r="G411" s="18" t="inlineStr">
        <is>
          <t>character varying(80)</t>
        </is>
      </c>
      <c r="H411" s="18" t="inlineStr">
        <is>
          <t>Sí</t>
        </is>
      </c>
      <c r="I411" s="18" t="inlineStr"/>
      <c r="J411" s="18" t="inlineStr"/>
      <c r="K411" s="18" t="inlineStr"/>
      <c r="L411" s="18" t="inlineStr">
        <is>
          <t>No</t>
        </is>
      </c>
      <c r="M411" s="18" t="inlineStr">
        <is>
          <t>No</t>
        </is>
      </c>
      <c r="N411" s="18" t="inlineStr"/>
      <c r="O411" s="18" t="inlineStr"/>
      <c r="P411" s="18" t="inlineStr"/>
      <c r="Q411" s="18" t="inlineStr">
        <is>
          <t>Regla estructural</t>
        </is>
      </c>
      <c r="R411" s="18" t="inlineStr">
        <is>
          <t>Usuario que realizó el registro.</t>
        </is>
      </c>
      <c r="S411" s="18" t="inlineStr">
        <is>
          <t>Media</t>
        </is>
      </c>
      <c r="T411" s="18" t="inlineStr">
        <is>
          <t>Convención de nombre de la columna.</t>
        </is>
      </c>
      <c r="U411" s="18" t="inlineStr"/>
      <c r="V411" s="19" t="inlineStr">
        <is>
          <t>Pendiente</t>
        </is>
      </c>
      <c r="W411" s="19" t="inlineStr"/>
      <c r="X411" s="19" t="inlineStr"/>
      <c r="Y411" s="20" t="n"/>
      <c r="Z411" s="19" t="inlineStr"/>
      <c r="AA411" s="18">
        <f>IF(OR(V411="Aprobada"),R411,IF(AND(OR(V411="Aprobada con ajuste",V411="Rechazada"),W411&lt;&gt;""),W411,""))</f>
        <v/>
      </c>
    </row>
    <row r="412">
      <c r="A412" s="18" t="inlineStr">
        <is>
          <t>C0411</t>
        </is>
      </c>
      <c r="B412" s="18" t="inlineStr">
        <is>
          <t>Plan de trabajo académico</t>
        </is>
      </c>
      <c r="C412" s="18" t="inlineStr">
        <is>
          <t>academic_work_plan</t>
        </is>
      </c>
      <c r="D412" s="18" t="inlineStr">
        <is>
          <t>docencia_concertada</t>
        </is>
      </c>
      <c r="E412" s="18" t="n">
        <v>0</v>
      </c>
      <c r="F412" s="18" t="inlineStr">
        <is>
          <t>aplicada_en</t>
        </is>
      </c>
      <c r="G412" s="18" t="inlineStr">
        <is>
          <t>timestamp with time zone</t>
        </is>
      </c>
      <c r="H412" s="18" t="inlineStr">
        <is>
          <t>Sí</t>
        </is>
      </c>
      <c r="I412" s="18" t="inlineStr"/>
      <c r="J412" s="18" t="inlineStr"/>
      <c r="K412" s="18" t="inlineStr"/>
      <c r="L412" s="18" t="inlineStr">
        <is>
          <t>No</t>
        </is>
      </c>
      <c r="M412" s="18" t="inlineStr">
        <is>
          <t>No</t>
        </is>
      </c>
      <c r="N412" s="18" t="inlineStr"/>
      <c r="O412" s="18" t="inlineStr"/>
      <c r="P412" s="18" t="inlineStr">
        <is>
          <t>db/migrations/667_pta_docencia_concertada.sql:32: Cuándo la aplicó el PTA a su componente de Docencia (integración pendiente).</t>
        </is>
      </c>
      <c r="Q412" s="18" t="inlineStr">
        <is>
          <t>Código fuente</t>
        </is>
      </c>
      <c r="R412" s="18" t="inlineStr">
        <is>
          <t>Fecha y hora en que el PTA aplicó la docencia concertada a su componente de Docencia.</t>
        </is>
      </c>
      <c r="S412" s="18" t="inlineStr">
        <is>
          <t>Alta</t>
        </is>
      </c>
      <c r="T412" s="18" t="inlineStr">
        <is>
          <t>código: db/migrations/667_pta_docencia_concertada.sql:32</t>
        </is>
      </c>
      <c r="U412" s="18" t="inlineStr"/>
      <c r="V412" s="19" t="inlineStr">
        <is>
          <t>Pendiente</t>
        </is>
      </c>
      <c r="W412" s="19" t="inlineStr"/>
      <c r="X412" s="19" t="inlineStr"/>
      <c r="Y412" s="20" t="n"/>
      <c r="Z412" s="19" t="inlineStr"/>
      <c r="AA412" s="18">
        <f>IF(OR(V412="Aprobada"),R412,IF(AND(OR(V412="Aprobada con ajuste",V412="Rechazada"),W412&lt;&gt;""),W412,""))</f>
        <v/>
      </c>
    </row>
    <row r="413">
      <c r="A413" s="18" t="inlineStr">
        <is>
          <t>C0412</t>
        </is>
      </c>
      <c r="B413" s="18" t="inlineStr">
        <is>
          <t>Plan de trabajo académico</t>
        </is>
      </c>
      <c r="C413" s="18" t="inlineStr">
        <is>
          <t>academic_work_plan</t>
        </is>
      </c>
      <c r="D413" s="18" t="inlineStr">
        <is>
          <t>docencia_concertada</t>
        </is>
      </c>
      <c r="E413" s="18" t="n">
        <v>0</v>
      </c>
      <c r="F413" s="18" t="inlineStr">
        <is>
          <t>recibida_en</t>
        </is>
      </c>
      <c r="G413" s="18" t="inlineStr">
        <is>
          <t>timestamp with time zone</t>
        </is>
      </c>
      <c r="H413" s="18" t="inlineStr">
        <is>
          <t>No</t>
        </is>
      </c>
      <c r="I413" s="18" t="inlineStr"/>
      <c r="J413" s="18" t="inlineStr"/>
      <c r="K413" s="18" t="inlineStr"/>
      <c r="L413" s="18" t="inlineStr">
        <is>
          <t>No</t>
        </is>
      </c>
      <c r="M413" s="18" t="inlineStr">
        <is>
          <t>No</t>
        </is>
      </c>
      <c r="N413" s="18" t="inlineStr"/>
      <c r="O413" s="18" t="inlineStr"/>
      <c r="P413" s="18" t="inlineStr"/>
      <c r="Q413" s="18" t="inlineStr">
        <is>
          <t>Propuesta semántica</t>
        </is>
      </c>
      <c r="R413" s="18" t="inlineStr">
        <is>
          <t>Fecha y hora en que se recibió la docencia concertada. Por defecto, la fecha y hora del registro.</t>
        </is>
      </c>
      <c r="S413" s="18" t="inlineStr">
        <is>
          <t>Alta</t>
        </is>
      </c>
      <c r="T413" s="18" t="inlineStr">
        <is>
          <t>nombre + tipo + columnas vecinas + defecto now()</t>
        </is>
      </c>
      <c r="U413" s="18" t="inlineStr"/>
      <c r="V413" s="19" t="inlineStr">
        <is>
          <t>Pendiente</t>
        </is>
      </c>
      <c r="W413" s="19" t="inlineStr"/>
      <c r="X413" s="19" t="inlineStr"/>
      <c r="Y413" s="20" t="n"/>
      <c r="Z413" s="19" t="inlineStr"/>
      <c r="AA413" s="18">
        <f>IF(OR(V413="Aprobada"),R413,IF(AND(OR(V413="Aprobada con ajuste",V413="Rechazada"),W413&lt;&gt;""),W413,""))</f>
        <v/>
      </c>
    </row>
    <row r="414">
      <c r="A414" s="18" t="inlineStr">
        <is>
          <t>C0413</t>
        </is>
      </c>
      <c r="B414" s="18" t="inlineStr">
        <is>
          <t>Plan de trabajo académico</t>
        </is>
      </c>
      <c r="C414" s="18" t="inlineStr">
        <is>
          <t>academic_work_plan</t>
        </is>
      </c>
      <c r="D414" s="18" t="inlineStr">
        <is>
          <t>docencia_concertada</t>
        </is>
      </c>
      <c r="E414" s="18" t="n">
        <v>0</v>
      </c>
      <c r="F414" s="18" t="inlineStr">
        <is>
          <t>actualizada_en</t>
        </is>
      </c>
      <c r="G414" s="18" t="inlineStr">
        <is>
          <t>timestamp with time zone</t>
        </is>
      </c>
      <c r="H414" s="18" t="inlineStr">
        <is>
          <t>No</t>
        </is>
      </c>
      <c r="I414" s="18" t="inlineStr"/>
      <c r="J414" s="18" t="inlineStr"/>
      <c r="K414" s="18" t="inlineStr"/>
      <c r="L414" s="18" t="inlineStr">
        <is>
          <t>No</t>
        </is>
      </c>
      <c r="M414" s="18" t="inlineStr">
        <is>
          <t>No</t>
        </is>
      </c>
      <c r="N414" s="18" t="inlineStr"/>
      <c r="O414" s="18" t="inlineStr"/>
      <c r="P414" s="18" t="inlineStr"/>
      <c r="Q414" s="18" t="inlineStr">
        <is>
          <t>Regla estructural</t>
        </is>
      </c>
      <c r="R414" s="18" t="inlineStr">
        <is>
          <t>Fecha y hora de la actualización.</t>
        </is>
      </c>
      <c r="S414" s="18" t="inlineStr">
        <is>
          <t>Media</t>
        </is>
      </c>
      <c r="T414" s="18" t="inlineStr">
        <is>
          <t>Convención de nombre de la columna.</t>
        </is>
      </c>
      <c r="U414" s="18" t="inlineStr"/>
      <c r="V414" s="19" t="inlineStr">
        <is>
          <t>Pendiente</t>
        </is>
      </c>
      <c r="W414" s="19" t="inlineStr"/>
      <c r="X414" s="19" t="inlineStr"/>
      <c r="Y414" s="20" t="n"/>
      <c r="Z414" s="19" t="inlineStr"/>
      <c r="AA414" s="18">
        <f>IF(OR(V414="Aprobada"),R414,IF(AND(OR(V414="Aprobada con ajuste",V414="Rechazada"),W414&lt;&gt;""),W414,""))</f>
        <v/>
      </c>
    </row>
    <row r="415">
      <c r="A415" s="18" t="inlineStr">
        <is>
          <t>C0414</t>
        </is>
      </c>
      <c r="B415" s="18" t="inlineStr">
        <is>
          <t>Plan de trabajo académico</t>
        </is>
      </c>
      <c r="C415" s="18" t="inlineStr">
        <is>
          <t>academic_work_plan</t>
        </is>
      </c>
      <c r="D415" s="18" t="inlineStr">
        <is>
          <t>docencia_concertada</t>
        </is>
      </c>
      <c r="E415" s="18" t="n">
        <v>0</v>
      </c>
      <c r="F415" s="18" t="inlineStr">
        <is>
          <t>estado_aplicacion</t>
        </is>
      </c>
      <c r="G415" s="18" t="inlineStr">
        <is>
          <t>character varying(40)</t>
        </is>
      </c>
      <c r="H415" s="18" t="inlineStr">
        <is>
          <t>Sí</t>
        </is>
      </c>
      <c r="I415" s="18" t="inlineStr"/>
      <c r="J415" s="18" t="inlineStr"/>
      <c r="K415" s="18" t="inlineStr"/>
      <c r="L415" s="18" t="inlineStr">
        <is>
          <t>No</t>
        </is>
      </c>
      <c r="M415" s="18" t="inlineStr">
        <is>
          <t>No</t>
        </is>
      </c>
      <c r="N415" s="18" t="inlineStr"/>
      <c r="O415" s="18" t="inlineStr"/>
      <c r="P415" s="18" t="inlineStr"/>
      <c r="Q415" s="18" t="inlineStr">
        <is>
          <t>Propuesta semántica</t>
        </is>
      </c>
      <c r="R415" s="18" t="inlineStr">
        <is>
          <t>Estado de la aplicación de la docencia concertada al plan de trabajo académico.</t>
        </is>
      </c>
      <c r="S415" s="18" t="inlineStr">
        <is>
          <t>Baja</t>
        </is>
      </c>
      <c r="T415" s="18" t="inlineStr">
        <is>
          <t>nombre + tipo + columnas vecinas (aplicada_en, detalle_aplicacion, id_pta)</t>
        </is>
      </c>
      <c r="U415" s="18" t="inlineStr">
        <is>
          <t>¿Qué valores toma estado_aplicacion?</t>
        </is>
      </c>
      <c r="V415" s="19" t="inlineStr">
        <is>
          <t>Pendiente</t>
        </is>
      </c>
      <c r="W415" s="19" t="inlineStr"/>
      <c r="X415" s="19" t="inlineStr"/>
      <c r="Y415" s="20" t="n"/>
      <c r="Z415" s="19" t="inlineStr"/>
      <c r="AA415" s="18">
        <f>IF(OR(V415="Aprobada"),R415,IF(AND(OR(V415="Aprobada con ajuste",V415="Rechazada"),W415&lt;&gt;""),W415,""))</f>
        <v/>
      </c>
    </row>
    <row r="416">
      <c r="A416" s="18" t="inlineStr">
        <is>
          <t>C0415</t>
        </is>
      </c>
      <c r="B416" s="18" t="inlineStr">
        <is>
          <t>Plan de trabajo académico</t>
        </is>
      </c>
      <c r="C416" s="18" t="inlineStr">
        <is>
          <t>academic_work_plan</t>
        </is>
      </c>
      <c r="D416" s="18" t="inlineStr">
        <is>
          <t>docencia_concertada</t>
        </is>
      </c>
      <c r="E416" s="18" t="n">
        <v>0</v>
      </c>
      <c r="F416" s="18" t="inlineStr">
        <is>
          <t>detalle_aplicacion</t>
        </is>
      </c>
      <c r="G416" s="18" t="inlineStr">
        <is>
          <t>text</t>
        </is>
      </c>
      <c r="H416" s="18" t="inlineStr">
        <is>
          <t>Sí</t>
        </is>
      </c>
      <c r="I416" s="18" t="inlineStr"/>
      <c r="J416" s="18" t="inlineStr"/>
      <c r="K416" s="18" t="inlineStr"/>
      <c r="L416" s="18" t="inlineStr">
        <is>
          <t>No</t>
        </is>
      </c>
      <c r="M416" s="18" t="inlineStr">
        <is>
          <t>No</t>
        </is>
      </c>
      <c r="N416" s="18" t="inlineStr"/>
      <c r="O416" s="18" t="inlineStr"/>
      <c r="P416" s="18" t="inlineStr"/>
      <c r="Q416" s="18" t="inlineStr">
        <is>
          <t>Propuesta semántica</t>
        </is>
      </c>
      <c r="R416" s="18" t="inlineStr">
        <is>
          <t>Detalle del resultado de aplicar la docencia concertada al plan de trabajo académico.</t>
        </is>
      </c>
      <c r="S416" s="18" t="inlineStr">
        <is>
          <t>Media</t>
        </is>
      </c>
      <c r="T416" s="18" t="inlineStr">
        <is>
          <t>nombre + tipo + columnas vecinas (estado_aplicacion)</t>
        </is>
      </c>
      <c r="U416" s="18" t="inlineStr">
        <is>
          <t>¿detalle_aplicacion guarda mensajes de error o el resumen de la aplicación?</t>
        </is>
      </c>
      <c r="V416" s="19" t="inlineStr">
        <is>
          <t>Pendiente</t>
        </is>
      </c>
      <c r="W416" s="19" t="inlineStr"/>
      <c r="X416" s="19" t="inlineStr"/>
      <c r="Y416" s="20" t="n"/>
      <c r="Z416" s="19" t="inlineStr"/>
      <c r="AA416" s="18">
        <f>IF(OR(V416="Aprobada"),R416,IF(AND(OR(V416="Aprobada con ajuste",V416="Rechazada"),W416&lt;&gt;""),W416,""))</f>
        <v/>
      </c>
    </row>
    <row r="417">
      <c r="A417" s="18" t="inlineStr">
        <is>
          <t>C0416</t>
        </is>
      </c>
      <c r="B417" s="18" t="inlineStr">
        <is>
          <t>Plan de trabajo académico</t>
        </is>
      </c>
      <c r="C417" s="18" t="inlineStr">
        <is>
          <t>academic_work_plan</t>
        </is>
      </c>
      <c r="D417" s="18" t="inlineStr">
        <is>
          <t>docencia_concertada</t>
        </is>
      </c>
      <c r="E417" s="18" t="n">
        <v>0</v>
      </c>
      <c r="F417" s="18" t="inlineStr">
        <is>
          <t>id_pta</t>
        </is>
      </c>
      <c r="G417" s="18" t="inlineStr">
        <is>
          <t>text</t>
        </is>
      </c>
      <c r="H417" s="18" t="inlineStr">
        <is>
          <t>Sí</t>
        </is>
      </c>
      <c r="I417" s="18" t="inlineStr"/>
      <c r="J417" s="18" t="inlineStr"/>
      <c r="K417" s="18" t="inlineStr"/>
      <c r="L417" s="18" t="inlineStr">
        <is>
          <t>No</t>
        </is>
      </c>
      <c r="M417" s="18" t="inlineStr">
        <is>
          <t>No</t>
        </is>
      </c>
      <c r="N417" s="18" t="inlineStr"/>
      <c r="O417" s="18" t="inlineStr"/>
      <c r="P417" s="18" t="inlineStr"/>
      <c r="Q417" s="18" t="inlineStr">
        <is>
          <t>Propuesta semántica</t>
        </is>
      </c>
      <c r="R417" s="18" t="inlineStr">
        <is>
          <t>Identificador del plan de trabajo académico (PTA) al que se aplicó la docencia concertada.</t>
        </is>
      </c>
      <c r="S417" s="18" t="inlineStr">
        <is>
          <t>Media</t>
        </is>
      </c>
      <c r="T417" s="18" t="inlineStr">
        <is>
          <t>nombre + tipo + columnas vecinas (aplicada_en)</t>
        </is>
      </c>
      <c r="U417" s="18" t="inlineStr">
        <is>
          <t>¿Qué tabla identifica id_pta y por qué es de tipo text?</t>
        </is>
      </c>
      <c r="V417" s="19" t="inlineStr">
        <is>
          <t>Pendiente</t>
        </is>
      </c>
      <c r="W417" s="19" t="inlineStr"/>
      <c r="X417" s="19" t="inlineStr"/>
      <c r="Y417" s="20" t="n"/>
      <c r="Z417" s="19" t="inlineStr"/>
      <c r="AA417" s="18">
        <f>IF(OR(V417="Aprobada"),R417,IF(AND(OR(V417="Aprobada con ajuste",V417="Rechazada"),W417&lt;&gt;""),W417,""))</f>
        <v/>
      </c>
    </row>
    <row r="418">
      <c r="A418" s="18" t="inlineStr">
        <is>
          <t>C0417</t>
        </is>
      </c>
      <c r="B418" s="18" t="inlineStr">
        <is>
          <t>Plan de trabajo académico</t>
        </is>
      </c>
      <c r="C418" s="18" t="inlineStr">
        <is>
          <t>academic_work_plan</t>
        </is>
      </c>
      <c r="D418" s="18" t="inlineStr">
        <is>
          <t>DocumentoVersion</t>
        </is>
      </c>
      <c r="E418" s="18" t="n">
        <v>0</v>
      </c>
      <c r="F418" s="18" t="inlineStr">
        <is>
          <t>version</t>
        </is>
      </c>
      <c r="G418" s="18" t="inlineStr">
        <is>
          <t>integer</t>
        </is>
      </c>
      <c r="H418" s="18" t="inlineStr">
        <is>
          <t>No</t>
        </is>
      </c>
      <c r="I418" s="18" t="inlineStr"/>
      <c r="J418" s="18" t="inlineStr"/>
      <c r="K418" s="18" t="inlineStr"/>
      <c r="L418" s="18" t="inlineStr">
        <is>
          <t>No</t>
        </is>
      </c>
      <c r="M418" s="18" t="inlineStr">
        <is>
          <t>No</t>
        </is>
      </c>
      <c r="N418" s="18" t="inlineStr"/>
      <c r="O418" s="18" t="inlineStr"/>
      <c r="P418" s="18" t="inlineStr"/>
      <c r="Q418" s="18" t="inlineStr">
        <is>
          <t>Regla estructural</t>
        </is>
      </c>
      <c r="R418" s="18" t="inlineStr">
        <is>
          <t>Número de versión del registro.</t>
        </is>
      </c>
      <c r="S418" s="18" t="inlineStr">
        <is>
          <t>Media</t>
        </is>
      </c>
      <c r="T418" s="18" t="inlineStr">
        <is>
          <t>Convención de nombre de la columna.</t>
        </is>
      </c>
      <c r="U418" s="18" t="inlineStr"/>
      <c r="V418" s="19" t="inlineStr">
        <is>
          <t>Pendiente</t>
        </is>
      </c>
      <c r="W418" s="19" t="inlineStr"/>
      <c r="X418" s="19" t="inlineStr"/>
      <c r="Y418" s="20" t="n"/>
      <c r="Z418" s="19" t="inlineStr"/>
      <c r="AA418" s="18">
        <f>IF(OR(V418="Aprobada"),R418,IF(AND(OR(V418="Aprobada con ajuste",V418="Rechazada"),W418&lt;&gt;""),W418,""))</f>
        <v/>
      </c>
    </row>
    <row r="419">
      <c r="A419" s="18" t="inlineStr">
        <is>
          <t>C0418</t>
        </is>
      </c>
      <c r="B419" s="18" t="inlineStr">
        <is>
          <t>Plan de trabajo académico</t>
        </is>
      </c>
      <c r="C419" s="18" t="inlineStr">
        <is>
          <t>academic_work_plan</t>
        </is>
      </c>
      <c r="D419" s="18" t="inlineStr">
        <is>
          <t>DocumentoVersion</t>
        </is>
      </c>
      <c r="E419" s="18" t="n">
        <v>0</v>
      </c>
      <c r="F419" s="18" t="inlineStr">
        <is>
          <t>url</t>
        </is>
      </c>
      <c r="G419" s="18" t="inlineStr">
        <is>
          <t>text</t>
        </is>
      </c>
      <c r="H419" s="18" t="inlineStr">
        <is>
          <t>No</t>
        </is>
      </c>
      <c r="I419" s="18" t="inlineStr"/>
      <c r="J419" s="18" t="inlineStr"/>
      <c r="K419" s="18" t="inlineStr"/>
      <c r="L419" s="18" t="inlineStr">
        <is>
          <t>No</t>
        </is>
      </c>
      <c r="M419" s="18" t="inlineStr">
        <is>
          <t>No</t>
        </is>
      </c>
      <c r="N419" s="18" t="inlineStr"/>
      <c r="O419" s="18" t="inlineStr"/>
      <c r="P419" s="18" t="inlineStr"/>
      <c r="Q419" s="18" t="inlineStr">
        <is>
          <t>Regla estructural</t>
        </is>
      </c>
      <c r="R419" s="18" t="inlineStr">
        <is>
          <t>Dirección web (URL).</t>
        </is>
      </c>
      <c r="S419" s="18" t="inlineStr">
        <is>
          <t>Media</t>
        </is>
      </c>
      <c r="T419" s="18" t="inlineStr">
        <is>
          <t>Convención de nombre de la columna.</t>
        </is>
      </c>
      <c r="U419" s="18" t="inlineStr"/>
      <c r="V419" s="19" t="inlineStr">
        <is>
          <t>Pendiente</t>
        </is>
      </c>
      <c r="W419" s="19" t="inlineStr"/>
      <c r="X419" s="19" t="inlineStr"/>
      <c r="Y419" s="20" t="n"/>
      <c r="Z419" s="19" t="inlineStr"/>
      <c r="AA419" s="18">
        <f>IF(OR(V419="Aprobada"),R419,IF(AND(OR(V419="Aprobada con ajuste",V419="Rechazada"),W419&lt;&gt;""),W419,""))</f>
        <v/>
      </c>
    </row>
    <row r="420">
      <c r="A420" s="18" t="inlineStr">
        <is>
          <t>C0419</t>
        </is>
      </c>
      <c r="B420" s="18" t="inlineStr">
        <is>
          <t>Plan de trabajo académico</t>
        </is>
      </c>
      <c r="C420" s="18" t="inlineStr">
        <is>
          <t>academic_work_plan</t>
        </is>
      </c>
      <c r="D420" s="18" t="inlineStr">
        <is>
          <t>DocumentoVersion</t>
        </is>
      </c>
      <c r="E420" s="18" t="n">
        <v>0</v>
      </c>
      <c r="F420" s="18" t="inlineStr">
        <is>
          <t>nombre</t>
        </is>
      </c>
      <c r="G420" s="18" t="inlineStr">
        <is>
          <t>text</t>
        </is>
      </c>
      <c r="H420" s="18" t="inlineStr">
        <is>
          <t>No</t>
        </is>
      </c>
      <c r="I420" s="18" t="inlineStr"/>
      <c r="J420" s="18" t="inlineStr"/>
      <c r="K420" s="18" t="inlineStr"/>
      <c r="L420" s="18" t="inlineStr">
        <is>
          <t>No</t>
        </is>
      </c>
      <c r="M420" s="18" t="inlineStr">
        <is>
          <t>No</t>
        </is>
      </c>
      <c r="N420" s="18" t="inlineStr"/>
      <c r="O420" s="18" t="inlineStr"/>
      <c r="P420" s="18" t="inlineStr"/>
      <c r="Q420" s="18" t="inlineStr">
        <is>
          <t>Regla estructural</t>
        </is>
      </c>
      <c r="R420" s="18" t="inlineStr">
        <is>
          <t>Nombre del registro de DocumentoVersion.</t>
        </is>
      </c>
      <c r="S420" s="18" t="inlineStr">
        <is>
          <t>Media</t>
        </is>
      </c>
      <c r="T420" s="18" t="inlineStr">
        <is>
          <t>Convención de nombre de la columna.</t>
        </is>
      </c>
      <c r="U420" s="18" t="inlineStr"/>
      <c r="V420" s="19" t="inlineStr">
        <is>
          <t>Pendiente</t>
        </is>
      </c>
      <c r="W420" s="19" t="inlineStr"/>
      <c r="X420" s="19" t="inlineStr"/>
      <c r="Y420" s="20" t="n"/>
      <c r="Z420" s="19" t="inlineStr"/>
      <c r="AA420" s="18">
        <f>IF(OR(V420="Aprobada"),R420,IF(AND(OR(V420="Aprobada con ajuste",V420="Rechazada"),W420&lt;&gt;""),W420,""))</f>
        <v/>
      </c>
    </row>
    <row r="421">
      <c r="A421" s="18" t="inlineStr">
        <is>
          <t>C0420</t>
        </is>
      </c>
      <c r="B421" s="18" t="inlineStr">
        <is>
          <t>Plan de trabajo académico</t>
        </is>
      </c>
      <c r="C421" s="18" t="inlineStr">
        <is>
          <t>academic_work_plan</t>
        </is>
      </c>
      <c r="D421" s="18" t="inlineStr">
        <is>
          <t>DocumentoVersion</t>
        </is>
      </c>
      <c r="E421" s="18" t="n">
        <v>0</v>
      </c>
      <c r="F421" s="18" t="inlineStr">
        <is>
          <t>tamanoBytes</t>
        </is>
      </c>
      <c r="G421" s="18" t="inlineStr">
        <is>
          <t>integer</t>
        </is>
      </c>
      <c r="H421" s="18" t="inlineStr">
        <is>
          <t>No</t>
        </is>
      </c>
      <c r="I421" s="18" t="inlineStr"/>
      <c r="J421" s="18" t="inlineStr"/>
      <c r="K421" s="18" t="inlineStr"/>
      <c r="L421" s="18" t="inlineStr">
        <is>
          <t>No</t>
        </is>
      </c>
      <c r="M421" s="18" t="inlineStr">
        <is>
          <t>No</t>
        </is>
      </c>
      <c r="N421" s="18" t="inlineStr"/>
      <c r="O421" s="18" t="inlineStr"/>
      <c r="P421" s="18" t="inlineStr"/>
      <c r="Q421" s="18" t="inlineStr">
        <is>
          <t>Propuesta semántica</t>
        </is>
      </c>
      <c r="R421" s="18" t="inlineStr">
        <is>
          <t>Tamaño en bytes de la versión del documento; por defecto, 0.</t>
        </is>
      </c>
      <c r="S421" s="18" t="inlineStr">
        <is>
          <t>Alta</t>
        </is>
      </c>
      <c r="T421" s="18" t="inlineStr">
        <is>
          <t>nombre + tipo + columnas vecinas + defecto</t>
        </is>
      </c>
      <c r="U421" s="18" t="inlineStr"/>
      <c r="V421" s="19" t="inlineStr">
        <is>
          <t>Pendiente</t>
        </is>
      </c>
      <c r="W421" s="19" t="inlineStr"/>
      <c r="X421" s="19" t="inlineStr"/>
      <c r="Y421" s="20" t="n"/>
      <c r="Z421" s="19" t="inlineStr"/>
      <c r="AA421" s="18">
        <f>IF(OR(V421="Aprobada"),R421,IF(AND(OR(V421="Aprobada con ajuste",V421="Rechazada"),W421&lt;&gt;""),W421,""))</f>
        <v/>
      </c>
    </row>
    <row r="422">
      <c r="A422" s="18" t="inlineStr">
        <is>
          <t>C0421</t>
        </is>
      </c>
      <c r="B422" s="18" t="inlineStr">
        <is>
          <t>Plan de trabajo académico</t>
        </is>
      </c>
      <c r="C422" s="18" t="inlineStr">
        <is>
          <t>academic_work_plan</t>
        </is>
      </c>
      <c r="D422" s="18" t="inlineStr">
        <is>
          <t>DocumentoVersion</t>
        </is>
      </c>
      <c r="E422" s="18" t="n">
        <v>0</v>
      </c>
      <c r="F422" s="18" t="inlineStr">
        <is>
          <t>creadoPor</t>
        </is>
      </c>
      <c r="G422" s="18" t="inlineStr">
        <is>
          <t>text</t>
        </is>
      </c>
      <c r="H422" s="18" t="inlineStr">
        <is>
          <t>Sí</t>
        </is>
      </c>
      <c r="I422" s="18" t="inlineStr"/>
      <c r="J422" s="18" t="inlineStr"/>
      <c r="K422" s="18" t="inlineStr"/>
      <c r="L422" s="18" t="inlineStr">
        <is>
          <t>No</t>
        </is>
      </c>
      <c r="M422" s="18" t="inlineStr">
        <is>
          <t>No</t>
        </is>
      </c>
      <c r="N422" s="18" t="inlineStr"/>
      <c r="O422" s="18" t="inlineStr"/>
      <c r="P422" s="18" t="inlineStr"/>
      <c r="Q422" s="18" t="inlineStr">
        <is>
          <t>Propuesta semántica</t>
        </is>
      </c>
      <c r="R422" s="18" t="inlineStr">
        <is>
          <t>Identificador del usuario que creó la versión del documento.</t>
        </is>
      </c>
      <c r="S422" s="18" t="inlineStr">
        <is>
          <t>Media</t>
        </is>
      </c>
      <c r="T422" s="18" t="inlineStr">
        <is>
          <t>nombre + tipo + columnas vecinas</t>
        </is>
      </c>
      <c r="U422" s="18" t="inlineStr">
        <is>
          <t>¿creadoPor guarda el id, el correo o el nombre del usuario?</t>
        </is>
      </c>
      <c r="V422" s="19" t="inlineStr">
        <is>
          <t>Pendiente</t>
        </is>
      </c>
      <c r="W422" s="19" t="inlineStr"/>
      <c r="X422" s="19" t="inlineStr"/>
      <c r="Y422" s="20" t="n"/>
      <c r="Z422" s="19" t="inlineStr"/>
      <c r="AA422" s="18">
        <f>IF(OR(V422="Aprobada"),R422,IF(AND(OR(V422="Aprobada con ajuste",V422="Rechazada"),W422&lt;&gt;""),W422,""))</f>
        <v/>
      </c>
    </row>
    <row r="423">
      <c r="A423" s="18" t="inlineStr">
        <is>
          <t>C0422</t>
        </is>
      </c>
      <c r="B423" s="18" t="inlineStr">
        <is>
          <t>Plan de trabajo académico</t>
        </is>
      </c>
      <c r="C423" s="18" t="inlineStr">
        <is>
          <t>academic_work_plan</t>
        </is>
      </c>
      <c r="D423" s="18" t="inlineStr">
        <is>
          <t>DocumentoVersion</t>
        </is>
      </c>
      <c r="E423" s="18" t="n">
        <v>0</v>
      </c>
      <c r="F423" s="18" t="inlineStr">
        <is>
          <t>comentarios</t>
        </is>
      </c>
      <c r="G423" s="18" t="inlineStr">
        <is>
          <t>text</t>
        </is>
      </c>
      <c r="H423" s="18" t="inlineStr">
        <is>
          <t>Sí</t>
        </is>
      </c>
      <c r="I423" s="18" t="inlineStr"/>
      <c r="J423" s="18" t="inlineStr"/>
      <c r="K423" s="18" t="inlineStr"/>
      <c r="L423" s="18" t="inlineStr">
        <is>
          <t>No</t>
        </is>
      </c>
      <c r="M423" s="18" t="inlineStr">
        <is>
          <t>No</t>
        </is>
      </c>
      <c r="N423" s="18" t="inlineStr"/>
      <c r="O423" s="18" t="inlineStr"/>
      <c r="P423" s="18" t="inlineStr"/>
      <c r="Q423" s="18" t="inlineStr">
        <is>
          <t>Propuesta semántica</t>
        </is>
      </c>
      <c r="R423" s="18" t="inlineStr">
        <is>
          <t>Comentarios sobre la versión del documento.</t>
        </is>
      </c>
      <c r="S423" s="18" t="inlineStr">
        <is>
          <t>Alta</t>
        </is>
      </c>
      <c r="T423" s="18" t="inlineStr">
        <is>
          <t>nombre + tipo + columnas vecinas</t>
        </is>
      </c>
      <c r="U423" s="18" t="inlineStr"/>
      <c r="V423" s="19" t="inlineStr">
        <is>
          <t>Pendiente</t>
        </is>
      </c>
      <c r="W423" s="19" t="inlineStr"/>
      <c r="X423" s="19" t="inlineStr"/>
      <c r="Y423" s="20" t="n"/>
      <c r="Z423" s="19" t="inlineStr"/>
      <c r="AA423" s="18">
        <f>IF(OR(V423="Aprobada"),R423,IF(AND(OR(V423="Aprobada con ajuste",V423="Rechazada"),W423&lt;&gt;""),W423,""))</f>
        <v/>
      </c>
    </row>
    <row r="424">
      <c r="A424" s="18" t="inlineStr">
        <is>
          <t>C0423</t>
        </is>
      </c>
      <c r="B424" s="18" t="inlineStr">
        <is>
          <t>Plan de trabajo académico</t>
        </is>
      </c>
      <c r="C424" s="18" t="inlineStr">
        <is>
          <t>academic_work_plan</t>
        </is>
      </c>
      <c r="D424" s="18" t="inlineStr">
        <is>
          <t>facultad</t>
        </is>
      </c>
      <c r="E424" s="18" t="n">
        <v>4</v>
      </c>
      <c r="F424" s="18" t="inlineStr">
        <is>
          <t>codigo</t>
        </is>
      </c>
      <c r="G424" s="18" t="inlineStr">
        <is>
          <t>character varying(20)</t>
        </is>
      </c>
      <c r="H424" s="18" t="inlineStr">
        <is>
          <t>No</t>
        </is>
      </c>
      <c r="I424" s="18" t="inlineStr">
        <is>
          <t>Única</t>
        </is>
      </c>
      <c r="J424" s="18" t="inlineStr"/>
      <c r="K424" s="18" t="inlineStr"/>
      <c r="L424" s="18" t="inlineStr">
        <is>
          <t>No</t>
        </is>
      </c>
      <c r="M424" s="18" t="inlineStr">
        <is>
          <t>No</t>
        </is>
      </c>
      <c r="N424" s="18" t="inlineStr"/>
      <c r="O424" s="18" t="inlineStr">
        <is>
          <t>facultad_codigo_key</t>
        </is>
      </c>
      <c r="P424" s="18" t="inlineStr">
        <is>
          <t>Mapeada en academic-work-plan-service/src/pta/entities/facultad.entity.ts:8 (FacultadEntity.codigo)</t>
        </is>
      </c>
      <c r="Q424" s="18" t="inlineStr">
        <is>
          <t>Regla estructural</t>
        </is>
      </c>
      <c r="R424" s="18" t="inlineStr">
        <is>
          <t>Código del registro de facultad. Único en la tabla.</t>
        </is>
      </c>
      <c r="S424" s="18" t="inlineStr">
        <is>
          <t>Media</t>
        </is>
      </c>
      <c r="T424" s="18" t="inlineStr">
        <is>
          <t>Convención de nombre de la columna.</t>
        </is>
      </c>
      <c r="U424" s="18" t="inlineStr"/>
      <c r="V424" s="19" t="inlineStr">
        <is>
          <t>Pendiente</t>
        </is>
      </c>
      <c r="W424" s="19" t="inlineStr"/>
      <c r="X424" s="19" t="inlineStr"/>
      <c r="Y424" s="20" t="n"/>
      <c r="Z424" s="19" t="inlineStr"/>
      <c r="AA424" s="18">
        <f>IF(OR(V424="Aprobada"),R424,IF(AND(OR(V424="Aprobada con ajuste",V424="Rechazada"),W424&lt;&gt;""),W424,""))</f>
        <v/>
      </c>
    </row>
    <row r="425">
      <c r="A425" s="18" t="inlineStr">
        <is>
          <t>C0424</t>
        </is>
      </c>
      <c r="B425" s="18" t="inlineStr">
        <is>
          <t>Plan de trabajo académico</t>
        </is>
      </c>
      <c r="C425" s="18" t="inlineStr">
        <is>
          <t>academic_work_plan</t>
        </is>
      </c>
      <c r="D425" s="18" t="inlineStr">
        <is>
          <t>facultad</t>
        </is>
      </c>
      <c r="E425" s="18" t="n">
        <v>4</v>
      </c>
      <c r="F425" s="18" t="inlineStr">
        <is>
          <t>nombre</t>
        </is>
      </c>
      <c r="G425" s="18" t="inlineStr">
        <is>
          <t>character varying(50)</t>
        </is>
      </c>
      <c r="H425" s="18" t="inlineStr">
        <is>
          <t>No</t>
        </is>
      </c>
      <c r="I425" s="18" t="inlineStr">
        <is>
          <t>Única</t>
        </is>
      </c>
      <c r="J425" s="18" t="inlineStr"/>
      <c r="K425" s="18" t="inlineStr"/>
      <c r="L425" s="18" t="inlineStr">
        <is>
          <t>No</t>
        </is>
      </c>
      <c r="M425" s="18" t="inlineStr">
        <is>
          <t>No</t>
        </is>
      </c>
      <c r="N425" s="18" t="inlineStr"/>
      <c r="O425" s="18" t="inlineStr">
        <is>
          <t>facultad_nombre_key</t>
        </is>
      </c>
      <c r="P425" s="18" t="inlineStr">
        <is>
          <t>Mapeada en academic-work-plan-service/src/pta/entities/facultad.entity.ts:11 (FacultadEntity.nombre)</t>
        </is>
      </c>
      <c r="Q425" s="18" t="inlineStr">
        <is>
          <t>Regla estructural</t>
        </is>
      </c>
      <c r="R425" s="18" t="inlineStr">
        <is>
          <t>Nombre del registro de facultad.</t>
        </is>
      </c>
      <c r="S425" s="18" t="inlineStr">
        <is>
          <t>Media</t>
        </is>
      </c>
      <c r="T425" s="18" t="inlineStr">
        <is>
          <t>Convención de nombre de la columna.</t>
        </is>
      </c>
      <c r="U425" s="18" t="inlineStr"/>
      <c r="V425" s="19" t="inlineStr">
        <is>
          <t>Pendiente</t>
        </is>
      </c>
      <c r="W425" s="19" t="inlineStr"/>
      <c r="X425" s="19" t="inlineStr"/>
      <c r="Y425" s="20" t="n"/>
      <c r="Z425" s="19" t="inlineStr"/>
      <c r="AA425" s="18">
        <f>IF(OR(V425="Aprobada"),R425,IF(AND(OR(V425="Aprobada con ajuste",V425="Rechazada"),W425&lt;&gt;""),W425,""))</f>
        <v/>
      </c>
    </row>
    <row r="426">
      <c r="A426" s="18" t="inlineStr">
        <is>
          <t>C0425</t>
        </is>
      </c>
      <c r="B426" s="18" t="inlineStr">
        <is>
          <t>Plan de trabajo académico</t>
        </is>
      </c>
      <c r="C426" s="18" t="inlineStr">
        <is>
          <t>academic_work_plan</t>
        </is>
      </c>
      <c r="D426" s="18" t="inlineStr">
        <is>
          <t>facultad</t>
        </is>
      </c>
      <c r="E426" s="18" t="n">
        <v>4</v>
      </c>
      <c r="F426" s="18" t="inlineStr">
        <is>
          <t>activo</t>
        </is>
      </c>
      <c r="G426" s="18" t="inlineStr">
        <is>
          <t>boolean</t>
        </is>
      </c>
      <c r="H426" s="18" t="inlineStr">
        <is>
          <t>No</t>
        </is>
      </c>
      <c r="I426" s="18" t="inlineStr"/>
      <c r="J426" s="18" t="inlineStr"/>
      <c r="K426" s="18" t="inlineStr"/>
      <c r="L426" s="18" t="inlineStr">
        <is>
          <t>No</t>
        </is>
      </c>
      <c r="M426" s="18" t="inlineStr">
        <is>
          <t>No</t>
        </is>
      </c>
      <c r="N426" s="18" t="inlineStr"/>
      <c r="O426" s="18" t="inlineStr"/>
      <c r="P426" s="18" t="inlineStr">
        <is>
          <t>Mapeada en academic-work-plan-service/src/pta/entities/facultad.entity.ts:14 (FacultadEntity.activo)</t>
        </is>
      </c>
      <c r="Q426" s="18" t="inlineStr">
        <is>
          <t>Regla estructural</t>
        </is>
      </c>
      <c r="R426" s="18" t="inlineStr">
        <is>
          <t>Indica si el registro está activo.</t>
        </is>
      </c>
      <c r="S426" s="18" t="inlineStr">
        <is>
          <t>Media</t>
        </is>
      </c>
      <c r="T426" s="18" t="inlineStr">
        <is>
          <t>Convención de nombre de la columna.</t>
        </is>
      </c>
      <c r="U426" s="18" t="inlineStr"/>
      <c r="V426" s="19" t="inlineStr">
        <is>
          <t>Pendiente</t>
        </is>
      </c>
      <c r="W426" s="19" t="inlineStr"/>
      <c r="X426" s="19" t="inlineStr"/>
      <c r="Y426" s="20" t="n"/>
      <c r="Z426" s="19" t="inlineStr"/>
      <c r="AA426" s="18">
        <f>IF(OR(V426="Aprobada"),R426,IF(AND(OR(V426="Aprobada con ajuste",V426="Rechazada"),W426&lt;&gt;""),W426,""))</f>
        <v/>
      </c>
    </row>
    <row r="427">
      <c r="A427" s="18" t="inlineStr">
        <is>
          <t>C0426</t>
        </is>
      </c>
      <c r="B427" s="18" t="inlineStr">
        <is>
          <t>Plan de trabajo académico</t>
        </is>
      </c>
      <c r="C427" s="18" t="inlineStr">
        <is>
          <t>academic_work_plan</t>
        </is>
      </c>
      <c r="D427" s="18" t="inlineStr">
        <is>
          <t>facultad</t>
        </is>
      </c>
      <c r="E427" s="18" t="n">
        <v>4</v>
      </c>
      <c r="F427" s="18" t="inlineStr">
        <is>
          <t>deleted_at</t>
        </is>
      </c>
      <c r="G427" s="18" t="inlineStr">
        <is>
          <t>timestamp without time zone</t>
        </is>
      </c>
      <c r="H427" s="18" t="inlineStr">
        <is>
          <t>Sí</t>
        </is>
      </c>
      <c r="I427" s="18" t="inlineStr"/>
      <c r="J427" s="18" t="inlineStr"/>
      <c r="K427" s="18" t="inlineStr"/>
      <c r="L427" s="18" t="inlineStr">
        <is>
          <t>No</t>
        </is>
      </c>
      <c r="M427" s="18" t="inlineStr">
        <is>
          <t>No</t>
        </is>
      </c>
      <c r="N427" s="18" t="inlineStr"/>
      <c r="O427" s="18" t="inlineStr"/>
      <c r="P427" s="18" t="inlineStr">
        <is>
          <t>Mapeada en academic-work-plan-service/src/pta/entities/facultad.entity.ts:29 (FacultadEntity.deletedAt)</t>
        </is>
      </c>
      <c r="Q427" s="18" t="inlineStr">
        <is>
          <t>Regla estructural</t>
        </is>
      </c>
      <c r="R427" s="18" t="inlineStr">
        <is>
          <t>Fecha y hora de la eliminación.</t>
        </is>
      </c>
      <c r="S427" s="18" t="inlineStr">
        <is>
          <t>Media</t>
        </is>
      </c>
      <c r="T427" s="18" t="inlineStr">
        <is>
          <t>Convención de nombre de la columna.</t>
        </is>
      </c>
      <c r="U427" s="18" t="inlineStr"/>
      <c r="V427" s="19" t="inlineStr">
        <is>
          <t>Pendiente</t>
        </is>
      </c>
      <c r="W427" s="19" t="inlineStr"/>
      <c r="X427" s="19" t="inlineStr"/>
      <c r="Y427" s="20" t="n"/>
      <c r="Z427" s="19" t="inlineStr"/>
      <c r="AA427" s="18">
        <f>IF(OR(V427="Aprobada"),R427,IF(AND(OR(V427="Aprobada con ajuste",V427="Rechazada"),W427&lt;&gt;""),W427,""))</f>
        <v/>
      </c>
    </row>
    <row r="428">
      <c r="A428" s="18" t="inlineStr">
        <is>
          <t>C0427</t>
        </is>
      </c>
      <c r="B428" s="18" t="inlineStr">
        <is>
          <t>Plan de trabajo académico</t>
        </is>
      </c>
      <c r="C428" s="18" t="inlineStr">
        <is>
          <t>academic_work_plan</t>
        </is>
      </c>
      <c r="D428" s="18" t="inlineStr">
        <is>
          <t>facultad</t>
        </is>
      </c>
      <c r="E428" s="18" t="n">
        <v>4</v>
      </c>
      <c r="F428" s="18" t="inlineStr">
        <is>
          <t>deleted_by</t>
        </is>
      </c>
      <c r="G428" s="18" t="inlineStr">
        <is>
          <t>bigint</t>
        </is>
      </c>
      <c r="H428" s="18" t="inlineStr">
        <is>
          <t>Sí</t>
        </is>
      </c>
      <c r="I428" s="18" t="inlineStr"/>
      <c r="J428" s="18" t="inlineStr"/>
      <c r="K428" s="18" t="inlineStr"/>
      <c r="L428" s="18" t="inlineStr">
        <is>
          <t>No</t>
        </is>
      </c>
      <c r="M428" s="18" t="inlineStr">
        <is>
          <t>No</t>
        </is>
      </c>
      <c r="N428" s="18" t="inlineStr"/>
      <c r="O428" s="18" t="inlineStr"/>
      <c r="P428" s="18" t="inlineStr">
        <is>
          <t>Mapeada en academic-work-plan-service/src/pta/entities/facultad.entity.ts:32 (FacultadEntity.deletedBy)</t>
        </is>
      </c>
      <c r="Q428" s="18" t="inlineStr">
        <is>
          <t>Propuesta semántica</t>
        </is>
      </c>
      <c r="R428" s="18" t="inlineStr">
        <is>
          <t>Identificador del usuario que eliminó lógicamente el registro.</t>
        </is>
      </c>
      <c r="S428" s="18" t="inlineStr">
        <is>
          <t>Media</t>
        </is>
      </c>
      <c r="T428" s="18" t="inlineStr">
        <is>
          <t>nombre + tipo + columnas vecinas (deleted_at)</t>
        </is>
      </c>
      <c r="U428" s="18" t="inlineStr">
        <is>
          <t>¿deleted_by guarda el id de auth."user" (id_user) o de otra tabla de usuarios?</t>
        </is>
      </c>
      <c r="V428" s="19" t="inlineStr">
        <is>
          <t>Pendiente</t>
        </is>
      </c>
      <c r="W428" s="19" t="inlineStr"/>
      <c r="X428" s="19" t="inlineStr"/>
      <c r="Y428" s="20" t="n"/>
      <c r="Z428" s="19" t="inlineStr"/>
      <c r="AA428" s="18">
        <f>IF(OR(V428="Aprobada"),R428,IF(AND(OR(V428="Aprobada con ajuste",V428="Rechazada"),W428&lt;&gt;""),W428,""))</f>
        <v/>
      </c>
    </row>
    <row r="429">
      <c r="A429" s="18" t="inlineStr">
        <is>
          <t>C0428</t>
        </is>
      </c>
      <c r="B429" s="18" t="inlineStr">
        <is>
          <t>Plan de trabajo académico</t>
        </is>
      </c>
      <c r="C429" s="18" t="inlineStr">
        <is>
          <t>academic_work_plan</t>
        </is>
      </c>
      <c r="D429" s="18" t="inlineStr">
        <is>
          <t>HistorialEstadoPTA</t>
        </is>
      </c>
      <c r="E429" s="18" t="n">
        <v>51</v>
      </c>
      <c r="F429" s="18" t="inlineStr">
        <is>
          <t>estadoAnterior</t>
        </is>
      </c>
      <c r="G429" s="18" t="inlineStr">
        <is>
          <t>text</t>
        </is>
      </c>
      <c r="H429" s="18" t="inlineStr">
        <is>
          <t>Sí</t>
        </is>
      </c>
      <c r="I429" s="18" t="inlineStr"/>
      <c r="J429" s="18" t="inlineStr"/>
      <c r="K429" s="18" t="inlineStr"/>
      <c r="L429" s="18" t="inlineStr">
        <is>
          <t>No</t>
        </is>
      </c>
      <c r="M429" s="18" t="inlineStr">
        <is>
          <t>No</t>
        </is>
      </c>
      <c r="N429" s="18" t="inlineStr"/>
      <c r="O429" s="18" t="inlineStr"/>
      <c r="P429" s="18" t="inlineStr">
        <is>
          <t>Mapeada en academic-work-plan-service/src/pta/entities/historial-estado-pta.entity.ts:11 (HistorialEstadoPtaEntity.estadoAnterior)</t>
        </is>
      </c>
      <c r="Q429" s="18" t="inlineStr">
        <is>
          <t>Propuesta semántica</t>
        </is>
      </c>
      <c r="R429" s="18" t="inlineStr">
        <is>
          <t>Estado del plan de trabajo académico antes de la transición.</t>
        </is>
      </c>
      <c r="S429" s="18" t="inlineStr">
        <is>
          <t>Alta</t>
        </is>
      </c>
      <c r="T429" s="18" t="inlineStr">
        <is>
          <t>nombre + tipo + columnas vecinas (estadoNuevo)</t>
        </is>
      </c>
      <c r="U429" s="18" t="inlineStr"/>
      <c r="V429" s="19" t="inlineStr">
        <is>
          <t>Pendiente</t>
        </is>
      </c>
      <c r="W429" s="19" t="inlineStr"/>
      <c r="X429" s="19" t="inlineStr"/>
      <c r="Y429" s="20" t="n"/>
      <c r="Z429" s="19" t="inlineStr"/>
      <c r="AA429" s="18">
        <f>IF(OR(V429="Aprobada"),R429,IF(AND(OR(V429="Aprobada con ajuste",V429="Rechazada"),W429&lt;&gt;""),W429,""))</f>
        <v/>
      </c>
    </row>
    <row r="430">
      <c r="A430" s="18" t="inlineStr">
        <is>
          <t>C0429</t>
        </is>
      </c>
      <c r="B430" s="18" t="inlineStr">
        <is>
          <t>Plan de trabajo académico</t>
        </is>
      </c>
      <c r="C430" s="18" t="inlineStr">
        <is>
          <t>academic_work_plan</t>
        </is>
      </c>
      <c r="D430" s="18" t="inlineStr">
        <is>
          <t>HistorialEstadoPTA</t>
        </is>
      </c>
      <c r="E430" s="18" t="n">
        <v>51</v>
      </c>
      <c r="F430" s="18" t="inlineStr">
        <is>
          <t>estadoNuevo</t>
        </is>
      </c>
      <c r="G430" s="18" t="inlineStr">
        <is>
          <t>text</t>
        </is>
      </c>
      <c r="H430" s="18" t="inlineStr">
        <is>
          <t>No</t>
        </is>
      </c>
      <c r="I430" s="18" t="inlineStr"/>
      <c r="J430" s="18" t="inlineStr"/>
      <c r="K430" s="18" t="inlineStr"/>
      <c r="L430" s="18" t="inlineStr">
        <is>
          <t>No</t>
        </is>
      </c>
      <c r="M430" s="18" t="inlineStr">
        <is>
          <t>No</t>
        </is>
      </c>
      <c r="N430" s="18" t="inlineStr"/>
      <c r="O430" s="18" t="inlineStr"/>
      <c r="P430" s="18" t="inlineStr">
        <is>
          <t>Mapeada en academic-work-plan-service/src/pta/entities/historial-estado-pta.entity.ts:14 (HistorialEstadoPtaEntity.estadoNuevo)</t>
        </is>
      </c>
      <c r="Q430" s="18" t="inlineStr">
        <is>
          <t>Propuesta semántica</t>
        </is>
      </c>
      <c r="R430" s="18" t="inlineStr">
        <is>
          <t>Estado del plan de trabajo académico después de la transición.</t>
        </is>
      </c>
      <c r="S430" s="18" t="inlineStr">
        <is>
          <t>Alta</t>
        </is>
      </c>
      <c r="T430" s="18" t="inlineStr">
        <is>
          <t>nombre + tipo + columnas vecinas (estadoAnterior)</t>
        </is>
      </c>
      <c r="U430" s="18" t="inlineStr"/>
      <c r="V430" s="19" t="inlineStr">
        <is>
          <t>Pendiente</t>
        </is>
      </c>
      <c r="W430" s="19" t="inlineStr"/>
      <c r="X430" s="19" t="inlineStr"/>
      <c r="Y430" s="20" t="n"/>
      <c r="Z430" s="19" t="inlineStr"/>
      <c r="AA430" s="18">
        <f>IF(OR(V430="Aprobada"),R430,IF(AND(OR(V430="Aprobada con ajuste",V430="Rechazada"),W430&lt;&gt;""),W430,""))</f>
        <v/>
      </c>
    </row>
    <row r="431">
      <c r="A431" s="18" t="inlineStr">
        <is>
          <t>C0430</t>
        </is>
      </c>
      <c r="B431" s="18" t="inlineStr">
        <is>
          <t>Plan de trabajo académico</t>
        </is>
      </c>
      <c r="C431" s="18" t="inlineStr">
        <is>
          <t>academic_work_plan</t>
        </is>
      </c>
      <c r="D431" s="18" t="inlineStr">
        <is>
          <t>HistorialEstadoPTA</t>
        </is>
      </c>
      <c r="E431" s="18" t="n">
        <v>51</v>
      </c>
      <c r="F431" s="18" t="inlineStr">
        <is>
          <t>actorId</t>
        </is>
      </c>
      <c r="G431" s="18" t="inlineStr">
        <is>
          <t>text</t>
        </is>
      </c>
      <c r="H431" s="18" t="inlineStr">
        <is>
          <t>Sí</t>
        </is>
      </c>
      <c r="I431" s="18" t="inlineStr"/>
      <c r="J431" s="18" t="inlineStr"/>
      <c r="K431" s="18" t="inlineStr"/>
      <c r="L431" s="18" t="inlineStr">
        <is>
          <t>No</t>
        </is>
      </c>
      <c r="M431" s="18" t="inlineStr">
        <is>
          <t>No</t>
        </is>
      </c>
      <c r="N431" s="18" t="inlineStr"/>
      <c r="O431" s="18" t="inlineStr"/>
      <c r="P431" s="18" t="inlineStr">
        <is>
          <t>Mapeada en academic-work-plan-service/src/pta/entities/historial-estado-pta.entity.ts:17 (HistorialEstadoPtaEntity.actorId)</t>
        </is>
      </c>
      <c r="Q431" s="18" t="inlineStr">
        <is>
          <t>Propuesta semántica</t>
        </is>
      </c>
      <c r="R431" s="18" t="inlineStr">
        <is>
          <t>Identificador del usuario que realizó la transición de estado.</t>
        </is>
      </c>
      <c r="S431" s="18" t="inlineStr">
        <is>
          <t>Media</t>
        </is>
      </c>
      <c r="T431" s="18" t="inlineStr">
        <is>
          <t>nombre + tipo + columnas vecinas</t>
        </is>
      </c>
      <c r="U431" s="18" t="inlineStr">
        <is>
          <t>¿A qué tabla de usuarios corresponde actorId?</t>
        </is>
      </c>
      <c r="V431" s="19" t="inlineStr">
        <is>
          <t>Pendiente</t>
        </is>
      </c>
      <c r="W431" s="19" t="inlineStr"/>
      <c r="X431" s="19" t="inlineStr"/>
      <c r="Y431" s="20" t="n"/>
      <c r="Z431" s="19" t="inlineStr"/>
      <c r="AA431" s="18">
        <f>IF(OR(V431="Aprobada"),R431,IF(AND(OR(V431="Aprobada con ajuste",V431="Rechazada"),W431&lt;&gt;""),W431,""))</f>
        <v/>
      </c>
    </row>
    <row r="432">
      <c r="A432" s="18" t="inlineStr">
        <is>
          <t>C0431</t>
        </is>
      </c>
      <c r="B432" s="18" t="inlineStr">
        <is>
          <t>Plan de trabajo académico</t>
        </is>
      </c>
      <c r="C432" s="18" t="inlineStr">
        <is>
          <t>academic_work_plan</t>
        </is>
      </c>
      <c r="D432" s="18" t="inlineStr">
        <is>
          <t>HistorialEstadoPTA</t>
        </is>
      </c>
      <c r="E432" s="18" t="n">
        <v>51</v>
      </c>
      <c r="F432" s="18" t="inlineStr">
        <is>
          <t>actorRol</t>
        </is>
      </c>
      <c r="G432" s="18" t="inlineStr">
        <is>
          <t>text</t>
        </is>
      </c>
      <c r="H432" s="18" t="inlineStr">
        <is>
          <t>Sí</t>
        </is>
      </c>
      <c r="I432" s="18" t="inlineStr"/>
      <c r="J432" s="18" t="inlineStr"/>
      <c r="K432" s="18" t="inlineStr"/>
      <c r="L432" s="18" t="inlineStr">
        <is>
          <t>No</t>
        </is>
      </c>
      <c r="M432" s="18" t="inlineStr">
        <is>
          <t>No</t>
        </is>
      </c>
      <c r="N432" s="18" t="inlineStr"/>
      <c r="O432" s="18" t="inlineStr"/>
      <c r="P432" s="18" t="inlineStr">
        <is>
          <t>Mapeada en academic-work-plan-service/src/pta/entities/historial-estado-pta.entity.ts:20 (HistorialEstadoPtaEntity.actorRol)</t>
        </is>
      </c>
      <c r="Q432" s="18" t="inlineStr">
        <is>
          <t>Propuesta semántica</t>
        </is>
      </c>
      <c r="R432" s="18" t="inlineStr">
        <is>
          <t>Rol del usuario que realizó la transición de estado.</t>
        </is>
      </c>
      <c r="S432" s="18" t="inlineStr">
        <is>
          <t>Alta</t>
        </is>
      </c>
      <c r="T432" s="18" t="inlineStr">
        <is>
          <t>nombre + tipo + columnas vecinas</t>
        </is>
      </c>
      <c r="U432" s="18" t="inlineStr"/>
      <c r="V432" s="19" t="inlineStr">
        <is>
          <t>Pendiente</t>
        </is>
      </c>
      <c r="W432" s="19" t="inlineStr"/>
      <c r="X432" s="19" t="inlineStr"/>
      <c r="Y432" s="20" t="n"/>
      <c r="Z432" s="19" t="inlineStr"/>
      <c r="AA432" s="18">
        <f>IF(OR(V432="Aprobada"),R432,IF(AND(OR(V432="Aprobada con ajuste",V432="Rechazada"),W432&lt;&gt;""),W432,""))</f>
        <v/>
      </c>
    </row>
    <row r="433">
      <c r="A433" s="18" t="inlineStr">
        <is>
          <t>C0432</t>
        </is>
      </c>
      <c r="B433" s="18" t="inlineStr">
        <is>
          <t>Plan de trabajo académico</t>
        </is>
      </c>
      <c r="C433" s="18" t="inlineStr">
        <is>
          <t>academic_work_plan</t>
        </is>
      </c>
      <c r="D433" s="18" t="inlineStr">
        <is>
          <t>HistorialEstadoPTA</t>
        </is>
      </c>
      <c r="E433" s="18" t="n">
        <v>51</v>
      </c>
      <c r="F433" s="18" t="inlineStr">
        <is>
          <t>detallesTransicion</t>
        </is>
      </c>
      <c r="G433" s="18" t="inlineStr">
        <is>
          <t>text</t>
        </is>
      </c>
      <c r="H433" s="18" t="inlineStr">
        <is>
          <t>Sí</t>
        </is>
      </c>
      <c r="I433" s="18" t="inlineStr"/>
      <c r="J433" s="18" t="inlineStr"/>
      <c r="K433" s="18" t="inlineStr"/>
      <c r="L433" s="18" t="inlineStr">
        <is>
          <t>No</t>
        </is>
      </c>
      <c r="M433" s="18" t="inlineStr">
        <is>
          <t>No</t>
        </is>
      </c>
      <c r="N433" s="18" t="inlineStr"/>
      <c r="O433" s="18" t="inlineStr"/>
      <c r="P433" s="18" t="inlineStr">
        <is>
          <t>Mapeada en academic-work-plan-service/src/pta/entities/historial-estado-pta.entity.ts:29 (HistorialEstadoPtaEntity.detallesTransicion)</t>
        </is>
      </c>
      <c r="Q433" s="18" t="inlineStr">
        <is>
          <t>Propuesta semántica</t>
        </is>
      </c>
      <c r="R433" s="18" t="inlineStr">
        <is>
          <t>Detalle de la transición de estado.</t>
        </is>
      </c>
      <c r="S433" s="18" t="inlineStr">
        <is>
          <t>Media</t>
        </is>
      </c>
      <c r="T433" s="18" t="inlineStr">
        <is>
          <t>nombre + tipo + columnas vecinas</t>
        </is>
      </c>
      <c r="U433" s="18" t="inlineStr">
        <is>
          <t>¿Qué información se registra en detallesTransicion que no esté en comentarios?</t>
        </is>
      </c>
      <c r="V433" s="19" t="inlineStr">
        <is>
          <t>Pendiente</t>
        </is>
      </c>
      <c r="W433" s="19" t="inlineStr"/>
      <c r="X433" s="19" t="inlineStr"/>
      <c r="Y433" s="20" t="n"/>
      <c r="Z433" s="19" t="inlineStr"/>
      <c r="AA433" s="18">
        <f>IF(OR(V433="Aprobada"),R433,IF(AND(OR(V433="Aprobada con ajuste",V433="Rechazada"),W433&lt;&gt;""),W433,""))</f>
        <v/>
      </c>
    </row>
    <row r="434">
      <c r="A434" s="18" t="inlineStr">
        <is>
          <t>C0433</t>
        </is>
      </c>
      <c r="B434" s="18" t="inlineStr">
        <is>
          <t>Plan de trabajo académico</t>
        </is>
      </c>
      <c r="C434" s="18" t="inlineStr">
        <is>
          <t>academic_work_plan</t>
        </is>
      </c>
      <c r="D434" s="18" t="inlineStr">
        <is>
          <t>HistorialEstadoPTA</t>
        </is>
      </c>
      <c r="E434" s="18" t="n">
        <v>51</v>
      </c>
      <c r="F434" s="18" t="inlineStr">
        <is>
          <t>comentarios</t>
        </is>
      </c>
      <c r="G434" s="18" t="inlineStr">
        <is>
          <t>text</t>
        </is>
      </c>
      <c r="H434" s="18" t="inlineStr">
        <is>
          <t>Sí</t>
        </is>
      </c>
      <c r="I434" s="18" t="inlineStr"/>
      <c r="J434" s="18" t="inlineStr"/>
      <c r="K434" s="18" t="inlineStr"/>
      <c r="L434" s="18" t="inlineStr">
        <is>
          <t>No</t>
        </is>
      </c>
      <c r="M434" s="18" t="inlineStr">
        <is>
          <t>No</t>
        </is>
      </c>
      <c r="N434" s="18" t="inlineStr"/>
      <c r="O434" s="18" t="inlineStr"/>
      <c r="P434" s="18" t="inlineStr">
        <is>
          <t>Mapeada en academic-work-plan-service/src/pta/entities/historial-estado-pta.entity.ts:26 (HistorialEstadoPtaEntity.comentarios)</t>
        </is>
      </c>
      <c r="Q434" s="18" t="inlineStr">
        <is>
          <t>Propuesta semántica</t>
        </is>
      </c>
      <c r="R434" s="18" t="inlineStr">
        <is>
          <t>Comentarios registrados en la transición de estado.</t>
        </is>
      </c>
      <c r="S434" s="18" t="inlineStr">
        <is>
          <t>Alta</t>
        </is>
      </c>
      <c r="T434" s="18" t="inlineStr">
        <is>
          <t>nombre + tipo + columnas vecinas</t>
        </is>
      </c>
      <c r="U434" s="18" t="inlineStr"/>
      <c r="V434" s="19" t="inlineStr">
        <is>
          <t>Pendiente</t>
        </is>
      </c>
      <c r="W434" s="19" t="inlineStr"/>
      <c r="X434" s="19" t="inlineStr"/>
      <c r="Y434" s="20" t="n"/>
      <c r="Z434" s="19" t="inlineStr"/>
      <c r="AA434" s="18">
        <f>IF(OR(V434="Aprobada"),R434,IF(AND(OR(V434="Aprobada con ajuste",V434="Rechazada"),W434&lt;&gt;""),W434,""))</f>
        <v/>
      </c>
    </row>
    <row r="435">
      <c r="A435" s="18" t="inlineStr">
        <is>
          <t>C0434</t>
        </is>
      </c>
      <c r="B435" s="18" t="inlineStr">
        <is>
          <t>Plan de trabajo académico</t>
        </is>
      </c>
      <c r="C435" s="18" t="inlineStr">
        <is>
          <t>academic_work_plan</t>
        </is>
      </c>
      <c r="D435" s="18" t="inlineStr">
        <is>
          <t>HistorialEstadoPTA</t>
        </is>
      </c>
      <c r="E435" s="18" t="n">
        <v>51</v>
      </c>
      <c r="F435" s="18" t="inlineStr">
        <is>
          <t>version</t>
        </is>
      </c>
      <c r="G435" s="18" t="inlineStr">
        <is>
          <t>integer</t>
        </is>
      </c>
      <c r="H435" s="18" t="inlineStr">
        <is>
          <t>Sí</t>
        </is>
      </c>
      <c r="I435" s="18" t="inlineStr"/>
      <c r="J435" s="18" t="inlineStr"/>
      <c r="K435" s="18" t="inlineStr"/>
      <c r="L435" s="18" t="inlineStr">
        <is>
          <t>No</t>
        </is>
      </c>
      <c r="M435" s="18" t="inlineStr">
        <is>
          <t>No</t>
        </is>
      </c>
      <c r="N435" s="18" t="inlineStr"/>
      <c r="O435" s="18" t="inlineStr"/>
      <c r="P435" s="18" t="inlineStr">
        <is>
          <t>Mapeada en academic-work-plan-service/src/pta/entities/historial-estado-pta.entity.ts:35 (HistorialEstadoPtaEntity.version)</t>
        </is>
      </c>
      <c r="Q435" s="18" t="inlineStr">
        <is>
          <t>Regla estructural</t>
        </is>
      </c>
      <c r="R435" s="18" t="inlineStr">
        <is>
          <t>Número de versión del registro.</t>
        </is>
      </c>
      <c r="S435" s="18" t="inlineStr">
        <is>
          <t>Media</t>
        </is>
      </c>
      <c r="T435" s="18" t="inlineStr">
        <is>
          <t>Convención de nombre de la columna.</t>
        </is>
      </c>
      <c r="U435" s="18" t="inlineStr"/>
      <c r="V435" s="19" t="inlineStr">
        <is>
          <t>Pendiente</t>
        </is>
      </c>
      <c r="W435" s="19" t="inlineStr"/>
      <c r="X435" s="19" t="inlineStr"/>
      <c r="Y435" s="20" t="n"/>
      <c r="Z435" s="19" t="inlineStr"/>
      <c r="AA435" s="18">
        <f>IF(OR(V435="Aprobada"),R435,IF(AND(OR(V435="Aprobada con ajuste",V435="Rechazada"),W435&lt;&gt;""),W435,""))</f>
        <v/>
      </c>
    </row>
    <row r="436">
      <c r="A436" s="18" t="inlineStr">
        <is>
          <t>C0435</t>
        </is>
      </c>
      <c r="B436" s="18" t="inlineStr">
        <is>
          <t>Plan de trabajo académico</t>
        </is>
      </c>
      <c r="C436" s="18" t="inlineStr">
        <is>
          <t>academic_work_plan</t>
        </is>
      </c>
      <c r="D436" s="18" t="inlineStr">
        <is>
          <t>HistorialEstadoPTA</t>
        </is>
      </c>
      <c r="E436" s="18" t="n">
        <v>51</v>
      </c>
      <c r="F436" s="18" t="inlineStr">
        <is>
          <t>camposModificados</t>
        </is>
      </c>
      <c r="G436" s="18" t="inlineStr">
        <is>
          <t>jsonb</t>
        </is>
      </c>
      <c r="H436" s="18" t="inlineStr">
        <is>
          <t>Sí</t>
        </is>
      </c>
      <c r="I436" s="18" t="inlineStr"/>
      <c r="J436" s="18" t="inlineStr"/>
      <c r="K436" s="18" t="inlineStr"/>
      <c r="L436" s="18" t="inlineStr">
        <is>
          <t>No</t>
        </is>
      </c>
      <c r="M436" s="18" t="inlineStr">
        <is>
          <t>No</t>
        </is>
      </c>
      <c r="N436" s="18" t="inlineStr"/>
      <c r="O436" s="18" t="inlineStr"/>
      <c r="P436" s="18" t="inlineStr"/>
      <c r="Q436" s="18" t="inlineStr">
        <is>
          <t>Propuesta semántica</t>
        </is>
      </c>
      <c r="R436" s="18" t="inlineStr">
        <is>
          <t>Campos del plan modificados en la transición, en formato JSON.</t>
        </is>
      </c>
      <c r="S436" s="18" t="inlineStr">
        <is>
          <t>Media</t>
        </is>
      </c>
      <c r="T436" s="18" t="inlineStr">
        <is>
          <t>nombre + tipo + columnas vecinas</t>
        </is>
      </c>
      <c r="U436" s="18" t="inlineStr">
        <is>
          <t>¿Qué estructura tiene el JSON?</t>
        </is>
      </c>
      <c r="V436" s="19" t="inlineStr">
        <is>
          <t>Pendiente</t>
        </is>
      </c>
      <c r="W436" s="19" t="inlineStr"/>
      <c r="X436" s="19" t="inlineStr"/>
      <c r="Y436" s="20" t="n"/>
      <c r="Z436" s="19" t="inlineStr"/>
      <c r="AA436" s="18">
        <f>IF(OR(V436="Aprobada"),R436,IF(AND(OR(V436="Aprobada con ajuste",V436="Rechazada"),W436&lt;&gt;""),W436,""))</f>
        <v/>
      </c>
    </row>
    <row r="437">
      <c r="A437" s="18" t="inlineStr">
        <is>
          <t>C0436</t>
        </is>
      </c>
      <c r="B437" s="18" t="inlineStr">
        <is>
          <t>Plan de trabajo académico</t>
        </is>
      </c>
      <c r="C437" s="18" t="inlineStr">
        <is>
          <t>academic_work_plan</t>
        </is>
      </c>
      <c r="D437" s="18" t="inlineStr">
        <is>
          <t>HistorialEstadoPTA</t>
        </is>
      </c>
      <c r="E437" s="18" t="n">
        <v>51</v>
      </c>
      <c r="F437" s="18" t="inlineStr">
        <is>
          <t>snapshotPta</t>
        </is>
      </c>
      <c r="G437" s="18" t="inlineStr">
        <is>
          <t>jsonb</t>
        </is>
      </c>
      <c r="H437" s="18" t="inlineStr">
        <is>
          <t>Sí</t>
        </is>
      </c>
      <c r="I437" s="18" t="inlineStr"/>
      <c r="J437" s="18" t="inlineStr"/>
      <c r="K437" s="18" t="inlineStr"/>
      <c r="L437" s="18" t="inlineStr">
        <is>
          <t>No</t>
        </is>
      </c>
      <c r="M437" s="18" t="inlineStr">
        <is>
          <t>No</t>
        </is>
      </c>
      <c r="N437" s="18" t="inlineStr"/>
      <c r="O437" s="18" t="inlineStr"/>
      <c r="P437" s="18" t="inlineStr">
        <is>
          <t>Mapeada en academic-work-plan-service/src/pta/entities/historial-estado-pta.entity.ts:32 (HistorialEstadoPtaEntity.snapshotPta)</t>
        </is>
      </c>
      <c r="Q437" s="18" t="inlineStr">
        <is>
          <t>Propuesta semántica</t>
        </is>
      </c>
      <c r="R437" s="18" t="inlineStr">
        <is>
          <t>Copia del plan de trabajo académico en el momento de la transición, en formato JSON.</t>
        </is>
      </c>
      <c r="S437" s="18" t="inlineStr">
        <is>
          <t>Alta</t>
        </is>
      </c>
      <c r="T437" s="18" t="inlineStr">
        <is>
          <t>nombre + tipo + columnas vecinas</t>
        </is>
      </c>
      <c r="U437" s="18" t="inlineStr"/>
      <c r="V437" s="19" t="inlineStr">
        <is>
          <t>Pendiente</t>
        </is>
      </c>
      <c r="W437" s="19" t="inlineStr"/>
      <c r="X437" s="19" t="inlineStr"/>
      <c r="Y437" s="20" t="n"/>
      <c r="Z437" s="19" t="inlineStr"/>
      <c r="AA437" s="18">
        <f>IF(OR(V437="Aprobada"),R437,IF(AND(OR(V437="Aprobada con ajuste",V437="Rechazada"),W437&lt;&gt;""),W437,""))</f>
        <v/>
      </c>
    </row>
    <row r="438">
      <c r="A438" s="18" t="inlineStr">
        <is>
          <t>C0437</t>
        </is>
      </c>
      <c r="B438" s="18" t="inlineStr">
        <is>
          <t>Plan de trabajo académico</t>
        </is>
      </c>
      <c r="C438" s="18" t="inlineStr">
        <is>
          <t>academic_work_plan</t>
        </is>
      </c>
      <c r="D438" s="18" t="inlineStr">
        <is>
          <t>nucleo_tematico</t>
        </is>
      </c>
      <c r="E438" s="18" t="n">
        <v>42</v>
      </c>
      <c r="F438" s="18" t="inlineStr">
        <is>
          <t>codigo</t>
        </is>
      </c>
      <c r="G438" s="18" t="inlineStr">
        <is>
          <t>character varying(20)</t>
        </is>
      </c>
      <c r="H438" s="18" t="inlineStr">
        <is>
          <t>No</t>
        </is>
      </c>
      <c r="I438" s="18" t="inlineStr">
        <is>
          <t>Única</t>
        </is>
      </c>
      <c r="J438" s="18" t="inlineStr"/>
      <c r="K438" s="18" t="inlineStr"/>
      <c r="L438" s="18" t="inlineStr">
        <is>
          <t>No</t>
        </is>
      </c>
      <c r="M438" s="18" t="inlineStr">
        <is>
          <t>No</t>
        </is>
      </c>
      <c r="N438" s="18" t="inlineStr"/>
      <c r="O438" s="18" t="inlineStr">
        <is>
          <t>nucleo_tematico_codigo_key</t>
        </is>
      </c>
      <c r="P438" s="18" t="inlineStr">
        <is>
          <t>Mapeada en academic-work-plan-service/src/pta/entities/nucleo-tematico.entity.ts:9 (NucleoTematicoEntity.codigo)</t>
        </is>
      </c>
      <c r="Q438" s="18" t="inlineStr">
        <is>
          <t>Regla estructural</t>
        </is>
      </c>
      <c r="R438" s="18" t="inlineStr">
        <is>
          <t>Código del registro de nucleo_tematico. Único en la tabla.</t>
        </is>
      </c>
      <c r="S438" s="18" t="inlineStr">
        <is>
          <t>Media</t>
        </is>
      </c>
      <c r="T438" s="18" t="inlineStr">
        <is>
          <t>Convención de nombre de la columna.</t>
        </is>
      </c>
      <c r="U438" s="18" t="inlineStr"/>
      <c r="V438" s="19" t="inlineStr">
        <is>
          <t>Pendiente</t>
        </is>
      </c>
      <c r="W438" s="19" t="inlineStr"/>
      <c r="X438" s="19" t="inlineStr"/>
      <c r="Y438" s="20" t="n"/>
      <c r="Z438" s="19" t="inlineStr"/>
      <c r="AA438" s="18">
        <f>IF(OR(V438="Aprobada"),R438,IF(AND(OR(V438="Aprobada con ajuste",V438="Rechazada"),W438&lt;&gt;""),W438,""))</f>
        <v/>
      </c>
    </row>
    <row r="439">
      <c r="A439" s="18" t="inlineStr">
        <is>
          <t>C0438</t>
        </is>
      </c>
      <c r="B439" s="18" t="inlineStr">
        <is>
          <t>Plan de trabajo académico</t>
        </is>
      </c>
      <c r="C439" s="18" t="inlineStr">
        <is>
          <t>academic_work_plan</t>
        </is>
      </c>
      <c r="D439" s="18" t="inlineStr">
        <is>
          <t>nucleo_tematico</t>
        </is>
      </c>
      <c r="E439" s="18" t="n">
        <v>42</v>
      </c>
      <c r="F439" s="18" t="inlineStr">
        <is>
          <t>nombre</t>
        </is>
      </c>
      <c r="G439" s="18" t="inlineStr">
        <is>
          <t>character varying(100)</t>
        </is>
      </c>
      <c r="H439" s="18" t="inlineStr">
        <is>
          <t>No</t>
        </is>
      </c>
      <c r="I439" s="18" t="inlineStr">
        <is>
          <t>Única</t>
        </is>
      </c>
      <c r="J439" s="18" t="inlineStr"/>
      <c r="K439" s="18" t="inlineStr"/>
      <c r="L439" s="18" t="inlineStr">
        <is>
          <t>No</t>
        </is>
      </c>
      <c r="M439" s="18" t="inlineStr">
        <is>
          <t>No</t>
        </is>
      </c>
      <c r="N439" s="18" t="inlineStr"/>
      <c r="O439" s="18" t="inlineStr">
        <is>
          <t>nucleo_tematico_nombre_key</t>
        </is>
      </c>
      <c r="P439" s="18" t="inlineStr">
        <is>
          <t>Mapeada en academic-work-plan-service/src/pta/entities/nucleo-tematico.entity.ts:12 (NucleoTematicoEntity.nombre)</t>
        </is>
      </c>
      <c r="Q439" s="18" t="inlineStr">
        <is>
          <t>Regla estructural</t>
        </is>
      </c>
      <c r="R439" s="18" t="inlineStr">
        <is>
          <t>Nombre del registro de nucleo_tematico.</t>
        </is>
      </c>
      <c r="S439" s="18" t="inlineStr">
        <is>
          <t>Media</t>
        </is>
      </c>
      <c r="T439" s="18" t="inlineStr">
        <is>
          <t>Convención de nombre de la columna.</t>
        </is>
      </c>
      <c r="U439" s="18" t="inlineStr"/>
      <c r="V439" s="19" t="inlineStr">
        <is>
          <t>Pendiente</t>
        </is>
      </c>
      <c r="W439" s="19" t="inlineStr"/>
      <c r="X439" s="19" t="inlineStr"/>
      <c r="Y439" s="20" t="n"/>
      <c r="Z439" s="19" t="inlineStr"/>
      <c r="AA439" s="18">
        <f>IF(OR(V439="Aprobada"),R439,IF(AND(OR(V439="Aprobada con ajuste",V439="Rechazada"),W439&lt;&gt;""),W439,""))</f>
        <v/>
      </c>
    </row>
    <row r="440">
      <c r="A440" s="18" t="inlineStr">
        <is>
          <t>C0439</t>
        </is>
      </c>
      <c r="B440" s="18" t="inlineStr">
        <is>
          <t>Plan de trabajo académico</t>
        </is>
      </c>
      <c r="C440" s="18" t="inlineStr">
        <is>
          <t>academic_work_plan</t>
        </is>
      </c>
      <c r="D440" s="18" t="inlineStr">
        <is>
          <t>nucleo_tematico</t>
        </is>
      </c>
      <c r="E440" s="18" t="n">
        <v>42</v>
      </c>
      <c r="F440" s="18" t="inlineStr">
        <is>
          <t>descripcion</t>
        </is>
      </c>
      <c r="G440" s="18" t="inlineStr">
        <is>
          <t>text</t>
        </is>
      </c>
      <c r="H440" s="18" t="inlineStr">
        <is>
          <t>Sí</t>
        </is>
      </c>
      <c r="I440" s="18" t="inlineStr"/>
      <c r="J440" s="18" t="inlineStr"/>
      <c r="K440" s="18" t="inlineStr"/>
      <c r="L440" s="18" t="inlineStr">
        <is>
          <t>No</t>
        </is>
      </c>
      <c r="M440" s="18" t="inlineStr">
        <is>
          <t>No</t>
        </is>
      </c>
      <c r="N440" s="18" t="inlineStr"/>
      <c r="O440" s="18" t="inlineStr"/>
      <c r="P440" s="18" t="inlineStr">
        <is>
          <t>Mapeada en academic-work-plan-service/src/pta/entities/nucleo-tematico.entity.ts:22 (NucleoTematicoEntity.descripcion)</t>
        </is>
      </c>
      <c r="Q440" s="18" t="inlineStr">
        <is>
          <t>Regla estructural</t>
        </is>
      </c>
      <c r="R440" s="18" t="inlineStr">
        <is>
          <t>Descripción del registro de nucleo_tematico.</t>
        </is>
      </c>
      <c r="S440" s="18" t="inlineStr">
        <is>
          <t>Media</t>
        </is>
      </c>
      <c r="T440" s="18" t="inlineStr">
        <is>
          <t>Convención de nombre de la columna.</t>
        </is>
      </c>
      <c r="U440" s="18" t="inlineStr"/>
      <c r="V440" s="19" t="inlineStr">
        <is>
          <t>Pendiente</t>
        </is>
      </c>
      <c r="W440" s="19" t="inlineStr"/>
      <c r="X440" s="19" t="inlineStr"/>
      <c r="Y440" s="20" t="n"/>
      <c r="Z440" s="19" t="inlineStr"/>
      <c r="AA440" s="18">
        <f>IF(OR(V440="Aprobada"),R440,IF(AND(OR(V440="Aprobada con ajuste",V440="Rechazada"),W440&lt;&gt;""),W440,""))</f>
        <v/>
      </c>
    </row>
    <row r="441">
      <c r="A441" s="18" t="inlineStr">
        <is>
          <t>C0440</t>
        </is>
      </c>
      <c r="B441" s="18" t="inlineStr">
        <is>
          <t>Plan de trabajo académico</t>
        </is>
      </c>
      <c r="C441" s="18" t="inlineStr">
        <is>
          <t>academic_work_plan</t>
        </is>
      </c>
      <c r="D441" s="18" t="inlineStr">
        <is>
          <t>nucleo_tematico</t>
        </is>
      </c>
      <c r="E441" s="18" t="n">
        <v>42</v>
      </c>
      <c r="F441" s="18" t="inlineStr">
        <is>
          <t>activo</t>
        </is>
      </c>
      <c r="G441" s="18" t="inlineStr">
        <is>
          <t>boolean</t>
        </is>
      </c>
      <c r="H441" s="18" t="inlineStr">
        <is>
          <t>No</t>
        </is>
      </c>
      <c r="I441" s="18" t="inlineStr"/>
      <c r="J441" s="18" t="inlineStr"/>
      <c r="K441" s="18" t="inlineStr"/>
      <c r="L441" s="18" t="inlineStr">
        <is>
          <t>No</t>
        </is>
      </c>
      <c r="M441" s="18" t="inlineStr">
        <is>
          <t>No</t>
        </is>
      </c>
      <c r="N441" s="18" t="inlineStr"/>
      <c r="O441" s="18" t="inlineStr"/>
      <c r="P441" s="18" t="inlineStr">
        <is>
          <t>Mapeada en academic-work-plan-service/src/pta/entities/nucleo-tematico.entity.ts:25 (NucleoTematicoEntity.activo)</t>
        </is>
      </c>
      <c r="Q441" s="18" t="inlineStr">
        <is>
          <t>Regla estructural</t>
        </is>
      </c>
      <c r="R441" s="18" t="inlineStr">
        <is>
          <t>Indica si el registro está activo.</t>
        </is>
      </c>
      <c r="S441" s="18" t="inlineStr">
        <is>
          <t>Media</t>
        </is>
      </c>
      <c r="T441" s="18" t="inlineStr">
        <is>
          <t>Convención de nombre de la columna.</t>
        </is>
      </c>
      <c r="U441" s="18" t="inlineStr"/>
      <c r="V441" s="19" t="inlineStr">
        <is>
          <t>Pendiente</t>
        </is>
      </c>
      <c r="W441" s="19" t="inlineStr"/>
      <c r="X441" s="19" t="inlineStr"/>
      <c r="Y441" s="20" t="n"/>
      <c r="Z441" s="19" t="inlineStr"/>
      <c r="AA441" s="18">
        <f>IF(OR(V441="Aprobada"),R441,IF(AND(OR(V441="Aprobada con ajuste",V441="Rechazada"),W441&lt;&gt;""),W441,""))</f>
        <v/>
      </c>
    </row>
    <row r="442">
      <c r="A442" s="18" t="inlineStr">
        <is>
          <t>C0441</t>
        </is>
      </c>
      <c r="B442" s="18" t="inlineStr">
        <is>
          <t>Plan de trabajo académico</t>
        </is>
      </c>
      <c r="C442" s="18" t="inlineStr">
        <is>
          <t>academic_work_plan</t>
        </is>
      </c>
      <c r="D442" s="18" t="inlineStr">
        <is>
          <t>nucleo_tematico</t>
        </is>
      </c>
      <c r="E442" s="18" t="n">
        <v>42</v>
      </c>
      <c r="F442" s="18" t="inlineStr">
        <is>
          <t>deleted_at</t>
        </is>
      </c>
      <c r="G442" s="18" t="inlineStr">
        <is>
          <t>timestamp without time zone</t>
        </is>
      </c>
      <c r="H442" s="18" t="inlineStr">
        <is>
          <t>Sí</t>
        </is>
      </c>
      <c r="I442" s="18" t="inlineStr"/>
      <c r="J442" s="18" t="inlineStr"/>
      <c r="K442" s="18" t="inlineStr"/>
      <c r="L442" s="18" t="inlineStr">
        <is>
          <t>No</t>
        </is>
      </c>
      <c r="M442" s="18" t="inlineStr">
        <is>
          <t>No</t>
        </is>
      </c>
      <c r="N442" s="18" t="inlineStr"/>
      <c r="O442" s="18" t="inlineStr"/>
      <c r="P442" s="18" t="inlineStr">
        <is>
          <t>Mapeada en academic-work-plan-service/src/pta/entities/nucleo-tematico.entity.ts:40 (NucleoTematicoEntity.deletedAt)</t>
        </is>
      </c>
      <c r="Q442" s="18" t="inlineStr">
        <is>
          <t>Regla estructural</t>
        </is>
      </c>
      <c r="R442" s="18" t="inlineStr">
        <is>
          <t>Fecha y hora de la eliminación.</t>
        </is>
      </c>
      <c r="S442" s="18" t="inlineStr">
        <is>
          <t>Media</t>
        </is>
      </c>
      <c r="T442" s="18" t="inlineStr">
        <is>
          <t>Convención de nombre de la columna.</t>
        </is>
      </c>
      <c r="U442" s="18" t="inlineStr"/>
      <c r="V442" s="19" t="inlineStr">
        <is>
          <t>Pendiente</t>
        </is>
      </c>
      <c r="W442" s="19" t="inlineStr"/>
      <c r="X442" s="19" t="inlineStr"/>
      <c r="Y442" s="20" t="n"/>
      <c r="Z442" s="19" t="inlineStr"/>
      <c r="AA442" s="18">
        <f>IF(OR(V442="Aprobada"),R442,IF(AND(OR(V442="Aprobada con ajuste",V442="Rechazada"),W442&lt;&gt;""),W442,""))</f>
        <v/>
      </c>
    </row>
    <row r="443">
      <c r="A443" s="18" t="inlineStr">
        <is>
          <t>C0442</t>
        </is>
      </c>
      <c r="B443" s="18" t="inlineStr">
        <is>
          <t>Plan de trabajo académico</t>
        </is>
      </c>
      <c r="C443" s="18" t="inlineStr">
        <is>
          <t>academic_work_plan</t>
        </is>
      </c>
      <c r="D443" s="18" t="inlineStr">
        <is>
          <t>nucleo_tematico</t>
        </is>
      </c>
      <c r="E443" s="18" t="n">
        <v>42</v>
      </c>
      <c r="F443" s="18" t="inlineStr">
        <is>
          <t>deleted_by</t>
        </is>
      </c>
      <c r="G443" s="18" t="inlineStr">
        <is>
          <t>bigint</t>
        </is>
      </c>
      <c r="H443" s="18" t="inlineStr">
        <is>
          <t>Sí</t>
        </is>
      </c>
      <c r="I443" s="18" t="inlineStr"/>
      <c r="J443" s="18" t="inlineStr"/>
      <c r="K443" s="18" t="inlineStr"/>
      <c r="L443" s="18" t="inlineStr">
        <is>
          <t>No</t>
        </is>
      </c>
      <c r="M443" s="18" t="inlineStr">
        <is>
          <t>No</t>
        </is>
      </c>
      <c r="N443" s="18" t="inlineStr"/>
      <c r="O443" s="18" t="inlineStr"/>
      <c r="P443" s="18" t="inlineStr">
        <is>
          <t>Mapeada en academic-work-plan-service/src/pta/entities/nucleo-tematico.entity.ts:43 (NucleoTematicoEntity.deletedBy)</t>
        </is>
      </c>
      <c r="Q443" s="18" t="inlineStr">
        <is>
          <t>Propuesta semántica</t>
        </is>
      </c>
      <c r="R443" s="18" t="inlineStr">
        <is>
          <t>Identificador del usuario que eliminó lógicamente el registro.</t>
        </is>
      </c>
      <c r="S443" s="18" t="inlineStr">
        <is>
          <t>Media</t>
        </is>
      </c>
      <c r="T443" s="18" t="inlineStr">
        <is>
          <t>nombre + tipo + columnas vecinas (deleted_at)</t>
        </is>
      </c>
      <c r="U443" s="18" t="inlineStr">
        <is>
          <t>¿deleted_by guarda el id de auth."user" (id_user) o de otra tabla de usuarios?</t>
        </is>
      </c>
      <c r="V443" s="19" t="inlineStr">
        <is>
          <t>Pendiente</t>
        </is>
      </c>
      <c r="W443" s="19" t="inlineStr"/>
      <c r="X443" s="19" t="inlineStr"/>
      <c r="Y443" s="20" t="n"/>
      <c r="Z443" s="19" t="inlineStr"/>
      <c r="AA443" s="18">
        <f>IF(OR(V443="Aprobada"),R443,IF(AND(OR(V443="Aprobada con ajuste",V443="Rechazada"),W443&lt;&gt;""),W443,""))</f>
        <v/>
      </c>
    </row>
    <row r="444">
      <c r="A444" s="18" t="inlineStr">
        <is>
          <t>C0443</t>
        </is>
      </c>
      <c r="B444" s="18" t="inlineStr">
        <is>
          <t>Plan de trabajo académico</t>
        </is>
      </c>
      <c r="C444" s="18" t="inlineStr">
        <is>
          <t>academic_work_plan</t>
        </is>
      </c>
      <c r="D444" s="18" t="inlineStr">
        <is>
          <t>oferta_cetap_programa</t>
        </is>
      </c>
      <c r="E444" s="18" t="n">
        <v>337</v>
      </c>
      <c r="F444" s="18" t="inlineStr">
        <is>
          <t>cupos_estimados</t>
        </is>
      </c>
      <c r="G444" s="18" t="inlineStr">
        <is>
          <t>integer</t>
        </is>
      </c>
      <c r="H444" s="18" t="inlineStr">
        <is>
          <t>Sí</t>
        </is>
      </c>
      <c r="I444" s="18" t="inlineStr"/>
      <c r="J444" s="18" t="inlineStr"/>
      <c r="K444" s="18" t="inlineStr"/>
      <c r="L444" s="18" t="inlineStr">
        <is>
          <t>No</t>
        </is>
      </c>
      <c r="M444" s="18" t="inlineStr">
        <is>
          <t>No</t>
        </is>
      </c>
      <c r="N444" s="18" t="inlineStr"/>
      <c r="O444" s="18" t="inlineStr"/>
      <c r="P444" s="18" t="inlineStr">
        <is>
          <t>Mapeada en academic-work-plan-service/src/pta/entities/oferta-cetap-programa.entity.ts:33 (OfertaCetapProgramaEntity.cuposEstimados)</t>
        </is>
      </c>
      <c r="Q444" s="18" t="inlineStr">
        <is>
          <t>Propuesta semántica</t>
        </is>
      </c>
      <c r="R444" s="18" t="inlineStr">
        <is>
          <t>Número estimado de cupos del programa en el CETAP para el periodo académico.</t>
        </is>
      </c>
      <c r="S444" s="18" t="inlineStr">
        <is>
          <t>Alta</t>
        </is>
      </c>
      <c r="T444" s="18" t="inlineStr">
        <is>
          <t>nombre + tipo + columnas vecinas</t>
        </is>
      </c>
      <c r="U444" s="18" t="inlineStr"/>
      <c r="V444" s="19" t="inlineStr">
        <is>
          <t>Pendiente</t>
        </is>
      </c>
      <c r="W444" s="19" t="inlineStr"/>
      <c r="X444" s="19" t="inlineStr"/>
      <c r="Y444" s="20" t="n"/>
      <c r="Z444" s="19" t="inlineStr"/>
      <c r="AA444" s="18">
        <f>IF(OR(V444="Aprobada"),R444,IF(AND(OR(V444="Aprobada con ajuste",V444="Rechazada"),W444&lt;&gt;""),W444,""))</f>
        <v/>
      </c>
    </row>
    <row r="445">
      <c r="A445" s="18" t="inlineStr">
        <is>
          <t>C0444</t>
        </is>
      </c>
      <c r="B445" s="18" t="inlineStr">
        <is>
          <t>Plan de trabajo académico</t>
        </is>
      </c>
      <c r="C445" s="18" t="inlineStr">
        <is>
          <t>academic_work_plan</t>
        </is>
      </c>
      <c r="D445" s="18" t="inlineStr">
        <is>
          <t>oferta_cetap_programa</t>
        </is>
      </c>
      <c r="E445" s="18" t="n">
        <v>337</v>
      </c>
      <c r="F445" s="18" t="inlineStr">
        <is>
          <t>observaciones</t>
        </is>
      </c>
      <c r="G445" s="18" t="inlineStr">
        <is>
          <t>text</t>
        </is>
      </c>
      <c r="H445" s="18" t="inlineStr">
        <is>
          <t>Sí</t>
        </is>
      </c>
      <c r="I445" s="18" t="inlineStr"/>
      <c r="J445" s="18" t="inlineStr"/>
      <c r="K445" s="18" t="inlineStr"/>
      <c r="L445" s="18" t="inlineStr">
        <is>
          <t>No</t>
        </is>
      </c>
      <c r="M445" s="18" t="inlineStr">
        <is>
          <t>No</t>
        </is>
      </c>
      <c r="N445" s="18" t="inlineStr"/>
      <c r="O445" s="18" t="inlineStr"/>
      <c r="P445" s="18" t="inlineStr">
        <is>
          <t>Mapeada en academic-work-plan-service/src/pta/entities/oferta-cetap-programa.entity.ts:36 (OfertaCetapProgramaEntity.observaciones)</t>
        </is>
      </c>
      <c r="Q445" s="18" t="inlineStr">
        <is>
          <t>Regla estructural</t>
        </is>
      </c>
      <c r="R445" s="18" t="inlineStr">
        <is>
          <t>Observaciones registradas sobre el registro.</t>
        </is>
      </c>
      <c r="S445" s="18" t="inlineStr">
        <is>
          <t>Media</t>
        </is>
      </c>
      <c r="T445" s="18" t="inlineStr">
        <is>
          <t>Convención de nombre de la columna.</t>
        </is>
      </c>
      <c r="U445" s="18" t="inlineStr"/>
      <c r="V445" s="19" t="inlineStr">
        <is>
          <t>Pendiente</t>
        </is>
      </c>
      <c r="W445" s="19" t="inlineStr"/>
      <c r="X445" s="19" t="inlineStr"/>
      <c r="Y445" s="20" t="n"/>
      <c r="Z445" s="19" t="inlineStr"/>
      <c r="AA445" s="18">
        <f>IF(OR(V445="Aprobada"),R445,IF(AND(OR(V445="Aprobada con ajuste",V445="Rechazada"),W445&lt;&gt;""),W445,""))</f>
        <v/>
      </c>
    </row>
    <row r="446">
      <c r="A446" s="18" t="inlineStr">
        <is>
          <t>C0445</t>
        </is>
      </c>
      <c r="B446" s="18" t="inlineStr">
        <is>
          <t>Plan de trabajo académico</t>
        </is>
      </c>
      <c r="C446" s="18" t="inlineStr">
        <is>
          <t>academic_work_plan</t>
        </is>
      </c>
      <c r="D446" s="18" t="inlineStr">
        <is>
          <t>oferta_cetap_programa</t>
        </is>
      </c>
      <c r="E446" s="18" t="n">
        <v>337</v>
      </c>
      <c r="F446" s="18" t="inlineStr">
        <is>
          <t>activa</t>
        </is>
      </c>
      <c r="G446" s="18" t="inlineStr">
        <is>
          <t>boolean</t>
        </is>
      </c>
      <c r="H446" s="18" t="inlineStr">
        <is>
          <t>No</t>
        </is>
      </c>
      <c r="I446" s="18" t="inlineStr"/>
      <c r="J446" s="18" t="inlineStr"/>
      <c r="K446" s="18" t="inlineStr"/>
      <c r="L446" s="18" t="inlineStr">
        <is>
          <t>No</t>
        </is>
      </c>
      <c r="M446" s="18" t="inlineStr">
        <is>
          <t>No</t>
        </is>
      </c>
      <c r="N446" s="18" t="inlineStr"/>
      <c r="O446" s="18" t="inlineStr">
        <is>
          <t>idx_ocp_activa</t>
        </is>
      </c>
      <c r="P446" s="18" t="inlineStr">
        <is>
          <t>Mapeada en academic-work-plan-service/src/pta/entities/oferta-cetap-programa.entity.ts:39 (OfertaCetapProgramaEntity.activa)</t>
        </is>
      </c>
      <c r="Q446" s="18" t="inlineStr">
        <is>
          <t>Regla estructural</t>
        </is>
      </c>
      <c r="R446" s="18" t="inlineStr">
        <is>
          <t>Indica si el registro está activo.</t>
        </is>
      </c>
      <c r="S446" s="18" t="inlineStr">
        <is>
          <t>Media</t>
        </is>
      </c>
      <c r="T446" s="18" t="inlineStr">
        <is>
          <t>Convención de nombre de la columna.</t>
        </is>
      </c>
      <c r="U446" s="18" t="inlineStr"/>
      <c r="V446" s="19" t="inlineStr">
        <is>
          <t>Pendiente</t>
        </is>
      </c>
      <c r="W446" s="19" t="inlineStr"/>
      <c r="X446" s="19" t="inlineStr"/>
      <c r="Y446" s="20" t="n"/>
      <c r="Z446" s="19" t="inlineStr"/>
      <c r="AA446" s="18">
        <f>IF(OR(V446="Aprobada"),R446,IF(AND(OR(V446="Aprobada con ajuste",V446="Rechazada"),W446&lt;&gt;""),W446,""))</f>
        <v/>
      </c>
    </row>
    <row r="447">
      <c r="A447" s="18" t="inlineStr">
        <is>
          <t>C0446</t>
        </is>
      </c>
      <c r="B447" s="18" t="inlineStr">
        <is>
          <t>Plan de trabajo académico</t>
        </is>
      </c>
      <c r="C447" s="18" t="inlineStr">
        <is>
          <t>academic_work_plan</t>
        </is>
      </c>
      <c r="D447" s="18" t="inlineStr">
        <is>
          <t>oferta_cetap_programa</t>
        </is>
      </c>
      <c r="E447" s="18" t="n">
        <v>337</v>
      </c>
      <c r="F447" s="18" t="inlineStr">
        <is>
          <t>deleted_at</t>
        </is>
      </c>
      <c r="G447" s="18" t="inlineStr">
        <is>
          <t>timestamp without time zone</t>
        </is>
      </c>
      <c r="H447" s="18" t="inlineStr">
        <is>
          <t>Sí</t>
        </is>
      </c>
      <c r="I447" s="18" t="inlineStr"/>
      <c r="J447" s="18" t="inlineStr"/>
      <c r="K447" s="18" t="inlineStr"/>
      <c r="L447" s="18" t="inlineStr">
        <is>
          <t>No</t>
        </is>
      </c>
      <c r="M447" s="18" t="inlineStr">
        <is>
          <t>No</t>
        </is>
      </c>
      <c r="N447" s="18" t="inlineStr"/>
      <c r="O447" s="18" t="inlineStr"/>
      <c r="P447" s="18" t="inlineStr">
        <is>
          <t>Mapeada en academic-work-plan-service/src/pta/entities/oferta-cetap-programa.entity.ts:54 (OfertaCetapProgramaEntity.deletedAt)</t>
        </is>
      </c>
      <c r="Q447" s="18" t="inlineStr">
        <is>
          <t>Regla estructural</t>
        </is>
      </c>
      <c r="R447" s="18" t="inlineStr">
        <is>
          <t>Fecha y hora de la eliminación.</t>
        </is>
      </c>
      <c r="S447" s="18" t="inlineStr">
        <is>
          <t>Media</t>
        </is>
      </c>
      <c r="T447" s="18" t="inlineStr">
        <is>
          <t>Convención de nombre de la columna.</t>
        </is>
      </c>
      <c r="U447" s="18" t="inlineStr"/>
      <c r="V447" s="19" t="inlineStr">
        <is>
          <t>Pendiente</t>
        </is>
      </c>
      <c r="W447" s="19" t="inlineStr"/>
      <c r="X447" s="19" t="inlineStr"/>
      <c r="Y447" s="20" t="n"/>
      <c r="Z447" s="19" t="inlineStr"/>
      <c r="AA447" s="18">
        <f>IF(OR(V447="Aprobada"),R447,IF(AND(OR(V447="Aprobada con ajuste",V447="Rechazada"),W447&lt;&gt;""),W447,""))</f>
        <v/>
      </c>
    </row>
    <row r="448">
      <c r="A448" s="18" t="inlineStr">
        <is>
          <t>C0447</t>
        </is>
      </c>
      <c r="B448" s="18" t="inlineStr">
        <is>
          <t>Plan de trabajo académico</t>
        </is>
      </c>
      <c r="C448" s="18" t="inlineStr">
        <is>
          <t>academic_work_plan</t>
        </is>
      </c>
      <c r="D448" s="18" t="inlineStr">
        <is>
          <t>oferta_cetap_programa</t>
        </is>
      </c>
      <c r="E448" s="18" t="n">
        <v>337</v>
      </c>
      <c r="F448" s="18" t="inlineStr">
        <is>
          <t>deleted_by</t>
        </is>
      </c>
      <c r="G448" s="18" t="inlineStr">
        <is>
          <t>bigint</t>
        </is>
      </c>
      <c r="H448" s="18" t="inlineStr">
        <is>
          <t>Sí</t>
        </is>
      </c>
      <c r="I448" s="18" t="inlineStr"/>
      <c r="J448" s="18" t="inlineStr"/>
      <c r="K448" s="18" t="inlineStr"/>
      <c r="L448" s="18" t="inlineStr">
        <is>
          <t>No</t>
        </is>
      </c>
      <c r="M448" s="18" t="inlineStr">
        <is>
          <t>No</t>
        </is>
      </c>
      <c r="N448" s="18" t="inlineStr"/>
      <c r="O448" s="18" t="inlineStr"/>
      <c r="P448" s="18" t="inlineStr">
        <is>
          <t>Mapeada en academic-work-plan-service/src/pta/entities/oferta-cetap-programa.entity.ts:57 (OfertaCetapProgramaEntity.deletedBy)</t>
        </is>
      </c>
      <c r="Q448" s="18" t="inlineStr">
        <is>
          <t>Propuesta semántica</t>
        </is>
      </c>
      <c r="R448" s="18" t="inlineStr">
        <is>
          <t>Identificador del usuario que eliminó lógicamente el registro.</t>
        </is>
      </c>
      <c r="S448" s="18" t="inlineStr">
        <is>
          <t>Media</t>
        </is>
      </c>
      <c r="T448" s="18" t="inlineStr">
        <is>
          <t>nombre + tipo + columnas vecinas (deleted_at)</t>
        </is>
      </c>
      <c r="U448" s="18" t="inlineStr">
        <is>
          <t>¿deleted_by guarda el id de auth."user" (id_user) o de otra tabla de usuarios?</t>
        </is>
      </c>
      <c r="V448" s="19" t="inlineStr">
        <is>
          <t>Pendiente</t>
        </is>
      </c>
      <c r="W448" s="19" t="inlineStr"/>
      <c r="X448" s="19" t="inlineStr"/>
      <c r="Y448" s="20" t="n"/>
      <c r="Z448" s="19" t="inlineStr"/>
      <c r="AA448" s="18">
        <f>IF(OR(V448="Aprobada"),R448,IF(AND(OR(V448="Aprobada con ajuste",V448="Rechazada"),W448&lt;&gt;""),W448,""))</f>
        <v/>
      </c>
    </row>
    <row r="449">
      <c r="A449" s="18" t="inlineStr">
        <is>
          <t>C0448</t>
        </is>
      </c>
      <c r="B449" s="18" t="inlineStr">
        <is>
          <t>Plan de trabajo académico</t>
        </is>
      </c>
      <c r="C449" s="18" t="inlineStr">
        <is>
          <t>academic_work_plan</t>
        </is>
      </c>
      <c r="D449" s="18" t="inlineStr">
        <is>
          <t>periodo_academico</t>
        </is>
      </c>
      <c r="E449" s="18" t="n">
        <v>2</v>
      </c>
      <c r="F449" s="18" t="inlineStr">
        <is>
          <t>codigo</t>
        </is>
      </c>
      <c r="G449" s="18" t="inlineStr">
        <is>
          <t>character varying(10)</t>
        </is>
      </c>
      <c r="H449" s="18" t="inlineStr">
        <is>
          <t>No</t>
        </is>
      </c>
      <c r="I449" s="18" t="inlineStr">
        <is>
          <t>Única</t>
        </is>
      </c>
      <c r="J449" s="18" t="inlineStr"/>
      <c r="K449" s="18" t="inlineStr"/>
      <c r="L449" s="18" t="inlineStr">
        <is>
          <t>No</t>
        </is>
      </c>
      <c r="M449" s="18" t="inlineStr">
        <is>
          <t>Sí</t>
        </is>
      </c>
      <c r="N449" s="18" t="inlineStr">
        <is>
          <t>Función academic-schedule.reapuntar_grupos_por_equivalencia — academic-schedule.reapuntar_grupos_por_equivalencia: JOIN "academic-schedule".equivalencia_periodo e ON e.codigo_programacion = pp.codigo</t>
        </is>
      </c>
      <c r="O449" s="18" t="inlineStr">
        <is>
          <t>periodo_academico_codigo_key</t>
        </is>
      </c>
      <c r="P449" s="18" t="inlineStr">
        <is>
          <t>Mapeada en academic-work-plan-service/src/pta/entities/periodo-academico.entity.ts:8 (PeriodoAcademicoEntity.codigo)</t>
        </is>
      </c>
      <c r="Q449" s="18" t="inlineStr">
        <is>
          <t>Regla estructural</t>
        </is>
      </c>
      <c r="R449" s="18" t="inlineStr">
        <is>
          <t>Código del registro de periodo_academico. Único en la tabla.</t>
        </is>
      </c>
      <c r="S449" s="18" t="inlineStr">
        <is>
          <t>Media</t>
        </is>
      </c>
      <c r="T449" s="18" t="inlineStr">
        <is>
          <t>Convención de nombre de la columna.</t>
        </is>
      </c>
      <c r="U449" s="18" t="inlineStr"/>
      <c r="V449" s="19" t="inlineStr">
        <is>
          <t>Pendiente</t>
        </is>
      </c>
      <c r="W449" s="19" t="inlineStr"/>
      <c r="X449" s="19" t="inlineStr"/>
      <c r="Y449" s="20" t="n"/>
      <c r="Z449" s="19" t="inlineStr"/>
      <c r="AA449" s="18">
        <f>IF(OR(V449="Aprobada"),R449,IF(AND(OR(V449="Aprobada con ajuste",V449="Rechazada"),W449&lt;&gt;""),W449,""))</f>
        <v/>
      </c>
    </row>
    <row r="450">
      <c r="A450" s="18" t="inlineStr">
        <is>
          <t>C0449</t>
        </is>
      </c>
      <c r="B450" s="18" t="inlineStr">
        <is>
          <t>Plan de trabajo académico</t>
        </is>
      </c>
      <c r="C450" s="18" t="inlineStr">
        <is>
          <t>academic_work_plan</t>
        </is>
      </c>
      <c r="D450" s="18" t="inlineStr">
        <is>
          <t>periodo_academico</t>
        </is>
      </c>
      <c r="E450" s="18" t="n">
        <v>2</v>
      </c>
      <c r="F450" s="18" t="inlineStr">
        <is>
          <t>anio</t>
        </is>
      </c>
      <c r="G450" s="18" t="inlineStr">
        <is>
          <t>integer</t>
        </is>
      </c>
      <c r="H450" s="18" t="inlineStr">
        <is>
          <t>No</t>
        </is>
      </c>
      <c r="I450" s="18" t="inlineStr"/>
      <c r="J450" s="18" t="inlineStr"/>
      <c r="K450" s="18" t="inlineStr"/>
      <c r="L450" s="18" t="inlineStr">
        <is>
          <t>No</t>
        </is>
      </c>
      <c r="M450" s="18" t="inlineStr">
        <is>
          <t>No</t>
        </is>
      </c>
      <c r="N450" s="18" t="inlineStr"/>
      <c r="O450" s="18" t="inlineStr">
        <is>
          <t>uq_periodo_anio_sem</t>
        </is>
      </c>
      <c r="P450" s="18" t="inlineStr">
        <is>
          <t>Mapeada en academic-work-plan-service/src/pta/entities/periodo-academico.entity.ts:11 (PeriodoAcademicoEntity.anio)</t>
        </is>
      </c>
      <c r="Q450" s="18" t="inlineStr">
        <is>
          <t>Regla estructural</t>
        </is>
      </c>
      <c r="R450" s="18" t="inlineStr">
        <is>
          <t>Año.</t>
        </is>
      </c>
      <c r="S450" s="18" t="inlineStr">
        <is>
          <t>Media</t>
        </is>
      </c>
      <c r="T450" s="18" t="inlineStr">
        <is>
          <t>Convención de nombre de la columna.</t>
        </is>
      </c>
      <c r="U450" s="18" t="inlineStr"/>
      <c r="V450" s="19" t="inlineStr">
        <is>
          <t>Pendiente</t>
        </is>
      </c>
      <c r="W450" s="19" t="inlineStr"/>
      <c r="X450" s="19" t="inlineStr"/>
      <c r="Y450" s="20" t="n"/>
      <c r="Z450" s="19" t="inlineStr"/>
      <c r="AA450" s="18">
        <f>IF(OR(V450="Aprobada"),R450,IF(AND(OR(V450="Aprobada con ajuste",V450="Rechazada"),W450&lt;&gt;""),W450,""))</f>
        <v/>
      </c>
    </row>
    <row r="451">
      <c r="A451" s="18" t="inlineStr">
        <is>
          <t>C0450</t>
        </is>
      </c>
      <c r="B451" s="18" t="inlineStr">
        <is>
          <t>Plan de trabajo académico</t>
        </is>
      </c>
      <c r="C451" s="18" t="inlineStr">
        <is>
          <t>academic_work_plan</t>
        </is>
      </c>
      <c r="D451" s="18" t="inlineStr">
        <is>
          <t>periodo_academico</t>
        </is>
      </c>
      <c r="E451" s="18" t="n">
        <v>2</v>
      </c>
      <c r="F451" s="18" t="inlineStr">
        <is>
          <t>semestre</t>
        </is>
      </c>
      <c r="G451" s="18" t="inlineStr">
        <is>
          <t>smallint</t>
        </is>
      </c>
      <c r="H451" s="18" t="inlineStr">
        <is>
          <t>No</t>
        </is>
      </c>
      <c r="I451" s="18" t="inlineStr">
        <is>
          <t>CHECK</t>
        </is>
      </c>
      <c r="J451" s="18" t="inlineStr"/>
      <c r="K451" s="18" t="inlineStr"/>
      <c r="L451" s="18" t="inlineStr">
        <is>
          <t>No</t>
        </is>
      </c>
      <c r="M451" s="18" t="inlineStr">
        <is>
          <t>No</t>
        </is>
      </c>
      <c r="N451" s="18" t="inlineStr"/>
      <c r="O451" s="18" t="inlineStr">
        <is>
          <t>uq_periodo_anio_sem</t>
        </is>
      </c>
      <c r="P451" s="18" t="inlineStr">
        <is>
          <t>Mapeada en academic-work-plan-service/src/pta/entities/periodo-academico.entity.ts:14 (PeriodoAcademicoEntity.semestre)</t>
        </is>
      </c>
      <c r="Q451" s="18" t="inlineStr">
        <is>
          <t>Propuesta semántica</t>
        </is>
      </c>
      <c r="R451" s="18" t="inlineStr">
        <is>
          <t>Número del semestre del año al que corresponde el periodo académico.</t>
        </is>
      </c>
      <c r="S451" s="18" t="inlineStr">
        <is>
          <t>Alta</t>
        </is>
      </c>
      <c r="T451" s="18" t="inlineStr">
        <is>
          <t>nombre + tipo + columnas vecinas + índice único con anio</t>
        </is>
      </c>
      <c r="U451" s="18" t="inlineStr"/>
      <c r="V451" s="19" t="inlineStr">
        <is>
          <t>Pendiente</t>
        </is>
      </c>
      <c r="W451" s="19" t="inlineStr"/>
      <c r="X451" s="19" t="inlineStr"/>
      <c r="Y451" s="20" t="n"/>
      <c r="Z451" s="19" t="inlineStr"/>
      <c r="AA451" s="18">
        <f>IF(OR(V451="Aprobada"),R451,IF(AND(OR(V451="Aprobada con ajuste",V451="Rechazada"),W451&lt;&gt;""),W451,""))</f>
        <v/>
      </c>
    </row>
    <row r="452">
      <c r="A452" s="18" t="inlineStr">
        <is>
          <t>C0451</t>
        </is>
      </c>
      <c r="B452" s="18" t="inlineStr">
        <is>
          <t>Plan de trabajo académico</t>
        </is>
      </c>
      <c r="C452" s="18" t="inlineStr">
        <is>
          <t>academic_work_plan</t>
        </is>
      </c>
      <c r="D452" s="18" t="inlineStr">
        <is>
          <t>periodo_academico</t>
        </is>
      </c>
      <c r="E452" s="18" t="n">
        <v>2</v>
      </c>
      <c r="F452" s="18" t="inlineStr">
        <is>
          <t>fecha_inicio</t>
        </is>
      </c>
      <c r="G452" s="18" t="inlineStr">
        <is>
          <t>date</t>
        </is>
      </c>
      <c r="H452" s="18" t="inlineStr">
        <is>
          <t>No</t>
        </is>
      </c>
      <c r="I452" s="18" t="inlineStr">
        <is>
          <t>CHECK</t>
        </is>
      </c>
      <c r="J452" s="18" t="inlineStr"/>
      <c r="K452" s="18" t="inlineStr"/>
      <c r="L452" s="18" t="inlineStr">
        <is>
          <t>No</t>
        </is>
      </c>
      <c r="M452" s="18" t="inlineStr">
        <is>
          <t>No</t>
        </is>
      </c>
      <c r="N452" s="18" t="inlineStr"/>
      <c r="O452" s="18" t="inlineStr"/>
      <c r="P452" s="18" t="inlineStr">
        <is>
          <t>Mapeada en academic-work-plan-service/src/pta/entities/periodo-academico.entity.ts:17 (PeriodoAcademicoEntity.fechaInicio)</t>
        </is>
      </c>
      <c r="Q452" s="18" t="inlineStr">
        <is>
          <t>Regla estructural</t>
        </is>
      </c>
      <c r="R452" s="18" t="inlineStr">
        <is>
          <t>Fecha de inicio.</t>
        </is>
      </c>
      <c r="S452" s="18" t="inlineStr">
        <is>
          <t>Media</t>
        </is>
      </c>
      <c r="T452" s="18" t="inlineStr">
        <is>
          <t>Convención de nombre de la columna.</t>
        </is>
      </c>
      <c r="U452" s="18" t="inlineStr"/>
      <c r="V452" s="19" t="inlineStr">
        <is>
          <t>Pendiente</t>
        </is>
      </c>
      <c r="W452" s="19" t="inlineStr"/>
      <c r="X452" s="19" t="inlineStr"/>
      <c r="Y452" s="20" t="n"/>
      <c r="Z452" s="19" t="inlineStr"/>
      <c r="AA452" s="18">
        <f>IF(OR(V452="Aprobada"),R452,IF(AND(OR(V452="Aprobada con ajuste",V452="Rechazada"),W452&lt;&gt;""),W452,""))</f>
        <v/>
      </c>
    </row>
    <row r="453">
      <c r="A453" s="18" t="inlineStr">
        <is>
          <t>C0452</t>
        </is>
      </c>
      <c r="B453" s="18" t="inlineStr">
        <is>
          <t>Plan de trabajo académico</t>
        </is>
      </c>
      <c r="C453" s="18" t="inlineStr">
        <is>
          <t>academic_work_plan</t>
        </is>
      </c>
      <c r="D453" s="18" t="inlineStr">
        <is>
          <t>periodo_academico</t>
        </is>
      </c>
      <c r="E453" s="18" t="n">
        <v>2</v>
      </c>
      <c r="F453" s="18" t="inlineStr">
        <is>
          <t>fecha_fin</t>
        </is>
      </c>
      <c r="G453" s="18" t="inlineStr">
        <is>
          <t>date</t>
        </is>
      </c>
      <c r="H453" s="18" t="inlineStr">
        <is>
          <t>No</t>
        </is>
      </c>
      <c r="I453" s="18" t="inlineStr">
        <is>
          <t>CHECK</t>
        </is>
      </c>
      <c r="J453" s="18" t="inlineStr"/>
      <c r="K453" s="18" t="inlineStr"/>
      <c r="L453" s="18" t="inlineStr">
        <is>
          <t>No</t>
        </is>
      </c>
      <c r="M453" s="18" t="inlineStr">
        <is>
          <t>No</t>
        </is>
      </c>
      <c r="N453" s="18" t="inlineStr"/>
      <c r="O453" s="18" t="inlineStr"/>
      <c r="P453" s="18" t="inlineStr">
        <is>
          <t>Mapeada en academic-work-plan-service/src/pta/entities/periodo-academico.entity.ts:20 (PeriodoAcademicoEntity.fechaFin)</t>
        </is>
      </c>
      <c r="Q453" s="18" t="inlineStr">
        <is>
          <t>Regla estructural</t>
        </is>
      </c>
      <c r="R453" s="18" t="inlineStr">
        <is>
          <t>Fecha de finalización.</t>
        </is>
      </c>
      <c r="S453" s="18" t="inlineStr">
        <is>
          <t>Media</t>
        </is>
      </c>
      <c r="T453" s="18" t="inlineStr">
        <is>
          <t>Convención de nombre de la columna.</t>
        </is>
      </c>
      <c r="U453" s="18" t="inlineStr"/>
      <c r="V453" s="19" t="inlineStr">
        <is>
          <t>Pendiente</t>
        </is>
      </c>
      <c r="W453" s="19" t="inlineStr"/>
      <c r="X453" s="19" t="inlineStr"/>
      <c r="Y453" s="20" t="n"/>
      <c r="Z453" s="19" t="inlineStr"/>
      <c r="AA453" s="18">
        <f>IF(OR(V453="Aprobada"),R453,IF(AND(OR(V453="Aprobada con ajuste",V453="Rechazada"),W453&lt;&gt;""),W453,""))</f>
        <v/>
      </c>
    </row>
    <row r="454">
      <c r="A454" s="18" t="inlineStr">
        <is>
          <t>C0453</t>
        </is>
      </c>
      <c r="B454" s="18" t="inlineStr">
        <is>
          <t>Plan de trabajo académico</t>
        </is>
      </c>
      <c r="C454" s="18" t="inlineStr">
        <is>
          <t>academic_work_plan</t>
        </is>
      </c>
      <c r="D454" s="18" t="inlineStr">
        <is>
          <t>periodo_academico</t>
        </is>
      </c>
      <c r="E454" s="18" t="n">
        <v>2</v>
      </c>
      <c r="F454" s="18" t="inlineStr">
        <is>
          <t>estado</t>
        </is>
      </c>
      <c r="G454" s="18" t="inlineStr">
        <is>
          <t>character varying(20)</t>
        </is>
      </c>
      <c r="H454" s="18" t="inlineStr">
        <is>
          <t>No</t>
        </is>
      </c>
      <c r="I454" s="18" t="inlineStr">
        <is>
          <t>CHECK</t>
        </is>
      </c>
      <c r="J454" s="18" t="inlineStr">
        <is>
          <t>cerrado, concertacion, en_curso, planeacion</t>
        </is>
      </c>
      <c r="K454" s="18" t="inlineStr"/>
      <c r="L454" s="18" t="inlineStr">
        <is>
          <t>Sí</t>
        </is>
      </c>
      <c r="M454" s="18" t="inlineStr">
        <is>
          <t>No</t>
        </is>
      </c>
      <c r="N454" s="18" t="inlineStr"/>
      <c r="O454" s="18" t="inlineStr"/>
      <c r="P454" s="18" t="inlineStr">
        <is>
          <t>academic-work-plan-service/src/pta/entities/periodo-academico.entity.ts:23: 'planeacion' | 'concertacion' | 'en_curso' | 'cerrado'</t>
        </is>
      </c>
      <c r="Q454" s="18" t="inlineStr">
        <is>
          <t>Código fuente</t>
        </is>
      </c>
      <c r="R454" s="18" t="inlineStr">
        <is>
          <t>Estado del periodo académico. Valores permitidos: planeacion, concertacion, en_curso, cerrado; por defecto planeacion.</t>
        </is>
      </c>
      <c r="S454" s="18" t="inlineStr">
        <is>
          <t>Alta</t>
        </is>
      </c>
      <c r="T454" s="18" t="inlineStr">
        <is>
          <t>código: academic-work-plan-service/src/pta/entities/periodo-academico.entity.ts:23</t>
        </is>
      </c>
      <c r="U454" s="18" t="inlineStr"/>
      <c r="V454" s="19" t="inlineStr">
        <is>
          <t>Pendiente</t>
        </is>
      </c>
      <c r="W454" s="19" t="inlineStr"/>
      <c r="X454" s="19" t="inlineStr"/>
      <c r="Y454" s="20" t="n"/>
      <c r="Z454" s="19" t="inlineStr"/>
      <c r="AA454" s="18">
        <f>IF(OR(V454="Aprobada"),R454,IF(AND(OR(V454="Aprobada con ajuste",V454="Rechazada"),W454&lt;&gt;""),W454,""))</f>
        <v/>
      </c>
    </row>
    <row r="455">
      <c r="A455" s="18" t="inlineStr">
        <is>
          <t>C0454</t>
        </is>
      </c>
      <c r="B455" s="18" t="inlineStr">
        <is>
          <t>Plan de trabajo académico</t>
        </is>
      </c>
      <c r="C455" s="18" t="inlineStr">
        <is>
          <t>academic_work_plan</t>
        </is>
      </c>
      <c r="D455" s="18" t="inlineStr">
        <is>
          <t>periodo_cetap</t>
        </is>
      </c>
      <c r="E455" s="18" t="n">
        <v>576</v>
      </c>
      <c r="F455" s="18" t="inlineStr">
        <is>
          <t>activo</t>
        </is>
      </c>
      <c r="G455" s="18" t="inlineStr">
        <is>
          <t>boolean</t>
        </is>
      </c>
      <c r="H455" s="18" t="inlineStr">
        <is>
          <t>Sí</t>
        </is>
      </c>
      <c r="I455" s="18" t="inlineStr"/>
      <c r="J455" s="18" t="inlineStr"/>
      <c r="K455" s="18" t="inlineStr"/>
      <c r="L455" s="18" t="inlineStr">
        <is>
          <t>No</t>
        </is>
      </c>
      <c r="M455" s="18" t="inlineStr">
        <is>
          <t>No</t>
        </is>
      </c>
      <c r="N455" s="18" t="inlineStr"/>
      <c r="O455" s="18" t="inlineStr"/>
      <c r="P455" s="18" t="inlineStr"/>
      <c r="Q455" s="18" t="inlineStr">
        <is>
          <t>Regla estructural</t>
        </is>
      </c>
      <c r="R455" s="18" t="inlineStr">
        <is>
          <t>Indica si el registro está activo.</t>
        </is>
      </c>
      <c r="S455" s="18" t="inlineStr">
        <is>
          <t>Media</t>
        </is>
      </c>
      <c r="T455" s="18" t="inlineStr">
        <is>
          <t>Convención de nombre de la columna.</t>
        </is>
      </c>
      <c r="U455" s="18" t="inlineStr"/>
      <c r="V455" s="19" t="inlineStr">
        <is>
          <t>Pendiente</t>
        </is>
      </c>
      <c r="W455" s="19" t="inlineStr"/>
      <c r="X455" s="19" t="inlineStr"/>
      <c r="Y455" s="20" t="n"/>
      <c r="Z455" s="19" t="inlineStr"/>
      <c r="AA455" s="18">
        <f>IF(OR(V455="Aprobada"),R455,IF(AND(OR(V455="Aprobada con ajuste",V455="Rechazada"),W455&lt;&gt;""),W455,""))</f>
        <v/>
      </c>
    </row>
    <row r="456">
      <c r="A456" s="18" t="inlineStr">
        <is>
          <t>C0455</t>
        </is>
      </c>
      <c r="B456" s="18" t="inlineStr">
        <is>
          <t>Plan de trabajo académico</t>
        </is>
      </c>
      <c r="C456" s="18" t="inlineStr">
        <is>
          <t>academic_work_plan</t>
        </is>
      </c>
      <c r="D456" s="18" t="inlineStr">
        <is>
          <t>Permiso</t>
        </is>
      </c>
      <c r="E456" s="18" t="n">
        <v>58</v>
      </c>
      <c r="F456" s="18" t="inlineStr">
        <is>
          <t>recurso</t>
        </is>
      </c>
      <c r="G456" s="18" t="inlineStr">
        <is>
          <t>text</t>
        </is>
      </c>
      <c r="H456" s="18" t="inlineStr">
        <is>
          <t>No</t>
        </is>
      </c>
      <c r="I456" s="18" t="inlineStr"/>
      <c r="J456" s="18" t="inlineStr"/>
      <c r="K456" s="18" t="inlineStr"/>
      <c r="L456" s="18" t="inlineStr">
        <is>
          <t>Sí</t>
        </is>
      </c>
      <c r="M456" s="18" t="inlineStr">
        <is>
          <t>No</t>
        </is>
      </c>
      <c r="N456" s="18" t="inlineStr"/>
      <c r="O456" s="18" t="inlineStr">
        <is>
          <t>Permiso_recurso_accion_key</t>
        </is>
      </c>
      <c r="P456" s="18" t="inlineStr"/>
      <c r="Q456" s="18" t="inlineStr">
        <is>
          <t>Propuesta semántica</t>
        </is>
      </c>
      <c r="R456" s="18" t="inlineStr">
        <is>
          <t>Recurso del sistema al que aplica el permiso; junto con accion es único.</t>
        </is>
      </c>
      <c r="S456" s="18" t="inlineStr">
        <is>
          <t>Alta</t>
        </is>
      </c>
      <c r="T456" s="18" t="inlineStr">
        <is>
          <t>nombre + tipo + columnas vecinas + índice único (recurso, accion)</t>
        </is>
      </c>
      <c r="U456" s="18" t="inlineStr"/>
      <c r="V456" s="19" t="inlineStr">
        <is>
          <t>Pendiente</t>
        </is>
      </c>
      <c r="W456" s="19" t="inlineStr"/>
      <c r="X456" s="19" t="inlineStr"/>
      <c r="Y456" s="20" t="n"/>
      <c r="Z456" s="19" t="inlineStr"/>
      <c r="AA456" s="18">
        <f>IF(OR(V456="Aprobada"),R456,IF(AND(OR(V456="Aprobada con ajuste",V456="Rechazada"),W456&lt;&gt;""),W456,""))</f>
        <v/>
      </c>
    </row>
    <row r="457">
      <c r="A457" s="18" t="inlineStr">
        <is>
          <t>C0456</t>
        </is>
      </c>
      <c r="B457" s="18" t="inlineStr">
        <is>
          <t>Plan de trabajo académico</t>
        </is>
      </c>
      <c r="C457" s="18" t="inlineStr">
        <is>
          <t>academic_work_plan</t>
        </is>
      </c>
      <c r="D457" s="18" t="inlineStr">
        <is>
          <t>Permiso</t>
        </is>
      </c>
      <c r="E457" s="18" t="n">
        <v>58</v>
      </c>
      <c r="F457" s="18" t="inlineStr">
        <is>
          <t>accion</t>
        </is>
      </c>
      <c r="G457" s="18" t="inlineStr">
        <is>
          <t>text</t>
        </is>
      </c>
      <c r="H457" s="18" t="inlineStr">
        <is>
          <t>No</t>
        </is>
      </c>
      <c r="I457" s="18" t="inlineStr"/>
      <c r="J457" s="18" t="inlineStr"/>
      <c r="K457" s="18" t="inlineStr"/>
      <c r="L457" s="18" t="inlineStr">
        <is>
          <t>Sí</t>
        </is>
      </c>
      <c r="M457" s="18" t="inlineStr">
        <is>
          <t>No</t>
        </is>
      </c>
      <c r="N457" s="18" t="inlineStr"/>
      <c r="O457" s="18" t="inlineStr">
        <is>
          <t>Permiso_recurso_accion_key</t>
        </is>
      </c>
      <c r="P457" s="18" t="inlineStr"/>
      <c r="Q457" s="18" t="inlineStr">
        <is>
          <t>Propuesta semántica</t>
        </is>
      </c>
      <c r="R457" s="18" t="inlineStr">
        <is>
          <t>Acción permitida sobre el recurso; junto con recurso es única.</t>
        </is>
      </c>
      <c r="S457" s="18" t="inlineStr">
        <is>
          <t>Alta</t>
        </is>
      </c>
      <c r="T457" s="18" t="inlineStr">
        <is>
          <t>nombre + tipo + columnas vecinas + índice único (recurso, accion)</t>
        </is>
      </c>
      <c r="U457" s="18" t="inlineStr"/>
      <c r="V457" s="19" t="inlineStr">
        <is>
          <t>Pendiente</t>
        </is>
      </c>
      <c r="W457" s="19" t="inlineStr"/>
      <c r="X457" s="19" t="inlineStr"/>
      <c r="Y457" s="20" t="n"/>
      <c r="Z457" s="19" t="inlineStr"/>
      <c r="AA457" s="18">
        <f>IF(OR(V457="Aprobada"),R457,IF(AND(OR(V457="Aprobada con ajuste",V457="Rechazada"),W457&lt;&gt;""),W457,""))</f>
        <v/>
      </c>
    </row>
    <row r="458">
      <c r="A458" s="18" t="inlineStr">
        <is>
          <t>C0457</t>
        </is>
      </c>
      <c r="B458" s="18" t="inlineStr">
        <is>
          <t>Plan de trabajo académico</t>
        </is>
      </c>
      <c r="C458" s="18" t="inlineStr">
        <is>
          <t>academic_work_plan</t>
        </is>
      </c>
      <c r="D458" s="18" t="inlineStr">
        <is>
          <t>Permiso</t>
        </is>
      </c>
      <c r="E458" s="18" t="n">
        <v>58</v>
      </c>
      <c r="F458" s="18" t="inlineStr">
        <is>
          <t>descripcion</t>
        </is>
      </c>
      <c r="G458" s="18" t="inlineStr">
        <is>
          <t>text</t>
        </is>
      </c>
      <c r="H458" s="18" t="inlineStr">
        <is>
          <t>Sí</t>
        </is>
      </c>
      <c r="I458" s="18" t="inlineStr"/>
      <c r="J458" s="18" t="inlineStr"/>
      <c r="K458" s="18" t="inlineStr"/>
      <c r="L458" s="18" t="inlineStr">
        <is>
          <t>Sí</t>
        </is>
      </c>
      <c r="M458" s="18" t="inlineStr">
        <is>
          <t>No</t>
        </is>
      </c>
      <c r="N458" s="18" t="inlineStr"/>
      <c r="O458" s="18" t="inlineStr"/>
      <c r="P458" s="18" t="inlineStr"/>
      <c r="Q458" s="18" t="inlineStr">
        <is>
          <t>Regla estructural</t>
        </is>
      </c>
      <c r="R458" s="18" t="inlineStr">
        <is>
          <t>Descripción del registro de Permiso.</t>
        </is>
      </c>
      <c r="S458" s="18" t="inlineStr">
        <is>
          <t>Media</t>
        </is>
      </c>
      <c r="T458" s="18" t="inlineStr">
        <is>
          <t>Convención de nombre de la columna.</t>
        </is>
      </c>
      <c r="U458" s="18" t="inlineStr"/>
      <c r="V458" s="19" t="inlineStr">
        <is>
          <t>Pendiente</t>
        </is>
      </c>
      <c r="W458" s="19" t="inlineStr"/>
      <c r="X458" s="19" t="inlineStr"/>
      <c r="Y458" s="20" t="n"/>
      <c r="Z458" s="19" t="inlineStr"/>
      <c r="AA458" s="18">
        <f>IF(OR(V458="Aprobada"),R458,IF(AND(OR(V458="Aprobada con ajuste",V458="Rechazada"),W458&lt;&gt;""),W458,""))</f>
        <v/>
      </c>
    </row>
    <row r="459">
      <c r="A459" s="18" t="inlineStr">
        <is>
          <t>C0458</t>
        </is>
      </c>
      <c r="B459" s="18" t="inlineStr">
        <is>
          <t>Plan de trabajo académico</t>
        </is>
      </c>
      <c r="C459" s="18" t="inlineStr">
        <is>
          <t>academic_work_plan</t>
        </is>
      </c>
      <c r="D459" s="18" t="inlineStr">
        <is>
          <t>Persona</t>
        </is>
      </c>
      <c r="E459" s="18" t="n">
        <v>283</v>
      </c>
      <c r="F459" s="18" t="inlineStr">
        <is>
          <t>identificacion</t>
        </is>
      </c>
      <c r="G459" s="18" t="inlineStr">
        <is>
          <t>text</t>
        </is>
      </c>
      <c r="H459" s="18" t="inlineStr">
        <is>
          <t>Sí</t>
        </is>
      </c>
      <c r="I459" s="18" t="inlineStr"/>
      <c r="J459" s="18" t="inlineStr"/>
      <c r="K459" s="18" t="inlineStr"/>
      <c r="L459" s="18" t="inlineStr">
        <is>
          <t>No</t>
        </is>
      </c>
      <c r="M459" s="18" t="inlineStr">
        <is>
          <t>No</t>
        </is>
      </c>
      <c r="N459" s="18" t="inlineStr"/>
      <c r="O459" s="18" t="inlineStr">
        <is>
          <t>Persona_identificacion_key</t>
        </is>
      </c>
      <c r="P459" s="18" t="inlineStr">
        <is>
          <t>Mapeada en academic-work-plan-service/src/pta/entities/persona.entity.ts:16 (PersonaEntity.identificacion)</t>
        </is>
      </c>
      <c r="Q459" s="18" t="inlineStr">
        <is>
          <t>Regla estructural</t>
        </is>
      </c>
      <c r="R459" s="18" t="inlineStr">
        <is>
          <t>Número de identificación.</t>
        </is>
      </c>
      <c r="S459" s="18" t="inlineStr">
        <is>
          <t>Media</t>
        </is>
      </c>
      <c r="T459" s="18" t="inlineStr">
        <is>
          <t>Convención de nombre de la columna.</t>
        </is>
      </c>
      <c r="U459" s="18" t="inlineStr"/>
      <c r="V459" s="19" t="inlineStr">
        <is>
          <t>Pendiente</t>
        </is>
      </c>
      <c r="W459" s="19" t="inlineStr"/>
      <c r="X459" s="19" t="inlineStr"/>
      <c r="Y459" s="20" t="n"/>
      <c r="Z459" s="19" t="inlineStr"/>
      <c r="AA459" s="18">
        <f>IF(OR(V459="Aprobada"),R459,IF(AND(OR(V459="Aprobada con ajuste",V459="Rechazada"),W459&lt;&gt;""),W459,""))</f>
        <v/>
      </c>
    </row>
    <row r="460">
      <c r="A460" s="18" t="inlineStr">
        <is>
          <t>C0459</t>
        </is>
      </c>
      <c r="B460" s="18" t="inlineStr">
        <is>
          <t>Plan de trabajo académico</t>
        </is>
      </c>
      <c r="C460" s="18" t="inlineStr">
        <is>
          <t>academic_work_plan</t>
        </is>
      </c>
      <c r="D460" s="18" t="inlineStr">
        <is>
          <t>Persona</t>
        </is>
      </c>
      <c r="E460" s="18" t="n">
        <v>283</v>
      </c>
      <c r="F460" s="18" t="inlineStr">
        <is>
          <t>tipo_identificacion</t>
        </is>
      </c>
      <c r="G460" s="18" t="inlineStr">
        <is>
          <t>text</t>
        </is>
      </c>
      <c r="H460" s="18" t="inlineStr">
        <is>
          <t>Sí</t>
        </is>
      </c>
      <c r="I460" s="18" t="inlineStr"/>
      <c r="J460" s="18" t="inlineStr"/>
      <c r="K460" s="18" t="inlineStr"/>
      <c r="L460" s="18" t="inlineStr">
        <is>
          <t>No</t>
        </is>
      </c>
      <c r="M460" s="18" t="inlineStr">
        <is>
          <t>No</t>
        </is>
      </c>
      <c r="N460" s="18" t="inlineStr"/>
      <c r="O460" s="18" t="inlineStr"/>
      <c r="P460" s="18" t="inlineStr">
        <is>
          <t>Mapeada en academic-work-plan-service/src/pta/entities/persona.entity.ts:19 (PersonaEntity.tipo_identificacion)</t>
        </is>
      </c>
      <c r="Q460" s="18" t="inlineStr">
        <is>
          <t>Propuesta semántica</t>
        </is>
      </c>
      <c r="R460" s="18" t="inlineStr">
        <is>
          <t>Tipo de documento de identidad de la persona.</t>
        </is>
      </c>
      <c r="S460" s="18" t="inlineStr">
        <is>
          <t>Alta</t>
        </is>
      </c>
      <c r="T460" s="18" t="inlineStr">
        <is>
          <t>nombre + tipo + columnas vecinas</t>
        </is>
      </c>
      <c r="U460" s="18" t="inlineStr"/>
      <c r="V460" s="19" t="inlineStr">
        <is>
          <t>Pendiente</t>
        </is>
      </c>
      <c r="W460" s="19" t="inlineStr"/>
      <c r="X460" s="19" t="inlineStr"/>
      <c r="Y460" s="20" t="n"/>
      <c r="Z460" s="19" t="inlineStr"/>
      <c r="AA460" s="18">
        <f>IF(OR(V460="Aprobada"),R460,IF(AND(OR(V460="Aprobada con ajuste",V460="Rechazada"),W460&lt;&gt;""),W460,""))</f>
        <v/>
      </c>
    </row>
    <row r="461">
      <c r="A461" s="18" t="inlineStr">
        <is>
          <t>C0460</t>
        </is>
      </c>
      <c r="B461" s="18" t="inlineStr">
        <is>
          <t>Plan de trabajo académico</t>
        </is>
      </c>
      <c r="C461" s="18" t="inlineStr">
        <is>
          <t>academic_work_plan</t>
        </is>
      </c>
      <c r="D461" s="18" t="inlineStr">
        <is>
          <t>Persona</t>
        </is>
      </c>
      <c r="E461" s="18" t="n">
        <v>283</v>
      </c>
      <c r="F461" s="18" t="inlineStr">
        <is>
          <t>telefono</t>
        </is>
      </c>
      <c r="G461" s="18" t="inlineStr">
        <is>
          <t>text</t>
        </is>
      </c>
      <c r="H461" s="18" t="inlineStr">
        <is>
          <t>Sí</t>
        </is>
      </c>
      <c r="I461" s="18" t="inlineStr"/>
      <c r="J461" s="18" t="inlineStr"/>
      <c r="K461" s="18" t="inlineStr"/>
      <c r="L461" s="18" t="inlineStr">
        <is>
          <t>No</t>
        </is>
      </c>
      <c r="M461" s="18" t="inlineStr">
        <is>
          <t>No</t>
        </is>
      </c>
      <c r="N461" s="18" t="inlineStr"/>
      <c r="O461" s="18" t="inlineStr"/>
      <c r="P461" s="18" t="inlineStr">
        <is>
          <t>Mapeada en academic-work-plan-service/src/pta/entities/persona.entity.ts:22 (PersonaEntity.telefono)</t>
        </is>
      </c>
      <c r="Q461" s="18" t="inlineStr">
        <is>
          <t>Regla estructural</t>
        </is>
      </c>
      <c r="R461" s="18" t="inlineStr">
        <is>
          <t>Número de teléfono.</t>
        </is>
      </c>
      <c r="S461" s="18" t="inlineStr">
        <is>
          <t>Media</t>
        </is>
      </c>
      <c r="T461" s="18" t="inlineStr">
        <is>
          <t>Convención de nombre de la columna.</t>
        </is>
      </c>
      <c r="U461" s="18" t="inlineStr"/>
      <c r="V461" s="19" t="inlineStr">
        <is>
          <t>Pendiente</t>
        </is>
      </c>
      <c r="W461" s="19" t="inlineStr"/>
      <c r="X461" s="19" t="inlineStr"/>
      <c r="Y461" s="20" t="n"/>
      <c r="Z461" s="19" t="inlineStr"/>
      <c r="AA461" s="18">
        <f>IF(OR(V461="Aprobada"),R461,IF(AND(OR(V461="Aprobada con ajuste",V461="Rechazada"),W461&lt;&gt;""),W461,""))</f>
        <v/>
      </c>
    </row>
    <row r="462">
      <c r="A462" s="18" t="inlineStr">
        <is>
          <t>C0461</t>
        </is>
      </c>
      <c r="B462" s="18" t="inlineStr">
        <is>
          <t>Plan de trabajo académico</t>
        </is>
      </c>
      <c r="C462" s="18" t="inlineStr">
        <is>
          <t>academic_work_plan</t>
        </is>
      </c>
      <c r="D462" s="18" t="inlineStr">
        <is>
          <t>Persona</t>
        </is>
      </c>
      <c r="E462" s="18" t="n">
        <v>283</v>
      </c>
      <c r="F462" s="18" t="inlineStr">
        <is>
          <t>direccion</t>
        </is>
      </c>
      <c r="G462" s="18" t="inlineStr">
        <is>
          <t>text</t>
        </is>
      </c>
      <c r="H462" s="18" t="inlineStr">
        <is>
          <t>Sí</t>
        </is>
      </c>
      <c r="I462" s="18" t="inlineStr"/>
      <c r="J462" s="18" t="inlineStr"/>
      <c r="K462" s="18" t="inlineStr"/>
      <c r="L462" s="18" t="inlineStr">
        <is>
          <t>No</t>
        </is>
      </c>
      <c r="M462" s="18" t="inlineStr">
        <is>
          <t>No</t>
        </is>
      </c>
      <c r="N462" s="18" t="inlineStr"/>
      <c r="O462" s="18" t="inlineStr"/>
      <c r="P462" s="18" t="inlineStr">
        <is>
          <t>Mapeada en academic-work-plan-service/src/pta/entities/persona.entity.ts:25 (PersonaEntity.direccion)</t>
        </is>
      </c>
      <c r="Q462" s="18" t="inlineStr">
        <is>
          <t>Propuesta semántica</t>
        </is>
      </c>
      <c r="R462" s="18" t="inlineStr">
        <is>
          <t>Dirección de residencia de la persona.</t>
        </is>
      </c>
      <c r="S462" s="18" t="inlineStr">
        <is>
          <t>Media</t>
        </is>
      </c>
      <c r="T462" s="18" t="inlineStr">
        <is>
          <t>nombre + tipo + columnas vecinas</t>
        </is>
      </c>
      <c r="U462" s="18" t="inlineStr">
        <is>
          <t>¿Es la dirección de residencia o de correspondencia?</t>
        </is>
      </c>
      <c r="V462" s="19" t="inlineStr">
        <is>
          <t>Pendiente</t>
        </is>
      </c>
      <c r="W462" s="19" t="inlineStr"/>
      <c r="X462" s="19" t="inlineStr"/>
      <c r="Y462" s="20" t="n"/>
      <c r="Z462" s="19" t="inlineStr"/>
      <c r="AA462" s="18">
        <f>IF(OR(V462="Aprobada"),R462,IF(AND(OR(V462="Aprobada con ajuste",V462="Rechazada"),W462&lt;&gt;""),W462,""))</f>
        <v/>
      </c>
    </row>
    <row r="463">
      <c r="A463" s="18" t="inlineStr">
        <is>
          <t>C0462</t>
        </is>
      </c>
      <c r="B463" s="18" t="inlineStr">
        <is>
          <t>Plan de trabajo académico</t>
        </is>
      </c>
      <c r="C463" s="18" t="inlineStr">
        <is>
          <t>academic_work_plan</t>
        </is>
      </c>
      <c r="D463" s="18" t="inlineStr">
        <is>
          <t>Persona</t>
        </is>
      </c>
      <c r="E463" s="18" t="n">
        <v>283</v>
      </c>
      <c r="F463" s="18" t="inlineStr">
        <is>
          <t>primer_nombre</t>
        </is>
      </c>
      <c r="G463" s="18" t="inlineStr">
        <is>
          <t>text</t>
        </is>
      </c>
      <c r="H463" s="18" t="inlineStr">
        <is>
          <t>Sí</t>
        </is>
      </c>
      <c r="I463" s="18" t="inlineStr"/>
      <c r="J463" s="18" t="inlineStr"/>
      <c r="K463" s="18" t="inlineStr"/>
      <c r="L463" s="18" t="inlineStr">
        <is>
          <t>No</t>
        </is>
      </c>
      <c r="M463" s="18" t="inlineStr">
        <is>
          <t>No</t>
        </is>
      </c>
      <c r="N463" s="18" t="inlineStr"/>
      <c r="O463" s="18" t="inlineStr"/>
      <c r="P463" s="18" t="inlineStr">
        <is>
          <t>Mapeada en academic-work-plan-service/src/pta/entities/persona.entity.ts:28 (PersonaEntity.primer_nombre)</t>
        </is>
      </c>
      <c r="Q463" s="18" t="inlineStr">
        <is>
          <t>Propuesta semántica</t>
        </is>
      </c>
      <c r="R463" s="18" t="inlineStr">
        <is>
          <t>Primer nombre de la persona.</t>
        </is>
      </c>
      <c r="S463" s="18" t="inlineStr">
        <is>
          <t>Alta</t>
        </is>
      </c>
      <c r="T463" s="18" t="inlineStr">
        <is>
          <t>nombre + tipo + columnas vecinas</t>
        </is>
      </c>
      <c r="U463" s="18" t="inlineStr"/>
      <c r="V463" s="19" t="inlineStr">
        <is>
          <t>Pendiente</t>
        </is>
      </c>
      <c r="W463" s="19" t="inlineStr"/>
      <c r="X463" s="19" t="inlineStr"/>
      <c r="Y463" s="20" t="n"/>
      <c r="Z463" s="19" t="inlineStr"/>
      <c r="AA463" s="18">
        <f>IF(OR(V463="Aprobada"),R463,IF(AND(OR(V463="Aprobada con ajuste",V463="Rechazada"),W463&lt;&gt;""),W463,""))</f>
        <v/>
      </c>
    </row>
    <row r="464">
      <c r="A464" s="18" t="inlineStr">
        <is>
          <t>C0463</t>
        </is>
      </c>
      <c r="B464" s="18" t="inlineStr">
        <is>
          <t>Plan de trabajo académico</t>
        </is>
      </c>
      <c r="C464" s="18" t="inlineStr">
        <is>
          <t>academic_work_plan</t>
        </is>
      </c>
      <c r="D464" s="18" t="inlineStr">
        <is>
          <t>Persona</t>
        </is>
      </c>
      <c r="E464" s="18" t="n">
        <v>283</v>
      </c>
      <c r="F464" s="18" t="inlineStr">
        <is>
          <t>segundo_nombre</t>
        </is>
      </c>
      <c r="G464" s="18" t="inlineStr">
        <is>
          <t>text</t>
        </is>
      </c>
      <c r="H464" s="18" t="inlineStr">
        <is>
          <t>Sí</t>
        </is>
      </c>
      <c r="I464" s="18" t="inlineStr"/>
      <c r="J464" s="18" t="inlineStr"/>
      <c r="K464" s="18" t="inlineStr"/>
      <c r="L464" s="18" t="inlineStr">
        <is>
          <t>No</t>
        </is>
      </c>
      <c r="M464" s="18" t="inlineStr">
        <is>
          <t>No</t>
        </is>
      </c>
      <c r="N464" s="18" t="inlineStr"/>
      <c r="O464" s="18" t="inlineStr"/>
      <c r="P464" s="18" t="inlineStr">
        <is>
          <t>Mapeada en academic-work-plan-service/src/pta/entities/persona.entity.ts:31 (PersonaEntity.segundo_nombre)</t>
        </is>
      </c>
      <c r="Q464" s="18" t="inlineStr">
        <is>
          <t>Propuesta semántica</t>
        </is>
      </c>
      <c r="R464" s="18" t="inlineStr">
        <is>
          <t>Segundo nombre de la persona.</t>
        </is>
      </c>
      <c r="S464" s="18" t="inlineStr">
        <is>
          <t>Alta</t>
        </is>
      </c>
      <c r="T464" s="18" t="inlineStr">
        <is>
          <t>nombre + tipo + columnas vecinas</t>
        </is>
      </c>
      <c r="U464" s="18" t="inlineStr"/>
      <c r="V464" s="19" t="inlineStr">
        <is>
          <t>Pendiente</t>
        </is>
      </c>
      <c r="W464" s="19" t="inlineStr"/>
      <c r="X464" s="19" t="inlineStr"/>
      <c r="Y464" s="20" t="n"/>
      <c r="Z464" s="19" t="inlineStr"/>
      <c r="AA464" s="18">
        <f>IF(OR(V464="Aprobada"),R464,IF(AND(OR(V464="Aprobada con ajuste",V464="Rechazada"),W464&lt;&gt;""),W464,""))</f>
        <v/>
      </c>
    </row>
    <row r="465">
      <c r="A465" s="18" t="inlineStr">
        <is>
          <t>C0464</t>
        </is>
      </c>
      <c r="B465" s="18" t="inlineStr">
        <is>
          <t>Plan de trabajo académico</t>
        </is>
      </c>
      <c r="C465" s="18" t="inlineStr">
        <is>
          <t>academic_work_plan</t>
        </is>
      </c>
      <c r="D465" s="18" t="inlineStr">
        <is>
          <t>Persona</t>
        </is>
      </c>
      <c r="E465" s="18" t="n">
        <v>283</v>
      </c>
      <c r="F465" s="18" t="inlineStr">
        <is>
          <t>primer_apellido</t>
        </is>
      </c>
      <c r="G465" s="18" t="inlineStr">
        <is>
          <t>text</t>
        </is>
      </c>
      <c r="H465" s="18" t="inlineStr">
        <is>
          <t>Sí</t>
        </is>
      </c>
      <c r="I465" s="18" t="inlineStr"/>
      <c r="J465" s="18" t="inlineStr"/>
      <c r="K465" s="18" t="inlineStr"/>
      <c r="L465" s="18" t="inlineStr">
        <is>
          <t>No</t>
        </is>
      </c>
      <c r="M465" s="18" t="inlineStr">
        <is>
          <t>No</t>
        </is>
      </c>
      <c r="N465" s="18" t="inlineStr"/>
      <c r="O465" s="18" t="inlineStr"/>
      <c r="P465" s="18" t="inlineStr">
        <is>
          <t>Mapeada en academic-work-plan-service/src/pta/entities/persona.entity.ts:34 (PersonaEntity.primer_apellido)</t>
        </is>
      </c>
      <c r="Q465" s="18" t="inlineStr">
        <is>
          <t>Propuesta semántica</t>
        </is>
      </c>
      <c r="R465" s="18" t="inlineStr">
        <is>
          <t>Primer apellido de la persona.</t>
        </is>
      </c>
      <c r="S465" s="18" t="inlineStr">
        <is>
          <t>Alta</t>
        </is>
      </c>
      <c r="T465" s="18" t="inlineStr">
        <is>
          <t>nombre + tipo + columnas vecinas</t>
        </is>
      </c>
      <c r="U465" s="18" t="inlineStr"/>
      <c r="V465" s="19" t="inlineStr">
        <is>
          <t>Pendiente</t>
        </is>
      </c>
      <c r="W465" s="19" t="inlineStr"/>
      <c r="X465" s="19" t="inlineStr"/>
      <c r="Y465" s="20" t="n"/>
      <c r="Z465" s="19" t="inlineStr"/>
      <c r="AA465" s="18">
        <f>IF(OR(V465="Aprobada"),R465,IF(AND(OR(V465="Aprobada con ajuste",V465="Rechazada"),W465&lt;&gt;""),W465,""))</f>
        <v/>
      </c>
    </row>
    <row r="466">
      <c r="A466" s="18" t="inlineStr">
        <is>
          <t>C0465</t>
        </is>
      </c>
      <c r="B466" s="18" t="inlineStr">
        <is>
          <t>Plan de trabajo académico</t>
        </is>
      </c>
      <c r="C466" s="18" t="inlineStr">
        <is>
          <t>academic_work_plan</t>
        </is>
      </c>
      <c r="D466" s="18" t="inlineStr">
        <is>
          <t>Persona</t>
        </is>
      </c>
      <c r="E466" s="18" t="n">
        <v>283</v>
      </c>
      <c r="F466" s="18" t="inlineStr">
        <is>
          <t>segundo_apellido</t>
        </is>
      </c>
      <c r="G466" s="18" t="inlineStr">
        <is>
          <t>text</t>
        </is>
      </c>
      <c r="H466" s="18" t="inlineStr">
        <is>
          <t>Sí</t>
        </is>
      </c>
      <c r="I466" s="18" t="inlineStr"/>
      <c r="J466" s="18" t="inlineStr"/>
      <c r="K466" s="18" t="inlineStr"/>
      <c r="L466" s="18" t="inlineStr">
        <is>
          <t>No</t>
        </is>
      </c>
      <c r="M466" s="18" t="inlineStr">
        <is>
          <t>No</t>
        </is>
      </c>
      <c r="N466" s="18" t="inlineStr"/>
      <c r="O466" s="18" t="inlineStr"/>
      <c r="P466" s="18" t="inlineStr">
        <is>
          <t>Mapeada en academic-work-plan-service/src/pta/entities/persona.entity.ts:37 (PersonaEntity.segundo_apellido)</t>
        </is>
      </c>
      <c r="Q466" s="18" t="inlineStr">
        <is>
          <t>Propuesta semántica</t>
        </is>
      </c>
      <c r="R466" s="18" t="inlineStr">
        <is>
          <t>Segundo apellido de la persona.</t>
        </is>
      </c>
      <c r="S466" s="18" t="inlineStr">
        <is>
          <t>Alta</t>
        </is>
      </c>
      <c r="T466" s="18" t="inlineStr">
        <is>
          <t>nombre + tipo + columnas vecinas</t>
        </is>
      </c>
      <c r="U466" s="18" t="inlineStr"/>
      <c r="V466" s="19" t="inlineStr">
        <is>
          <t>Pendiente</t>
        </is>
      </c>
      <c r="W466" s="19" t="inlineStr"/>
      <c r="X466" s="19" t="inlineStr"/>
      <c r="Y466" s="20" t="n"/>
      <c r="Z466" s="19" t="inlineStr"/>
      <c r="AA466" s="18">
        <f>IF(OR(V466="Aprobada"),R466,IF(AND(OR(V466="Aprobada con ajuste",V466="Rechazada"),W466&lt;&gt;""),W466,""))</f>
        <v/>
      </c>
    </row>
    <row r="467">
      <c r="A467" s="18" t="inlineStr">
        <is>
          <t>C0466</t>
        </is>
      </c>
      <c r="B467" s="18" t="inlineStr">
        <is>
          <t>Plan de trabajo académico</t>
        </is>
      </c>
      <c r="C467" s="18" t="inlineStr">
        <is>
          <t>academic_work_plan</t>
        </is>
      </c>
      <c r="D467" s="18" t="inlineStr">
        <is>
          <t>Persona</t>
        </is>
      </c>
      <c r="E467" s="18" t="n">
        <v>283</v>
      </c>
      <c r="F467" s="18" t="inlineStr">
        <is>
          <t>genero</t>
        </is>
      </c>
      <c r="G467" s="18" t="inlineStr">
        <is>
          <t>text</t>
        </is>
      </c>
      <c r="H467" s="18" t="inlineStr">
        <is>
          <t>Sí</t>
        </is>
      </c>
      <c r="I467" s="18" t="inlineStr"/>
      <c r="J467" s="18" t="inlineStr"/>
      <c r="K467" s="18" t="inlineStr"/>
      <c r="L467" s="18" t="inlineStr">
        <is>
          <t>No</t>
        </is>
      </c>
      <c r="M467" s="18" t="inlineStr">
        <is>
          <t>No</t>
        </is>
      </c>
      <c r="N467" s="18" t="inlineStr"/>
      <c r="O467" s="18" t="inlineStr"/>
      <c r="P467" s="18" t="inlineStr">
        <is>
          <t>Mapeada en academic-work-plan-service/src/pta/entities/persona.entity.ts:40 (PersonaEntity.genero)</t>
        </is>
      </c>
      <c r="Q467" s="18" t="inlineStr">
        <is>
          <t>Propuesta semántica</t>
        </is>
      </c>
      <c r="R467" s="18" t="inlineStr">
        <is>
          <t>Género de la persona.</t>
        </is>
      </c>
      <c r="S467" s="18" t="inlineStr">
        <is>
          <t>Media</t>
        </is>
      </c>
      <c r="T467" s="18" t="inlineStr">
        <is>
          <t>nombre + tipo + columnas vecinas</t>
        </is>
      </c>
      <c r="U467" s="18" t="inlineStr">
        <is>
          <t>¿Qué valores toma genero?</t>
        </is>
      </c>
      <c r="V467" s="19" t="inlineStr">
        <is>
          <t>Pendiente</t>
        </is>
      </c>
      <c r="W467" s="19" t="inlineStr"/>
      <c r="X467" s="19" t="inlineStr"/>
      <c r="Y467" s="20" t="n"/>
      <c r="Z467" s="19" t="inlineStr"/>
      <c r="AA467" s="18">
        <f>IF(OR(V467="Aprobada"),R467,IF(AND(OR(V467="Aprobada con ajuste",V467="Rechazada"),W467&lt;&gt;""),W467,""))</f>
        <v/>
      </c>
    </row>
    <row r="468">
      <c r="A468" s="18" t="inlineStr">
        <is>
          <t>C0467</t>
        </is>
      </c>
      <c r="B468" s="18" t="inlineStr">
        <is>
          <t>Plan de trabajo académico</t>
        </is>
      </c>
      <c r="C468" s="18" t="inlineStr">
        <is>
          <t>academic_work_plan</t>
        </is>
      </c>
      <c r="D468" s="18" t="inlineStr">
        <is>
          <t>Persona</t>
        </is>
      </c>
      <c r="E468" s="18" t="n">
        <v>283</v>
      </c>
      <c r="F468" s="18" t="inlineStr">
        <is>
          <t>fecha_nacimiento</t>
        </is>
      </c>
      <c r="G468" s="18" t="inlineStr">
        <is>
          <t>timestamp(3) without time zone</t>
        </is>
      </c>
      <c r="H468" s="18" t="inlineStr">
        <is>
          <t>Sí</t>
        </is>
      </c>
      <c r="I468" s="18" t="inlineStr"/>
      <c r="J468" s="18" t="inlineStr"/>
      <c r="K468" s="18" t="inlineStr"/>
      <c r="L468" s="18" t="inlineStr">
        <is>
          <t>No</t>
        </is>
      </c>
      <c r="M468" s="18" t="inlineStr">
        <is>
          <t>No</t>
        </is>
      </c>
      <c r="N468" s="18" t="inlineStr"/>
      <c r="O468" s="18" t="inlineStr"/>
      <c r="P468" s="18" t="inlineStr">
        <is>
          <t>Mapeada en academic-work-plan-service/src/pta/entities/persona.entity.ts:43 (PersonaEntity.fecha_nacimiento)</t>
        </is>
      </c>
      <c r="Q468" s="18" t="inlineStr">
        <is>
          <t>Regla estructural</t>
        </is>
      </c>
      <c r="R468" s="18" t="inlineStr">
        <is>
          <t>Fecha de nacimiento.</t>
        </is>
      </c>
      <c r="S468" s="18" t="inlineStr">
        <is>
          <t>Media</t>
        </is>
      </c>
      <c r="T468" s="18" t="inlineStr">
        <is>
          <t>Convención de nombre de la columna.</t>
        </is>
      </c>
      <c r="U468" s="18" t="inlineStr"/>
      <c r="V468" s="19" t="inlineStr">
        <is>
          <t>Pendiente</t>
        </is>
      </c>
      <c r="W468" s="19" t="inlineStr"/>
      <c r="X468" s="19" t="inlineStr"/>
      <c r="Y468" s="20" t="n"/>
      <c r="Z468" s="19" t="inlineStr"/>
      <c r="AA468" s="18">
        <f>IF(OR(V468="Aprobada"),R468,IF(AND(OR(V468="Aprobada con ajuste",V468="Rechazada"),W468&lt;&gt;""),W468,""))</f>
        <v/>
      </c>
    </row>
    <row r="469">
      <c r="A469" s="18" t="inlineStr">
        <is>
          <t>C0468</t>
        </is>
      </c>
      <c r="B469" s="18" t="inlineStr">
        <is>
          <t>Plan de trabajo académico</t>
        </is>
      </c>
      <c r="C469" s="18" t="inlineStr">
        <is>
          <t>academic_work_plan</t>
        </is>
      </c>
      <c r="D469" s="18" t="inlineStr">
        <is>
          <t>Persona</t>
        </is>
      </c>
      <c r="E469" s="18" t="n">
        <v>283</v>
      </c>
      <c r="F469" s="18" t="inlineStr">
        <is>
          <t>extension_telefonica</t>
        </is>
      </c>
      <c r="G469" s="18" t="inlineStr">
        <is>
          <t>text</t>
        </is>
      </c>
      <c r="H469" s="18" t="inlineStr">
        <is>
          <t>Sí</t>
        </is>
      </c>
      <c r="I469" s="18" t="inlineStr"/>
      <c r="J469" s="18" t="inlineStr"/>
      <c r="K469" s="18" t="inlineStr"/>
      <c r="L469" s="18" t="inlineStr">
        <is>
          <t>No</t>
        </is>
      </c>
      <c r="M469" s="18" t="inlineStr">
        <is>
          <t>No</t>
        </is>
      </c>
      <c r="N469" s="18" t="inlineStr"/>
      <c r="O469" s="18" t="inlineStr"/>
      <c r="P469" s="18" t="inlineStr">
        <is>
          <t>Mapeada en academic-work-plan-service/src/pta/entities/persona.entity.ts:46 (PersonaEntity.extension_telefonica)</t>
        </is>
      </c>
      <c r="Q469" s="18" t="inlineStr">
        <is>
          <t>Propuesta semántica</t>
        </is>
      </c>
      <c r="R469" s="18" t="inlineStr">
        <is>
          <t>Extensión telefónica institucional de la persona.</t>
        </is>
      </c>
      <c r="S469" s="18" t="inlineStr">
        <is>
          <t>Alta</t>
        </is>
      </c>
      <c r="T469" s="18" t="inlineStr">
        <is>
          <t>nombre + tipo + columnas vecinas</t>
        </is>
      </c>
      <c r="U469" s="18" t="inlineStr"/>
      <c r="V469" s="19" t="inlineStr">
        <is>
          <t>Pendiente</t>
        </is>
      </c>
      <c r="W469" s="19" t="inlineStr"/>
      <c r="X469" s="19" t="inlineStr"/>
      <c r="Y469" s="20" t="n"/>
      <c r="Z469" s="19" t="inlineStr"/>
      <c r="AA469" s="18">
        <f>IF(OR(V469="Aprobada"),R469,IF(AND(OR(V469="Aprobada con ajuste",V469="Rechazada"),W469&lt;&gt;""),W469,""))</f>
        <v/>
      </c>
    </row>
    <row r="470">
      <c r="A470" s="18" t="inlineStr">
        <is>
          <t>C0469</t>
        </is>
      </c>
      <c r="B470" s="18" t="inlineStr">
        <is>
          <t>Plan de trabajo académico</t>
        </is>
      </c>
      <c r="C470" s="18" t="inlineStr">
        <is>
          <t>academic_work_plan</t>
        </is>
      </c>
      <c r="D470" s="18" t="inlineStr">
        <is>
          <t>Persona</t>
        </is>
      </c>
      <c r="E470" s="18" t="n">
        <v>283</v>
      </c>
      <c r="F470" s="18" t="inlineStr">
        <is>
          <t>correo_alternativo</t>
        </is>
      </c>
      <c r="G470" s="18" t="inlineStr">
        <is>
          <t>text</t>
        </is>
      </c>
      <c r="H470" s="18" t="inlineStr">
        <is>
          <t>Sí</t>
        </is>
      </c>
      <c r="I470" s="18" t="inlineStr"/>
      <c r="J470" s="18" t="inlineStr"/>
      <c r="K470" s="18" t="inlineStr"/>
      <c r="L470" s="18" t="inlineStr">
        <is>
          <t>No</t>
        </is>
      </c>
      <c r="M470" s="18" t="inlineStr">
        <is>
          <t>No</t>
        </is>
      </c>
      <c r="N470" s="18" t="inlineStr"/>
      <c r="O470" s="18" t="inlineStr"/>
      <c r="P470" s="18" t="inlineStr">
        <is>
          <t>Mapeada en academic-work-plan-service/src/pta/entities/persona.entity.ts:49 (PersonaEntity.correo_alternativo)</t>
        </is>
      </c>
      <c r="Q470" s="18" t="inlineStr">
        <is>
          <t>Propuesta semántica</t>
        </is>
      </c>
      <c r="R470" s="18" t="inlineStr">
        <is>
          <t>Correo electrónico alternativo de la persona.</t>
        </is>
      </c>
      <c r="S470" s="18" t="inlineStr">
        <is>
          <t>Alta</t>
        </is>
      </c>
      <c r="T470" s="18" t="inlineStr">
        <is>
          <t>nombre + tipo + columnas vecinas</t>
        </is>
      </c>
      <c r="U470" s="18" t="inlineStr"/>
      <c r="V470" s="19" t="inlineStr">
        <is>
          <t>Pendiente</t>
        </is>
      </c>
      <c r="W470" s="19" t="inlineStr"/>
      <c r="X470" s="19" t="inlineStr"/>
      <c r="Y470" s="20" t="n"/>
      <c r="Z470" s="19" t="inlineStr"/>
      <c r="AA470" s="18">
        <f>IF(OR(V470="Aprobada"),R470,IF(AND(OR(V470="Aprobada con ajuste",V470="Rechazada"),W470&lt;&gt;""),W470,""))</f>
        <v/>
      </c>
    </row>
    <row r="471">
      <c r="A471" s="18" t="inlineStr">
        <is>
          <t>C0470</t>
        </is>
      </c>
      <c r="B471" s="18" t="inlineStr">
        <is>
          <t>Plan de trabajo académico</t>
        </is>
      </c>
      <c r="C471" s="18" t="inlineStr">
        <is>
          <t>academic_work_plan</t>
        </is>
      </c>
      <c r="D471" s="18" t="inlineStr">
        <is>
          <t>Persona</t>
        </is>
      </c>
      <c r="E471" s="18" t="n">
        <v>283</v>
      </c>
      <c r="F471" s="18" t="inlineStr">
        <is>
          <t>tipo_usuario</t>
        </is>
      </c>
      <c r="G471" s="18" t="inlineStr">
        <is>
          <t>text</t>
        </is>
      </c>
      <c r="H471" s="18" t="inlineStr">
        <is>
          <t>Sí</t>
        </is>
      </c>
      <c r="I471" s="18" t="inlineStr"/>
      <c r="J471" s="18" t="inlineStr"/>
      <c r="K471" s="18" t="inlineStr"/>
      <c r="L471" s="18" t="inlineStr">
        <is>
          <t>No</t>
        </is>
      </c>
      <c r="M471" s="18" t="inlineStr">
        <is>
          <t>No</t>
        </is>
      </c>
      <c r="N471" s="18" t="inlineStr"/>
      <c r="O471" s="18" t="inlineStr"/>
      <c r="P471" s="18" t="inlineStr">
        <is>
          <t>Mapeada en academic-work-plan-service/src/pta/entities/persona.entity.ts:52 (PersonaEntity.tipo_usuario)</t>
        </is>
      </c>
      <c r="Q471" s="18" t="inlineStr">
        <is>
          <t>Propuesta semántica</t>
        </is>
      </c>
      <c r="R471" s="18" t="inlineStr">
        <is>
          <t>Tipo de usuario de la persona en el sistema.</t>
        </is>
      </c>
      <c r="S471" s="18" t="inlineStr">
        <is>
          <t>Media</t>
        </is>
      </c>
      <c r="T471" s="18" t="inlineStr">
        <is>
          <t>nombre + tipo + columnas vecinas</t>
        </is>
      </c>
      <c r="U471" s="18" t="inlineStr">
        <is>
          <t>¿Qué valores toma tipo_usuario (docente, funcionario, contratista…)?</t>
        </is>
      </c>
      <c r="V471" s="19" t="inlineStr">
        <is>
          <t>Pendiente</t>
        </is>
      </c>
      <c r="W471" s="19" t="inlineStr"/>
      <c r="X471" s="19" t="inlineStr"/>
      <c r="Y471" s="20" t="n"/>
      <c r="Z471" s="19" t="inlineStr"/>
      <c r="AA471" s="18">
        <f>IF(OR(V471="Aprobada"),R471,IF(AND(OR(V471="Aprobada con ajuste",V471="Rechazada"),W471&lt;&gt;""),W471,""))</f>
        <v/>
      </c>
    </row>
    <row r="472">
      <c r="A472" s="18" t="inlineStr">
        <is>
          <t>C0471</t>
        </is>
      </c>
      <c r="B472" s="18" t="inlineStr">
        <is>
          <t>Plan de trabajo académico</t>
        </is>
      </c>
      <c r="C472" s="18" t="inlineStr">
        <is>
          <t>academic_work_plan</t>
        </is>
      </c>
      <c r="D472" s="18" t="inlineStr">
        <is>
          <t>Persona</t>
        </is>
      </c>
      <c r="E472" s="18" t="n">
        <v>283</v>
      </c>
      <c r="F472" s="18" t="inlineStr">
        <is>
          <t>empresa_contratista</t>
        </is>
      </c>
      <c r="G472" s="18" t="inlineStr">
        <is>
          <t>text</t>
        </is>
      </c>
      <c r="H472" s="18" t="inlineStr">
        <is>
          <t>Sí</t>
        </is>
      </c>
      <c r="I472" s="18" t="inlineStr"/>
      <c r="J472" s="18" t="inlineStr"/>
      <c r="K472" s="18" t="inlineStr"/>
      <c r="L472" s="18" t="inlineStr">
        <is>
          <t>No</t>
        </is>
      </c>
      <c r="M472" s="18" t="inlineStr">
        <is>
          <t>No</t>
        </is>
      </c>
      <c r="N472" s="18" t="inlineStr"/>
      <c r="O472" s="18" t="inlineStr"/>
      <c r="P472" s="18" t="inlineStr"/>
      <c r="Q472" s="18" t="inlineStr">
        <is>
          <t>Propuesta semántica</t>
        </is>
      </c>
      <c r="R472" s="18" t="inlineStr">
        <is>
          <t>Empresa contratista a la que pertenece la persona.</t>
        </is>
      </c>
      <c r="S472" s="18" t="inlineStr">
        <is>
          <t>Media</t>
        </is>
      </c>
      <c r="T472" s="18" t="inlineStr">
        <is>
          <t>nombre + tipo + columnas vecinas</t>
        </is>
      </c>
      <c r="U472" s="18" t="inlineStr">
        <is>
          <t>¿Se diligencia solo para contratistas externos?</t>
        </is>
      </c>
      <c r="V472" s="19" t="inlineStr">
        <is>
          <t>Pendiente</t>
        </is>
      </c>
      <c r="W472" s="19" t="inlineStr"/>
      <c r="X472" s="19" t="inlineStr"/>
      <c r="Y472" s="20" t="n"/>
      <c r="Z472" s="19" t="inlineStr"/>
      <c r="AA472" s="18">
        <f>IF(OR(V472="Aprobada"),R472,IF(AND(OR(V472="Aprobada con ajuste",V472="Rechazada"),W472&lt;&gt;""),W472,""))</f>
        <v/>
      </c>
    </row>
    <row r="473">
      <c r="A473" s="18" t="inlineStr">
        <is>
          <t>C0472</t>
        </is>
      </c>
      <c r="B473" s="18" t="inlineStr">
        <is>
          <t>Plan de trabajo académico</t>
        </is>
      </c>
      <c r="C473" s="18" t="inlineStr">
        <is>
          <t>academic_work_plan</t>
        </is>
      </c>
      <c r="D473" s="18" t="inlineStr">
        <is>
          <t>Persona</t>
        </is>
      </c>
      <c r="E473" s="18" t="n">
        <v>283</v>
      </c>
      <c r="F473" s="18" t="inlineStr">
        <is>
          <t>dependencia_grupo_programa</t>
        </is>
      </c>
      <c r="G473" s="18" t="inlineStr">
        <is>
          <t>text</t>
        </is>
      </c>
      <c r="H473" s="18" t="inlineStr">
        <is>
          <t>Sí</t>
        </is>
      </c>
      <c r="I473" s="18" t="inlineStr"/>
      <c r="J473" s="18" t="inlineStr"/>
      <c r="K473" s="18" t="inlineStr"/>
      <c r="L473" s="18" t="inlineStr">
        <is>
          <t>No</t>
        </is>
      </c>
      <c r="M473" s="18" t="inlineStr">
        <is>
          <t>No</t>
        </is>
      </c>
      <c r="N473" s="18" t="inlineStr"/>
      <c r="O473" s="18" t="inlineStr"/>
      <c r="P473" s="18" t="inlineStr"/>
      <c r="Q473" s="18" t="inlineStr">
        <is>
          <t>Propuesta semántica</t>
        </is>
      </c>
      <c r="R473" s="18" t="inlineStr">
        <is>
          <t>Dependencia, grupo o programa al que está adscrita la persona.</t>
        </is>
      </c>
      <c r="S473" s="18" t="inlineStr">
        <is>
          <t>Alta</t>
        </is>
      </c>
      <c r="T473" s="18" t="inlineStr">
        <is>
          <t>nombre + tipo + columnas vecinas</t>
        </is>
      </c>
      <c r="U473" s="18" t="inlineStr"/>
      <c r="V473" s="19" t="inlineStr">
        <is>
          <t>Pendiente</t>
        </is>
      </c>
      <c r="W473" s="19" t="inlineStr"/>
      <c r="X473" s="19" t="inlineStr"/>
      <c r="Y473" s="20" t="n"/>
      <c r="Z473" s="19" t="inlineStr"/>
      <c r="AA473" s="18">
        <f>IF(OR(V473="Aprobada"),R473,IF(AND(OR(V473="Aprobada con ajuste",V473="Rechazada"),W473&lt;&gt;""),W473,""))</f>
        <v/>
      </c>
    </row>
    <row r="474">
      <c r="A474" s="18" t="inlineStr">
        <is>
          <t>C0473</t>
        </is>
      </c>
      <c r="B474" s="18" t="inlineStr">
        <is>
          <t>Plan de trabajo académico</t>
        </is>
      </c>
      <c r="C474" s="18" t="inlineStr">
        <is>
          <t>academic_work_plan</t>
        </is>
      </c>
      <c r="D474" s="18" t="inlineStr">
        <is>
          <t>Persona</t>
        </is>
      </c>
      <c r="E474" s="18" t="n">
        <v>283</v>
      </c>
      <c r="F474" s="18" t="inlineStr">
        <is>
          <t>ubicacion_fisica</t>
        </is>
      </c>
      <c r="G474" s="18" t="inlineStr">
        <is>
          <t>text</t>
        </is>
      </c>
      <c r="H474" s="18" t="inlineStr">
        <is>
          <t>Sí</t>
        </is>
      </c>
      <c r="I474" s="18" t="inlineStr"/>
      <c r="J474" s="18" t="inlineStr"/>
      <c r="K474" s="18" t="inlineStr"/>
      <c r="L474" s="18" t="inlineStr">
        <is>
          <t>No</t>
        </is>
      </c>
      <c r="M474" s="18" t="inlineStr">
        <is>
          <t>No</t>
        </is>
      </c>
      <c r="N474" s="18" t="inlineStr"/>
      <c r="O474" s="18" t="inlineStr"/>
      <c r="P474" s="18" t="inlineStr"/>
      <c r="Q474" s="18" t="inlineStr">
        <is>
          <t>Propuesta semántica</t>
        </is>
      </c>
      <c r="R474" s="18" t="inlineStr">
        <is>
          <t>Ubicación física de trabajo de la persona.</t>
        </is>
      </c>
      <c r="S474" s="18" t="inlineStr">
        <is>
          <t>Media</t>
        </is>
      </c>
      <c r="T474" s="18" t="inlineStr">
        <is>
          <t>nombre + tipo + columnas vecinas</t>
        </is>
      </c>
      <c r="U474" s="18" t="inlineStr">
        <is>
          <t>¿Es la sede, el piso u oficina?</t>
        </is>
      </c>
      <c r="V474" s="19" t="inlineStr">
        <is>
          <t>Pendiente</t>
        </is>
      </c>
      <c r="W474" s="19" t="inlineStr"/>
      <c r="X474" s="19" t="inlineStr"/>
      <c r="Y474" s="20" t="n"/>
      <c r="Z474" s="19" t="inlineStr"/>
      <c r="AA474" s="18">
        <f>IF(OR(V474="Aprobada"),R474,IF(AND(OR(V474="Aprobada con ajuste",V474="Rechazada"),W474&lt;&gt;""),W474,""))</f>
        <v/>
      </c>
    </row>
    <row r="475">
      <c r="A475" s="18" t="inlineStr">
        <is>
          <t>C0474</t>
        </is>
      </c>
      <c r="B475" s="18" t="inlineStr">
        <is>
          <t>Plan de trabajo académico</t>
        </is>
      </c>
      <c r="C475" s="18" t="inlineStr">
        <is>
          <t>academic_work_plan</t>
        </is>
      </c>
      <c r="D475" s="18" t="inlineStr">
        <is>
          <t>Persona</t>
        </is>
      </c>
      <c r="E475" s="18" t="n">
        <v>283</v>
      </c>
      <c r="F475" s="18" t="inlineStr">
        <is>
          <t>cargo_semestre</t>
        </is>
      </c>
      <c r="G475" s="18" t="inlineStr">
        <is>
          <t>text</t>
        </is>
      </c>
      <c r="H475" s="18" t="inlineStr">
        <is>
          <t>Sí</t>
        </is>
      </c>
      <c r="I475" s="18" t="inlineStr"/>
      <c r="J475" s="18" t="inlineStr"/>
      <c r="K475" s="18" t="inlineStr"/>
      <c r="L475" s="18" t="inlineStr">
        <is>
          <t>No</t>
        </is>
      </c>
      <c r="M475" s="18" t="inlineStr">
        <is>
          <t>No</t>
        </is>
      </c>
      <c r="N475" s="18" t="inlineStr"/>
      <c r="O475" s="18" t="inlineStr"/>
      <c r="P475" s="18" t="inlineStr"/>
      <c r="Q475" s="18" t="inlineStr">
        <is>
          <t>Propuesta semántica</t>
        </is>
      </c>
      <c r="R475" s="18" t="inlineStr">
        <is>
          <t>Cargo de la persona o semestre que cursa, según su tipo de usuario.</t>
        </is>
      </c>
      <c r="S475" s="18" t="inlineStr">
        <is>
          <t>Baja</t>
        </is>
      </c>
      <c r="T475" s="18" t="inlineStr">
        <is>
          <t>nombre + tipo + columnas vecinas</t>
        </is>
      </c>
      <c r="U475" s="18" t="inlineStr">
        <is>
          <t>¿cargo_semestre guarda el cargo para funcionarios y el semestre para estudiantes?</t>
        </is>
      </c>
      <c r="V475" s="19" t="inlineStr">
        <is>
          <t>Pendiente</t>
        </is>
      </c>
      <c r="W475" s="19" t="inlineStr"/>
      <c r="X475" s="19" t="inlineStr"/>
      <c r="Y475" s="20" t="n"/>
      <c r="Z475" s="19" t="inlineStr"/>
      <c r="AA475" s="18">
        <f>IF(OR(V475="Aprobada"),R475,IF(AND(OR(V475="Aprobada con ajuste",V475="Rechazada"),W475&lt;&gt;""),W475,""))</f>
        <v/>
      </c>
    </row>
    <row r="476">
      <c r="A476" s="18" t="inlineStr">
        <is>
          <t>C0475</t>
        </is>
      </c>
      <c r="B476" s="18" t="inlineStr">
        <is>
          <t>Plan de trabajo académico</t>
        </is>
      </c>
      <c r="C476" s="18" t="inlineStr">
        <is>
          <t>academic_work_plan</t>
        </is>
      </c>
      <c r="D476" s="18" t="inlineStr">
        <is>
          <t>Persona</t>
        </is>
      </c>
      <c r="E476" s="18" t="n">
        <v>283</v>
      </c>
      <c r="F476" s="18" t="inlineStr">
        <is>
          <t>nombre_jefe_dependencia</t>
        </is>
      </c>
      <c r="G476" s="18" t="inlineStr">
        <is>
          <t>text</t>
        </is>
      </c>
      <c r="H476" s="18" t="inlineStr">
        <is>
          <t>Sí</t>
        </is>
      </c>
      <c r="I476" s="18" t="inlineStr"/>
      <c r="J476" s="18" t="inlineStr"/>
      <c r="K476" s="18" t="inlineStr"/>
      <c r="L476" s="18" t="inlineStr">
        <is>
          <t>No</t>
        </is>
      </c>
      <c r="M476" s="18" t="inlineStr">
        <is>
          <t>No</t>
        </is>
      </c>
      <c r="N476" s="18" t="inlineStr"/>
      <c r="O476" s="18" t="inlineStr"/>
      <c r="P476" s="18" t="inlineStr"/>
      <c r="Q476" s="18" t="inlineStr">
        <is>
          <t>Propuesta semántica</t>
        </is>
      </c>
      <c r="R476" s="18" t="inlineStr">
        <is>
          <t>Nombre del jefe de la dependencia de la persona.</t>
        </is>
      </c>
      <c r="S476" s="18" t="inlineStr">
        <is>
          <t>Alta</t>
        </is>
      </c>
      <c r="T476" s="18" t="inlineStr">
        <is>
          <t>nombre + tipo + columnas vecinas</t>
        </is>
      </c>
      <c r="U476" s="18" t="inlineStr"/>
      <c r="V476" s="19" t="inlineStr">
        <is>
          <t>Pendiente</t>
        </is>
      </c>
      <c r="W476" s="19" t="inlineStr"/>
      <c r="X476" s="19" t="inlineStr"/>
      <c r="Y476" s="20" t="n"/>
      <c r="Z476" s="19" t="inlineStr"/>
      <c r="AA476" s="18">
        <f>IF(OR(V476="Aprobada"),R476,IF(AND(OR(V476="Aprobada con ajuste",V476="Rechazada"),W476&lt;&gt;""),W476,""))</f>
        <v/>
      </c>
    </row>
    <row r="477">
      <c r="A477" s="18" t="inlineStr">
        <is>
          <t>C0476</t>
        </is>
      </c>
      <c r="B477" s="18" t="inlineStr">
        <is>
          <t>Plan de trabajo académico</t>
        </is>
      </c>
      <c r="C477" s="18" t="inlineStr">
        <is>
          <t>academic_work_plan</t>
        </is>
      </c>
      <c r="D477" s="18" t="inlineStr">
        <is>
          <t>Persona</t>
        </is>
      </c>
      <c r="E477" s="18" t="n">
        <v>283</v>
      </c>
      <c r="F477" s="18" t="inlineStr">
        <is>
          <t>contrato</t>
        </is>
      </c>
      <c r="G477" s="18" t="inlineStr">
        <is>
          <t>text</t>
        </is>
      </c>
      <c r="H477" s="18" t="inlineStr">
        <is>
          <t>Sí</t>
        </is>
      </c>
      <c r="I477" s="18" t="inlineStr"/>
      <c r="J477" s="18" t="inlineStr"/>
      <c r="K477" s="18" t="inlineStr"/>
      <c r="L477" s="18" t="inlineStr">
        <is>
          <t>No</t>
        </is>
      </c>
      <c r="M477" s="18" t="inlineStr">
        <is>
          <t>No</t>
        </is>
      </c>
      <c r="N477" s="18" t="inlineStr"/>
      <c r="O477" s="18" t="inlineStr"/>
      <c r="P477" s="18" t="inlineStr"/>
      <c r="Q477" s="18" t="inlineStr">
        <is>
          <t>Propuesta semántica</t>
        </is>
      </c>
      <c r="R477" s="18" t="inlineStr">
        <is>
          <t>Número o identificación del contrato de la persona.</t>
        </is>
      </c>
      <c r="S477" s="18" t="inlineStr">
        <is>
          <t>Media</t>
        </is>
      </c>
      <c r="T477" s="18" t="inlineStr">
        <is>
          <t>nombre + tipo + columnas vecinas</t>
        </is>
      </c>
      <c r="U477" s="18" t="inlineStr">
        <is>
          <t>¿contrato guarda el número del contrato o el tipo de contrato?</t>
        </is>
      </c>
      <c r="V477" s="19" t="inlineStr">
        <is>
          <t>Pendiente</t>
        </is>
      </c>
      <c r="W477" s="19" t="inlineStr"/>
      <c r="X477" s="19" t="inlineStr"/>
      <c r="Y477" s="20" t="n"/>
      <c r="Z477" s="19" t="inlineStr"/>
      <c r="AA477" s="18">
        <f>IF(OR(V477="Aprobada"),R477,IF(AND(OR(V477="Aprobada con ajuste",V477="Rechazada"),W477&lt;&gt;""),W477,""))</f>
        <v/>
      </c>
    </row>
    <row r="478">
      <c r="A478" s="18" t="inlineStr">
        <is>
          <t>C0477</t>
        </is>
      </c>
      <c r="B478" s="18" t="inlineStr">
        <is>
          <t>Plan de trabajo académico</t>
        </is>
      </c>
      <c r="C478" s="18" t="inlineStr">
        <is>
          <t>academic_work_plan</t>
        </is>
      </c>
      <c r="D478" s="18" t="inlineStr">
        <is>
          <t>Persona</t>
        </is>
      </c>
      <c r="E478" s="18" t="n">
        <v>283</v>
      </c>
      <c r="F478" s="18" t="inlineStr">
        <is>
          <t>tiempo_contrato_resolucion</t>
        </is>
      </c>
      <c r="G478" s="18" t="inlineStr">
        <is>
          <t>text</t>
        </is>
      </c>
      <c r="H478" s="18" t="inlineStr">
        <is>
          <t>Sí</t>
        </is>
      </c>
      <c r="I478" s="18" t="inlineStr"/>
      <c r="J478" s="18" t="inlineStr"/>
      <c r="K478" s="18" t="inlineStr"/>
      <c r="L478" s="18" t="inlineStr">
        <is>
          <t>No</t>
        </is>
      </c>
      <c r="M478" s="18" t="inlineStr">
        <is>
          <t>No</t>
        </is>
      </c>
      <c r="N478" s="18" t="inlineStr"/>
      <c r="O478" s="18" t="inlineStr"/>
      <c r="P478" s="18" t="inlineStr"/>
      <c r="Q478" s="18" t="inlineStr">
        <is>
          <t>Propuesta semántica</t>
        </is>
      </c>
      <c r="R478" s="18" t="inlineStr">
        <is>
          <t>Duración del contrato o resolución de vinculación de la persona.</t>
        </is>
      </c>
      <c r="S478" s="18" t="inlineStr">
        <is>
          <t>Baja</t>
        </is>
      </c>
      <c r="T478" s="18" t="inlineStr">
        <is>
          <t>nombre + tipo + columnas vecinas</t>
        </is>
      </c>
      <c r="U478" s="18" t="inlineStr">
        <is>
          <t>¿Qué formato tiene el valor (meses, fechas, número de resolución)?</t>
        </is>
      </c>
      <c r="V478" s="19" t="inlineStr">
        <is>
          <t>Pendiente</t>
        </is>
      </c>
      <c r="W478" s="19" t="inlineStr"/>
      <c r="X478" s="19" t="inlineStr"/>
      <c r="Y478" s="20" t="n"/>
      <c r="Z478" s="19" t="inlineStr"/>
      <c r="AA478" s="18">
        <f>IF(OR(V478="Aprobada"),R478,IF(AND(OR(V478="Aprobada con ajuste",V478="Rechazada"),W478&lt;&gt;""),W478,""))</f>
        <v/>
      </c>
    </row>
    <row r="479">
      <c r="A479" s="18" t="inlineStr">
        <is>
          <t>C0478</t>
        </is>
      </c>
      <c r="B479" s="18" t="inlineStr">
        <is>
          <t>Plan de trabajo académico</t>
        </is>
      </c>
      <c r="C479" s="18" t="inlineStr">
        <is>
          <t>academic_work_plan</t>
        </is>
      </c>
      <c r="D479" s="18" t="inlineStr">
        <is>
          <t>Persona</t>
        </is>
      </c>
      <c r="E479" s="18" t="n">
        <v>283</v>
      </c>
      <c r="F479" s="18" t="inlineStr">
        <is>
          <t>fecha_fin_contrato</t>
        </is>
      </c>
      <c r="G479" s="18" t="inlineStr">
        <is>
          <t>timestamp(3) without time zone</t>
        </is>
      </c>
      <c r="H479" s="18" t="inlineStr">
        <is>
          <t>Sí</t>
        </is>
      </c>
      <c r="I479" s="18" t="inlineStr"/>
      <c r="J479" s="18" t="inlineStr"/>
      <c r="K479" s="18" t="inlineStr"/>
      <c r="L479" s="18" t="inlineStr">
        <is>
          <t>No</t>
        </is>
      </c>
      <c r="M479" s="18" t="inlineStr">
        <is>
          <t>No</t>
        </is>
      </c>
      <c r="N479" s="18" t="inlineStr"/>
      <c r="O479" s="18" t="inlineStr"/>
      <c r="P479" s="18" t="inlineStr">
        <is>
          <t>Mapeada en academic-work-plan-service/src/pta/entities/persona.entity.ts:55 (PersonaEntity.fecha_fin_contrato)</t>
        </is>
      </c>
      <c r="Q479" s="18" t="inlineStr">
        <is>
          <t>Regla estructural</t>
        </is>
      </c>
      <c r="R479" s="18" t="inlineStr">
        <is>
          <t>Fecha de fin contrato.</t>
        </is>
      </c>
      <c r="S479" s="18" t="inlineStr">
        <is>
          <t>Media</t>
        </is>
      </c>
      <c r="T479" s="18" t="inlineStr">
        <is>
          <t>Convención de nombre de la columna.</t>
        </is>
      </c>
      <c r="U479" s="18" t="inlineStr"/>
      <c r="V479" s="19" t="inlineStr">
        <is>
          <t>Pendiente</t>
        </is>
      </c>
      <c r="W479" s="19" t="inlineStr"/>
      <c r="X479" s="19" t="inlineStr"/>
      <c r="Y479" s="20" t="n"/>
      <c r="Z479" s="19" t="inlineStr"/>
      <c r="AA479" s="18">
        <f>IF(OR(V479="Aprobada"),R479,IF(AND(OR(V479="Aprobada con ajuste",V479="Rechazada"),W479&lt;&gt;""),W479,""))</f>
        <v/>
      </c>
    </row>
    <row r="480">
      <c r="A480" s="18" t="inlineStr">
        <is>
          <t>C0479</t>
        </is>
      </c>
      <c r="B480" s="18" t="inlineStr">
        <is>
          <t>Plan de trabajo académico</t>
        </is>
      </c>
      <c r="C480" s="18" t="inlineStr">
        <is>
          <t>academic_work_plan</t>
        </is>
      </c>
      <c r="D480" s="18" t="inlineStr">
        <is>
          <t>Persona</t>
        </is>
      </c>
      <c r="E480" s="18" t="n">
        <v>283</v>
      </c>
      <c r="F480" s="18" t="inlineStr">
        <is>
          <t>aplicacion</t>
        </is>
      </c>
      <c r="G480" s="18" t="inlineStr">
        <is>
          <t>text</t>
        </is>
      </c>
      <c r="H480" s="18" t="inlineStr">
        <is>
          <t>Sí</t>
        </is>
      </c>
      <c r="I480" s="18" t="inlineStr"/>
      <c r="J480" s="18" t="inlineStr"/>
      <c r="K480" s="18" t="inlineStr"/>
      <c r="L480" s="18" t="inlineStr">
        <is>
          <t>No</t>
        </is>
      </c>
      <c r="M480" s="18" t="inlineStr">
        <is>
          <t>No</t>
        </is>
      </c>
      <c r="N480" s="18" t="inlineStr"/>
      <c r="O480" s="18" t="inlineStr"/>
      <c r="P480" s="18" t="inlineStr"/>
      <c r="Q480" s="18" t="inlineStr">
        <is>
          <t>Propuesta semántica</t>
        </is>
      </c>
      <c r="R480" s="18" t="inlineStr">
        <is>
          <t>Aplicación desde la que se registró la persona.</t>
        </is>
      </c>
      <c r="S480" s="18" t="inlineStr">
        <is>
          <t>Baja</t>
        </is>
      </c>
      <c r="T480" s="18" t="inlineStr">
        <is>
          <t>nombre + tipo + columnas vecinas</t>
        </is>
      </c>
      <c r="U480" s="18" t="inlineStr">
        <is>
          <t>¿Qué representa aplicacion y qué valores toma?</t>
        </is>
      </c>
      <c r="V480" s="19" t="inlineStr">
        <is>
          <t>Pendiente</t>
        </is>
      </c>
      <c r="W480" s="19" t="inlineStr"/>
      <c r="X480" s="19" t="inlineStr"/>
      <c r="Y480" s="20" t="n"/>
      <c r="Z480" s="19" t="inlineStr"/>
      <c r="AA480" s="18">
        <f>IF(OR(V480="Aprobada"),R480,IF(AND(OR(V480="Aprobada con ajuste",V480="Rechazada"),W480&lt;&gt;""),W480,""))</f>
        <v/>
      </c>
    </row>
    <row r="481">
      <c r="A481" s="18" t="inlineStr">
        <is>
          <t>C0480</t>
        </is>
      </c>
      <c r="B481" s="18" t="inlineStr">
        <is>
          <t>Plan de trabajo académico</t>
        </is>
      </c>
      <c r="C481" s="18" t="inlineStr">
        <is>
          <t>academic_work_plan</t>
        </is>
      </c>
      <c r="D481" s="18" t="inlineStr">
        <is>
          <t>Persona</t>
        </is>
      </c>
      <c r="E481" s="18" t="n">
        <v>283</v>
      </c>
      <c r="F481" s="18" t="inlineStr">
        <is>
          <t>observaciones</t>
        </is>
      </c>
      <c r="G481" s="18" t="inlineStr">
        <is>
          <t>text</t>
        </is>
      </c>
      <c r="H481" s="18" t="inlineStr">
        <is>
          <t>Sí</t>
        </is>
      </c>
      <c r="I481" s="18" t="inlineStr"/>
      <c r="J481" s="18" t="inlineStr"/>
      <c r="K481" s="18" t="inlineStr"/>
      <c r="L481" s="18" t="inlineStr">
        <is>
          <t>No</t>
        </is>
      </c>
      <c r="M481" s="18" t="inlineStr">
        <is>
          <t>No</t>
        </is>
      </c>
      <c r="N481" s="18" t="inlineStr"/>
      <c r="O481" s="18" t="inlineStr"/>
      <c r="P481" s="18" t="inlineStr"/>
      <c r="Q481" s="18" t="inlineStr">
        <is>
          <t>Regla estructural</t>
        </is>
      </c>
      <c r="R481" s="18" t="inlineStr">
        <is>
          <t>Observaciones registradas sobre el registro.</t>
        </is>
      </c>
      <c r="S481" s="18" t="inlineStr">
        <is>
          <t>Media</t>
        </is>
      </c>
      <c r="T481" s="18" t="inlineStr">
        <is>
          <t>Convención de nombre de la columna.</t>
        </is>
      </c>
      <c r="U481" s="18" t="inlineStr"/>
      <c r="V481" s="19" t="inlineStr">
        <is>
          <t>Pendiente</t>
        </is>
      </c>
      <c r="W481" s="19" t="inlineStr"/>
      <c r="X481" s="19" t="inlineStr"/>
      <c r="Y481" s="20" t="n"/>
      <c r="Z481" s="19" t="inlineStr"/>
      <c r="AA481" s="18">
        <f>IF(OR(V481="Aprobada"),R481,IF(AND(OR(V481="Aprobada con ajuste",V481="Rechazada"),W481&lt;&gt;""),W481,""))</f>
        <v/>
      </c>
    </row>
    <row r="482">
      <c r="A482" s="18" t="inlineStr">
        <is>
          <t>C0481</t>
        </is>
      </c>
      <c r="B482" s="18" t="inlineStr">
        <is>
          <t>Plan de trabajo académico</t>
        </is>
      </c>
      <c r="C482" s="18" t="inlineStr">
        <is>
          <t>academic_work_plan</t>
        </is>
      </c>
      <c r="D482" s="18" t="inlineStr">
        <is>
          <t>PersonaPrograma</t>
        </is>
      </c>
      <c r="E482" s="18" t="n">
        <v>267</v>
      </c>
      <c r="F482" s="18" t="inlineStr">
        <is>
          <t>programaId</t>
        </is>
      </c>
      <c r="G482" s="18" t="inlineStr">
        <is>
          <t>text</t>
        </is>
      </c>
      <c r="H482" s="18" t="inlineStr">
        <is>
          <t>No</t>
        </is>
      </c>
      <c r="I482" s="18" t="inlineStr"/>
      <c r="J482" s="18" t="inlineStr"/>
      <c r="K482" s="18" t="inlineStr"/>
      <c r="L482" s="18" t="inlineStr">
        <is>
          <t>No</t>
        </is>
      </c>
      <c r="M482" s="18" t="inlineStr">
        <is>
          <t>No</t>
        </is>
      </c>
      <c r="N482" s="18" t="inlineStr"/>
      <c r="O482" s="18" t="inlineStr">
        <is>
          <t>PersonaPrograma_personaId_programaId_rolEnPrograma_key</t>
        </is>
      </c>
      <c r="P482" s="18" t="inlineStr"/>
      <c r="Q482" s="18" t="inlineStr">
        <is>
          <t>Propuesta semántica</t>
        </is>
      </c>
      <c r="R482" s="18" t="inlineStr">
        <is>
          <t>Identificador del programa académico al que está vinculada la persona.</t>
        </is>
      </c>
      <c r="S482" s="18" t="inlineStr">
        <is>
          <t>Alta</t>
        </is>
      </c>
      <c r="T482" s="18" t="inlineStr">
        <is>
          <t>nombre + tipo + columnas vecinas + índice único (personaId, programaId, rolEnPrograma)</t>
        </is>
      </c>
      <c r="U482" s="18" t="inlineStr"/>
      <c r="V482" s="19" t="inlineStr">
        <is>
          <t>Pendiente</t>
        </is>
      </c>
      <c r="W482" s="19" t="inlineStr"/>
      <c r="X482" s="19" t="inlineStr"/>
      <c r="Y482" s="20" t="n"/>
      <c r="Z482" s="19" t="inlineStr"/>
      <c r="AA482" s="18">
        <f>IF(OR(V482="Aprobada"),R482,IF(AND(OR(V482="Aprobada con ajuste",V482="Rechazada"),W482&lt;&gt;""),W482,""))</f>
        <v/>
      </c>
    </row>
    <row r="483">
      <c r="A483" s="18" t="inlineStr">
        <is>
          <t>C0482</t>
        </is>
      </c>
      <c r="B483" s="18" t="inlineStr">
        <is>
          <t>Plan de trabajo académico</t>
        </is>
      </c>
      <c r="C483" s="18" t="inlineStr">
        <is>
          <t>academic_work_plan</t>
        </is>
      </c>
      <c r="D483" s="18" t="inlineStr">
        <is>
          <t>PersonaPrograma</t>
        </is>
      </c>
      <c r="E483" s="18" t="n">
        <v>267</v>
      </c>
      <c r="F483" s="18" t="inlineStr">
        <is>
          <t>rolEnPrograma</t>
        </is>
      </c>
      <c r="G483" s="18" t="inlineStr">
        <is>
          <t>text</t>
        </is>
      </c>
      <c r="H483" s="18" t="inlineStr">
        <is>
          <t>No</t>
        </is>
      </c>
      <c r="I483" s="18" t="inlineStr"/>
      <c r="J483" s="18" t="inlineStr"/>
      <c r="K483" s="18" t="inlineStr"/>
      <c r="L483" s="18" t="inlineStr">
        <is>
          <t>No</t>
        </is>
      </c>
      <c r="M483" s="18" t="inlineStr">
        <is>
          <t>No</t>
        </is>
      </c>
      <c r="N483" s="18" t="inlineStr"/>
      <c r="O483" s="18" t="inlineStr">
        <is>
          <t>PersonaPrograma_personaId_programaId_rolEnPrograma_key</t>
        </is>
      </c>
      <c r="P483" s="18" t="inlineStr"/>
      <c r="Q483" s="18" t="inlineStr">
        <is>
          <t>Propuesta semántica</t>
        </is>
      </c>
      <c r="R483" s="18" t="inlineStr">
        <is>
          <t>Rol de la persona en el programa; por defecto, «Estudiante».</t>
        </is>
      </c>
      <c r="S483" s="18" t="inlineStr">
        <is>
          <t>Media</t>
        </is>
      </c>
      <c r="T483" s="18" t="inlineStr">
        <is>
          <t>nombre + tipo + columnas vecinas + defecto</t>
        </is>
      </c>
      <c r="U483" s="18" t="inlineStr">
        <is>
          <t>¿Qué otros valores toma rolEnPrograma?</t>
        </is>
      </c>
      <c r="V483" s="19" t="inlineStr">
        <is>
          <t>Pendiente</t>
        </is>
      </c>
      <c r="W483" s="19" t="inlineStr"/>
      <c r="X483" s="19" t="inlineStr"/>
      <c r="Y483" s="20" t="n"/>
      <c r="Z483" s="19" t="inlineStr"/>
      <c r="AA483" s="18">
        <f>IF(OR(V483="Aprobada"),R483,IF(AND(OR(V483="Aprobada con ajuste",V483="Rechazada"),W483&lt;&gt;""),W483,""))</f>
        <v/>
      </c>
    </row>
    <row r="484">
      <c r="A484" s="18" t="inlineStr">
        <is>
          <t>C0483</t>
        </is>
      </c>
      <c r="B484" s="18" t="inlineStr">
        <is>
          <t>Plan de trabajo académico</t>
        </is>
      </c>
      <c r="C484" s="18" t="inlineStr">
        <is>
          <t>academic_work_plan</t>
        </is>
      </c>
      <c r="D484" s="18" t="inlineStr">
        <is>
          <t>PersonaPrograma</t>
        </is>
      </c>
      <c r="E484" s="18" t="n">
        <v>267</v>
      </c>
      <c r="F484" s="18" t="inlineStr">
        <is>
          <t>semestreActual</t>
        </is>
      </c>
      <c r="G484" s="18" t="inlineStr">
        <is>
          <t>text</t>
        </is>
      </c>
      <c r="H484" s="18" t="inlineStr">
        <is>
          <t>Sí</t>
        </is>
      </c>
      <c r="I484" s="18" t="inlineStr"/>
      <c r="J484" s="18" t="inlineStr"/>
      <c r="K484" s="18" t="inlineStr"/>
      <c r="L484" s="18" t="inlineStr">
        <is>
          <t>No</t>
        </is>
      </c>
      <c r="M484" s="18" t="inlineStr">
        <is>
          <t>No</t>
        </is>
      </c>
      <c r="N484" s="18" t="inlineStr"/>
      <c r="O484" s="18" t="inlineStr"/>
      <c r="P484" s="18" t="inlineStr"/>
      <c r="Q484" s="18" t="inlineStr">
        <is>
          <t>Propuesta semántica</t>
        </is>
      </c>
      <c r="R484" s="18" t="inlineStr">
        <is>
          <t>Semestre que cursa actualmente la persona en el programa.</t>
        </is>
      </c>
      <c r="S484" s="18" t="inlineStr">
        <is>
          <t>Alta</t>
        </is>
      </c>
      <c r="T484" s="18" t="inlineStr">
        <is>
          <t>nombre + tipo + columnas vecinas</t>
        </is>
      </c>
      <c r="U484" s="18" t="inlineStr"/>
      <c r="V484" s="19" t="inlineStr">
        <is>
          <t>Pendiente</t>
        </is>
      </c>
      <c r="W484" s="19" t="inlineStr"/>
      <c r="X484" s="19" t="inlineStr"/>
      <c r="Y484" s="20" t="n"/>
      <c r="Z484" s="19" t="inlineStr"/>
      <c r="AA484" s="18">
        <f>IF(OR(V484="Aprobada"),R484,IF(AND(OR(V484="Aprobada con ajuste",V484="Rechazada"),W484&lt;&gt;""),W484,""))</f>
        <v/>
      </c>
    </row>
    <row r="485">
      <c r="A485" s="18" t="inlineStr">
        <is>
          <t>C0484</t>
        </is>
      </c>
      <c r="B485" s="18" t="inlineStr">
        <is>
          <t>Plan de trabajo académico</t>
        </is>
      </c>
      <c r="C485" s="18" t="inlineStr">
        <is>
          <t>academic_work_plan</t>
        </is>
      </c>
      <c r="D485" s="18" t="inlineStr">
        <is>
          <t>PersonaPrograma</t>
        </is>
      </c>
      <c r="E485" s="18" t="n">
        <v>267</v>
      </c>
      <c r="F485" s="18" t="inlineStr">
        <is>
          <t>estado</t>
        </is>
      </c>
      <c r="G485" s="18" t="inlineStr">
        <is>
          <t>text</t>
        </is>
      </c>
      <c r="H485" s="18" t="inlineStr">
        <is>
          <t>No</t>
        </is>
      </c>
      <c r="I485" s="18" t="inlineStr"/>
      <c r="J485" s="18" t="inlineStr"/>
      <c r="K485" s="18" t="inlineStr"/>
      <c r="L485" s="18" t="inlineStr">
        <is>
          <t>No</t>
        </is>
      </c>
      <c r="M485" s="18" t="inlineStr">
        <is>
          <t>No</t>
        </is>
      </c>
      <c r="N485" s="18" t="inlineStr"/>
      <c r="O485" s="18" t="inlineStr"/>
      <c r="P485" s="18" t="inlineStr"/>
      <c r="Q485" s="18" t="inlineStr">
        <is>
          <t>Regla estructural</t>
        </is>
      </c>
      <c r="R485" s="18" t="inlineStr">
        <is>
          <t>Estado del registro de PersonaPrograma.</t>
        </is>
      </c>
      <c r="S485" s="18" t="inlineStr">
        <is>
          <t>Media</t>
        </is>
      </c>
      <c r="T485" s="18" t="inlineStr">
        <is>
          <t>Convención de nombre de la columna.</t>
        </is>
      </c>
      <c r="U485" s="18" t="inlineStr"/>
      <c r="V485" s="19" t="inlineStr">
        <is>
          <t>Pendiente</t>
        </is>
      </c>
      <c r="W485" s="19" t="inlineStr"/>
      <c r="X485" s="19" t="inlineStr"/>
      <c r="Y485" s="20" t="n"/>
      <c r="Z485" s="19" t="inlineStr"/>
      <c r="AA485" s="18">
        <f>IF(OR(V485="Aprobada"),R485,IF(AND(OR(V485="Aprobada con ajuste",V485="Rechazada"),W485&lt;&gt;""),W485,""))</f>
        <v/>
      </c>
    </row>
    <row r="486">
      <c r="A486" s="18" t="inlineStr">
        <is>
          <t>C0485</t>
        </is>
      </c>
      <c r="B486" s="18" t="inlineStr">
        <is>
          <t>Plan de trabajo académico</t>
        </is>
      </c>
      <c r="C486" s="18" t="inlineStr">
        <is>
          <t>academic_work_plan</t>
        </is>
      </c>
      <c r="D486" s="18" t="inlineStr">
        <is>
          <t>PlanTrabajoAcademico</t>
        </is>
      </c>
      <c r="E486" s="18" t="n">
        <v>8</v>
      </c>
      <c r="F486" s="18" t="inlineStr">
        <is>
          <t>periodo</t>
        </is>
      </c>
      <c r="G486" s="18" t="inlineStr">
        <is>
          <t>text</t>
        </is>
      </c>
      <c r="H486" s="18" t="inlineStr">
        <is>
          <t>No</t>
        </is>
      </c>
      <c r="I486" s="18" t="inlineStr"/>
      <c r="J486" s="18" t="inlineStr"/>
      <c r="K486" s="18" t="inlineStr"/>
      <c r="L486" s="18" t="inlineStr">
        <is>
          <t>No</t>
        </is>
      </c>
      <c r="M486" s="18" t="inlineStr">
        <is>
          <t>No</t>
        </is>
      </c>
      <c r="N486" s="18" t="inlineStr"/>
      <c r="O486" s="18" t="inlineStr">
        <is>
          <t>idx_pta_docente_periodo, idx_pta_estado_periodo</t>
        </is>
      </c>
      <c r="P486" s="18" t="inlineStr">
        <is>
          <t>Mapeada en academic-work-plan-service/src/pta/entities/plan-trabajo-academico.entity.ts:16 (PlanTrabajoAcademicoEntity.periodo)</t>
        </is>
      </c>
      <c r="Q486" s="18" t="inlineStr">
        <is>
          <t>Propuesta semántica</t>
        </is>
      </c>
      <c r="R486" s="18" t="inlineStr">
        <is>
          <t>Periodo académico del plan de trabajo.</t>
        </is>
      </c>
      <c r="S486" s="18" t="inlineStr">
        <is>
          <t>Media</t>
        </is>
      </c>
      <c r="T486" s="18" t="inlineStr">
        <is>
          <t>nombre + tipo + columnas vecinas</t>
        </is>
      </c>
      <c r="U486" s="18" t="inlineStr">
        <is>
          <t>¿Qué formato tiene periodo (por ejemplo, 2026-1)?</t>
        </is>
      </c>
      <c r="V486" s="19" t="inlineStr">
        <is>
          <t>Pendiente</t>
        </is>
      </c>
      <c r="W486" s="19" t="inlineStr"/>
      <c r="X486" s="19" t="inlineStr"/>
      <c r="Y486" s="20" t="n"/>
      <c r="Z486" s="19" t="inlineStr"/>
      <c r="AA486" s="18">
        <f>IF(OR(V486="Aprobada"),R486,IF(AND(OR(V486="Aprobada con ajuste",V486="Rechazada"),W486&lt;&gt;""),W486,""))</f>
        <v/>
      </c>
    </row>
    <row r="487">
      <c r="A487" s="18" t="inlineStr">
        <is>
          <t>C0486</t>
        </is>
      </c>
      <c r="B487" s="18" t="inlineStr">
        <is>
          <t>Plan de trabajo académico</t>
        </is>
      </c>
      <c r="C487" s="18" t="inlineStr">
        <is>
          <t>academic_work_plan</t>
        </is>
      </c>
      <c r="D487" s="18" t="inlineStr">
        <is>
          <t>PlanTrabajoAcademico</t>
        </is>
      </c>
      <c r="E487" s="18" t="n">
        <v>8</v>
      </c>
      <c r="F487" s="18" t="inlineStr">
        <is>
          <t>estado</t>
        </is>
      </c>
      <c r="G487" s="18" t="inlineStr">
        <is>
          <t>text</t>
        </is>
      </c>
      <c r="H487" s="18" t="inlineStr">
        <is>
          <t>No</t>
        </is>
      </c>
      <c r="I487" s="18" t="inlineStr"/>
      <c r="J487" s="18" t="inlineStr"/>
      <c r="K487" s="18" t="inlineStr"/>
      <c r="L487" s="18" t="inlineStr">
        <is>
          <t>No</t>
        </is>
      </c>
      <c r="M487" s="18" t="inlineStr">
        <is>
          <t>No</t>
        </is>
      </c>
      <c r="N487" s="18" t="inlineStr"/>
      <c r="O487" s="18" t="inlineStr">
        <is>
          <t>idx_pta_estado_periodo</t>
        </is>
      </c>
      <c r="P487" s="18" t="inlineStr">
        <is>
          <t>Mapeada en academic-work-plan-service/src/pta/entities/plan-trabajo-academico.entity.ts:19 (PlanTrabajoAcademicoEntity.estado)</t>
        </is>
      </c>
      <c r="Q487" s="18" t="inlineStr">
        <is>
          <t>Regla estructural</t>
        </is>
      </c>
      <c r="R487" s="18" t="inlineStr">
        <is>
          <t>Estado del registro de PlanTrabajoAcademico.</t>
        </is>
      </c>
      <c r="S487" s="18" t="inlineStr">
        <is>
          <t>Media</t>
        </is>
      </c>
      <c r="T487" s="18" t="inlineStr">
        <is>
          <t>Convención de nombre de la columna.</t>
        </is>
      </c>
      <c r="U487" s="18" t="inlineStr"/>
      <c r="V487" s="19" t="inlineStr">
        <is>
          <t>Pendiente</t>
        </is>
      </c>
      <c r="W487" s="19" t="inlineStr"/>
      <c r="X487" s="19" t="inlineStr"/>
      <c r="Y487" s="20" t="n"/>
      <c r="Z487" s="19" t="inlineStr"/>
      <c r="AA487" s="18">
        <f>IF(OR(V487="Aprobada"),R487,IF(AND(OR(V487="Aprobada con ajuste",V487="Rechazada"),W487&lt;&gt;""),W487,""))</f>
        <v/>
      </c>
    </row>
    <row r="488">
      <c r="A488" s="18" t="inlineStr">
        <is>
          <t>C0487</t>
        </is>
      </c>
      <c r="B488" s="18" t="inlineStr">
        <is>
          <t>Plan de trabajo académico</t>
        </is>
      </c>
      <c r="C488" s="18" t="inlineStr">
        <is>
          <t>academic_work_plan</t>
        </is>
      </c>
      <c r="D488" s="18" t="inlineStr">
        <is>
          <t>PlanTrabajoAcademico</t>
        </is>
      </c>
      <c r="E488" s="18" t="n">
        <v>8</v>
      </c>
      <c r="F488" s="18" t="inlineStr">
        <is>
          <t>horasTotales</t>
        </is>
      </c>
      <c r="G488" s="18" t="inlineStr">
        <is>
          <t>integer</t>
        </is>
      </c>
      <c r="H488" s="18" t="inlineStr">
        <is>
          <t>No</t>
        </is>
      </c>
      <c r="I488" s="18" t="inlineStr"/>
      <c r="J488" s="18" t="inlineStr"/>
      <c r="K488" s="18" t="inlineStr"/>
      <c r="L488" s="18" t="inlineStr">
        <is>
          <t>No</t>
        </is>
      </c>
      <c r="M488" s="18" t="inlineStr">
        <is>
          <t>No</t>
        </is>
      </c>
      <c r="N488" s="18" t="inlineStr"/>
      <c r="O488" s="18" t="inlineStr"/>
      <c r="P488" s="18" t="inlineStr">
        <is>
          <t>Mapeada en academic-work-plan-service/src/pta/entities/plan-trabajo-academico.entity.ts:25 (PlanTrabajoAcademicoEntity.horasTotales)</t>
        </is>
      </c>
      <c r="Q488" s="18" t="inlineStr">
        <is>
          <t>Propuesta semántica</t>
        </is>
      </c>
      <c r="R488" s="18" t="inlineStr">
        <is>
          <t>Número total de horas del plan de trabajo académico; por defecto, 0.</t>
        </is>
      </c>
      <c r="S488" s="18" t="inlineStr">
        <is>
          <t>Media</t>
        </is>
      </c>
      <c r="T488" s="18" t="inlineStr">
        <is>
          <t>nombre + tipo + columnas vecinas + defecto</t>
        </is>
      </c>
      <c r="U488" s="18" t="inlineStr">
        <is>
          <t>¿Las horas son semanales o del periodo?</t>
        </is>
      </c>
      <c r="V488" s="19" t="inlineStr">
        <is>
          <t>Pendiente</t>
        </is>
      </c>
      <c r="W488" s="19" t="inlineStr"/>
      <c r="X488" s="19" t="inlineStr"/>
      <c r="Y488" s="20" t="n"/>
      <c r="Z488" s="19" t="inlineStr"/>
      <c r="AA488" s="18">
        <f>IF(OR(V488="Aprobada"),R488,IF(AND(OR(V488="Aprobada con ajuste",V488="Rechazada"),W488&lt;&gt;""),W488,""))</f>
        <v/>
      </c>
    </row>
    <row r="489">
      <c r="A489" s="18" t="inlineStr">
        <is>
          <t>C0488</t>
        </is>
      </c>
      <c r="B489" s="18" t="inlineStr">
        <is>
          <t>Plan de trabajo académico</t>
        </is>
      </c>
      <c r="C489" s="18" t="inlineStr">
        <is>
          <t>academic_work_plan</t>
        </is>
      </c>
      <c r="D489" s="18" t="inlineStr">
        <is>
          <t>PlanTrabajoAcademico</t>
        </is>
      </c>
      <c r="E489" s="18" t="n">
        <v>8</v>
      </c>
      <c r="F489" s="18" t="inlineStr">
        <is>
          <t>observaciones</t>
        </is>
      </c>
      <c r="G489" s="18" t="inlineStr">
        <is>
          <t>text</t>
        </is>
      </c>
      <c r="H489" s="18" t="inlineStr">
        <is>
          <t>Sí</t>
        </is>
      </c>
      <c r="I489" s="18" t="inlineStr"/>
      <c r="J489" s="18" t="inlineStr"/>
      <c r="K489" s="18" t="inlineStr"/>
      <c r="L489" s="18" t="inlineStr">
        <is>
          <t>No</t>
        </is>
      </c>
      <c r="M489" s="18" t="inlineStr">
        <is>
          <t>No</t>
        </is>
      </c>
      <c r="N489" s="18" t="inlineStr"/>
      <c r="O489" s="18" t="inlineStr"/>
      <c r="P489" s="18" t="inlineStr">
        <is>
          <t>Mapeada en academic-work-plan-service/src/pta/entities/plan-trabajo-academico.entity.ts:28 (PlanTrabajoAcademicoEntity.observaciones)</t>
        </is>
      </c>
      <c r="Q489" s="18" t="inlineStr">
        <is>
          <t>Regla estructural</t>
        </is>
      </c>
      <c r="R489" s="18" t="inlineStr">
        <is>
          <t>Observaciones registradas sobre el registro.</t>
        </is>
      </c>
      <c r="S489" s="18" t="inlineStr">
        <is>
          <t>Media</t>
        </is>
      </c>
      <c r="T489" s="18" t="inlineStr">
        <is>
          <t>Convención de nombre de la columna.</t>
        </is>
      </c>
      <c r="U489" s="18" t="inlineStr"/>
      <c r="V489" s="19" t="inlineStr">
        <is>
          <t>Pendiente</t>
        </is>
      </c>
      <c r="W489" s="19" t="inlineStr"/>
      <c r="X489" s="19" t="inlineStr"/>
      <c r="Y489" s="20" t="n"/>
      <c r="Z489" s="19" t="inlineStr"/>
      <c r="AA489" s="18">
        <f>IF(OR(V489="Aprobada"),R489,IF(AND(OR(V489="Aprobada con ajuste",V489="Rechazada"),W489&lt;&gt;""),W489,""))</f>
        <v/>
      </c>
    </row>
    <row r="490">
      <c r="A490" s="18" t="inlineStr">
        <is>
          <t>C0489</t>
        </is>
      </c>
      <c r="B490" s="18" t="inlineStr">
        <is>
          <t>Plan de trabajo académico</t>
        </is>
      </c>
      <c r="C490" s="18" t="inlineStr">
        <is>
          <t>academic_work_plan</t>
        </is>
      </c>
      <c r="D490" s="18" t="inlineStr">
        <is>
          <t>PlanTrabajoAcademico</t>
        </is>
      </c>
      <c r="E490" s="18" t="n">
        <v>8</v>
      </c>
      <c r="F490" s="18" t="inlineStr">
        <is>
          <t>datosEstructurados</t>
        </is>
      </c>
      <c r="G490" s="18" t="inlineStr">
        <is>
          <t>jsonb</t>
        </is>
      </c>
      <c r="H490" s="18" t="inlineStr">
        <is>
          <t>Sí</t>
        </is>
      </c>
      <c r="I490" s="18" t="inlineStr"/>
      <c r="J490" s="18" t="inlineStr"/>
      <c r="K490" s="18" t="inlineStr"/>
      <c r="L490" s="18" t="inlineStr">
        <is>
          <t>No</t>
        </is>
      </c>
      <c r="M490" s="18" t="inlineStr">
        <is>
          <t>No</t>
        </is>
      </c>
      <c r="N490" s="18" t="inlineStr"/>
      <c r="O490" s="18" t="inlineStr"/>
      <c r="P490" s="18" t="inlineStr">
        <is>
          <t>Mapeada en academic-work-plan-service/src/pta/entities/plan-trabajo-academico.entity.ts:34 (PlanTrabajoAcademicoEntity.datosEstructurados)</t>
        </is>
      </c>
      <c r="Q490" s="18" t="inlineStr">
        <is>
          <t>Propuesta semántica</t>
        </is>
      </c>
      <c r="R490" s="18" t="inlineStr">
        <is>
          <t>Contenido del plan de trabajo académico por componentes, en formato JSON.</t>
        </is>
      </c>
      <c r="S490" s="18" t="inlineStr">
        <is>
          <t>Media</t>
        </is>
      </c>
      <c r="T490" s="18" t="inlineStr">
        <is>
          <t>nombre + tipo + columnas vecinas</t>
        </is>
      </c>
      <c r="U490" s="18" t="inlineStr">
        <is>
          <t>¿Qué estructura tiene datosEstructurados?</t>
        </is>
      </c>
      <c r="V490" s="19" t="inlineStr">
        <is>
          <t>Pendiente</t>
        </is>
      </c>
      <c r="W490" s="19" t="inlineStr"/>
      <c r="X490" s="19" t="inlineStr"/>
      <c r="Y490" s="20" t="n"/>
      <c r="Z490" s="19" t="inlineStr"/>
      <c r="AA490" s="18">
        <f>IF(OR(V490="Aprobada"),R490,IF(AND(OR(V490="Aprobada con ajuste",V490="Rechazada"),W490&lt;&gt;""),W490,""))</f>
        <v/>
      </c>
    </row>
    <row r="491">
      <c r="A491" s="18" t="inlineStr">
        <is>
          <t>C0490</t>
        </is>
      </c>
      <c r="B491" s="18" t="inlineStr">
        <is>
          <t>Plan de trabajo académico</t>
        </is>
      </c>
      <c r="C491" s="18" t="inlineStr">
        <is>
          <t>academic_work_plan</t>
        </is>
      </c>
      <c r="D491" s="18" t="inlineStr">
        <is>
          <t>PlanTrabajoAcademico</t>
        </is>
      </c>
      <c r="E491" s="18" t="n">
        <v>8</v>
      </c>
      <c r="F491" s="18" t="inlineStr">
        <is>
          <t>dedicacion</t>
        </is>
      </c>
      <c r="G491" s="18" t="inlineStr">
        <is>
          <t>text</t>
        </is>
      </c>
      <c r="H491" s="18" t="inlineStr">
        <is>
          <t>Sí</t>
        </is>
      </c>
      <c r="I491" s="18" t="inlineStr"/>
      <c r="J491" s="18" t="inlineStr"/>
      <c r="K491" s="18" t="inlineStr"/>
      <c r="L491" s="18" t="inlineStr">
        <is>
          <t>No</t>
        </is>
      </c>
      <c r="M491" s="18" t="inlineStr">
        <is>
          <t>No</t>
        </is>
      </c>
      <c r="N491" s="18" t="inlineStr"/>
      <c r="O491" s="18" t="inlineStr"/>
      <c r="P491" s="18" t="inlineStr">
        <is>
          <t>Mapeada en academic-work-plan-service/src/pta/entities/plan-trabajo-academico.entity.ts:37 (PlanTrabajoAcademicoEntity.dedicacion)</t>
        </is>
      </c>
      <c r="Q491" s="18" t="inlineStr">
        <is>
          <t>Propuesta semántica</t>
        </is>
      </c>
      <c r="R491" s="18" t="inlineStr">
        <is>
          <t>Dedicación del docente en el plan (por ejemplo, tiempo completo o medio tiempo).</t>
        </is>
      </c>
      <c r="S491" s="18" t="inlineStr">
        <is>
          <t>Media</t>
        </is>
      </c>
      <c r="T491" s="18" t="inlineStr">
        <is>
          <t>nombre + tipo + columnas vecinas</t>
        </is>
      </c>
      <c r="U491" s="18" t="inlineStr">
        <is>
          <t>¿Qué valores toma dedicacion?</t>
        </is>
      </c>
      <c r="V491" s="19" t="inlineStr">
        <is>
          <t>Pendiente</t>
        </is>
      </c>
      <c r="W491" s="19" t="inlineStr"/>
      <c r="X491" s="19" t="inlineStr"/>
      <c r="Y491" s="20" t="n"/>
      <c r="Z491" s="19" t="inlineStr"/>
      <c r="AA491" s="18">
        <f>IF(OR(V491="Aprobada"),R491,IF(AND(OR(V491="Aprobada con ajuste",V491="Rechazada"),W491&lt;&gt;""),W491,""))</f>
        <v/>
      </c>
    </row>
    <row r="492">
      <c r="A492" s="18" t="inlineStr">
        <is>
          <t>C0491</t>
        </is>
      </c>
      <c r="B492" s="18" t="inlineStr">
        <is>
          <t>Plan de trabajo académico</t>
        </is>
      </c>
      <c r="C492" s="18" t="inlineStr">
        <is>
          <t>academic_work_plan</t>
        </is>
      </c>
      <c r="D492" s="18" t="inlineStr">
        <is>
          <t>PlanTrabajoAcademico</t>
        </is>
      </c>
      <c r="E492" s="18" t="n">
        <v>8</v>
      </c>
      <c r="F492" s="18" t="inlineStr">
        <is>
          <t>horasAsignables</t>
        </is>
      </c>
      <c r="G492" s="18" t="inlineStr">
        <is>
          <t>integer</t>
        </is>
      </c>
      <c r="H492" s="18" t="inlineStr">
        <is>
          <t>Sí</t>
        </is>
      </c>
      <c r="I492" s="18" t="inlineStr"/>
      <c r="J492" s="18" t="inlineStr"/>
      <c r="K492" s="18" t="inlineStr"/>
      <c r="L492" s="18" t="inlineStr">
        <is>
          <t>No</t>
        </is>
      </c>
      <c r="M492" s="18" t="inlineStr">
        <is>
          <t>No</t>
        </is>
      </c>
      <c r="N492" s="18" t="inlineStr"/>
      <c r="O492" s="18" t="inlineStr"/>
      <c r="P492" s="18" t="inlineStr">
        <is>
          <t>Mapeada en academic-work-plan-service/src/pta/entities/plan-trabajo-academico.entity.ts:40 (PlanTrabajoAcademicoEntity.horasAsignables)</t>
        </is>
      </c>
      <c r="Q492" s="18" t="inlineStr">
        <is>
          <t>Propuesta semántica</t>
        </is>
      </c>
      <c r="R492" s="18" t="inlineStr">
        <is>
          <t>Número de horas que se pueden asignar al docente en el plan.</t>
        </is>
      </c>
      <c r="S492" s="18" t="inlineStr">
        <is>
          <t>Media</t>
        </is>
      </c>
      <c r="T492" s="18" t="inlineStr">
        <is>
          <t>nombre + tipo + columnas vecinas</t>
        </is>
      </c>
      <c r="U492" s="18" t="inlineStr">
        <is>
          <t>¿Cómo se calculan las horas asignables?</t>
        </is>
      </c>
      <c r="V492" s="19" t="inlineStr">
        <is>
          <t>Pendiente</t>
        </is>
      </c>
      <c r="W492" s="19" t="inlineStr"/>
      <c r="X492" s="19" t="inlineStr"/>
      <c r="Y492" s="20" t="n"/>
      <c r="Z492" s="19" t="inlineStr"/>
      <c r="AA492" s="18">
        <f>IF(OR(V492="Aprobada"),R492,IF(AND(OR(V492="Aprobada con ajuste",V492="Rechazada"),W492&lt;&gt;""),W492,""))</f>
        <v/>
      </c>
    </row>
    <row r="493">
      <c r="A493" s="18" t="inlineStr">
        <is>
          <t>C0492</t>
        </is>
      </c>
      <c r="B493" s="18" t="inlineStr">
        <is>
          <t>Plan de trabajo académico</t>
        </is>
      </c>
      <c r="C493" s="18" t="inlineStr">
        <is>
          <t>academic_work_plan</t>
        </is>
      </c>
      <c r="D493" s="18" t="inlineStr">
        <is>
          <t>PlanTrabajoAcademico</t>
        </is>
      </c>
      <c r="E493" s="18" t="n">
        <v>8</v>
      </c>
      <c r="F493" s="18" t="inlineStr">
        <is>
          <t>semanasVinculacion</t>
        </is>
      </c>
      <c r="G493" s="18" t="inlineStr">
        <is>
          <t>integer</t>
        </is>
      </c>
      <c r="H493" s="18" t="inlineStr">
        <is>
          <t>Sí</t>
        </is>
      </c>
      <c r="I493" s="18" t="inlineStr"/>
      <c r="J493" s="18" t="inlineStr"/>
      <c r="K493" s="18" t="inlineStr"/>
      <c r="L493" s="18" t="inlineStr">
        <is>
          <t>No</t>
        </is>
      </c>
      <c r="M493" s="18" t="inlineStr">
        <is>
          <t>No</t>
        </is>
      </c>
      <c r="N493" s="18" t="inlineStr"/>
      <c r="O493" s="18" t="inlineStr"/>
      <c r="P493" s="18" t="inlineStr">
        <is>
          <t>Mapeada en academic-work-plan-service/src/pta/entities/plan-trabajo-academico.entity.ts:43 (PlanTrabajoAcademicoEntity.semanasVinculacion)</t>
        </is>
      </c>
      <c r="Q493" s="18" t="inlineStr">
        <is>
          <t>Propuesta semántica</t>
        </is>
      </c>
      <c r="R493" s="18" t="inlineStr">
        <is>
          <t>Número de semanas de vinculación del docente en el periodo.</t>
        </is>
      </c>
      <c r="S493" s="18" t="inlineStr">
        <is>
          <t>Alta</t>
        </is>
      </c>
      <c r="T493" s="18" t="inlineStr">
        <is>
          <t>nombre + tipo + columnas vecinas</t>
        </is>
      </c>
      <c r="U493" s="18" t="inlineStr"/>
      <c r="V493" s="19" t="inlineStr">
        <is>
          <t>Pendiente</t>
        </is>
      </c>
      <c r="W493" s="19" t="inlineStr"/>
      <c r="X493" s="19" t="inlineStr"/>
      <c r="Y493" s="20" t="n"/>
      <c r="Z493" s="19" t="inlineStr"/>
      <c r="AA493" s="18">
        <f>IF(OR(V493="Aprobada"),R493,IF(AND(OR(V493="Aprobada con ajuste",V493="Rechazada"),W493&lt;&gt;""),W493,""))</f>
        <v/>
      </c>
    </row>
    <row r="494">
      <c r="A494" s="18" t="inlineStr">
        <is>
          <t>C0493</t>
        </is>
      </c>
      <c r="B494" s="18" t="inlineStr">
        <is>
          <t>Plan de trabajo académico</t>
        </is>
      </c>
      <c r="C494" s="18" t="inlineStr">
        <is>
          <t>academic_work_plan</t>
        </is>
      </c>
      <c r="D494" s="18" t="inlineStr">
        <is>
          <t>PlanTrabajoAcademico</t>
        </is>
      </c>
      <c r="E494" s="18" t="n">
        <v>8</v>
      </c>
      <c r="F494" s="18" t="inlineStr">
        <is>
          <t>tipoVinculacion</t>
        </is>
      </c>
      <c r="G494" s="18" t="inlineStr">
        <is>
          <t>text</t>
        </is>
      </c>
      <c r="H494" s="18" t="inlineStr">
        <is>
          <t>Sí</t>
        </is>
      </c>
      <c r="I494" s="18" t="inlineStr"/>
      <c r="J494" s="18" t="inlineStr"/>
      <c r="K494" s="18" t="inlineStr"/>
      <c r="L494" s="18" t="inlineStr">
        <is>
          <t>No</t>
        </is>
      </c>
      <c r="M494" s="18" t="inlineStr">
        <is>
          <t>No</t>
        </is>
      </c>
      <c r="N494" s="18" t="inlineStr"/>
      <c r="O494" s="18" t="inlineStr"/>
      <c r="P494" s="18" t="inlineStr">
        <is>
          <t>Mapeada en academic-work-plan-service/src/pta/entities/plan-trabajo-academico.entity.ts:46 (PlanTrabajoAcademicoEntity.tipoVinculacion)</t>
        </is>
      </c>
      <c r="Q494" s="18" t="inlineStr">
        <is>
          <t>Propuesta semántica</t>
        </is>
      </c>
      <c r="R494" s="18" t="inlineStr">
        <is>
          <t>Tipo de vinculación del docente.</t>
        </is>
      </c>
      <c r="S494" s="18" t="inlineStr">
        <is>
          <t>Media</t>
        </is>
      </c>
      <c r="T494" s="18" t="inlineStr">
        <is>
          <t>nombre + tipo + columnas vecinas</t>
        </is>
      </c>
      <c r="U494" s="18" t="inlineStr">
        <is>
          <t>¿Qué valores toma tipoVinculacion (planta, ocasional, cátedra…)?</t>
        </is>
      </c>
      <c r="V494" s="19" t="inlineStr">
        <is>
          <t>Pendiente</t>
        </is>
      </c>
      <c r="W494" s="19" t="inlineStr"/>
      <c r="X494" s="19" t="inlineStr"/>
      <c r="Y494" s="20" t="n"/>
      <c r="Z494" s="19" t="inlineStr"/>
      <c r="AA494" s="18">
        <f>IF(OR(V494="Aprobada"),R494,IF(AND(OR(V494="Aprobada con ajuste",V494="Rechazada"),W494&lt;&gt;""),W494,""))</f>
        <v/>
      </c>
    </row>
    <row r="495">
      <c r="A495" s="18" t="inlineStr">
        <is>
          <t>C0494</t>
        </is>
      </c>
      <c r="B495" s="18" t="inlineStr">
        <is>
          <t>Plan de trabajo académico</t>
        </is>
      </c>
      <c r="C495" s="18" t="inlineStr">
        <is>
          <t>academic_work_plan</t>
        </is>
      </c>
      <c r="D495" s="18" t="inlineStr">
        <is>
          <t>PlanTrabajoAcademico</t>
        </is>
      </c>
      <c r="E495" s="18" t="n">
        <v>8</v>
      </c>
      <c r="F495" s="18" t="inlineStr">
        <is>
          <t>motivoDevolucion</t>
        </is>
      </c>
      <c r="G495" s="18" t="inlineStr">
        <is>
          <t>text</t>
        </is>
      </c>
      <c r="H495" s="18" t="inlineStr">
        <is>
          <t>Sí</t>
        </is>
      </c>
      <c r="I495" s="18" t="inlineStr"/>
      <c r="J495" s="18" t="inlineStr"/>
      <c r="K495" s="18" t="inlineStr"/>
      <c r="L495" s="18" t="inlineStr">
        <is>
          <t>No</t>
        </is>
      </c>
      <c r="M495" s="18" t="inlineStr">
        <is>
          <t>No</t>
        </is>
      </c>
      <c r="N495" s="18" t="inlineStr"/>
      <c r="O495" s="18" t="inlineStr"/>
      <c r="P495" s="18" t="inlineStr">
        <is>
          <t>Mapeada en academic-work-plan-service/src/pta/entities/plan-trabajo-academico.entity.ts:31 (PlanTrabajoAcademicoEntity.motivoDevolucion)</t>
        </is>
      </c>
      <c r="Q495" s="18" t="inlineStr">
        <is>
          <t>Propuesta semántica</t>
        </is>
      </c>
      <c r="R495" s="18" t="inlineStr">
        <is>
          <t>Motivo de la devolución del plan de trabajo al docente.</t>
        </is>
      </c>
      <c r="S495" s="18" t="inlineStr">
        <is>
          <t>Alta</t>
        </is>
      </c>
      <c r="T495" s="18" t="inlineStr">
        <is>
          <t>nombre + tipo + columnas vecinas (nivelDevolucion)</t>
        </is>
      </c>
      <c r="U495" s="18" t="inlineStr"/>
      <c r="V495" s="19" t="inlineStr">
        <is>
          <t>Pendiente</t>
        </is>
      </c>
      <c r="W495" s="19" t="inlineStr"/>
      <c r="X495" s="19" t="inlineStr"/>
      <c r="Y495" s="20" t="n"/>
      <c r="Z495" s="19" t="inlineStr"/>
      <c r="AA495" s="18">
        <f>IF(OR(V495="Aprobada"),R495,IF(AND(OR(V495="Aprobada con ajuste",V495="Rechazada"),W495&lt;&gt;""),W495,""))</f>
        <v/>
      </c>
    </row>
    <row r="496">
      <c r="A496" s="18" t="inlineStr">
        <is>
          <t>C0495</t>
        </is>
      </c>
      <c r="B496" s="18" t="inlineStr">
        <is>
          <t>Plan de trabajo académico</t>
        </is>
      </c>
      <c r="C496" s="18" t="inlineStr">
        <is>
          <t>academic_work_plan</t>
        </is>
      </c>
      <c r="D496" s="18" t="inlineStr">
        <is>
          <t>PlanTrabajoAcademico</t>
        </is>
      </c>
      <c r="E496" s="18" t="n">
        <v>8</v>
      </c>
      <c r="F496" s="18" t="inlineStr">
        <is>
          <t>ultimoActorRol</t>
        </is>
      </c>
      <c r="G496" s="18" t="inlineStr">
        <is>
          <t>text</t>
        </is>
      </c>
      <c r="H496" s="18" t="inlineStr">
        <is>
          <t>Sí</t>
        </is>
      </c>
      <c r="I496" s="18" t="inlineStr"/>
      <c r="J496" s="18" t="inlineStr"/>
      <c r="K496" s="18" t="inlineStr"/>
      <c r="L496" s="18" t="inlineStr">
        <is>
          <t>No</t>
        </is>
      </c>
      <c r="M496" s="18" t="inlineStr">
        <is>
          <t>No</t>
        </is>
      </c>
      <c r="N496" s="18" t="inlineStr"/>
      <c r="O496" s="18" t="inlineStr"/>
      <c r="P496" s="18" t="inlineStr"/>
      <c r="Q496" s="18" t="inlineStr">
        <is>
          <t>Propuesta semántica</t>
        </is>
      </c>
      <c r="R496" s="18" t="inlineStr">
        <is>
          <t>Rol del último usuario que actuó sobre el plan de trabajo.</t>
        </is>
      </c>
      <c r="S496" s="18" t="inlineStr">
        <is>
          <t>Alta</t>
        </is>
      </c>
      <c r="T496" s="18" t="inlineStr">
        <is>
          <t>nombre + tipo + columnas vecinas</t>
        </is>
      </c>
      <c r="U496" s="18" t="inlineStr"/>
      <c r="V496" s="19" t="inlineStr">
        <is>
          <t>Pendiente</t>
        </is>
      </c>
      <c r="W496" s="19" t="inlineStr"/>
      <c r="X496" s="19" t="inlineStr"/>
      <c r="Y496" s="20" t="n"/>
      <c r="Z496" s="19" t="inlineStr"/>
      <c r="AA496" s="18">
        <f>IF(OR(V496="Aprobada"),R496,IF(AND(OR(V496="Aprobada con ajuste",V496="Rechazada"),W496&lt;&gt;""),W496,""))</f>
        <v/>
      </c>
    </row>
    <row r="497">
      <c r="A497" s="18" t="inlineStr">
        <is>
          <t>C0496</t>
        </is>
      </c>
      <c r="B497" s="18" t="inlineStr">
        <is>
          <t>Plan de trabajo académico</t>
        </is>
      </c>
      <c r="C497" s="18" t="inlineStr">
        <is>
          <t>academic_work_plan</t>
        </is>
      </c>
      <c r="D497" s="18" t="inlineStr">
        <is>
          <t>programa</t>
        </is>
      </c>
      <c r="E497" s="18" t="n">
        <v>20</v>
      </c>
      <c r="F497" s="18" t="inlineStr">
        <is>
          <t>codigo</t>
        </is>
      </c>
      <c r="G497" s="18" t="inlineStr">
        <is>
          <t>character varying(20)</t>
        </is>
      </c>
      <c r="H497" s="18" t="inlineStr">
        <is>
          <t>No</t>
        </is>
      </c>
      <c r="I497" s="18" t="inlineStr">
        <is>
          <t>Única</t>
        </is>
      </c>
      <c r="J497" s="18" t="inlineStr"/>
      <c r="K497" s="18" t="inlineStr"/>
      <c r="L497" s="18" t="inlineStr">
        <is>
          <t>No</t>
        </is>
      </c>
      <c r="M497" s="18" t="inlineStr">
        <is>
          <t>No</t>
        </is>
      </c>
      <c r="N497" s="18" t="inlineStr"/>
      <c r="O497" s="18" t="inlineStr">
        <is>
          <t>programa_codigo_key</t>
        </is>
      </c>
      <c r="P497" s="18" t="inlineStr">
        <is>
          <t>Mapeada en academic-work-plan-service/src/pta/entities/programa.entity.ts:9 (ProgramaEntity.codigo)</t>
        </is>
      </c>
      <c r="Q497" s="18" t="inlineStr">
        <is>
          <t>Regla estructural</t>
        </is>
      </c>
      <c r="R497" s="18" t="inlineStr">
        <is>
          <t>Código del registro de programa. Único en la tabla.</t>
        </is>
      </c>
      <c r="S497" s="18" t="inlineStr">
        <is>
          <t>Media</t>
        </is>
      </c>
      <c r="T497" s="18" t="inlineStr">
        <is>
          <t>Convención de nombre de la columna.</t>
        </is>
      </c>
      <c r="U497" s="18" t="inlineStr"/>
      <c r="V497" s="19" t="inlineStr">
        <is>
          <t>Pendiente</t>
        </is>
      </c>
      <c r="W497" s="19" t="inlineStr"/>
      <c r="X497" s="19" t="inlineStr"/>
      <c r="Y497" s="20" t="n"/>
      <c r="Z497" s="19" t="inlineStr"/>
      <c r="AA497" s="18">
        <f>IF(OR(V497="Aprobada"),R497,IF(AND(OR(V497="Aprobada con ajuste",V497="Rechazada"),W497&lt;&gt;""),W497,""))</f>
        <v/>
      </c>
    </row>
    <row r="498">
      <c r="A498" s="18" t="inlineStr">
        <is>
          <t>C0497</t>
        </is>
      </c>
      <c r="B498" s="18" t="inlineStr">
        <is>
          <t>Plan de trabajo académico</t>
        </is>
      </c>
      <c r="C498" s="18" t="inlineStr">
        <is>
          <t>academic_work_plan</t>
        </is>
      </c>
      <c r="D498" s="18" t="inlineStr">
        <is>
          <t>programa</t>
        </is>
      </c>
      <c r="E498" s="18" t="n">
        <v>20</v>
      </c>
      <c r="F498" s="18" t="inlineStr">
        <is>
          <t>nombre</t>
        </is>
      </c>
      <c r="G498" s="18" t="inlineStr">
        <is>
          <t>character varying(100)</t>
        </is>
      </c>
      <c r="H498" s="18" t="inlineStr">
        <is>
          <t>No</t>
        </is>
      </c>
      <c r="I498" s="18" t="inlineStr"/>
      <c r="J498" s="18" t="inlineStr"/>
      <c r="K498" s="18" t="inlineStr"/>
      <c r="L498" s="18" t="inlineStr">
        <is>
          <t>No</t>
        </is>
      </c>
      <c r="M498" s="18" t="inlineStr">
        <is>
          <t>Sí</t>
        </is>
      </c>
      <c r="N498" s="18" t="inlineStr">
        <is>
          <t>Función control_interno.fn_configurar_actividad_auditorias_plan — control_interno.fn_configurar_actividad_auditorias_plan: LOWER(a.nombre) LIKE '%auditoría%'</t>
        </is>
      </c>
      <c r="O498" s="18" t="inlineStr"/>
      <c r="P498" s="18" t="inlineStr">
        <is>
          <t>Mapeada en academic-work-plan-service/src/pta/entities/programa.entity.ts:12 (ProgramaEntity.nombre)</t>
        </is>
      </c>
      <c r="Q498" s="18" t="inlineStr">
        <is>
          <t>Regla estructural</t>
        </is>
      </c>
      <c r="R498" s="18" t="inlineStr">
        <is>
          <t>Nombre del registro de programa.</t>
        </is>
      </c>
      <c r="S498" s="18" t="inlineStr">
        <is>
          <t>Media</t>
        </is>
      </c>
      <c r="T498" s="18" t="inlineStr">
        <is>
          <t>Convención de nombre de la columna.</t>
        </is>
      </c>
      <c r="U498" s="18" t="inlineStr"/>
      <c r="V498" s="19" t="inlineStr">
        <is>
          <t>Pendiente</t>
        </is>
      </c>
      <c r="W498" s="19" t="inlineStr"/>
      <c r="X498" s="19" t="inlineStr"/>
      <c r="Y498" s="20" t="n"/>
      <c r="Z498" s="19" t="inlineStr"/>
      <c r="AA498" s="18">
        <f>IF(OR(V498="Aprobada"),R498,IF(AND(OR(V498="Aprobada con ajuste",V498="Rechazada"),W498&lt;&gt;""),W498,""))</f>
        <v/>
      </c>
    </row>
    <row r="499">
      <c r="A499" s="18" t="inlineStr">
        <is>
          <t>C0498</t>
        </is>
      </c>
      <c r="B499" s="18" t="inlineStr">
        <is>
          <t>Plan de trabajo académico</t>
        </is>
      </c>
      <c r="C499" s="18" t="inlineStr">
        <is>
          <t>academic_work_plan</t>
        </is>
      </c>
      <c r="D499" s="18" t="inlineStr">
        <is>
          <t>programa</t>
        </is>
      </c>
      <c r="E499" s="18" t="n">
        <v>20</v>
      </c>
      <c r="F499" s="18" t="inlineStr">
        <is>
          <t>nombre_excel</t>
        </is>
      </c>
      <c r="G499" s="18" t="inlineStr">
        <is>
          <t>character varying(100)</t>
        </is>
      </c>
      <c r="H499" s="18" t="inlineStr">
        <is>
          <t>No</t>
        </is>
      </c>
      <c r="I499" s="18" t="inlineStr"/>
      <c r="J499" s="18" t="inlineStr"/>
      <c r="K499" s="18" t="inlineStr"/>
      <c r="L499" s="18" t="inlineStr">
        <is>
          <t>No</t>
        </is>
      </c>
      <c r="M499" s="18" t="inlineStr">
        <is>
          <t>No</t>
        </is>
      </c>
      <c r="N499" s="18" t="inlineStr"/>
      <c r="O499" s="18" t="inlineStr"/>
      <c r="P499" s="18" t="inlineStr">
        <is>
          <t>Mapeada en academic-work-plan-service/src/pta/entities/programa.entity.ts:15 (ProgramaEntity.nombreExcel)</t>
        </is>
      </c>
      <c r="Q499" s="18" t="inlineStr">
        <is>
          <t>Propuesta semántica</t>
        </is>
      </c>
      <c r="R499" s="18" t="inlineStr">
        <is>
          <t>Nombre del programa tal como aparece en el archivo Excel de carga.</t>
        </is>
      </c>
      <c r="S499" s="18" t="inlineStr">
        <is>
          <t>Media</t>
        </is>
      </c>
      <c r="T499" s="18" t="inlineStr">
        <is>
          <t>nombre + tipo + columnas vecinas</t>
        </is>
      </c>
      <c r="U499" s="18" t="inlineStr">
        <is>
          <t>¿Qué archivo Excel es la fuente y se usa nombre_excel para conciliar la carga?</t>
        </is>
      </c>
      <c r="V499" s="19" t="inlineStr">
        <is>
          <t>Pendiente</t>
        </is>
      </c>
      <c r="W499" s="19" t="inlineStr"/>
      <c r="X499" s="19" t="inlineStr"/>
      <c r="Y499" s="20" t="n"/>
      <c r="Z499" s="19" t="inlineStr"/>
      <c r="AA499" s="18">
        <f>IF(OR(V499="Aprobada"),R499,IF(AND(OR(V499="Aprobada con ajuste",V499="Rechazada"),W499&lt;&gt;""),W499,""))</f>
        <v/>
      </c>
    </row>
    <row r="500">
      <c r="A500" s="18" t="inlineStr">
        <is>
          <t>C0499</t>
        </is>
      </c>
      <c r="B500" s="18" t="inlineStr">
        <is>
          <t>Plan de trabajo académico</t>
        </is>
      </c>
      <c r="C500" s="18" t="inlineStr">
        <is>
          <t>academic_work_plan</t>
        </is>
      </c>
      <c r="D500" s="18" t="inlineStr">
        <is>
          <t>programa</t>
        </is>
      </c>
      <c r="E500" s="18" t="n">
        <v>20</v>
      </c>
      <c r="F500" s="18" t="inlineStr">
        <is>
          <t>nombre_corto</t>
        </is>
      </c>
      <c r="G500" s="18" t="inlineStr">
        <is>
          <t>character varying(30)</t>
        </is>
      </c>
      <c r="H500" s="18" t="inlineStr">
        <is>
          <t>No</t>
        </is>
      </c>
      <c r="I500" s="18" t="inlineStr"/>
      <c r="J500" s="18" t="inlineStr"/>
      <c r="K500" s="18" t="inlineStr"/>
      <c r="L500" s="18" t="inlineStr">
        <is>
          <t>No</t>
        </is>
      </c>
      <c r="M500" s="18" t="inlineStr">
        <is>
          <t>No</t>
        </is>
      </c>
      <c r="N500" s="18" t="inlineStr"/>
      <c r="O500" s="18" t="inlineStr"/>
      <c r="P500" s="18" t="inlineStr">
        <is>
          <t>Mapeada en academic-work-plan-service/src/pta/entities/programa.entity.ts:18 (ProgramaEntity.nombreCorto)</t>
        </is>
      </c>
      <c r="Q500" s="18" t="inlineStr">
        <is>
          <t>Propuesta semántica</t>
        </is>
      </c>
      <c r="R500" s="18" t="inlineStr">
        <is>
          <t>Nombre abreviado del programa.</t>
        </is>
      </c>
      <c r="S500" s="18" t="inlineStr">
        <is>
          <t>Alta</t>
        </is>
      </c>
      <c r="T500" s="18" t="inlineStr">
        <is>
          <t>nombre + tipo + columnas vecinas</t>
        </is>
      </c>
      <c r="U500" s="18" t="inlineStr"/>
      <c r="V500" s="19" t="inlineStr">
        <is>
          <t>Pendiente</t>
        </is>
      </c>
      <c r="W500" s="19" t="inlineStr"/>
      <c r="X500" s="19" t="inlineStr"/>
      <c r="Y500" s="20" t="n"/>
      <c r="Z500" s="19" t="inlineStr"/>
      <c r="AA500" s="18">
        <f>IF(OR(V500="Aprobada"),R500,IF(AND(OR(V500="Aprobada con ajuste",V500="Rechazada"),W500&lt;&gt;""),W500,""))</f>
        <v/>
      </c>
    </row>
    <row r="501">
      <c r="A501" s="18" t="inlineStr">
        <is>
          <t>C0500</t>
        </is>
      </c>
      <c r="B501" s="18" t="inlineStr">
        <is>
          <t>Plan de trabajo académico</t>
        </is>
      </c>
      <c r="C501" s="18" t="inlineStr">
        <is>
          <t>academic_work_plan</t>
        </is>
      </c>
      <c r="D501" s="18" t="inlineStr">
        <is>
          <t>programa</t>
        </is>
      </c>
      <c r="E501" s="18" t="n">
        <v>20</v>
      </c>
      <c r="F501" s="18" t="inlineStr">
        <is>
          <t>tipo</t>
        </is>
      </c>
      <c r="G501" s="18" t="inlineStr">
        <is>
          <t>character varying(20)</t>
        </is>
      </c>
      <c r="H501" s="18" t="inlineStr">
        <is>
          <t>No</t>
        </is>
      </c>
      <c r="I501" s="18" t="inlineStr">
        <is>
          <t>CHECK</t>
        </is>
      </c>
      <c r="J501" s="18" t="inlineStr">
        <is>
          <t>doctorado, especializacion, maestria, pregrado, tecnico_profesional, tecnologico</t>
        </is>
      </c>
      <c r="K501" s="18" t="inlineStr"/>
      <c r="L501" s="18" t="inlineStr">
        <is>
          <t>Sí</t>
        </is>
      </c>
      <c r="M501" s="18" t="inlineStr">
        <is>
          <t>No</t>
        </is>
      </c>
      <c r="N501" s="18" t="inlineStr"/>
      <c r="O501" s="18" t="inlineStr">
        <is>
          <t>idx_programa_tipo</t>
        </is>
      </c>
      <c r="P501" s="18" t="inlineStr">
        <is>
          <t>academic-work-plan-service/src/pta/entities/programa.entity.ts:28: 'pregrado' | 'especializacion' | 'maestria' | academic-schedule-service/src/catalogo/entities/programa.readonly.entity.ts:27: 'pregrado' | 'tecnico_profesional' | 'tecnologico' | 'especializacion' | 'maestria' | 'doctorado' | auth-service/src/programas/programa.entity.ts:23: 'pregrado' | 'especializacion' | 'maestria'</t>
        </is>
      </c>
      <c r="Q501" s="18" t="inlineStr">
        <is>
          <t>Código fuente</t>
        </is>
      </c>
      <c r="R501" s="18" t="inlineStr">
        <is>
          <t>Nivel de formación del programa académico. Valores permitidos: pregrado, tecnico_profesional, tecnologico, especializacion, maestria, doctorado.</t>
        </is>
      </c>
      <c r="S501" s="18" t="inlineStr">
        <is>
          <t>Alta</t>
        </is>
      </c>
      <c r="T501" s="18" t="inlineStr">
        <is>
          <t>código: academic-schedule-service/src/catalogo/entities/programa.readonly.entity.ts:27</t>
        </is>
      </c>
      <c r="U501" s="18" t="inlineStr"/>
      <c r="V501" s="19" t="inlineStr">
        <is>
          <t>Pendiente</t>
        </is>
      </c>
      <c r="W501" s="19" t="inlineStr"/>
      <c r="X501" s="19" t="inlineStr"/>
      <c r="Y501" s="20" t="n"/>
      <c r="Z501" s="19" t="inlineStr"/>
      <c r="AA501" s="18">
        <f>IF(OR(V501="Aprobada"),R501,IF(AND(OR(V501="Aprobada con ajuste",V501="Rechazada"),W501&lt;&gt;""),W501,""))</f>
        <v/>
      </c>
    </row>
    <row r="502">
      <c r="A502" s="18" t="inlineStr">
        <is>
          <t>C0501</t>
        </is>
      </c>
      <c r="B502" s="18" t="inlineStr">
        <is>
          <t>Plan de trabajo académico</t>
        </is>
      </c>
      <c r="C502" s="18" t="inlineStr">
        <is>
          <t>academic_work_plan</t>
        </is>
      </c>
      <c r="D502" s="18" t="inlineStr">
        <is>
          <t>programa</t>
        </is>
      </c>
      <c r="E502" s="18" t="n">
        <v>20</v>
      </c>
      <c r="F502" s="18" t="inlineStr">
        <is>
          <t>modalidad</t>
        </is>
      </c>
      <c r="G502" s="18" t="inlineStr">
        <is>
          <t>character varying(20)</t>
        </is>
      </c>
      <c r="H502" s="18" t="inlineStr">
        <is>
          <t>No</t>
        </is>
      </c>
      <c r="I502" s="18" t="inlineStr">
        <is>
          <t>CHECK</t>
        </is>
      </c>
      <c r="J502" s="18" t="inlineStr">
        <is>
          <t>distancia, mixto, presencial</t>
        </is>
      </c>
      <c r="K502" s="18" t="inlineStr"/>
      <c r="L502" s="18" t="inlineStr">
        <is>
          <t>Sí</t>
        </is>
      </c>
      <c r="M502" s="18" t="inlineStr">
        <is>
          <t>No</t>
        </is>
      </c>
      <c r="N502" s="18" t="inlineStr"/>
      <c r="O502" s="18" t="inlineStr"/>
      <c r="P502" s="18" t="inlineStr">
        <is>
          <t>academic-work-plan-service/src/pta/entities/programa.entity.ts:31: 'presencial' | 'distancia' | 'mixto' | auth-service/src/programas/programa.entity.ts:26: 'presencial' | 'distancia' | 'mixto'</t>
        </is>
      </c>
      <c r="Q502" s="18" t="inlineStr">
        <is>
          <t>Código fuente</t>
        </is>
      </c>
      <c r="R502" s="18" t="inlineStr">
        <is>
          <t>Modalidad del programa académico. Valores permitidos: presencial, distancia, mixto.</t>
        </is>
      </c>
      <c r="S502" s="18" t="inlineStr">
        <is>
          <t>Alta</t>
        </is>
      </c>
      <c r="T502" s="18" t="inlineStr">
        <is>
          <t>código: academic-work-plan-service/src/pta/entities/programa.entity.ts:31</t>
        </is>
      </c>
      <c r="U502" s="18" t="inlineStr"/>
      <c r="V502" s="19" t="inlineStr">
        <is>
          <t>Pendiente</t>
        </is>
      </c>
      <c r="W502" s="19" t="inlineStr"/>
      <c r="X502" s="19" t="inlineStr"/>
      <c r="Y502" s="20" t="n"/>
      <c r="Z502" s="19" t="inlineStr"/>
      <c r="AA502" s="18">
        <f>IF(OR(V502="Aprobada"),R502,IF(AND(OR(V502="Aprobada con ajuste",V502="Rechazada"),W502&lt;&gt;""),W502,""))</f>
        <v/>
      </c>
    </row>
    <row r="503">
      <c r="A503" s="18" t="inlineStr">
        <is>
          <t>C0502</t>
        </is>
      </c>
      <c r="B503" s="18" t="inlineStr">
        <is>
          <t>Plan de trabajo académico</t>
        </is>
      </c>
      <c r="C503" s="18" t="inlineStr">
        <is>
          <t>academic_work_plan</t>
        </is>
      </c>
      <c r="D503" s="18" t="inlineStr">
        <is>
          <t>programa</t>
        </is>
      </c>
      <c r="E503" s="18" t="n">
        <v>20</v>
      </c>
      <c r="F503" s="18" t="inlineStr">
        <is>
          <t>horas_base_por_credito</t>
        </is>
      </c>
      <c r="G503" s="18" t="inlineStr">
        <is>
          <t>integer</t>
        </is>
      </c>
      <c r="H503" s="18" t="inlineStr">
        <is>
          <t>No</t>
        </is>
      </c>
      <c r="I503" s="18" t="inlineStr"/>
      <c r="J503" s="18" t="inlineStr"/>
      <c r="K503" s="18" t="inlineStr"/>
      <c r="L503" s="18" t="inlineStr">
        <is>
          <t>No</t>
        </is>
      </c>
      <c r="M503" s="18" t="inlineStr">
        <is>
          <t>No</t>
        </is>
      </c>
      <c r="N503" s="18" t="inlineStr"/>
      <c r="O503" s="18" t="inlineStr"/>
      <c r="P503" s="18" t="inlineStr">
        <is>
          <t>Mapeada en academic-work-plan-service/src/pta/entities/programa.entity.ts:34 (ProgramaEntity.horasBasePorCredito)</t>
        </is>
      </c>
      <c r="Q503" s="18" t="inlineStr">
        <is>
          <t>Propuesta semántica</t>
        </is>
      </c>
      <c r="R503" s="18" t="inlineStr">
        <is>
          <t>Número de horas base por cada crédito académico del programa. Por defecto 16.</t>
        </is>
      </c>
      <c r="S503" s="18" t="inlineStr">
        <is>
          <t>Media</t>
        </is>
      </c>
      <c r="T503" s="18" t="inlineStr">
        <is>
          <t>nombre + tipo + columnas vecinas</t>
        </is>
      </c>
      <c r="U503" s="18" t="inlineStr">
        <is>
          <t>¿Son horas de trabajo docente para el plan de trabajo (PTA) o horas de trabajo académico del estudiante por crédito?</t>
        </is>
      </c>
      <c r="V503" s="19" t="inlineStr">
        <is>
          <t>Pendiente</t>
        </is>
      </c>
      <c r="W503" s="19" t="inlineStr"/>
      <c r="X503" s="19" t="inlineStr"/>
      <c r="Y503" s="20" t="n"/>
      <c r="Z503" s="19" t="inlineStr"/>
      <c r="AA503" s="18">
        <f>IF(OR(V503="Aprobada"),R503,IF(AND(OR(V503="Aprobada con ajuste",V503="Rechazada"),W503&lt;&gt;""),W503,""))</f>
        <v/>
      </c>
    </row>
    <row r="504">
      <c r="A504" s="18" t="inlineStr">
        <is>
          <t>C0503</t>
        </is>
      </c>
      <c r="B504" s="18" t="inlineStr">
        <is>
          <t>Plan de trabajo académico</t>
        </is>
      </c>
      <c r="C504" s="18" t="inlineStr">
        <is>
          <t>academic_work_plan</t>
        </is>
      </c>
      <c r="D504" s="18" t="inlineStr">
        <is>
          <t>programa</t>
        </is>
      </c>
      <c r="E504" s="18" t="n">
        <v>20</v>
      </c>
      <c r="F504" s="18" t="inlineStr">
        <is>
          <t>horas_pregrado_central</t>
        </is>
      </c>
      <c r="G504" s="18" t="inlineStr">
        <is>
          <t>integer</t>
        </is>
      </c>
      <c r="H504" s="18" t="inlineStr">
        <is>
          <t>Sí</t>
        </is>
      </c>
      <c r="I504" s="18" t="inlineStr"/>
      <c r="J504" s="18" t="inlineStr"/>
      <c r="K504" s="18" t="inlineStr"/>
      <c r="L504" s="18" t="inlineStr">
        <is>
          <t>No</t>
        </is>
      </c>
      <c r="M504" s="18" t="inlineStr">
        <is>
          <t>No</t>
        </is>
      </c>
      <c r="N504" s="18" t="inlineStr"/>
      <c r="O504" s="18" t="inlineStr"/>
      <c r="P504" s="18" t="inlineStr">
        <is>
          <t>Mapeada en academic-work-plan-service/src/pta/entities/programa.entity.ts:37 (ProgramaEntity.horasPregradoCentral)</t>
        </is>
      </c>
      <c r="Q504" s="18" t="inlineStr">
        <is>
          <t>Propuesta semántica</t>
        </is>
      </c>
      <c r="R504" s="18" t="inlineStr">
        <is>
          <t>Número de horas de referencia del programa de pregrado en la sede central.</t>
        </is>
      </c>
      <c r="S504" s="18" t="inlineStr">
        <is>
          <t>Baja</t>
        </is>
      </c>
      <c r="T504" s="18" t="inlineStr">
        <is>
          <t>nombre + tipo + columnas vecinas</t>
        </is>
      </c>
      <c r="U504" s="18" t="inlineStr">
        <is>
          <t>¿Qué representan las horas de pregrado central y cómo se usan en el cálculo del PTA?</t>
        </is>
      </c>
      <c r="V504" s="19" t="inlineStr">
        <is>
          <t>Pendiente</t>
        </is>
      </c>
      <c r="W504" s="19" t="inlineStr"/>
      <c r="X504" s="19" t="inlineStr"/>
      <c r="Y504" s="20" t="n"/>
      <c r="Z504" s="19" t="inlineStr"/>
      <c r="AA504" s="18">
        <f>IF(OR(V504="Aprobada"),R504,IF(AND(OR(V504="Aprobada con ajuste",V504="Rechazada"),W504&lt;&gt;""),W504,""))</f>
        <v/>
      </c>
    </row>
    <row r="505">
      <c r="A505" s="18" t="inlineStr">
        <is>
          <t>C0504</t>
        </is>
      </c>
      <c r="B505" s="18" t="inlineStr">
        <is>
          <t>Plan de trabajo académico</t>
        </is>
      </c>
      <c r="C505" s="18" t="inlineStr">
        <is>
          <t>academic_work_plan</t>
        </is>
      </c>
      <c r="D505" s="18" t="inlineStr">
        <is>
          <t>programa</t>
        </is>
      </c>
      <c r="E505" s="18" t="n">
        <v>20</v>
      </c>
      <c r="F505" s="18" t="inlineStr">
        <is>
          <t>activo</t>
        </is>
      </c>
      <c r="G505" s="18" t="inlineStr">
        <is>
          <t>boolean</t>
        </is>
      </c>
      <c r="H505" s="18" t="inlineStr">
        <is>
          <t>No</t>
        </is>
      </c>
      <c r="I505" s="18" t="inlineStr"/>
      <c r="J505" s="18" t="inlineStr"/>
      <c r="K505" s="18" t="inlineStr"/>
      <c r="L505" s="18" t="inlineStr">
        <is>
          <t>No</t>
        </is>
      </c>
      <c r="M505" s="18" t="inlineStr">
        <is>
          <t>No</t>
        </is>
      </c>
      <c r="N505" s="18" t="inlineStr"/>
      <c r="O505" s="18" t="inlineStr"/>
      <c r="P505" s="18" t="inlineStr">
        <is>
          <t>Mapeada en academic-work-plan-service/src/pta/entities/programa.entity.ts:52 (ProgramaEntity.activo)</t>
        </is>
      </c>
      <c r="Q505" s="18" t="inlineStr">
        <is>
          <t>Regla estructural</t>
        </is>
      </c>
      <c r="R505" s="18" t="inlineStr">
        <is>
          <t>Indica si el registro está activo.</t>
        </is>
      </c>
      <c r="S505" s="18" t="inlineStr">
        <is>
          <t>Media</t>
        </is>
      </c>
      <c r="T505" s="18" t="inlineStr">
        <is>
          <t>Convención de nombre de la columna.</t>
        </is>
      </c>
      <c r="U505" s="18" t="inlineStr"/>
      <c r="V505" s="19" t="inlineStr">
        <is>
          <t>Pendiente</t>
        </is>
      </c>
      <c r="W505" s="19" t="inlineStr"/>
      <c r="X505" s="19" t="inlineStr"/>
      <c r="Y505" s="20" t="n"/>
      <c r="Z505" s="19" t="inlineStr"/>
      <c r="AA505" s="18">
        <f>IF(OR(V505="Aprobada"),R505,IF(AND(OR(V505="Aprobada con ajuste",V505="Rechazada"),W505&lt;&gt;""),W505,""))</f>
        <v/>
      </c>
    </row>
    <row r="506">
      <c r="A506" s="18" t="inlineStr">
        <is>
          <t>C0505</t>
        </is>
      </c>
      <c r="B506" s="18" t="inlineStr">
        <is>
          <t>Plan de trabajo académico</t>
        </is>
      </c>
      <c r="C506" s="18" t="inlineStr">
        <is>
          <t>academic_work_plan</t>
        </is>
      </c>
      <c r="D506" s="18" t="inlineStr">
        <is>
          <t>programa</t>
        </is>
      </c>
      <c r="E506" s="18" t="n">
        <v>20</v>
      </c>
      <c r="F506" s="18" t="inlineStr">
        <is>
          <t>deleted_at</t>
        </is>
      </c>
      <c r="G506" s="18" t="inlineStr">
        <is>
          <t>timestamp without time zone</t>
        </is>
      </c>
      <c r="H506" s="18" t="inlineStr">
        <is>
          <t>Sí</t>
        </is>
      </c>
      <c r="I506" s="18" t="inlineStr"/>
      <c r="J506" s="18" t="inlineStr"/>
      <c r="K506" s="18" t="inlineStr"/>
      <c r="L506" s="18" t="inlineStr">
        <is>
          <t>No</t>
        </is>
      </c>
      <c r="M506" s="18" t="inlineStr">
        <is>
          <t>No</t>
        </is>
      </c>
      <c r="N506" s="18" t="inlineStr"/>
      <c r="O506" s="18" t="inlineStr"/>
      <c r="P506" s="18" t="inlineStr">
        <is>
          <t>Mapeada en academic-work-plan-service/src/pta/entities/programa.entity.ts:67 (ProgramaEntity.deletedAt)</t>
        </is>
      </c>
      <c r="Q506" s="18" t="inlineStr">
        <is>
          <t>Regla estructural</t>
        </is>
      </c>
      <c r="R506" s="18" t="inlineStr">
        <is>
          <t>Fecha y hora de la eliminación.</t>
        </is>
      </c>
      <c r="S506" s="18" t="inlineStr">
        <is>
          <t>Media</t>
        </is>
      </c>
      <c r="T506" s="18" t="inlineStr">
        <is>
          <t>Convención de nombre de la columna.</t>
        </is>
      </c>
      <c r="U506" s="18" t="inlineStr"/>
      <c r="V506" s="19" t="inlineStr">
        <is>
          <t>Pendiente</t>
        </is>
      </c>
      <c r="W506" s="19" t="inlineStr"/>
      <c r="X506" s="19" t="inlineStr"/>
      <c r="Y506" s="20" t="n"/>
      <c r="Z506" s="19" t="inlineStr"/>
      <c r="AA506" s="18">
        <f>IF(OR(V506="Aprobada"),R506,IF(AND(OR(V506="Aprobada con ajuste",V506="Rechazada"),W506&lt;&gt;""),W506,""))</f>
        <v/>
      </c>
    </row>
    <row r="507">
      <c r="A507" s="18" t="inlineStr">
        <is>
          <t>C0506</t>
        </is>
      </c>
      <c r="B507" s="18" t="inlineStr">
        <is>
          <t>Plan de trabajo académico</t>
        </is>
      </c>
      <c r="C507" s="18" t="inlineStr">
        <is>
          <t>academic_work_plan</t>
        </is>
      </c>
      <c r="D507" s="18" t="inlineStr">
        <is>
          <t>programa</t>
        </is>
      </c>
      <c r="E507" s="18" t="n">
        <v>20</v>
      </c>
      <c r="F507" s="18" t="inlineStr">
        <is>
          <t>deleted_by</t>
        </is>
      </c>
      <c r="G507" s="18" t="inlineStr">
        <is>
          <t>bigint</t>
        </is>
      </c>
      <c r="H507" s="18" t="inlineStr">
        <is>
          <t>Sí</t>
        </is>
      </c>
      <c r="I507" s="18" t="inlineStr"/>
      <c r="J507" s="18" t="inlineStr"/>
      <c r="K507" s="18" t="inlineStr"/>
      <c r="L507" s="18" t="inlineStr">
        <is>
          <t>No</t>
        </is>
      </c>
      <c r="M507" s="18" t="inlineStr">
        <is>
          <t>No</t>
        </is>
      </c>
      <c r="N507" s="18" t="inlineStr"/>
      <c r="O507" s="18" t="inlineStr"/>
      <c r="P507" s="18" t="inlineStr">
        <is>
          <t>Mapeada en academic-work-plan-service/src/pta/entities/programa.entity.ts:70 (ProgramaEntity.deletedBy)</t>
        </is>
      </c>
      <c r="Q507" s="18" t="inlineStr">
        <is>
          <t>Propuesta semántica</t>
        </is>
      </c>
      <c r="R507" s="18" t="inlineStr">
        <is>
          <t>Identificador del usuario que eliminó lógicamente el registro.</t>
        </is>
      </c>
      <c r="S507" s="18" t="inlineStr">
        <is>
          <t>Media</t>
        </is>
      </c>
      <c r="T507" s="18" t="inlineStr">
        <is>
          <t>nombre + tipo + columnas vecinas (deleted_at)</t>
        </is>
      </c>
      <c r="U507" s="18" t="inlineStr">
        <is>
          <t>¿deleted_by guarda el id de auth."user" (id_user) o de otra tabla de usuarios?</t>
        </is>
      </c>
      <c r="V507" s="19" t="inlineStr">
        <is>
          <t>Pendiente</t>
        </is>
      </c>
      <c r="W507" s="19" t="inlineStr"/>
      <c r="X507" s="19" t="inlineStr"/>
      <c r="Y507" s="20" t="n"/>
      <c r="Z507" s="19" t="inlineStr"/>
      <c r="AA507" s="18">
        <f>IF(OR(V507="Aprobada"),R507,IF(AND(OR(V507="Aprobada con ajuste",V507="Rechazada"),W507&lt;&gt;""),W507,""))</f>
        <v/>
      </c>
    </row>
    <row r="508">
      <c r="A508" s="18" t="inlineStr">
        <is>
          <t>C0507</t>
        </is>
      </c>
      <c r="B508" s="18" t="inlineStr">
        <is>
          <t>Plan de trabajo académico</t>
        </is>
      </c>
      <c r="C508" s="18" t="inlineStr">
        <is>
          <t>academic_work_plan</t>
        </is>
      </c>
      <c r="D508" s="18" t="inlineStr">
        <is>
          <t>programa</t>
        </is>
      </c>
      <c r="E508" s="18" t="n">
        <v>20</v>
      </c>
      <c r="F508" s="18" t="inlineStr">
        <is>
          <t>categoria_horas_circular003</t>
        </is>
      </c>
      <c r="G508" s="18" t="inlineStr">
        <is>
          <t>character varying(50)</t>
        </is>
      </c>
      <c r="H508" s="18" t="inlineStr">
        <is>
          <t>Sí</t>
        </is>
      </c>
      <c r="I508" s="18" t="inlineStr"/>
      <c r="J508" s="18" t="inlineStr"/>
      <c r="K508" s="18" t="inlineStr"/>
      <c r="L508" s="18" t="inlineStr">
        <is>
          <t>No</t>
        </is>
      </c>
      <c r="M508" s="18" t="inlineStr">
        <is>
          <t>No</t>
        </is>
      </c>
      <c r="N508" s="18" t="inlineStr"/>
      <c r="O508" s="18" t="inlineStr"/>
      <c r="P508" s="18" t="inlineStr">
        <is>
          <t>Mapeada en academic-work-plan-service/src/pta/entities/programa.entity.ts:40 (ProgramaEntity.categoriaHorasCircular003)</t>
        </is>
      </c>
      <c r="Q508" s="18" t="inlineStr">
        <is>
          <t>Propuesta semántica</t>
        </is>
      </c>
      <c r="R508" s="18" t="inlineStr">
        <is>
          <t>Categoría de horas del programa según la Circular 003.</t>
        </is>
      </c>
      <c r="S508" s="18" t="inlineStr">
        <is>
          <t>Media</t>
        </is>
      </c>
      <c r="T508" s="18" t="inlineStr">
        <is>
          <t>nombre + tipo + columnas vecinas</t>
        </is>
      </c>
      <c r="U508" s="18" t="inlineStr">
        <is>
          <t>¿Qué valores toma la categoría de la Circular 003?</t>
        </is>
      </c>
      <c r="V508" s="19" t="inlineStr">
        <is>
          <t>Pendiente</t>
        </is>
      </c>
      <c r="W508" s="19" t="inlineStr"/>
      <c r="X508" s="19" t="inlineStr"/>
      <c r="Y508" s="20" t="n"/>
      <c r="Z508" s="19" t="inlineStr"/>
      <c r="AA508" s="18">
        <f>IF(OR(V508="Aprobada"),R508,IF(AND(OR(V508="Aprobada con ajuste",V508="Rechazada"),W508&lt;&gt;""),W508,""))</f>
        <v/>
      </c>
    </row>
    <row r="509">
      <c r="A509" s="18" t="inlineStr">
        <is>
          <t>C0508</t>
        </is>
      </c>
      <c r="B509" s="18" t="inlineStr">
        <is>
          <t>Plan de trabajo académico</t>
        </is>
      </c>
      <c r="C509" s="18" t="inlineStr">
        <is>
          <t>academic_work_plan</t>
        </is>
      </c>
      <c r="D509" s="18" t="inlineStr">
        <is>
          <t>programa</t>
        </is>
      </c>
      <c r="E509" s="18" t="n">
        <v>20</v>
      </c>
      <c r="F509" s="18" t="inlineStr">
        <is>
          <t>descripcion_categoria_circular003</t>
        </is>
      </c>
      <c r="G509" s="18" t="inlineStr">
        <is>
          <t>text</t>
        </is>
      </c>
      <c r="H509" s="18" t="inlineStr">
        <is>
          <t>Sí</t>
        </is>
      </c>
      <c r="I509" s="18" t="inlineStr"/>
      <c r="J509" s="18" t="inlineStr"/>
      <c r="K509" s="18" t="inlineStr"/>
      <c r="L509" s="18" t="inlineStr">
        <is>
          <t>No</t>
        </is>
      </c>
      <c r="M509" s="18" t="inlineStr">
        <is>
          <t>No</t>
        </is>
      </c>
      <c r="N509" s="18" t="inlineStr"/>
      <c r="O509" s="18" t="inlineStr"/>
      <c r="P509" s="18" t="inlineStr">
        <is>
          <t>Mapeada en academic-work-plan-service/src/pta/entities/programa.entity.ts:43 (ProgramaEntity.descripcionCategoriaCircular003)</t>
        </is>
      </c>
      <c r="Q509" s="18" t="inlineStr">
        <is>
          <t>Propuesta semántica</t>
        </is>
      </c>
      <c r="R509" s="18" t="inlineStr">
        <is>
          <t>Descripción de la categoría de horas del programa según la Circular 003.</t>
        </is>
      </c>
      <c r="S509" s="18" t="inlineStr">
        <is>
          <t>Media</t>
        </is>
      </c>
      <c r="T509" s="18" t="inlineStr">
        <is>
          <t>nombre + tipo + columnas vecinas (categoria_horas_circular003)</t>
        </is>
      </c>
      <c r="U509" s="18" t="inlineStr">
        <is>
          <t>¿El texto se copia de la Circular 003 o lo redacta el equipo?</t>
        </is>
      </c>
      <c r="V509" s="19" t="inlineStr">
        <is>
          <t>Pendiente</t>
        </is>
      </c>
      <c r="W509" s="19" t="inlineStr"/>
      <c r="X509" s="19" t="inlineStr"/>
      <c r="Y509" s="20" t="n"/>
      <c r="Z509" s="19" t="inlineStr"/>
      <c r="AA509" s="18">
        <f>IF(OR(V509="Aprobada"),R509,IF(AND(OR(V509="Aprobada con ajuste",V509="Rechazada"),W509&lt;&gt;""),W509,""))</f>
        <v/>
      </c>
    </row>
    <row r="510">
      <c r="A510" s="18" t="inlineStr">
        <is>
          <t>C0509</t>
        </is>
      </c>
      <c r="B510" s="18" t="inlineStr">
        <is>
          <t>Plan de trabajo académico</t>
        </is>
      </c>
      <c r="C510" s="18" t="inlineStr">
        <is>
          <t>academic_work_plan</t>
        </is>
      </c>
      <c r="D510" s="18" t="inlineStr">
        <is>
          <t>programa</t>
        </is>
      </c>
      <c r="E510" s="18" t="n">
        <v>20</v>
      </c>
      <c r="F510" s="18" t="inlineStr">
        <is>
          <t>horas_pta_referencia_circular003</t>
        </is>
      </c>
      <c r="G510" s="18" t="inlineStr">
        <is>
          <t>character varying(150)</t>
        </is>
      </c>
      <c r="H510" s="18" t="inlineStr">
        <is>
          <t>Sí</t>
        </is>
      </c>
      <c r="I510" s="18" t="inlineStr"/>
      <c r="J510" s="18" t="inlineStr"/>
      <c r="K510" s="18" t="inlineStr"/>
      <c r="L510" s="18" t="inlineStr">
        <is>
          <t>No</t>
        </is>
      </c>
      <c r="M510" s="18" t="inlineStr">
        <is>
          <t>No</t>
        </is>
      </c>
      <c r="N510" s="18" t="inlineStr"/>
      <c r="O510" s="18" t="inlineStr"/>
      <c r="P510" s="18" t="inlineStr">
        <is>
          <t>Mapeada en academic-work-plan-service/src/pta/entities/programa.entity.ts:46 (ProgramaEntity.horasPtaReferenciaCircular003)</t>
        </is>
      </c>
      <c r="Q510" s="18" t="inlineStr">
        <is>
          <t>Propuesta semántica</t>
        </is>
      </c>
      <c r="R510" s="18" t="inlineStr">
        <is>
          <t>Horas de referencia del plan de trabajo académico para el programa según la Circular 003, en texto.</t>
        </is>
      </c>
      <c r="S510" s="18" t="inlineStr">
        <is>
          <t>Media</t>
        </is>
      </c>
      <c r="T510" s="18" t="inlineStr">
        <is>
          <t>nombre + tipo + columnas vecinas</t>
        </is>
      </c>
      <c r="U510" s="18" t="inlineStr">
        <is>
          <t>¿Por qué el valor se guarda como texto y qué formato tiene?</t>
        </is>
      </c>
      <c r="V510" s="19" t="inlineStr">
        <is>
          <t>Pendiente</t>
        </is>
      </c>
      <c r="W510" s="19" t="inlineStr"/>
      <c r="X510" s="19" t="inlineStr"/>
      <c r="Y510" s="20" t="n"/>
      <c r="Z510" s="19" t="inlineStr"/>
      <c r="AA510" s="18">
        <f>IF(OR(V510="Aprobada"),R510,IF(AND(OR(V510="Aprobada con ajuste",V510="Rechazada"),W510&lt;&gt;""),W510,""))</f>
        <v/>
      </c>
    </row>
    <row r="511">
      <c r="A511" s="18" t="inlineStr">
        <is>
          <t>C0510</t>
        </is>
      </c>
      <c r="B511" s="18" t="inlineStr">
        <is>
          <t>Plan de trabajo académico</t>
        </is>
      </c>
      <c r="C511" s="18" t="inlineStr">
        <is>
          <t>academic_work_plan</t>
        </is>
      </c>
      <c r="D511" s="18" t="inlineStr">
        <is>
          <t>programa</t>
        </is>
      </c>
      <c r="E511" s="18" t="n">
        <v>20</v>
      </c>
      <c r="F511" s="18" t="inlineStr">
        <is>
          <t>formula_calculo_horas</t>
        </is>
      </c>
      <c r="G511" s="18" t="inlineStr">
        <is>
          <t>text</t>
        </is>
      </c>
      <c r="H511" s="18" t="inlineStr">
        <is>
          <t>Sí</t>
        </is>
      </c>
      <c r="I511" s="18" t="inlineStr"/>
      <c r="J511" s="18" t="inlineStr"/>
      <c r="K511" s="18" t="inlineStr"/>
      <c r="L511" s="18" t="inlineStr">
        <is>
          <t>No</t>
        </is>
      </c>
      <c r="M511" s="18" t="inlineStr">
        <is>
          <t>No</t>
        </is>
      </c>
      <c r="N511" s="18" t="inlineStr"/>
      <c r="O511" s="18" t="inlineStr"/>
      <c r="P511" s="18" t="inlineStr">
        <is>
          <t>Mapeada en academic-work-plan-service/src/pta/entities/programa.entity.ts:49 (ProgramaEntity.formulaCalculoHoras)</t>
        </is>
      </c>
      <c r="Q511" s="18" t="inlineStr">
        <is>
          <t>Propuesta semántica</t>
        </is>
      </c>
      <c r="R511" s="18" t="inlineStr">
        <is>
          <t>Fórmula de cálculo de las horas del programa, en texto.</t>
        </is>
      </c>
      <c r="S511" s="18" t="inlineStr">
        <is>
          <t>Baja</t>
        </is>
      </c>
      <c r="T511" s="18" t="inlineStr">
        <is>
          <t>nombre + tipo + columnas vecinas</t>
        </is>
      </c>
      <c r="U511" s="18" t="inlineStr">
        <is>
          <t>¿La fórmula es descriptiva o la interpreta el sistema para calcular horas?</t>
        </is>
      </c>
      <c r="V511" s="19" t="inlineStr">
        <is>
          <t>Pendiente</t>
        </is>
      </c>
      <c r="W511" s="19" t="inlineStr"/>
      <c r="X511" s="19" t="inlineStr"/>
      <c r="Y511" s="20" t="n"/>
      <c r="Z511" s="19" t="inlineStr"/>
      <c r="AA511" s="18">
        <f>IF(OR(V511="Aprobada"),R511,IF(AND(OR(V511="Aprobada con ajuste",V511="Rechazada"),W511&lt;&gt;""),W511,""))</f>
        <v/>
      </c>
    </row>
    <row r="512">
      <c r="A512" s="18" t="inlineStr">
        <is>
          <t>C0511</t>
        </is>
      </c>
      <c r="B512" s="18" t="inlineStr">
        <is>
          <t>Plan de trabajo académico</t>
        </is>
      </c>
      <c r="C512" s="18" t="inlineStr">
        <is>
          <t>academic_work_plan</t>
        </is>
      </c>
      <c r="D512" s="18" t="inlineStr">
        <is>
          <t>PtaComponentApproval</t>
        </is>
      </c>
      <c r="E512" s="18" t="n">
        <v>99</v>
      </c>
      <c r="F512" s="18" t="inlineStr">
        <is>
          <t>componente</t>
        </is>
      </c>
      <c r="G512" s="18" t="inlineStr">
        <is>
          <t>character varying(100)</t>
        </is>
      </c>
      <c r="H512" s="18" t="inlineStr">
        <is>
          <t>No</t>
        </is>
      </c>
      <c r="I512" s="18" t="inlineStr"/>
      <c r="J512" s="18" t="inlineStr"/>
      <c r="K512" s="18" t="inlineStr"/>
      <c r="L512" s="18" t="inlineStr">
        <is>
          <t>No</t>
        </is>
      </c>
      <c r="M512" s="18" t="inlineStr">
        <is>
          <t>No</t>
        </is>
      </c>
      <c r="N512" s="18" t="inlineStr"/>
      <c r="O512" s="18" t="inlineStr">
        <is>
          <t>uq_pta_componente</t>
        </is>
      </c>
      <c r="P512" s="18" t="inlineStr">
        <is>
          <t>db/migrations/327_create_pta_component_approvals.sql:5: 'academica', 'investigacion', 'ext_capacitacion', 'ext_procesos', 'ext_fortalecimiento', 'ext_gobierno', 'ext_secciones', 'complementarias', 'academicas_admin'</t>
        </is>
      </c>
      <c r="Q512" s="18" t="inlineStr">
        <is>
          <t>Código fuente</t>
        </is>
      </c>
      <c r="R512" s="18" t="inlineStr">
        <is>
          <t>Componente del PTA que se aprueba. Valores previstos: academica, investigacion, ext_capacitacion, ext_procesos, ext_fortalecimiento, ext_gobierno, ext_secciones, complementarias, academicas_admin.</t>
        </is>
      </c>
      <c r="S512" s="18" t="inlineStr">
        <is>
          <t>Alta</t>
        </is>
      </c>
      <c r="T512" s="18" t="inlineStr">
        <is>
          <t>código: db/migrations/327_create_pta_component_approvals.sql:5</t>
        </is>
      </c>
      <c r="U512" s="18" t="inlineStr"/>
      <c r="V512" s="19" t="inlineStr">
        <is>
          <t>Pendiente</t>
        </is>
      </c>
      <c r="W512" s="19" t="inlineStr"/>
      <c r="X512" s="19" t="inlineStr"/>
      <c r="Y512" s="20" t="n"/>
      <c r="Z512" s="19" t="inlineStr"/>
      <c r="AA512" s="18">
        <f>IF(OR(V512="Aprobada"),R512,IF(AND(OR(V512="Aprobada con ajuste",V512="Rechazada"),W512&lt;&gt;""),W512,""))</f>
        <v/>
      </c>
    </row>
    <row r="513">
      <c r="A513" s="18" t="inlineStr">
        <is>
          <t>C0512</t>
        </is>
      </c>
      <c r="B513" s="18" t="inlineStr">
        <is>
          <t>Plan de trabajo académico</t>
        </is>
      </c>
      <c r="C513" s="18" t="inlineStr">
        <is>
          <t>academic_work_plan</t>
        </is>
      </c>
      <c r="D513" s="18" t="inlineStr">
        <is>
          <t>PtaComponentApproval</t>
        </is>
      </c>
      <c r="E513" s="18" t="n">
        <v>99</v>
      </c>
      <c r="F513" s="18" t="inlineStr">
        <is>
          <t>estado</t>
        </is>
      </c>
      <c r="G513" s="18" t="inlineStr">
        <is>
          <t>character varying(50)</t>
        </is>
      </c>
      <c r="H513" s="18" t="inlineStr">
        <is>
          <t>No</t>
        </is>
      </c>
      <c r="I513" s="18" t="inlineStr"/>
      <c r="J513" s="18" t="inlineStr"/>
      <c r="K513" s="18" t="inlineStr"/>
      <c r="L513" s="18" t="inlineStr">
        <is>
          <t>No</t>
        </is>
      </c>
      <c r="M513" s="18" t="inlineStr">
        <is>
          <t>No</t>
        </is>
      </c>
      <c r="N513" s="18" t="inlineStr"/>
      <c r="O513" s="18" t="inlineStr"/>
      <c r="P513" s="18" t="inlineStr">
        <is>
          <t>db/migrations/327_create_pta_component_approvals.sql:6: 'pendiente', 'aprobado', 'devuelto'</t>
        </is>
      </c>
      <c r="Q513" s="18" t="inlineStr">
        <is>
          <t>Código fuente</t>
        </is>
      </c>
      <c r="R513" s="18" t="inlineStr">
        <is>
          <t>Estado de aprobación del componente. Valores previstos: pendiente, aprobado, devuelto; por defecto pendiente.</t>
        </is>
      </c>
      <c r="S513" s="18" t="inlineStr">
        <is>
          <t>Alta</t>
        </is>
      </c>
      <c r="T513" s="18" t="inlineStr">
        <is>
          <t>código: db/migrations/327_create_pta_component_approvals.sql:6</t>
        </is>
      </c>
      <c r="U513" s="18" t="inlineStr"/>
      <c r="V513" s="19" t="inlineStr">
        <is>
          <t>Pendiente</t>
        </is>
      </c>
      <c r="W513" s="19" t="inlineStr"/>
      <c r="X513" s="19" t="inlineStr"/>
      <c r="Y513" s="20" t="n"/>
      <c r="Z513" s="19" t="inlineStr"/>
      <c r="AA513" s="18">
        <f>IF(OR(V513="Aprobada"),R513,IF(AND(OR(V513="Aprobada con ajuste",V513="Rechazada"),W513&lt;&gt;""),W513,""))</f>
        <v/>
      </c>
    </row>
    <row r="514">
      <c r="A514" s="18" t="inlineStr">
        <is>
          <t>C0513</t>
        </is>
      </c>
      <c r="B514" s="18" t="inlineStr">
        <is>
          <t>Plan de trabajo académico</t>
        </is>
      </c>
      <c r="C514" s="18" t="inlineStr">
        <is>
          <t>academic_work_plan</t>
        </is>
      </c>
      <c r="D514" s="18" t="inlineStr">
        <is>
          <t>PtaComponentApproval</t>
        </is>
      </c>
      <c r="E514" s="18" t="n">
        <v>99</v>
      </c>
      <c r="F514" s="18" t="inlineStr">
        <is>
          <t>aprobador_id</t>
        </is>
      </c>
      <c r="G514" s="18" t="inlineStr">
        <is>
          <t>character varying(100)</t>
        </is>
      </c>
      <c r="H514" s="18" t="inlineStr">
        <is>
          <t>Sí</t>
        </is>
      </c>
      <c r="I514" s="18" t="inlineStr"/>
      <c r="J514" s="18" t="inlineStr"/>
      <c r="K514" s="18" t="inlineStr"/>
      <c r="L514" s="18" t="inlineStr">
        <is>
          <t>No</t>
        </is>
      </c>
      <c r="M514" s="18" t="inlineStr">
        <is>
          <t>No</t>
        </is>
      </c>
      <c r="N514" s="18" t="inlineStr"/>
      <c r="O514" s="18" t="inlineStr"/>
      <c r="P514" s="18" t="inlineStr">
        <is>
          <t>Mapeada en academic-work-plan-service/src/pta/entities/pta-component-approval.entity.ts:28 (PtaComponentApprovalEntity.aprobadorId)</t>
        </is>
      </c>
      <c r="Q514" s="18" t="inlineStr">
        <is>
          <t>Propuesta semántica</t>
        </is>
      </c>
      <c r="R514" s="18" t="inlineStr">
        <is>
          <t>Identificador del usuario que aprueba el componente del plan.</t>
        </is>
      </c>
      <c r="S514" s="18" t="inlineStr">
        <is>
          <t>Media</t>
        </is>
      </c>
      <c r="T514" s="18" t="inlineStr">
        <is>
          <t>nombre + tipo + columnas vecinas</t>
        </is>
      </c>
      <c r="U514" s="18" t="inlineStr">
        <is>
          <t>¿A qué tabla de usuarios corresponde aprobador_id?</t>
        </is>
      </c>
      <c r="V514" s="19" t="inlineStr">
        <is>
          <t>Pendiente</t>
        </is>
      </c>
      <c r="W514" s="19" t="inlineStr"/>
      <c r="X514" s="19" t="inlineStr"/>
      <c r="Y514" s="20" t="n"/>
      <c r="Z514" s="19" t="inlineStr"/>
      <c r="AA514" s="18">
        <f>IF(OR(V514="Aprobada"),R514,IF(AND(OR(V514="Aprobada con ajuste",V514="Rechazada"),W514&lt;&gt;""),W514,""))</f>
        <v/>
      </c>
    </row>
    <row r="515">
      <c r="A515" s="18" t="inlineStr">
        <is>
          <t>C0514</t>
        </is>
      </c>
      <c r="B515" s="18" t="inlineStr">
        <is>
          <t>Plan de trabajo académico</t>
        </is>
      </c>
      <c r="C515" s="18" t="inlineStr">
        <is>
          <t>academic_work_plan</t>
        </is>
      </c>
      <c r="D515" s="18" t="inlineStr">
        <is>
          <t>PtaComponentApproval</t>
        </is>
      </c>
      <c r="E515" s="18" t="n">
        <v>99</v>
      </c>
      <c r="F515" s="18" t="inlineStr">
        <is>
          <t>aprobador_nombre</t>
        </is>
      </c>
      <c r="G515" s="18" t="inlineStr">
        <is>
          <t>character varying(200)</t>
        </is>
      </c>
      <c r="H515" s="18" t="inlineStr">
        <is>
          <t>Sí</t>
        </is>
      </c>
      <c r="I515" s="18" t="inlineStr"/>
      <c r="J515" s="18" t="inlineStr"/>
      <c r="K515" s="18" t="inlineStr"/>
      <c r="L515" s="18" t="inlineStr">
        <is>
          <t>No</t>
        </is>
      </c>
      <c r="M515" s="18" t="inlineStr">
        <is>
          <t>No</t>
        </is>
      </c>
      <c r="N515" s="18" t="inlineStr"/>
      <c r="O515" s="18" t="inlineStr"/>
      <c r="P515" s="18" t="inlineStr">
        <is>
          <t>Mapeada en academic-work-plan-service/src/pta/entities/pta-component-approval.entity.ts:31 (PtaComponentApprovalEntity.aprobadorNombre)</t>
        </is>
      </c>
      <c r="Q515" s="18" t="inlineStr">
        <is>
          <t>Propuesta semántica</t>
        </is>
      </c>
      <c r="R515" s="18" t="inlineStr">
        <is>
          <t>Nombre del usuario que aprueba el componente del plan.</t>
        </is>
      </c>
      <c r="S515" s="18" t="inlineStr">
        <is>
          <t>Alta</t>
        </is>
      </c>
      <c r="T515" s="18" t="inlineStr">
        <is>
          <t>nombre + tipo + columnas vecinas</t>
        </is>
      </c>
      <c r="U515" s="18" t="inlineStr"/>
      <c r="V515" s="19" t="inlineStr">
        <is>
          <t>Pendiente</t>
        </is>
      </c>
      <c r="W515" s="19" t="inlineStr"/>
      <c r="X515" s="19" t="inlineStr"/>
      <c r="Y515" s="20" t="n"/>
      <c r="Z515" s="19" t="inlineStr"/>
      <c r="AA515" s="18">
        <f>IF(OR(V515="Aprobada"),R515,IF(AND(OR(V515="Aprobada con ajuste",V515="Rechazada"),W515&lt;&gt;""),W515,""))</f>
        <v/>
      </c>
    </row>
    <row r="516">
      <c r="A516" s="18" t="inlineStr">
        <is>
          <t>C0515</t>
        </is>
      </c>
      <c r="B516" s="18" t="inlineStr">
        <is>
          <t>Plan de trabajo académico</t>
        </is>
      </c>
      <c r="C516" s="18" t="inlineStr">
        <is>
          <t>academic_work_plan</t>
        </is>
      </c>
      <c r="D516" s="18" t="inlineStr">
        <is>
          <t>PtaComponentApproval</t>
        </is>
      </c>
      <c r="E516" s="18" t="n">
        <v>99</v>
      </c>
      <c r="F516" s="18" t="inlineStr">
        <is>
          <t>aprobador_rol</t>
        </is>
      </c>
      <c r="G516" s="18" t="inlineStr">
        <is>
          <t>character varying(100)</t>
        </is>
      </c>
      <c r="H516" s="18" t="inlineStr">
        <is>
          <t>Sí</t>
        </is>
      </c>
      <c r="I516" s="18" t="inlineStr"/>
      <c r="J516" s="18" t="inlineStr"/>
      <c r="K516" s="18" t="inlineStr"/>
      <c r="L516" s="18" t="inlineStr">
        <is>
          <t>No</t>
        </is>
      </c>
      <c r="M516" s="18" t="inlineStr">
        <is>
          <t>No</t>
        </is>
      </c>
      <c r="N516" s="18" t="inlineStr"/>
      <c r="O516" s="18" t="inlineStr"/>
      <c r="P516" s="18" t="inlineStr">
        <is>
          <t>Mapeada en academic-work-plan-service/src/pta/entities/pta-component-approval.entity.ts:34 (PtaComponentApprovalEntity.aprobadorRol)</t>
        </is>
      </c>
      <c r="Q516" s="18" t="inlineStr">
        <is>
          <t>Propuesta semántica</t>
        </is>
      </c>
      <c r="R516" s="18" t="inlineStr">
        <is>
          <t>Rol del usuario que aprueba el componente del plan.</t>
        </is>
      </c>
      <c r="S516" s="18" t="inlineStr">
        <is>
          <t>Alta</t>
        </is>
      </c>
      <c r="T516" s="18" t="inlineStr">
        <is>
          <t>nombre + tipo + columnas vecinas</t>
        </is>
      </c>
      <c r="U516" s="18" t="inlineStr"/>
      <c r="V516" s="19" t="inlineStr">
        <is>
          <t>Pendiente</t>
        </is>
      </c>
      <c r="W516" s="19" t="inlineStr"/>
      <c r="X516" s="19" t="inlineStr"/>
      <c r="Y516" s="20" t="n"/>
      <c r="Z516" s="19" t="inlineStr"/>
      <c r="AA516" s="18">
        <f>IF(OR(V516="Aprobada"),R516,IF(AND(OR(V516="Aprobada con ajuste",V516="Rechazada"),W516&lt;&gt;""),W516,""))</f>
        <v/>
      </c>
    </row>
    <row r="517">
      <c r="A517" s="18" t="inlineStr">
        <is>
          <t>C0516</t>
        </is>
      </c>
      <c r="B517" s="18" t="inlineStr">
        <is>
          <t>Plan de trabajo académico</t>
        </is>
      </c>
      <c r="C517" s="18" t="inlineStr">
        <is>
          <t>academic_work_plan</t>
        </is>
      </c>
      <c r="D517" s="18" t="inlineStr">
        <is>
          <t>PtaComponentApproval</t>
        </is>
      </c>
      <c r="E517" s="18" t="n">
        <v>99</v>
      </c>
      <c r="F517" s="18" t="inlineStr">
        <is>
          <t>comentarios</t>
        </is>
      </c>
      <c r="G517" s="18" t="inlineStr">
        <is>
          <t>text</t>
        </is>
      </c>
      <c r="H517" s="18" t="inlineStr">
        <is>
          <t>Sí</t>
        </is>
      </c>
      <c r="I517" s="18" t="inlineStr"/>
      <c r="J517" s="18" t="inlineStr"/>
      <c r="K517" s="18" t="inlineStr"/>
      <c r="L517" s="18" t="inlineStr">
        <is>
          <t>No</t>
        </is>
      </c>
      <c r="M517" s="18" t="inlineStr">
        <is>
          <t>No</t>
        </is>
      </c>
      <c r="N517" s="18" t="inlineStr"/>
      <c r="O517" s="18" t="inlineStr"/>
      <c r="P517" s="18" t="inlineStr">
        <is>
          <t>Mapeada en academic-work-plan-service/src/pta/entities/pta-component-approval.entity.ts:37 (PtaComponentApprovalEntity.comentarios)</t>
        </is>
      </c>
      <c r="Q517" s="18" t="inlineStr">
        <is>
          <t>Propuesta semántica</t>
        </is>
      </c>
      <c r="R517" s="18" t="inlineStr">
        <is>
          <t>Comentarios del aprobador sobre el componente.</t>
        </is>
      </c>
      <c r="S517" s="18" t="inlineStr">
        <is>
          <t>Alta</t>
        </is>
      </c>
      <c r="T517" s="18" t="inlineStr">
        <is>
          <t>nombre + tipo + columnas vecinas</t>
        </is>
      </c>
      <c r="U517" s="18" t="inlineStr"/>
      <c r="V517" s="19" t="inlineStr">
        <is>
          <t>Pendiente</t>
        </is>
      </c>
      <c r="W517" s="19" t="inlineStr"/>
      <c r="X517" s="19" t="inlineStr"/>
      <c r="Y517" s="20" t="n"/>
      <c r="Z517" s="19" t="inlineStr"/>
      <c r="AA517" s="18">
        <f>IF(OR(V517="Aprobada"),R517,IF(AND(OR(V517="Aprobada con ajuste",V517="Rechazada"),W517&lt;&gt;""),W517,""))</f>
        <v/>
      </c>
    </row>
    <row r="518">
      <c r="A518" s="18" t="inlineStr">
        <is>
          <t>C0517</t>
        </is>
      </c>
      <c r="B518" s="18" t="inlineStr">
        <is>
          <t>Plan de trabajo académico</t>
        </is>
      </c>
      <c r="C518" s="18" t="inlineStr">
        <is>
          <t>academic_work_plan</t>
        </is>
      </c>
      <c r="D518" s="18" t="inlineStr">
        <is>
          <t>PtaComponentApproval</t>
        </is>
      </c>
      <c r="E518" s="18" t="n">
        <v>99</v>
      </c>
      <c r="F518" s="18" t="inlineStr">
        <is>
          <t>fecha_aprobacion</t>
        </is>
      </c>
      <c r="G518" s="18" t="inlineStr">
        <is>
          <t>timestamp without time zone</t>
        </is>
      </c>
      <c r="H518" s="18" t="inlineStr">
        <is>
          <t>Sí</t>
        </is>
      </c>
      <c r="I518" s="18" t="inlineStr"/>
      <c r="J518" s="18" t="inlineStr"/>
      <c r="K518" s="18" t="inlineStr"/>
      <c r="L518" s="18" t="inlineStr">
        <is>
          <t>No</t>
        </is>
      </c>
      <c r="M518" s="18" t="inlineStr">
        <is>
          <t>No</t>
        </is>
      </c>
      <c r="N518" s="18" t="inlineStr"/>
      <c r="O518" s="18" t="inlineStr"/>
      <c r="P518" s="18" t="inlineStr">
        <is>
          <t>Mapeada en academic-work-plan-service/src/pta/entities/pta-component-approval.entity.ts:46 (PtaComponentApprovalEntity.fechaAprobacion)</t>
        </is>
      </c>
      <c r="Q518" s="18" t="inlineStr">
        <is>
          <t>Regla estructural</t>
        </is>
      </c>
      <c r="R518" s="18" t="inlineStr">
        <is>
          <t>Fecha de aprobación.</t>
        </is>
      </c>
      <c r="S518" s="18" t="inlineStr">
        <is>
          <t>Media</t>
        </is>
      </c>
      <c r="T518" s="18" t="inlineStr">
        <is>
          <t>Convención de nombre de la columna.</t>
        </is>
      </c>
      <c r="U518" s="18" t="inlineStr"/>
      <c r="V518" s="19" t="inlineStr">
        <is>
          <t>Pendiente</t>
        </is>
      </c>
      <c r="W518" s="19" t="inlineStr"/>
      <c r="X518" s="19" t="inlineStr"/>
      <c r="Y518" s="20" t="n"/>
      <c r="Z518" s="19" t="inlineStr"/>
      <c r="AA518" s="18">
        <f>IF(OR(V518="Aprobada"),R518,IF(AND(OR(V518="Aprobada con ajuste",V518="Rechazada"),W518&lt;&gt;""),W518,""))</f>
        <v/>
      </c>
    </row>
    <row r="519">
      <c r="A519" s="18" t="inlineStr">
        <is>
          <t>C0518</t>
        </is>
      </c>
      <c r="B519" s="18" t="inlineStr">
        <is>
          <t>Plan de trabajo académico</t>
        </is>
      </c>
      <c r="C519" s="18" t="inlineStr">
        <is>
          <t>academic_work_plan</t>
        </is>
      </c>
      <c r="D519" s="18" t="inlineStr">
        <is>
          <t>PtaComponentApproval</t>
        </is>
      </c>
      <c r="E519" s="18" t="n">
        <v>99</v>
      </c>
      <c r="F519" s="18" t="inlineStr">
        <is>
          <t>scope</t>
        </is>
      </c>
      <c r="G519" s="18" t="inlineStr">
        <is>
          <t>character varying(50)</t>
        </is>
      </c>
      <c r="H519" s="18" t="inlineStr">
        <is>
          <t>Sí</t>
        </is>
      </c>
      <c r="I519" s="18" t="inlineStr"/>
      <c r="J519" s="18" t="inlineStr"/>
      <c r="K519" s="18" t="inlineStr"/>
      <c r="L519" s="18" t="inlineStr">
        <is>
          <t>No</t>
        </is>
      </c>
      <c r="M519" s="18" t="inlineStr">
        <is>
          <t>No</t>
        </is>
      </c>
      <c r="N519" s="18" t="inlineStr"/>
      <c r="O519" s="18" t="inlineStr"/>
      <c r="P519" s="18" t="inlineStr">
        <is>
          <t>db/migrations/327_create_pta_component_approvals.sql:12: 'cetap', 'territorial', 'nacional'</t>
        </is>
      </c>
      <c r="Q519" s="18" t="inlineStr">
        <is>
          <t>Código fuente</t>
        </is>
      </c>
      <c r="R519" s="18" t="inlineStr">
        <is>
          <t>Ámbito de la aprobación del componente. Valores previstos: cetap, territorial, nacional.</t>
        </is>
      </c>
      <c r="S519" s="18" t="inlineStr">
        <is>
          <t>Alta</t>
        </is>
      </c>
      <c r="T519" s="18" t="inlineStr">
        <is>
          <t>código: db/migrations/327_create_pta_component_approvals.sql:12</t>
        </is>
      </c>
      <c r="U519" s="18" t="inlineStr"/>
      <c r="V519" s="19" t="inlineStr">
        <is>
          <t>Pendiente</t>
        </is>
      </c>
      <c r="W519" s="19" t="inlineStr"/>
      <c r="X519" s="19" t="inlineStr"/>
      <c r="Y519" s="20" t="n"/>
      <c r="Z519" s="19" t="inlineStr"/>
      <c r="AA519" s="18">
        <f>IF(OR(V519="Aprobada"),R519,IF(AND(OR(V519="Aprobada con ajuste",V519="Rechazada"),W519&lt;&gt;""),W519,""))</f>
        <v/>
      </c>
    </row>
    <row r="520">
      <c r="A520" s="18" t="inlineStr">
        <is>
          <t>C0519</t>
        </is>
      </c>
      <c r="B520" s="18" t="inlineStr">
        <is>
          <t>Plan de trabajo académico</t>
        </is>
      </c>
      <c r="C520" s="18" t="inlineStr">
        <is>
          <t>academic_work_plan</t>
        </is>
      </c>
      <c r="D520" s="18" t="inlineStr">
        <is>
          <t>PtaComponentApproval</t>
        </is>
      </c>
      <c r="E520" s="18" t="n">
        <v>99</v>
      </c>
      <c r="F520" s="18" t="inlineStr">
        <is>
          <t>scope_id</t>
        </is>
      </c>
      <c r="G520" s="18" t="inlineStr">
        <is>
          <t>character varying(100)</t>
        </is>
      </c>
      <c r="H520" s="18" t="inlineStr">
        <is>
          <t>Sí</t>
        </is>
      </c>
      <c r="I520" s="18" t="inlineStr"/>
      <c r="J520" s="18" t="inlineStr"/>
      <c r="K520" s="18" t="inlineStr"/>
      <c r="L520" s="18" t="inlineStr">
        <is>
          <t>No</t>
        </is>
      </c>
      <c r="M520" s="18" t="inlineStr">
        <is>
          <t>No</t>
        </is>
      </c>
      <c r="N520" s="18" t="inlineStr"/>
      <c r="O520" s="18" t="inlineStr"/>
      <c r="P520" s="18" t="inlineStr">
        <is>
          <t>Mapeada en academic-work-plan-service/src/pta/entities/pta-component-approval.entity.ts:52 (PtaComponentApprovalEntity.scopeId)</t>
        </is>
      </c>
      <c r="Q520" s="18" t="inlineStr">
        <is>
          <t>Propuesta semántica</t>
        </is>
      </c>
      <c r="R520" s="18" t="inlineStr">
        <is>
          <t>Identificador del ámbito al que aplica la aprobación, según scope.</t>
        </is>
      </c>
      <c r="S520" s="18" t="inlineStr">
        <is>
          <t>Baja</t>
        </is>
      </c>
      <c r="T520" s="18" t="inlineStr">
        <is>
          <t>nombre + tipo + columnas vecinas (scope)</t>
        </is>
      </c>
      <c r="U520" s="18" t="inlineStr">
        <is>
          <t>¿Qué valores toma scope y a qué entidad apunta scope_id en cada caso?</t>
        </is>
      </c>
      <c r="V520" s="19" t="inlineStr">
        <is>
          <t>Pendiente</t>
        </is>
      </c>
      <c r="W520" s="19" t="inlineStr"/>
      <c r="X520" s="19" t="inlineStr"/>
      <c r="Y520" s="20" t="n"/>
      <c r="Z520" s="19" t="inlineStr"/>
      <c r="AA520" s="18">
        <f>IF(OR(V520="Aprobada"),R520,IF(AND(OR(V520="Aprobada con ajuste",V520="Rechazada"),W520&lt;&gt;""),W520,""))</f>
        <v/>
      </c>
    </row>
    <row r="521">
      <c r="A521" s="18" t="inlineStr">
        <is>
          <t>C0520</t>
        </is>
      </c>
      <c r="B521" s="18" t="inlineStr">
        <is>
          <t>Plan de trabajo académico</t>
        </is>
      </c>
      <c r="C521" s="18" t="inlineStr">
        <is>
          <t>academic_work_plan</t>
        </is>
      </c>
      <c r="D521" s="18" t="inlineStr">
        <is>
          <t>PtaComponentReview</t>
        </is>
      </c>
      <c r="E521" s="18" t="n">
        <v>23</v>
      </c>
      <c r="F521" s="18" t="inlineStr">
        <is>
          <t>componente</t>
        </is>
      </c>
      <c r="G521" s="18" t="inlineStr">
        <is>
          <t>character varying(100)</t>
        </is>
      </c>
      <c r="H521" s="18" t="inlineStr">
        <is>
          <t>No</t>
        </is>
      </c>
      <c r="I521" s="18" t="inlineStr"/>
      <c r="J521" s="18" t="inlineStr"/>
      <c r="K521" s="18" t="inlineStr"/>
      <c r="L521" s="18" t="inlineStr">
        <is>
          <t>No</t>
        </is>
      </c>
      <c r="M521" s="18" t="inlineStr">
        <is>
          <t>No</t>
        </is>
      </c>
      <c r="N521" s="18" t="inlineStr"/>
      <c r="O521" s="18" t="inlineStr">
        <is>
          <t>uq_pta_componente_subseccion</t>
        </is>
      </c>
      <c r="P521" s="18" t="inlineStr">
        <is>
          <t>db/migrations/387_create_pta_component_reviews.sql:13: mismas claves que PtaComponentApproval.componente</t>
        </is>
      </c>
      <c r="Q521" s="18" t="inlineStr">
        <is>
          <t>Código fuente</t>
        </is>
      </c>
      <c r="R521" s="18" t="inlineStr">
        <is>
          <t>Componente del PTA revisado; usa las mismas claves que PtaComponentApproval.componente.</t>
        </is>
      </c>
      <c r="S521" s="18" t="inlineStr">
        <is>
          <t>Alta</t>
        </is>
      </c>
      <c r="T521" s="18" t="inlineStr">
        <is>
          <t>código: db/migrations/387_create_pta_component_reviews.sql:13</t>
        </is>
      </c>
      <c r="U521" s="18" t="inlineStr"/>
      <c r="V521" s="19" t="inlineStr">
        <is>
          <t>Pendiente</t>
        </is>
      </c>
      <c r="W521" s="19" t="inlineStr"/>
      <c r="X521" s="19" t="inlineStr"/>
      <c r="Y521" s="20" t="n"/>
      <c r="Z521" s="19" t="inlineStr"/>
      <c r="AA521" s="18">
        <f>IF(OR(V521="Aprobada"),R521,IF(AND(OR(V521="Aprobada con ajuste",V521="Rechazada"),W521&lt;&gt;""),W521,""))</f>
        <v/>
      </c>
    </row>
    <row r="522">
      <c r="A522" s="18" t="inlineStr">
        <is>
          <t>C0521</t>
        </is>
      </c>
      <c r="B522" s="18" t="inlineStr">
        <is>
          <t>Plan de trabajo académico</t>
        </is>
      </c>
      <c r="C522" s="18" t="inlineStr">
        <is>
          <t>academic_work_plan</t>
        </is>
      </c>
      <c r="D522" s="18" t="inlineStr">
        <is>
          <t>PtaComponentReview</t>
        </is>
      </c>
      <c r="E522" s="18" t="n">
        <v>23</v>
      </c>
      <c r="F522" s="18" t="inlineStr">
        <is>
          <t>subseccion</t>
        </is>
      </c>
      <c r="G522" s="18" t="inlineStr">
        <is>
          <t>character varying(50)</t>
        </is>
      </c>
      <c r="H522" s="18" t="inlineStr">
        <is>
          <t>No</t>
        </is>
      </c>
      <c r="I522" s="18" t="inlineStr"/>
      <c r="J522" s="18" t="inlineStr"/>
      <c r="K522" s="18" t="inlineStr"/>
      <c r="L522" s="18" t="inlineStr">
        <is>
          <t>No</t>
        </is>
      </c>
      <c r="M522" s="18" t="inlineStr">
        <is>
          <t>No</t>
        </is>
      </c>
      <c r="N522" s="18" t="inlineStr"/>
      <c r="O522" s="18" t="inlineStr">
        <is>
          <t>uq_pta_componente_subseccion</t>
        </is>
      </c>
      <c r="P522" s="18" t="inlineStr">
        <is>
          <t>academic-work-plan-service/src/pta/entities/pta-component-review.entity.ts:27: 'general' para componentes de revisión única (investigacion, ext_*); 'pregrado'|'posgrado' para academica; 'docencia'|'academico_administrativas' para complementarias. | db/migrations/387_create_pta_component_reviews.sql:14: 'general' | 'pregrado' | 'posgrado' | 'docencia' | 'academico_administrativas'</t>
        </is>
      </c>
      <c r="Q522" s="18" t="inlineStr">
        <is>
          <t>Código fuente</t>
        </is>
      </c>
      <c r="R522" s="18" t="inlineStr">
        <is>
          <t>Subsección del componente revisado: general para los componentes de revisión única (investigacion, ext_*); pregrado o posgrado para academica; docencia o academico_administrativas para complementarias. Por defecto general.</t>
        </is>
      </c>
      <c r="S522" s="18" t="inlineStr">
        <is>
          <t>Alta</t>
        </is>
      </c>
      <c r="T522" s="18" t="inlineStr">
        <is>
          <t>código: academic-work-plan-service/src/pta/entities/pta-component-review.entity.ts:27</t>
        </is>
      </c>
      <c r="U522" s="18" t="inlineStr"/>
      <c r="V522" s="19" t="inlineStr">
        <is>
          <t>Pendiente</t>
        </is>
      </c>
      <c r="W522" s="19" t="inlineStr"/>
      <c r="X522" s="19" t="inlineStr"/>
      <c r="Y522" s="20" t="n"/>
      <c r="Z522" s="19" t="inlineStr"/>
      <c r="AA522" s="18">
        <f>IF(OR(V522="Aprobada"),R522,IF(AND(OR(V522="Aprobada con ajuste",V522="Rechazada"),W522&lt;&gt;""),W522,""))</f>
        <v/>
      </c>
    </row>
    <row r="523">
      <c r="A523" s="18" t="inlineStr">
        <is>
          <t>C0522</t>
        </is>
      </c>
      <c r="B523" s="18" t="inlineStr">
        <is>
          <t>Plan de trabajo académico</t>
        </is>
      </c>
      <c r="C523" s="18" t="inlineStr">
        <is>
          <t>academic_work_plan</t>
        </is>
      </c>
      <c r="D523" s="18" t="inlineStr">
        <is>
          <t>PtaComponentReview</t>
        </is>
      </c>
      <c r="E523" s="18" t="n">
        <v>23</v>
      </c>
      <c r="F523" s="18" t="inlineStr">
        <is>
          <t>estado</t>
        </is>
      </c>
      <c r="G523" s="18" t="inlineStr">
        <is>
          <t>character varying(50)</t>
        </is>
      </c>
      <c r="H523" s="18" t="inlineStr">
        <is>
          <t>No</t>
        </is>
      </c>
      <c r="I523" s="18" t="inlineStr"/>
      <c r="J523" s="18" t="inlineStr"/>
      <c r="K523" s="18" t="inlineStr"/>
      <c r="L523" s="18" t="inlineStr">
        <is>
          <t>No</t>
        </is>
      </c>
      <c r="M523" s="18" t="inlineStr">
        <is>
          <t>No</t>
        </is>
      </c>
      <c r="N523" s="18" t="inlineStr"/>
      <c r="O523" s="18" t="inlineStr"/>
      <c r="P523" s="18" t="inlineStr">
        <is>
          <t>db/migrations/387_create_pta_component_reviews.sql:15: 'pendiente', 'revisado', 'devuelto'</t>
        </is>
      </c>
      <c r="Q523" s="18" t="inlineStr">
        <is>
          <t>Código fuente</t>
        </is>
      </c>
      <c r="R523" s="18" t="inlineStr">
        <is>
          <t>Estado de la revisión del componente. Valores previstos: pendiente, revisado, devuelto; por defecto pendiente.</t>
        </is>
      </c>
      <c r="S523" s="18" t="inlineStr">
        <is>
          <t>Alta</t>
        </is>
      </c>
      <c r="T523" s="18" t="inlineStr">
        <is>
          <t>código: db/migrations/387_create_pta_component_reviews.sql:15</t>
        </is>
      </c>
      <c r="U523" s="18" t="inlineStr"/>
      <c r="V523" s="19" t="inlineStr">
        <is>
          <t>Pendiente</t>
        </is>
      </c>
      <c r="W523" s="19" t="inlineStr"/>
      <c r="X523" s="19" t="inlineStr"/>
      <c r="Y523" s="20" t="n"/>
      <c r="Z523" s="19" t="inlineStr"/>
      <c r="AA523" s="18">
        <f>IF(OR(V523="Aprobada"),R523,IF(AND(OR(V523="Aprobada con ajuste",V523="Rechazada"),W523&lt;&gt;""),W523,""))</f>
        <v/>
      </c>
    </row>
    <row r="524">
      <c r="A524" s="18" t="inlineStr">
        <is>
          <t>C0523</t>
        </is>
      </c>
      <c r="B524" s="18" t="inlineStr">
        <is>
          <t>Plan de trabajo académico</t>
        </is>
      </c>
      <c r="C524" s="18" t="inlineStr">
        <is>
          <t>academic_work_plan</t>
        </is>
      </c>
      <c r="D524" s="18" t="inlineStr">
        <is>
          <t>PtaComponentReview</t>
        </is>
      </c>
      <c r="E524" s="18" t="n">
        <v>23</v>
      </c>
      <c r="F524" s="18" t="inlineStr">
        <is>
          <t>revisor_id</t>
        </is>
      </c>
      <c r="G524" s="18" t="inlineStr">
        <is>
          <t>character varying(100)</t>
        </is>
      </c>
      <c r="H524" s="18" t="inlineStr">
        <is>
          <t>Sí</t>
        </is>
      </c>
      <c r="I524" s="18" t="inlineStr"/>
      <c r="J524" s="18" t="inlineStr"/>
      <c r="K524" s="18" t="inlineStr"/>
      <c r="L524" s="18" t="inlineStr">
        <is>
          <t>No</t>
        </is>
      </c>
      <c r="M524" s="18" t="inlineStr">
        <is>
          <t>No</t>
        </is>
      </c>
      <c r="N524" s="18" t="inlineStr"/>
      <c r="O524" s="18" t="inlineStr"/>
      <c r="P524" s="18" t="inlineStr">
        <is>
          <t>Mapeada en academic-work-plan-service/src/pta/entities/pta-component-review.entity.ts:33 (PtaComponentReviewEntity.revisorId)</t>
        </is>
      </c>
      <c r="Q524" s="18" t="inlineStr">
        <is>
          <t>Propuesta semántica</t>
        </is>
      </c>
      <c r="R524" s="18" t="inlineStr">
        <is>
          <t>Identificador del usuario que revisa el componente del plan.</t>
        </is>
      </c>
      <c r="S524" s="18" t="inlineStr">
        <is>
          <t>Media</t>
        </is>
      </c>
      <c r="T524" s="18" t="inlineStr">
        <is>
          <t>nombre + tipo + columnas vecinas</t>
        </is>
      </c>
      <c r="U524" s="18" t="inlineStr">
        <is>
          <t>¿A qué tabla de usuarios corresponde revisor_id?</t>
        </is>
      </c>
      <c r="V524" s="19" t="inlineStr">
        <is>
          <t>Pendiente</t>
        </is>
      </c>
      <c r="W524" s="19" t="inlineStr"/>
      <c r="X524" s="19" t="inlineStr"/>
      <c r="Y524" s="20" t="n"/>
      <c r="Z524" s="19" t="inlineStr"/>
      <c r="AA524" s="18">
        <f>IF(OR(V524="Aprobada"),R524,IF(AND(OR(V524="Aprobada con ajuste",V524="Rechazada"),W524&lt;&gt;""),W524,""))</f>
        <v/>
      </c>
    </row>
    <row r="525">
      <c r="A525" s="18" t="inlineStr">
        <is>
          <t>C0524</t>
        </is>
      </c>
      <c r="B525" s="18" t="inlineStr">
        <is>
          <t>Plan de trabajo académico</t>
        </is>
      </c>
      <c r="C525" s="18" t="inlineStr">
        <is>
          <t>academic_work_plan</t>
        </is>
      </c>
      <c r="D525" s="18" t="inlineStr">
        <is>
          <t>PtaComponentReview</t>
        </is>
      </c>
      <c r="E525" s="18" t="n">
        <v>23</v>
      </c>
      <c r="F525" s="18" t="inlineStr">
        <is>
          <t>revisor_nombre</t>
        </is>
      </c>
      <c r="G525" s="18" t="inlineStr">
        <is>
          <t>character varying(200)</t>
        </is>
      </c>
      <c r="H525" s="18" t="inlineStr">
        <is>
          <t>Sí</t>
        </is>
      </c>
      <c r="I525" s="18" t="inlineStr"/>
      <c r="J525" s="18" t="inlineStr"/>
      <c r="K525" s="18" t="inlineStr"/>
      <c r="L525" s="18" t="inlineStr">
        <is>
          <t>No</t>
        </is>
      </c>
      <c r="M525" s="18" t="inlineStr">
        <is>
          <t>No</t>
        </is>
      </c>
      <c r="N525" s="18" t="inlineStr"/>
      <c r="O525" s="18" t="inlineStr"/>
      <c r="P525" s="18" t="inlineStr">
        <is>
          <t>Mapeada en academic-work-plan-service/src/pta/entities/pta-component-review.entity.ts:36 (PtaComponentReviewEntity.revisorNombre)</t>
        </is>
      </c>
      <c r="Q525" s="18" t="inlineStr">
        <is>
          <t>Propuesta semántica</t>
        </is>
      </c>
      <c r="R525" s="18" t="inlineStr">
        <is>
          <t>Nombre del usuario que revisa el componente del plan.</t>
        </is>
      </c>
      <c r="S525" s="18" t="inlineStr">
        <is>
          <t>Alta</t>
        </is>
      </c>
      <c r="T525" s="18" t="inlineStr">
        <is>
          <t>nombre + tipo + columnas vecinas</t>
        </is>
      </c>
      <c r="U525" s="18" t="inlineStr"/>
      <c r="V525" s="19" t="inlineStr">
        <is>
          <t>Pendiente</t>
        </is>
      </c>
      <c r="W525" s="19" t="inlineStr"/>
      <c r="X525" s="19" t="inlineStr"/>
      <c r="Y525" s="20" t="n"/>
      <c r="Z525" s="19" t="inlineStr"/>
      <c r="AA525" s="18">
        <f>IF(OR(V525="Aprobada"),R525,IF(AND(OR(V525="Aprobada con ajuste",V525="Rechazada"),W525&lt;&gt;""),W525,""))</f>
        <v/>
      </c>
    </row>
    <row r="526">
      <c r="A526" s="18" t="inlineStr">
        <is>
          <t>C0525</t>
        </is>
      </c>
      <c r="B526" s="18" t="inlineStr">
        <is>
          <t>Plan de trabajo académico</t>
        </is>
      </c>
      <c r="C526" s="18" t="inlineStr">
        <is>
          <t>academic_work_plan</t>
        </is>
      </c>
      <c r="D526" s="18" t="inlineStr">
        <is>
          <t>PtaComponentReview</t>
        </is>
      </c>
      <c r="E526" s="18" t="n">
        <v>23</v>
      </c>
      <c r="F526" s="18" t="inlineStr">
        <is>
          <t>revisor_rol</t>
        </is>
      </c>
      <c r="G526" s="18" t="inlineStr">
        <is>
          <t>character varying(100)</t>
        </is>
      </c>
      <c r="H526" s="18" t="inlineStr">
        <is>
          <t>Sí</t>
        </is>
      </c>
      <c r="I526" s="18" t="inlineStr"/>
      <c r="J526" s="18" t="inlineStr"/>
      <c r="K526" s="18" t="inlineStr"/>
      <c r="L526" s="18" t="inlineStr">
        <is>
          <t>No</t>
        </is>
      </c>
      <c r="M526" s="18" t="inlineStr">
        <is>
          <t>No</t>
        </is>
      </c>
      <c r="N526" s="18" t="inlineStr"/>
      <c r="O526" s="18" t="inlineStr"/>
      <c r="P526" s="18" t="inlineStr">
        <is>
          <t>Mapeada en academic-work-plan-service/src/pta/entities/pta-component-review.entity.ts:39 (PtaComponentReviewEntity.revisorRol)</t>
        </is>
      </c>
      <c r="Q526" s="18" t="inlineStr">
        <is>
          <t>Propuesta semántica</t>
        </is>
      </c>
      <c r="R526" s="18" t="inlineStr">
        <is>
          <t>Rol del usuario que revisa el componente del plan.</t>
        </is>
      </c>
      <c r="S526" s="18" t="inlineStr">
        <is>
          <t>Alta</t>
        </is>
      </c>
      <c r="T526" s="18" t="inlineStr">
        <is>
          <t>nombre + tipo + columnas vecinas</t>
        </is>
      </c>
      <c r="U526" s="18" t="inlineStr"/>
      <c r="V526" s="19" t="inlineStr">
        <is>
          <t>Pendiente</t>
        </is>
      </c>
      <c r="W526" s="19" t="inlineStr"/>
      <c r="X526" s="19" t="inlineStr"/>
      <c r="Y526" s="20" t="n"/>
      <c r="Z526" s="19" t="inlineStr"/>
      <c r="AA526" s="18">
        <f>IF(OR(V526="Aprobada"),R526,IF(AND(OR(V526="Aprobada con ajuste",V526="Rechazada"),W526&lt;&gt;""),W526,""))</f>
        <v/>
      </c>
    </row>
    <row r="527">
      <c r="A527" s="18" t="inlineStr">
        <is>
          <t>C0526</t>
        </is>
      </c>
      <c r="B527" s="18" t="inlineStr">
        <is>
          <t>Plan de trabajo académico</t>
        </is>
      </c>
      <c r="C527" s="18" t="inlineStr">
        <is>
          <t>academic_work_plan</t>
        </is>
      </c>
      <c r="D527" s="18" t="inlineStr">
        <is>
          <t>PtaComponentReview</t>
        </is>
      </c>
      <c r="E527" s="18" t="n">
        <v>23</v>
      </c>
      <c r="F527" s="18" t="inlineStr">
        <is>
          <t>comentarios</t>
        </is>
      </c>
      <c r="G527" s="18" t="inlineStr">
        <is>
          <t>text</t>
        </is>
      </c>
      <c r="H527" s="18" t="inlineStr">
        <is>
          <t>Sí</t>
        </is>
      </c>
      <c r="I527" s="18" t="inlineStr"/>
      <c r="J527" s="18" t="inlineStr"/>
      <c r="K527" s="18" t="inlineStr"/>
      <c r="L527" s="18" t="inlineStr">
        <is>
          <t>No</t>
        </is>
      </c>
      <c r="M527" s="18" t="inlineStr">
        <is>
          <t>No</t>
        </is>
      </c>
      <c r="N527" s="18" t="inlineStr"/>
      <c r="O527" s="18" t="inlineStr"/>
      <c r="P527" s="18" t="inlineStr">
        <is>
          <t>Mapeada en academic-work-plan-service/src/pta/entities/pta-component-review.entity.ts:42 (PtaComponentReviewEntity.comentarios)</t>
        </is>
      </c>
      <c r="Q527" s="18" t="inlineStr">
        <is>
          <t>Propuesta semántica</t>
        </is>
      </c>
      <c r="R527" s="18" t="inlineStr">
        <is>
          <t>Comentarios del revisor sobre el componente.</t>
        </is>
      </c>
      <c r="S527" s="18" t="inlineStr">
        <is>
          <t>Alta</t>
        </is>
      </c>
      <c r="T527" s="18" t="inlineStr">
        <is>
          <t>nombre + tipo + columnas vecinas</t>
        </is>
      </c>
      <c r="U527" s="18" t="inlineStr"/>
      <c r="V527" s="19" t="inlineStr">
        <is>
          <t>Pendiente</t>
        </is>
      </c>
      <c r="W527" s="19" t="inlineStr"/>
      <c r="X527" s="19" t="inlineStr"/>
      <c r="Y527" s="20" t="n"/>
      <c r="Z527" s="19" t="inlineStr"/>
      <c r="AA527" s="18">
        <f>IF(OR(V527="Aprobada"),R527,IF(AND(OR(V527="Aprobada con ajuste",V527="Rechazada"),W527&lt;&gt;""),W527,""))</f>
        <v/>
      </c>
    </row>
    <row r="528">
      <c r="A528" s="18" t="inlineStr">
        <is>
          <t>C0527</t>
        </is>
      </c>
      <c r="B528" s="18" t="inlineStr">
        <is>
          <t>Plan de trabajo académico</t>
        </is>
      </c>
      <c r="C528" s="18" t="inlineStr">
        <is>
          <t>academic_work_plan</t>
        </is>
      </c>
      <c r="D528" s="18" t="inlineStr">
        <is>
          <t>PtaComponentReview</t>
        </is>
      </c>
      <c r="E528" s="18" t="n">
        <v>23</v>
      </c>
      <c r="F528" s="18" t="inlineStr">
        <is>
          <t>respuesta_docente</t>
        </is>
      </c>
      <c r="G528" s="18" t="inlineStr">
        <is>
          <t>text</t>
        </is>
      </c>
      <c r="H528" s="18" t="inlineStr">
        <is>
          <t>Sí</t>
        </is>
      </c>
      <c r="I528" s="18" t="inlineStr"/>
      <c r="J528" s="18" t="inlineStr"/>
      <c r="K528" s="18" t="inlineStr"/>
      <c r="L528" s="18" t="inlineStr">
        <is>
          <t>No</t>
        </is>
      </c>
      <c r="M528" s="18" t="inlineStr">
        <is>
          <t>No</t>
        </is>
      </c>
      <c r="N528" s="18" t="inlineStr"/>
      <c r="O528" s="18" t="inlineStr"/>
      <c r="P528" s="18" t="inlineStr">
        <is>
          <t>academic-work-plan-service/src/pta/entities/pta-component-review.entity.ts:47: Respuesta del docente al reenviar tras una devolución en la etapa de revisión (mismo propósito que el campo homónimo en PtaComponentApproval).</t>
        </is>
      </c>
      <c r="Q528" s="18" t="inlineStr">
        <is>
          <t>Código fuente</t>
        </is>
      </c>
      <c r="R528" s="18" t="inlineStr">
        <is>
          <t>Respuesta del docente al reenviar el componente tras una devolución en la etapa de revisión.</t>
        </is>
      </c>
      <c r="S528" s="18" t="inlineStr">
        <is>
          <t>Alta</t>
        </is>
      </c>
      <c r="T528" s="18" t="inlineStr">
        <is>
          <t>código: academic-work-plan-service/src/pta/entities/pta-component-review.entity.ts:47</t>
        </is>
      </c>
      <c r="U528" s="18" t="inlineStr"/>
      <c r="V528" s="19" t="inlineStr">
        <is>
          <t>Pendiente</t>
        </is>
      </c>
      <c r="W528" s="19" t="inlineStr"/>
      <c r="X528" s="19" t="inlineStr"/>
      <c r="Y528" s="20" t="n"/>
      <c r="Z528" s="19" t="inlineStr"/>
      <c r="AA528" s="18">
        <f>IF(OR(V528="Aprobada"),R528,IF(AND(OR(V528="Aprobada con ajuste",V528="Rechazada"),W528&lt;&gt;""),W528,""))</f>
        <v/>
      </c>
    </row>
    <row r="529">
      <c r="A529" s="18" t="inlineStr">
        <is>
          <t>C0528</t>
        </is>
      </c>
      <c r="B529" s="18" t="inlineStr">
        <is>
          <t>Plan de trabajo académico</t>
        </is>
      </c>
      <c r="C529" s="18" t="inlineStr">
        <is>
          <t>academic_work_plan</t>
        </is>
      </c>
      <c r="D529" s="18" t="inlineStr">
        <is>
          <t>PtaComponentReview</t>
        </is>
      </c>
      <c r="E529" s="18" t="n">
        <v>23</v>
      </c>
      <c r="F529" s="18" t="inlineStr">
        <is>
          <t>fecha_revision</t>
        </is>
      </c>
      <c r="G529" s="18" t="inlineStr">
        <is>
          <t>timestamp without time zone</t>
        </is>
      </c>
      <c r="H529" s="18" t="inlineStr">
        <is>
          <t>Sí</t>
        </is>
      </c>
      <c r="I529" s="18" t="inlineStr"/>
      <c r="J529" s="18" t="inlineStr"/>
      <c r="K529" s="18" t="inlineStr"/>
      <c r="L529" s="18" t="inlineStr">
        <is>
          <t>No</t>
        </is>
      </c>
      <c r="M529" s="18" t="inlineStr">
        <is>
          <t>No</t>
        </is>
      </c>
      <c r="N529" s="18" t="inlineStr"/>
      <c r="O529" s="18" t="inlineStr"/>
      <c r="P529" s="18" t="inlineStr">
        <is>
          <t>Mapeada en academic-work-plan-service/src/pta/entities/pta-component-review.entity.ts:50 (PtaComponentReviewEntity.fechaRevision)</t>
        </is>
      </c>
      <c r="Q529" s="18" t="inlineStr">
        <is>
          <t>Regla estructural</t>
        </is>
      </c>
      <c r="R529" s="18" t="inlineStr">
        <is>
          <t>Fecha de revisión.</t>
        </is>
      </c>
      <c r="S529" s="18" t="inlineStr">
        <is>
          <t>Media</t>
        </is>
      </c>
      <c r="T529" s="18" t="inlineStr">
        <is>
          <t>Convención de nombre de la columna.</t>
        </is>
      </c>
      <c r="U529" s="18" t="inlineStr"/>
      <c r="V529" s="19" t="inlineStr">
        <is>
          <t>Pendiente</t>
        </is>
      </c>
      <c r="W529" s="19" t="inlineStr"/>
      <c r="X529" s="19" t="inlineStr"/>
      <c r="Y529" s="20" t="n"/>
      <c r="Z529" s="19" t="inlineStr"/>
      <c r="AA529" s="18">
        <f>IF(OR(V529="Aprobada"),R529,IF(AND(OR(V529="Aprobada con ajuste",V529="Rechazada"),W529&lt;&gt;""),W529,""))</f>
        <v/>
      </c>
    </row>
    <row r="530">
      <c r="A530" s="18" t="inlineStr">
        <is>
          <t>C0529</t>
        </is>
      </c>
      <c r="B530" s="18" t="inlineStr">
        <is>
          <t>Plan de trabajo académico</t>
        </is>
      </c>
      <c r="C530" s="18" t="inlineStr">
        <is>
          <t>academic_work_plan</t>
        </is>
      </c>
      <c r="D530" s="18" t="inlineStr">
        <is>
          <t>PtaComponentReview</t>
        </is>
      </c>
      <c r="E530" s="18" t="n">
        <v>23</v>
      </c>
      <c r="F530" s="18" t="inlineStr">
        <is>
          <t>scope</t>
        </is>
      </c>
      <c r="G530" s="18" t="inlineStr">
        <is>
          <t>character varying(50)</t>
        </is>
      </c>
      <c r="H530" s="18" t="inlineStr">
        <is>
          <t>Sí</t>
        </is>
      </c>
      <c r="I530" s="18" t="inlineStr"/>
      <c r="J530" s="18" t="inlineStr"/>
      <c r="K530" s="18" t="inlineStr"/>
      <c r="L530" s="18" t="inlineStr">
        <is>
          <t>No</t>
        </is>
      </c>
      <c r="M530" s="18" t="inlineStr">
        <is>
          <t>No</t>
        </is>
      </c>
      <c r="N530" s="18" t="inlineStr"/>
      <c r="O530" s="18" t="inlineStr"/>
      <c r="P530" s="18" t="inlineStr">
        <is>
          <t>db/migrations/387_create_pta_component_reviews.sql:22: 'solicitud_edicion' cuando reabre un componente ya aprobado</t>
        </is>
      </c>
      <c r="Q530" s="18" t="inlineStr">
        <is>
          <t>Código fuente</t>
        </is>
      </c>
      <c r="R530" s="18" t="inlineStr">
        <is>
          <t>Ámbito de la revisión; toma el valor solicitud_edicion cuando se reabre un componente ya aprobado.</t>
        </is>
      </c>
      <c r="S530" s="18" t="inlineStr">
        <is>
          <t>Media</t>
        </is>
      </c>
      <c r="T530" s="18" t="inlineStr">
        <is>
          <t>código: db/migrations/387_create_pta_component_reviews.sql:22</t>
        </is>
      </c>
      <c r="U530" s="18" t="inlineStr">
        <is>
          <t>¿Qué otros valores toma scope en PtaComponentReview y qué significa un valor nulo?</t>
        </is>
      </c>
      <c r="V530" s="19" t="inlineStr">
        <is>
          <t>Pendiente</t>
        </is>
      </c>
      <c r="W530" s="19" t="inlineStr"/>
      <c r="X530" s="19" t="inlineStr"/>
      <c r="Y530" s="20" t="n"/>
      <c r="Z530" s="19" t="inlineStr"/>
      <c r="AA530" s="18">
        <f>IF(OR(V530="Aprobada"),R530,IF(AND(OR(V530="Aprobada con ajuste",V530="Rechazada"),W530&lt;&gt;""),W530,""))</f>
        <v/>
      </c>
    </row>
    <row r="531">
      <c r="A531" s="18" t="inlineStr">
        <is>
          <t>C0530</t>
        </is>
      </c>
      <c r="B531" s="18" t="inlineStr">
        <is>
          <t>Plan de trabajo académico</t>
        </is>
      </c>
      <c r="C531" s="18" t="inlineStr">
        <is>
          <t>academic_work_plan</t>
        </is>
      </c>
      <c r="D531" s="18" t="inlineStr">
        <is>
          <t>PtaComponentReview</t>
        </is>
      </c>
      <c r="E531" s="18" t="n">
        <v>23</v>
      </c>
      <c r="F531" s="18" t="inlineStr">
        <is>
          <t>scope_id</t>
        </is>
      </c>
      <c r="G531" s="18" t="inlineStr">
        <is>
          <t>character varying(100)</t>
        </is>
      </c>
      <c r="H531" s="18" t="inlineStr">
        <is>
          <t>Sí</t>
        </is>
      </c>
      <c r="I531" s="18" t="inlineStr"/>
      <c r="J531" s="18" t="inlineStr"/>
      <c r="K531" s="18" t="inlineStr"/>
      <c r="L531" s="18" t="inlineStr">
        <is>
          <t>No</t>
        </is>
      </c>
      <c r="M531" s="18" t="inlineStr">
        <is>
          <t>No</t>
        </is>
      </c>
      <c r="N531" s="18" t="inlineStr"/>
      <c r="O531" s="18" t="inlineStr"/>
      <c r="P531" s="18" t="inlineStr">
        <is>
          <t>Mapeada en academic-work-plan-service/src/pta/entities/pta-component-review.entity.ts:56 (PtaComponentReviewEntity.scopeId)</t>
        </is>
      </c>
      <c r="Q531" s="18" t="inlineStr">
        <is>
          <t>Propuesta semántica</t>
        </is>
      </c>
      <c r="R531" s="18" t="inlineStr">
        <is>
          <t>Identificador del ámbito al que aplica la revisión, según scope.</t>
        </is>
      </c>
      <c r="S531" s="18" t="inlineStr">
        <is>
          <t>Baja</t>
        </is>
      </c>
      <c r="T531" s="18" t="inlineStr">
        <is>
          <t>nombre + tipo + columnas vecinas (scope)</t>
        </is>
      </c>
      <c r="U531" s="18" t="inlineStr">
        <is>
          <t>¿Qué valores toma scope y a qué entidad apunta scope_id en cada caso?</t>
        </is>
      </c>
      <c r="V531" s="19" t="inlineStr">
        <is>
          <t>Pendiente</t>
        </is>
      </c>
      <c r="W531" s="19" t="inlineStr"/>
      <c r="X531" s="19" t="inlineStr"/>
      <c r="Y531" s="20" t="n"/>
      <c r="Z531" s="19" t="inlineStr"/>
      <c r="AA531" s="18">
        <f>IF(OR(V531="Aprobada"),R531,IF(AND(OR(V531="Aprobada con ajuste",V531="Rechazada"),W531&lt;&gt;""),W531,""))</f>
        <v/>
      </c>
    </row>
    <row r="532">
      <c r="A532" s="18" t="inlineStr">
        <is>
          <t>C0531</t>
        </is>
      </c>
      <c r="B532" s="18" t="inlineStr">
        <is>
          <t>Plan de trabajo académico</t>
        </is>
      </c>
      <c r="C532" s="18" t="inlineStr">
        <is>
          <t>academic_work_plan</t>
        </is>
      </c>
      <c r="D532" s="18" t="inlineStr">
        <is>
          <t>PtaEvento</t>
        </is>
      </c>
      <c r="E532" s="18" t="n">
        <v>83</v>
      </c>
      <c r="F532" s="18" t="inlineStr">
        <is>
          <t>docenteId</t>
        </is>
      </c>
      <c r="G532" s="18" t="inlineStr">
        <is>
          <t>text</t>
        </is>
      </c>
      <c r="H532" s="18" t="inlineStr">
        <is>
          <t>Sí</t>
        </is>
      </c>
      <c r="I532" s="18" t="inlineStr"/>
      <c r="J532" s="18" t="inlineStr"/>
      <c r="K532" s="18" t="inlineStr"/>
      <c r="L532" s="18" t="inlineStr">
        <is>
          <t>No</t>
        </is>
      </c>
      <c r="M532" s="18" t="inlineStr">
        <is>
          <t>No</t>
        </is>
      </c>
      <c r="N532" s="18" t="inlineStr"/>
      <c r="O532" s="18" t="inlineStr">
        <is>
          <t>idx_pta_evento_docenteId</t>
        </is>
      </c>
      <c r="P532" s="18" t="inlineStr">
        <is>
          <t>Mapeada en academic-work-plan-service/src/pta/entities/pta-evento.entity.ts:15 (PtaEventoEntity.docenteId)</t>
        </is>
      </c>
      <c r="Q532" s="18" t="inlineStr">
        <is>
          <t>Propuesta semántica</t>
        </is>
      </c>
      <c r="R532" s="18" t="inlineStr">
        <is>
          <t>Identificador del docente titular del plan de trabajo.</t>
        </is>
      </c>
      <c r="S532" s="18" t="inlineStr">
        <is>
          <t>Alta</t>
        </is>
      </c>
      <c r="T532" s="18" t="inlineStr">
        <is>
          <t>nombre + tipo + columnas vecinas</t>
        </is>
      </c>
      <c r="U532" s="18" t="inlineStr"/>
      <c r="V532" s="19" t="inlineStr">
        <is>
          <t>Pendiente</t>
        </is>
      </c>
      <c r="W532" s="19" t="inlineStr"/>
      <c r="X532" s="19" t="inlineStr"/>
      <c r="Y532" s="20" t="n"/>
      <c r="Z532" s="19" t="inlineStr"/>
      <c r="AA532" s="18">
        <f>IF(OR(V532="Aprobada"),R532,IF(AND(OR(V532="Aprobada con ajuste",V532="Rechazada"),W532&lt;&gt;""),W532,""))</f>
        <v/>
      </c>
    </row>
    <row r="533">
      <c r="A533" s="18" t="inlineStr">
        <is>
          <t>C0532</t>
        </is>
      </c>
      <c r="B533" s="18" t="inlineStr">
        <is>
          <t>Plan de trabajo académico</t>
        </is>
      </c>
      <c r="C533" s="18" t="inlineStr">
        <is>
          <t>academic_work_plan</t>
        </is>
      </c>
      <c r="D533" s="18" t="inlineStr">
        <is>
          <t>PtaEvento</t>
        </is>
      </c>
      <c r="E533" s="18" t="n">
        <v>83</v>
      </c>
      <c r="F533" s="18" t="inlineStr">
        <is>
          <t>docenteNombre</t>
        </is>
      </c>
      <c r="G533" s="18" t="inlineStr">
        <is>
          <t>text</t>
        </is>
      </c>
      <c r="H533" s="18" t="inlineStr">
        <is>
          <t>Sí</t>
        </is>
      </c>
      <c r="I533" s="18" t="inlineStr"/>
      <c r="J533" s="18" t="inlineStr"/>
      <c r="K533" s="18" t="inlineStr"/>
      <c r="L533" s="18" t="inlineStr">
        <is>
          <t>No</t>
        </is>
      </c>
      <c r="M533" s="18" t="inlineStr">
        <is>
          <t>No</t>
        </is>
      </c>
      <c r="N533" s="18" t="inlineStr"/>
      <c r="O533" s="18" t="inlineStr"/>
      <c r="P533" s="18" t="inlineStr">
        <is>
          <t>Mapeada en academic-work-plan-service/src/pta/entities/pta-evento.entity.ts:18 (PtaEventoEntity.docenteNombre)</t>
        </is>
      </c>
      <c r="Q533" s="18" t="inlineStr">
        <is>
          <t>Propuesta semántica</t>
        </is>
      </c>
      <c r="R533" s="18" t="inlineStr">
        <is>
          <t>Nombre del docente titular del plan de trabajo.</t>
        </is>
      </c>
      <c r="S533" s="18" t="inlineStr">
        <is>
          <t>Alta</t>
        </is>
      </c>
      <c r="T533" s="18" t="inlineStr">
        <is>
          <t>nombre + tipo + columnas vecinas</t>
        </is>
      </c>
      <c r="U533" s="18" t="inlineStr"/>
      <c r="V533" s="19" t="inlineStr">
        <is>
          <t>Pendiente</t>
        </is>
      </c>
      <c r="W533" s="19" t="inlineStr"/>
      <c r="X533" s="19" t="inlineStr"/>
      <c r="Y533" s="20" t="n"/>
      <c r="Z533" s="19" t="inlineStr"/>
      <c r="AA533" s="18">
        <f>IF(OR(V533="Aprobada"),R533,IF(AND(OR(V533="Aprobada con ajuste",V533="Rechazada"),W533&lt;&gt;""),W533,""))</f>
        <v/>
      </c>
    </row>
    <row r="534">
      <c r="A534" s="18" t="inlineStr">
        <is>
          <t>C0533</t>
        </is>
      </c>
      <c r="B534" s="18" t="inlineStr">
        <is>
          <t>Plan de trabajo académico</t>
        </is>
      </c>
      <c r="C534" s="18" t="inlineStr">
        <is>
          <t>academic_work_plan</t>
        </is>
      </c>
      <c r="D534" s="18" t="inlineStr">
        <is>
          <t>PtaEvento</t>
        </is>
      </c>
      <c r="E534" s="18" t="n">
        <v>83</v>
      </c>
      <c r="F534" s="18" t="inlineStr">
        <is>
          <t>tipo</t>
        </is>
      </c>
      <c r="G534" s="18" t="inlineStr">
        <is>
          <t>text</t>
        </is>
      </c>
      <c r="H534" s="18" t="inlineStr">
        <is>
          <t>No</t>
        </is>
      </c>
      <c r="I534" s="18" t="inlineStr"/>
      <c r="J534" s="18" t="inlineStr"/>
      <c r="K534" s="18" t="inlineStr"/>
      <c r="L534" s="18" t="inlineStr">
        <is>
          <t>No</t>
        </is>
      </c>
      <c r="M534" s="18" t="inlineStr">
        <is>
          <t>No</t>
        </is>
      </c>
      <c r="N534" s="18" t="inlineStr"/>
      <c r="O534" s="18" t="inlineStr"/>
      <c r="P534" s="18" t="inlineStr">
        <is>
          <t>academic-work-plan-service/src/pta/entities/pta-evento.entity.ts:22: cambio_estado | notificacion | respuesta_docente | escalamiento | edicion_admin | guardado | db/migrations/201_pta_eventos.sql:7: cambio_estado | notificacion | respuesta_docente | escalamiento | edicion_admin | guardado</t>
        </is>
      </c>
      <c r="Q534" s="18" t="inlineStr">
        <is>
          <t>Código fuente</t>
        </is>
      </c>
      <c r="R534" s="18" t="inlineStr">
        <is>
          <t>Tipo de evento del PTA. Valores previstos: cambio_estado, notificacion, respuesta_docente, escalamiento, edicion_admin, guardado.</t>
        </is>
      </c>
      <c r="S534" s="18" t="inlineStr">
        <is>
          <t>Alta</t>
        </is>
      </c>
      <c r="T534" s="18" t="inlineStr">
        <is>
          <t>código: academic-work-plan-service/src/pta/entities/pta-evento.entity.ts:22</t>
        </is>
      </c>
      <c r="U534" s="18" t="inlineStr"/>
      <c r="V534" s="19" t="inlineStr">
        <is>
          <t>Pendiente</t>
        </is>
      </c>
      <c r="W534" s="19" t="inlineStr"/>
      <c r="X534" s="19" t="inlineStr"/>
      <c r="Y534" s="20" t="n"/>
      <c r="Z534" s="19" t="inlineStr"/>
      <c r="AA534" s="18">
        <f>IF(OR(V534="Aprobada"),R534,IF(AND(OR(V534="Aprobada con ajuste",V534="Rechazada"),W534&lt;&gt;""),W534,""))</f>
        <v/>
      </c>
    </row>
    <row r="535">
      <c r="A535" s="18" t="inlineStr">
        <is>
          <t>C0534</t>
        </is>
      </c>
      <c r="B535" s="18" t="inlineStr">
        <is>
          <t>Plan de trabajo académico</t>
        </is>
      </c>
      <c r="C535" s="18" t="inlineStr">
        <is>
          <t>academic_work_plan</t>
        </is>
      </c>
      <c r="D535" s="18" t="inlineStr">
        <is>
          <t>PtaEvento</t>
        </is>
      </c>
      <c r="E535" s="18" t="n">
        <v>83</v>
      </c>
      <c r="F535" s="18" t="inlineStr">
        <is>
          <t>estadoAnterior</t>
        </is>
      </c>
      <c r="G535" s="18" t="inlineStr">
        <is>
          <t>text</t>
        </is>
      </c>
      <c r="H535" s="18" t="inlineStr">
        <is>
          <t>Sí</t>
        </is>
      </c>
      <c r="I535" s="18" t="inlineStr"/>
      <c r="J535" s="18" t="inlineStr"/>
      <c r="K535" s="18" t="inlineStr"/>
      <c r="L535" s="18" t="inlineStr">
        <is>
          <t>No</t>
        </is>
      </c>
      <c r="M535" s="18" t="inlineStr">
        <is>
          <t>No</t>
        </is>
      </c>
      <c r="N535" s="18" t="inlineStr"/>
      <c r="O535" s="18" t="inlineStr"/>
      <c r="P535" s="18" t="inlineStr">
        <is>
          <t>Mapeada en academic-work-plan-service/src/pta/entities/pta-evento.entity.ts:25 (PtaEventoEntity.estadoAnterior)</t>
        </is>
      </c>
      <c r="Q535" s="18" t="inlineStr">
        <is>
          <t>Propuesta semántica</t>
        </is>
      </c>
      <c r="R535" s="18" t="inlineStr">
        <is>
          <t>Estado del plan antes del evento.</t>
        </is>
      </c>
      <c r="S535" s="18" t="inlineStr">
        <is>
          <t>Alta</t>
        </is>
      </c>
      <c r="T535" s="18" t="inlineStr">
        <is>
          <t>nombre + tipo + columnas vecinas</t>
        </is>
      </c>
      <c r="U535" s="18" t="inlineStr"/>
      <c r="V535" s="19" t="inlineStr">
        <is>
          <t>Pendiente</t>
        </is>
      </c>
      <c r="W535" s="19" t="inlineStr"/>
      <c r="X535" s="19" t="inlineStr"/>
      <c r="Y535" s="20" t="n"/>
      <c r="Z535" s="19" t="inlineStr"/>
      <c r="AA535" s="18">
        <f>IF(OR(V535="Aprobada"),R535,IF(AND(OR(V535="Aprobada con ajuste",V535="Rechazada"),W535&lt;&gt;""),W535,""))</f>
        <v/>
      </c>
    </row>
    <row r="536">
      <c r="A536" s="18" t="inlineStr">
        <is>
          <t>C0535</t>
        </is>
      </c>
      <c r="B536" s="18" t="inlineStr">
        <is>
          <t>Plan de trabajo académico</t>
        </is>
      </c>
      <c r="C536" s="18" t="inlineStr">
        <is>
          <t>academic_work_plan</t>
        </is>
      </c>
      <c r="D536" s="18" t="inlineStr">
        <is>
          <t>PtaEvento</t>
        </is>
      </c>
      <c r="E536" s="18" t="n">
        <v>83</v>
      </c>
      <c r="F536" s="18" t="inlineStr">
        <is>
          <t>estadoNuevo</t>
        </is>
      </c>
      <c r="G536" s="18" t="inlineStr">
        <is>
          <t>text</t>
        </is>
      </c>
      <c r="H536" s="18" t="inlineStr">
        <is>
          <t>Sí</t>
        </is>
      </c>
      <c r="I536" s="18" t="inlineStr"/>
      <c r="J536" s="18" t="inlineStr"/>
      <c r="K536" s="18" t="inlineStr"/>
      <c r="L536" s="18" t="inlineStr">
        <is>
          <t>No</t>
        </is>
      </c>
      <c r="M536" s="18" t="inlineStr">
        <is>
          <t>No</t>
        </is>
      </c>
      <c r="N536" s="18" t="inlineStr"/>
      <c r="O536" s="18" t="inlineStr"/>
      <c r="P536" s="18" t="inlineStr">
        <is>
          <t>Mapeada en academic-work-plan-service/src/pta/entities/pta-evento.entity.ts:28 (PtaEventoEntity.estadoNuevo)</t>
        </is>
      </c>
      <c r="Q536" s="18" t="inlineStr">
        <is>
          <t>Propuesta semántica</t>
        </is>
      </c>
      <c r="R536" s="18" t="inlineStr">
        <is>
          <t>Estado del plan después del evento.</t>
        </is>
      </c>
      <c r="S536" s="18" t="inlineStr">
        <is>
          <t>Alta</t>
        </is>
      </c>
      <c r="T536" s="18" t="inlineStr">
        <is>
          <t>nombre + tipo + columnas vecinas</t>
        </is>
      </c>
      <c r="U536" s="18" t="inlineStr"/>
      <c r="V536" s="19" t="inlineStr">
        <is>
          <t>Pendiente</t>
        </is>
      </c>
      <c r="W536" s="19" t="inlineStr"/>
      <c r="X536" s="19" t="inlineStr"/>
      <c r="Y536" s="20" t="n"/>
      <c r="Z536" s="19" t="inlineStr"/>
      <c r="AA536" s="18">
        <f>IF(OR(V536="Aprobada"),R536,IF(AND(OR(V536="Aprobada con ajuste",V536="Rechazada"),W536&lt;&gt;""),W536,""))</f>
        <v/>
      </c>
    </row>
    <row r="537">
      <c r="A537" s="18" t="inlineStr">
        <is>
          <t>C0536</t>
        </is>
      </c>
      <c r="B537" s="18" t="inlineStr">
        <is>
          <t>Plan de trabajo académico</t>
        </is>
      </c>
      <c r="C537" s="18" t="inlineStr">
        <is>
          <t>academic_work_plan</t>
        </is>
      </c>
      <c r="D537" s="18" t="inlineStr">
        <is>
          <t>PtaEvento</t>
        </is>
      </c>
      <c r="E537" s="18" t="n">
        <v>83</v>
      </c>
      <c r="F537" s="18" t="inlineStr">
        <is>
          <t>actor</t>
        </is>
      </c>
      <c r="G537" s="18" t="inlineStr">
        <is>
          <t>text</t>
        </is>
      </c>
      <c r="H537" s="18" t="inlineStr">
        <is>
          <t>Sí</t>
        </is>
      </c>
      <c r="I537" s="18" t="inlineStr"/>
      <c r="J537" s="18" t="inlineStr"/>
      <c r="K537" s="18" t="inlineStr"/>
      <c r="L537" s="18" t="inlineStr">
        <is>
          <t>No</t>
        </is>
      </c>
      <c r="M537" s="18" t="inlineStr">
        <is>
          <t>No</t>
        </is>
      </c>
      <c r="N537" s="18" t="inlineStr"/>
      <c r="O537" s="18" t="inlineStr"/>
      <c r="P537" s="18" t="inlineStr">
        <is>
          <t>Mapeada en academic-work-plan-service/src/pta/entities/pta-evento.entity.ts:31 (PtaEventoEntity.actor)</t>
        </is>
      </c>
      <c r="Q537" s="18" t="inlineStr">
        <is>
          <t>Propuesta semántica</t>
        </is>
      </c>
      <c r="R537" s="18" t="inlineStr">
        <is>
          <t>Identificador o nombre del usuario que generó el evento.</t>
        </is>
      </c>
      <c r="S537" s="18" t="inlineStr">
        <is>
          <t>Media</t>
        </is>
      </c>
      <c r="T537" s="18" t="inlineStr">
        <is>
          <t>nombre + tipo + columnas vecinas</t>
        </is>
      </c>
      <c r="U537" s="18" t="inlineStr">
        <is>
          <t>¿actor guarda el id, el correo o el nombre del usuario?</t>
        </is>
      </c>
      <c r="V537" s="19" t="inlineStr">
        <is>
          <t>Pendiente</t>
        </is>
      </c>
      <c r="W537" s="19" t="inlineStr"/>
      <c r="X537" s="19" t="inlineStr"/>
      <c r="Y537" s="20" t="n"/>
      <c r="Z537" s="19" t="inlineStr"/>
      <c r="AA537" s="18">
        <f>IF(OR(V537="Aprobada"),R537,IF(AND(OR(V537="Aprobada con ajuste",V537="Rechazada"),W537&lt;&gt;""),W537,""))</f>
        <v/>
      </c>
    </row>
    <row r="538">
      <c r="A538" s="18" t="inlineStr">
        <is>
          <t>C0537</t>
        </is>
      </c>
      <c r="B538" s="18" t="inlineStr">
        <is>
          <t>Plan de trabajo académico</t>
        </is>
      </c>
      <c r="C538" s="18" t="inlineStr">
        <is>
          <t>academic_work_plan</t>
        </is>
      </c>
      <c r="D538" s="18" t="inlineStr">
        <is>
          <t>PtaEvento</t>
        </is>
      </c>
      <c r="E538" s="18" t="n">
        <v>83</v>
      </c>
      <c r="F538" s="18" t="inlineStr">
        <is>
          <t>actorRol</t>
        </is>
      </c>
      <c r="G538" s="18" t="inlineStr">
        <is>
          <t>text</t>
        </is>
      </c>
      <c r="H538" s="18" t="inlineStr">
        <is>
          <t>Sí</t>
        </is>
      </c>
      <c r="I538" s="18" t="inlineStr"/>
      <c r="J538" s="18" t="inlineStr"/>
      <c r="K538" s="18" t="inlineStr"/>
      <c r="L538" s="18" t="inlineStr">
        <is>
          <t>No</t>
        </is>
      </c>
      <c r="M538" s="18" t="inlineStr">
        <is>
          <t>No</t>
        </is>
      </c>
      <c r="N538" s="18" t="inlineStr"/>
      <c r="O538" s="18" t="inlineStr"/>
      <c r="P538" s="18" t="inlineStr">
        <is>
          <t>Mapeada en academic-work-plan-service/src/pta/entities/pta-evento.entity.ts:34 (PtaEventoEntity.actorRol)</t>
        </is>
      </c>
      <c r="Q538" s="18" t="inlineStr">
        <is>
          <t>Propuesta semántica</t>
        </is>
      </c>
      <c r="R538" s="18" t="inlineStr">
        <is>
          <t>Rol del usuario que generó el evento.</t>
        </is>
      </c>
      <c r="S538" s="18" t="inlineStr">
        <is>
          <t>Alta</t>
        </is>
      </c>
      <c r="T538" s="18" t="inlineStr">
        <is>
          <t>nombre + tipo + columnas vecinas</t>
        </is>
      </c>
      <c r="U538" s="18" t="inlineStr"/>
      <c r="V538" s="19" t="inlineStr">
        <is>
          <t>Pendiente</t>
        </is>
      </c>
      <c r="W538" s="19" t="inlineStr"/>
      <c r="X538" s="19" t="inlineStr"/>
      <c r="Y538" s="20" t="n"/>
      <c r="Z538" s="19" t="inlineStr"/>
      <c r="AA538" s="18">
        <f>IF(OR(V538="Aprobada"),R538,IF(AND(OR(V538="Aprobada con ajuste",V538="Rechazada"),W538&lt;&gt;""),W538,""))</f>
        <v/>
      </c>
    </row>
    <row r="539">
      <c r="A539" s="18" t="inlineStr">
        <is>
          <t>C0538</t>
        </is>
      </c>
      <c r="B539" s="18" t="inlineStr">
        <is>
          <t>Plan de trabajo académico</t>
        </is>
      </c>
      <c r="C539" s="18" t="inlineStr">
        <is>
          <t>academic_work_plan</t>
        </is>
      </c>
      <c r="D539" s="18" t="inlineStr">
        <is>
          <t>PtaEvento</t>
        </is>
      </c>
      <c r="E539" s="18" t="n">
        <v>83</v>
      </c>
      <c r="F539" s="18" t="inlineStr">
        <is>
          <t>sistemaOrigen</t>
        </is>
      </c>
      <c r="G539" s="18" t="inlineStr">
        <is>
          <t>text</t>
        </is>
      </c>
      <c r="H539" s="18" t="inlineStr">
        <is>
          <t>No</t>
        </is>
      </c>
      <c r="I539" s="18" t="inlineStr"/>
      <c r="J539" s="18" t="inlineStr"/>
      <c r="K539" s="18" t="inlineStr"/>
      <c r="L539" s="18" t="inlineStr">
        <is>
          <t>No</t>
        </is>
      </c>
      <c r="M539" s="18" t="inlineStr">
        <is>
          <t>No</t>
        </is>
      </c>
      <c r="N539" s="18" t="inlineStr"/>
      <c r="O539" s="18" t="inlineStr">
        <is>
          <t>idx_pta_evento_origen</t>
        </is>
      </c>
      <c r="P539" s="18" t="inlineStr">
        <is>
          <t>academic-work-plan-service/src/pta/entities/pta-evento.entity.ts:38: backoffice | portal | db/migrations/201_pta_eventos.sql:12: backoffice | portal | sistema</t>
        </is>
      </c>
      <c r="Q539" s="18" t="inlineStr">
        <is>
          <t>Código fuente</t>
        </is>
      </c>
      <c r="R539" s="18" t="inlineStr">
        <is>
          <t>Sistema donde se originó el evento. Valores previstos: backoffice, portal, sistema; por defecto sistema.</t>
        </is>
      </c>
      <c r="S539" s="18" t="inlineStr">
        <is>
          <t>Alta</t>
        </is>
      </c>
      <c r="T539" s="18" t="inlineStr">
        <is>
          <t>código: db/migrations/201_pta_eventos.sql:12</t>
        </is>
      </c>
      <c r="U539" s="18" t="inlineStr"/>
      <c r="V539" s="19" t="inlineStr">
        <is>
          <t>Pendiente</t>
        </is>
      </c>
      <c r="W539" s="19" t="inlineStr"/>
      <c r="X539" s="19" t="inlineStr"/>
      <c r="Y539" s="20" t="n"/>
      <c r="Z539" s="19" t="inlineStr"/>
      <c r="AA539" s="18">
        <f>IF(OR(V539="Aprobada"),R539,IF(AND(OR(V539="Aprobada con ajuste",V539="Rechazada"),W539&lt;&gt;""),W539,""))</f>
        <v/>
      </c>
    </row>
    <row r="540">
      <c r="A540" s="18" t="inlineStr">
        <is>
          <t>C0539</t>
        </is>
      </c>
      <c r="B540" s="18" t="inlineStr">
        <is>
          <t>Plan de trabajo académico</t>
        </is>
      </c>
      <c r="C540" s="18" t="inlineStr">
        <is>
          <t>academic_work_plan</t>
        </is>
      </c>
      <c r="D540" s="18" t="inlineStr">
        <is>
          <t>PtaEvento</t>
        </is>
      </c>
      <c r="E540" s="18" t="n">
        <v>83</v>
      </c>
      <c r="F540" s="18" t="inlineStr">
        <is>
          <t>mensaje</t>
        </is>
      </c>
      <c r="G540" s="18" t="inlineStr">
        <is>
          <t>text</t>
        </is>
      </c>
      <c r="H540" s="18" t="inlineStr">
        <is>
          <t>Sí</t>
        </is>
      </c>
      <c r="I540" s="18" t="inlineStr"/>
      <c r="J540" s="18" t="inlineStr"/>
      <c r="K540" s="18" t="inlineStr"/>
      <c r="L540" s="18" t="inlineStr">
        <is>
          <t>No</t>
        </is>
      </c>
      <c r="M540" s="18" t="inlineStr">
        <is>
          <t>No</t>
        </is>
      </c>
      <c r="N540" s="18" t="inlineStr"/>
      <c r="O540" s="18" t="inlineStr"/>
      <c r="P540" s="18" t="inlineStr">
        <is>
          <t>Mapeada en academic-work-plan-service/src/pta/entities/pta-evento.entity.ts:41 (PtaEventoEntity.mensaje)</t>
        </is>
      </c>
      <c r="Q540" s="18" t="inlineStr">
        <is>
          <t>Propuesta semántica</t>
        </is>
      </c>
      <c r="R540" s="18" t="inlineStr">
        <is>
          <t>Mensaje descriptivo del evento, mostrado en las notificaciones.</t>
        </is>
      </c>
      <c r="S540" s="18" t="inlineStr">
        <is>
          <t>Media</t>
        </is>
      </c>
      <c r="T540" s="18" t="inlineStr">
        <is>
          <t>nombre + tipo + columnas vecinas (leidoBackoffice, leidoPortal)</t>
        </is>
      </c>
      <c r="U540" s="18" t="inlineStr">
        <is>
          <t>¿El mensaje se muestra en el backoffice y en el portal del docente?</t>
        </is>
      </c>
      <c r="V540" s="19" t="inlineStr">
        <is>
          <t>Pendiente</t>
        </is>
      </c>
      <c r="W540" s="19" t="inlineStr"/>
      <c r="X540" s="19" t="inlineStr"/>
      <c r="Y540" s="20" t="n"/>
      <c r="Z540" s="19" t="inlineStr"/>
      <c r="AA540" s="18">
        <f>IF(OR(V540="Aprobada"),R540,IF(AND(OR(V540="Aprobada con ajuste",V540="Rechazada"),W540&lt;&gt;""),W540,""))</f>
        <v/>
      </c>
    </row>
    <row r="541">
      <c r="A541" s="18" t="inlineStr">
        <is>
          <t>C0540</t>
        </is>
      </c>
      <c r="B541" s="18" t="inlineStr">
        <is>
          <t>Plan de trabajo académico</t>
        </is>
      </c>
      <c r="C541" s="18" t="inlineStr">
        <is>
          <t>academic_work_plan</t>
        </is>
      </c>
      <c r="D541" s="18" t="inlineStr">
        <is>
          <t>PtaEvento</t>
        </is>
      </c>
      <c r="E541" s="18" t="n">
        <v>83</v>
      </c>
      <c r="F541" s="18" t="inlineStr">
        <is>
          <t>leidoBackoffice</t>
        </is>
      </c>
      <c r="G541" s="18" t="inlineStr">
        <is>
          <t>boolean</t>
        </is>
      </c>
      <c r="H541" s="18" t="inlineStr">
        <is>
          <t>No</t>
        </is>
      </c>
      <c r="I541" s="18" t="inlineStr"/>
      <c r="J541" s="18" t="inlineStr"/>
      <c r="K541" s="18" t="inlineStr"/>
      <c r="L541" s="18" t="inlineStr">
        <is>
          <t>No</t>
        </is>
      </c>
      <c r="M541" s="18" t="inlineStr">
        <is>
          <t>No</t>
        </is>
      </c>
      <c r="N541" s="18" t="inlineStr"/>
      <c r="O541" s="18" t="inlineStr"/>
      <c r="P541" s="18" t="inlineStr">
        <is>
          <t>Mapeada en academic-work-plan-service/src/pta/entities/pta-evento.entity.ts:44 (PtaEventoEntity.leidoBackoffice)</t>
        </is>
      </c>
      <c r="Q541" s="18" t="inlineStr">
        <is>
          <t>Regla estructural</t>
        </is>
      </c>
      <c r="R541" s="18" t="inlineStr">
        <is>
          <t>Indica si aplica: leidobackoffice.</t>
        </is>
      </c>
      <c r="S541" s="18" t="inlineStr">
        <is>
          <t>Media</t>
        </is>
      </c>
      <c r="T541" s="18" t="inlineStr">
        <is>
          <t>Convención de nombre de la columna.</t>
        </is>
      </c>
      <c r="U541" s="18" t="inlineStr"/>
      <c r="V541" s="19" t="inlineStr">
        <is>
          <t>Pendiente</t>
        </is>
      </c>
      <c r="W541" s="19" t="inlineStr"/>
      <c r="X541" s="19" t="inlineStr"/>
      <c r="Y541" s="20" t="n"/>
      <c r="Z541" s="19" t="inlineStr"/>
      <c r="AA541" s="18">
        <f>IF(OR(V541="Aprobada"),R541,IF(AND(OR(V541="Aprobada con ajuste",V541="Rechazada"),W541&lt;&gt;""),W541,""))</f>
        <v/>
      </c>
    </row>
    <row r="542">
      <c r="A542" s="18" t="inlineStr">
        <is>
          <t>C0541</t>
        </is>
      </c>
      <c r="B542" s="18" t="inlineStr">
        <is>
          <t>Plan de trabajo académico</t>
        </is>
      </c>
      <c r="C542" s="18" t="inlineStr">
        <is>
          <t>academic_work_plan</t>
        </is>
      </c>
      <c r="D542" s="18" t="inlineStr">
        <is>
          <t>PtaEvento</t>
        </is>
      </c>
      <c r="E542" s="18" t="n">
        <v>83</v>
      </c>
      <c r="F542" s="18" t="inlineStr">
        <is>
          <t>leidoPortal</t>
        </is>
      </c>
      <c r="G542" s="18" t="inlineStr">
        <is>
          <t>boolean</t>
        </is>
      </c>
      <c r="H542" s="18" t="inlineStr">
        <is>
          <t>No</t>
        </is>
      </c>
      <c r="I542" s="18" t="inlineStr"/>
      <c r="J542" s="18" t="inlineStr"/>
      <c r="K542" s="18" t="inlineStr"/>
      <c r="L542" s="18" t="inlineStr">
        <is>
          <t>No</t>
        </is>
      </c>
      <c r="M542" s="18" t="inlineStr">
        <is>
          <t>No</t>
        </is>
      </c>
      <c r="N542" s="18" t="inlineStr"/>
      <c r="O542" s="18" t="inlineStr"/>
      <c r="P542" s="18" t="inlineStr">
        <is>
          <t>Mapeada en academic-work-plan-service/src/pta/entities/pta-evento.entity.ts:47 (PtaEventoEntity.leidoPortal)</t>
        </is>
      </c>
      <c r="Q542" s="18" t="inlineStr">
        <is>
          <t>Regla estructural</t>
        </is>
      </c>
      <c r="R542" s="18" t="inlineStr">
        <is>
          <t>Indica si aplica: leidoportal.</t>
        </is>
      </c>
      <c r="S542" s="18" t="inlineStr">
        <is>
          <t>Media</t>
        </is>
      </c>
      <c r="T542" s="18" t="inlineStr">
        <is>
          <t>Convención de nombre de la columna.</t>
        </is>
      </c>
      <c r="U542" s="18" t="inlineStr"/>
      <c r="V542" s="19" t="inlineStr">
        <is>
          <t>Pendiente</t>
        </is>
      </c>
      <c r="W542" s="19" t="inlineStr"/>
      <c r="X542" s="19" t="inlineStr"/>
      <c r="Y542" s="20" t="n"/>
      <c r="Z542" s="19" t="inlineStr"/>
      <c r="AA542" s="18">
        <f>IF(OR(V542="Aprobada"),R542,IF(AND(OR(V542="Aprobada con ajuste",V542="Rechazada"),W542&lt;&gt;""),W542,""))</f>
        <v/>
      </c>
    </row>
    <row r="543">
      <c r="A543" s="18" t="inlineStr">
        <is>
          <t>C0542</t>
        </is>
      </c>
      <c r="B543" s="18" t="inlineStr">
        <is>
          <t>Plan de trabajo académico</t>
        </is>
      </c>
      <c r="C543" s="18" t="inlineStr">
        <is>
          <t>academic_work_plan</t>
        </is>
      </c>
      <c r="D543" s="18" t="inlineStr">
        <is>
          <t>PtaEvento</t>
        </is>
      </c>
      <c r="E543" s="18" t="n">
        <v>83</v>
      </c>
      <c r="F543" s="18" t="inlineStr">
        <is>
          <t>metadata</t>
        </is>
      </c>
      <c r="G543" s="18" t="inlineStr">
        <is>
          <t>jsonb</t>
        </is>
      </c>
      <c r="H543" s="18" t="inlineStr">
        <is>
          <t>Sí</t>
        </is>
      </c>
      <c r="I543" s="18" t="inlineStr"/>
      <c r="J543" s="18" t="inlineStr"/>
      <c r="K543" s="18" t="inlineStr"/>
      <c r="L543" s="18" t="inlineStr">
        <is>
          <t>No</t>
        </is>
      </c>
      <c r="M543" s="18" t="inlineStr">
        <is>
          <t>No</t>
        </is>
      </c>
      <c r="N543" s="18" t="inlineStr"/>
      <c r="O543" s="18" t="inlineStr"/>
      <c r="P543" s="18" t="inlineStr">
        <is>
          <t>Mapeada en academic-work-plan-service/src/pta/entities/pta-evento.entity.ts:50 (PtaEventoEntity.metadata)</t>
        </is>
      </c>
      <c r="Q543" s="18" t="inlineStr">
        <is>
          <t>Regla estructural</t>
        </is>
      </c>
      <c r="R543" s="18" t="inlineStr">
        <is>
          <t>Metadatos adicionales en formato JSON.</t>
        </is>
      </c>
      <c r="S543" s="18" t="inlineStr">
        <is>
          <t>Media</t>
        </is>
      </c>
      <c r="T543" s="18" t="inlineStr">
        <is>
          <t>Convención de nombre de la columna.</t>
        </is>
      </c>
      <c r="U543" s="18" t="inlineStr"/>
      <c r="V543" s="19" t="inlineStr">
        <is>
          <t>Pendiente</t>
        </is>
      </c>
      <c r="W543" s="19" t="inlineStr"/>
      <c r="X543" s="19" t="inlineStr"/>
      <c r="Y543" s="20" t="n"/>
      <c r="Z543" s="19" t="inlineStr"/>
      <c r="AA543" s="18">
        <f>IF(OR(V543="Aprobada"),R543,IF(AND(OR(V543="Aprobada con ajuste",V543="Rechazada"),W543&lt;&gt;""),W543,""))</f>
        <v/>
      </c>
    </row>
    <row r="544">
      <c r="A544" s="18" t="inlineStr">
        <is>
          <t>C0543</t>
        </is>
      </c>
      <c r="B544" s="18" t="inlineStr">
        <is>
          <t>Plan de trabajo académico</t>
        </is>
      </c>
      <c r="C544" s="18" t="inlineStr">
        <is>
          <t>academic_work_plan</t>
        </is>
      </c>
      <c r="D544" s="18" t="inlineStr">
        <is>
          <t>PtaEvidencia</t>
        </is>
      </c>
      <c r="E544" s="18" t="n">
        <v>2</v>
      </c>
      <c r="F544" s="18" t="inlineStr">
        <is>
          <t>nombre</t>
        </is>
      </c>
      <c r="G544" s="18" t="inlineStr">
        <is>
          <t>text</t>
        </is>
      </c>
      <c r="H544" s="18" t="inlineStr">
        <is>
          <t>No</t>
        </is>
      </c>
      <c r="I544" s="18" t="inlineStr"/>
      <c r="J544" s="18" t="inlineStr"/>
      <c r="K544" s="18" t="inlineStr"/>
      <c r="L544" s="18" t="inlineStr">
        <is>
          <t>No</t>
        </is>
      </c>
      <c r="M544" s="18" t="inlineStr">
        <is>
          <t>No</t>
        </is>
      </c>
      <c r="N544" s="18" t="inlineStr"/>
      <c r="O544" s="18" t="inlineStr"/>
      <c r="P544" s="18" t="inlineStr">
        <is>
          <t>Mapeada en academic-work-plan-service/src/pta/entities/pta-evidencia.entity.ts:11 (PtaEvidenciaEntity.nombre)</t>
        </is>
      </c>
      <c r="Q544" s="18" t="inlineStr">
        <is>
          <t>Regla estructural</t>
        </is>
      </c>
      <c r="R544" s="18" t="inlineStr">
        <is>
          <t>Nombre del registro de PtaEvidencia.</t>
        </is>
      </c>
      <c r="S544" s="18" t="inlineStr">
        <is>
          <t>Media</t>
        </is>
      </c>
      <c r="T544" s="18" t="inlineStr">
        <is>
          <t>Convención de nombre de la columna.</t>
        </is>
      </c>
      <c r="U544" s="18" t="inlineStr"/>
      <c r="V544" s="19" t="inlineStr">
        <is>
          <t>Pendiente</t>
        </is>
      </c>
      <c r="W544" s="19" t="inlineStr"/>
      <c r="X544" s="19" t="inlineStr"/>
      <c r="Y544" s="20" t="n"/>
      <c r="Z544" s="19" t="inlineStr"/>
      <c r="AA544" s="18">
        <f>IF(OR(V544="Aprobada"),R544,IF(AND(OR(V544="Aprobada con ajuste",V544="Rechazada"),W544&lt;&gt;""),W544,""))</f>
        <v/>
      </c>
    </row>
    <row r="545">
      <c r="A545" s="18" t="inlineStr">
        <is>
          <t>C0544</t>
        </is>
      </c>
      <c r="B545" s="18" t="inlineStr">
        <is>
          <t>Plan de trabajo académico</t>
        </is>
      </c>
      <c r="C545" s="18" t="inlineStr">
        <is>
          <t>academic_work_plan</t>
        </is>
      </c>
      <c r="D545" s="18" t="inlineStr">
        <is>
          <t>PtaEvidencia</t>
        </is>
      </c>
      <c r="E545" s="18" t="n">
        <v>2</v>
      </c>
      <c r="F545" s="18" t="inlineStr">
        <is>
          <t>tipoArchivo</t>
        </is>
      </c>
      <c r="G545" s="18" t="inlineStr">
        <is>
          <t>text</t>
        </is>
      </c>
      <c r="H545" s="18" t="inlineStr">
        <is>
          <t>No</t>
        </is>
      </c>
      <c r="I545" s="18" t="inlineStr"/>
      <c r="J545" s="18" t="inlineStr"/>
      <c r="K545" s="18" t="inlineStr"/>
      <c r="L545" s="18" t="inlineStr">
        <is>
          <t>No</t>
        </is>
      </c>
      <c r="M545" s="18" t="inlineStr">
        <is>
          <t>No</t>
        </is>
      </c>
      <c r="N545" s="18" t="inlineStr"/>
      <c r="O545" s="18" t="inlineStr"/>
      <c r="P545" s="18" t="inlineStr">
        <is>
          <t>Mapeada en academic-work-plan-service/src/pta/entities/pta-evidencia.entity.ts:14 (PtaEvidenciaEntity.tipoArchivo)</t>
        </is>
      </c>
      <c r="Q545" s="18" t="inlineStr">
        <is>
          <t>Propuesta semántica</t>
        </is>
      </c>
      <c r="R545" s="18" t="inlineStr">
        <is>
          <t>Tipo de archivo de la evidencia.</t>
        </is>
      </c>
      <c r="S545" s="18" t="inlineStr">
        <is>
          <t>Media</t>
        </is>
      </c>
      <c r="T545" s="18" t="inlineStr">
        <is>
          <t>nombre + tipo + columnas vecinas</t>
        </is>
      </c>
      <c r="U545" s="18" t="inlineStr">
        <is>
          <t>¿Guarda el tipo MIME o la extensión?</t>
        </is>
      </c>
      <c r="V545" s="19" t="inlineStr">
        <is>
          <t>Pendiente</t>
        </is>
      </c>
      <c r="W545" s="19" t="inlineStr"/>
      <c r="X545" s="19" t="inlineStr"/>
      <c r="Y545" s="20" t="n"/>
      <c r="Z545" s="19" t="inlineStr"/>
      <c r="AA545" s="18">
        <f>IF(OR(V545="Aprobada"),R545,IF(AND(OR(V545="Aprobada con ajuste",V545="Rechazada"),W545&lt;&gt;""),W545,""))</f>
        <v/>
      </c>
    </row>
    <row r="546">
      <c r="A546" s="18" t="inlineStr">
        <is>
          <t>C0545</t>
        </is>
      </c>
      <c r="B546" s="18" t="inlineStr">
        <is>
          <t>Plan de trabajo académico</t>
        </is>
      </c>
      <c r="C546" s="18" t="inlineStr">
        <is>
          <t>academic_work_plan</t>
        </is>
      </c>
      <c r="D546" s="18" t="inlineStr">
        <is>
          <t>PtaEvidencia</t>
        </is>
      </c>
      <c r="E546" s="18" t="n">
        <v>2</v>
      </c>
      <c r="F546" s="18" t="inlineStr">
        <is>
          <t>tamanioBytes</t>
        </is>
      </c>
      <c r="G546" s="18" t="inlineStr">
        <is>
          <t>integer</t>
        </is>
      </c>
      <c r="H546" s="18" t="inlineStr">
        <is>
          <t>No</t>
        </is>
      </c>
      <c r="I546" s="18" t="inlineStr"/>
      <c r="J546" s="18" t="inlineStr"/>
      <c r="K546" s="18" t="inlineStr"/>
      <c r="L546" s="18" t="inlineStr">
        <is>
          <t>No</t>
        </is>
      </c>
      <c r="M546" s="18" t="inlineStr">
        <is>
          <t>No</t>
        </is>
      </c>
      <c r="N546" s="18" t="inlineStr"/>
      <c r="O546" s="18" t="inlineStr"/>
      <c r="P546" s="18" t="inlineStr">
        <is>
          <t>Mapeada en academic-work-plan-service/src/pta/entities/pta-evidencia.entity.ts:17 (PtaEvidenciaEntity.tamanioBytes)</t>
        </is>
      </c>
      <c r="Q546" s="18" t="inlineStr">
        <is>
          <t>Propuesta semántica</t>
        </is>
      </c>
      <c r="R546" s="18" t="inlineStr">
        <is>
          <t>Tamaño en bytes del archivo de evidencia; por defecto, 0.</t>
        </is>
      </c>
      <c r="S546" s="18" t="inlineStr">
        <is>
          <t>Alta</t>
        </is>
      </c>
      <c r="T546" s="18" t="inlineStr">
        <is>
          <t>nombre + tipo + columnas vecinas + defecto</t>
        </is>
      </c>
      <c r="U546" s="18" t="inlineStr"/>
      <c r="V546" s="19" t="inlineStr">
        <is>
          <t>Pendiente</t>
        </is>
      </c>
      <c r="W546" s="19" t="inlineStr"/>
      <c r="X546" s="19" t="inlineStr"/>
      <c r="Y546" s="20" t="n"/>
      <c r="Z546" s="19" t="inlineStr"/>
      <c r="AA546" s="18">
        <f>IF(OR(V546="Aprobada"),R546,IF(AND(OR(V546="Aprobada con ajuste",V546="Rechazada"),W546&lt;&gt;""),W546,""))</f>
        <v/>
      </c>
    </row>
    <row r="547">
      <c r="A547" s="18" t="inlineStr">
        <is>
          <t>C0546</t>
        </is>
      </c>
      <c r="B547" s="18" t="inlineStr">
        <is>
          <t>Plan de trabajo académico</t>
        </is>
      </c>
      <c r="C547" s="18" t="inlineStr">
        <is>
          <t>academic_work_plan</t>
        </is>
      </c>
      <c r="D547" s="18" t="inlineStr">
        <is>
          <t>PtaEvidencia</t>
        </is>
      </c>
      <c r="E547" s="18" t="n">
        <v>2</v>
      </c>
      <c r="F547" s="18" t="inlineStr">
        <is>
          <t>categoria</t>
        </is>
      </c>
      <c r="G547" s="18" t="inlineStr">
        <is>
          <t>text</t>
        </is>
      </c>
      <c r="H547" s="18" t="inlineStr">
        <is>
          <t>Sí</t>
        </is>
      </c>
      <c r="I547" s="18" t="inlineStr"/>
      <c r="J547" s="18" t="inlineStr"/>
      <c r="K547" s="18" t="inlineStr"/>
      <c r="L547" s="18" t="inlineStr">
        <is>
          <t>No</t>
        </is>
      </c>
      <c r="M547" s="18" t="inlineStr">
        <is>
          <t>No</t>
        </is>
      </c>
      <c r="N547" s="18" t="inlineStr"/>
      <c r="O547" s="18" t="inlineStr"/>
      <c r="P547" s="18" t="inlineStr">
        <is>
          <t>Mapeada en academic-work-plan-service/src/pta/entities/pta-evidencia.entity.ts:20 (PtaEvidenciaEntity.categoria)</t>
        </is>
      </c>
      <c r="Q547" s="18" t="inlineStr">
        <is>
          <t>Propuesta semántica</t>
        </is>
      </c>
      <c r="R547" s="18" t="inlineStr">
        <is>
          <t>Categoría de la evidencia.</t>
        </is>
      </c>
      <c r="S547" s="18" t="inlineStr">
        <is>
          <t>Baja</t>
        </is>
      </c>
      <c r="T547" s="18" t="inlineStr">
        <is>
          <t>nombre + tipo + columnas vecinas</t>
        </is>
      </c>
      <c r="U547" s="18" t="inlineStr">
        <is>
          <t>¿Qué valores toma categoria?</t>
        </is>
      </c>
      <c r="V547" s="19" t="inlineStr">
        <is>
          <t>Pendiente</t>
        </is>
      </c>
      <c r="W547" s="19" t="inlineStr"/>
      <c r="X547" s="19" t="inlineStr"/>
      <c r="Y547" s="20" t="n"/>
      <c r="Z547" s="19" t="inlineStr"/>
      <c r="AA547" s="18">
        <f>IF(OR(V547="Aprobada"),R547,IF(AND(OR(V547="Aprobada con ajuste",V547="Rechazada"),W547&lt;&gt;""),W547,""))</f>
        <v/>
      </c>
    </row>
    <row r="548">
      <c r="A548" s="18" t="inlineStr">
        <is>
          <t>C0547</t>
        </is>
      </c>
      <c r="B548" s="18" t="inlineStr">
        <is>
          <t>Plan de trabajo académico</t>
        </is>
      </c>
      <c r="C548" s="18" t="inlineStr">
        <is>
          <t>academic_work_plan</t>
        </is>
      </c>
      <c r="D548" s="18" t="inlineStr">
        <is>
          <t>PtaEvidencia</t>
        </is>
      </c>
      <c r="E548" s="18" t="n">
        <v>2</v>
      </c>
      <c r="F548" s="18" t="inlineStr">
        <is>
          <t>componentePta</t>
        </is>
      </c>
      <c r="G548" s="18" t="inlineStr">
        <is>
          <t>text</t>
        </is>
      </c>
      <c r="H548" s="18" t="inlineStr">
        <is>
          <t>Sí</t>
        </is>
      </c>
      <c r="I548" s="18" t="inlineStr"/>
      <c r="J548" s="18" t="inlineStr"/>
      <c r="K548" s="18" t="inlineStr"/>
      <c r="L548" s="18" t="inlineStr">
        <is>
          <t>No</t>
        </is>
      </c>
      <c r="M548" s="18" t="inlineStr">
        <is>
          <t>No</t>
        </is>
      </c>
      <c r="N548" s="18" t="inlineStr"/>
      <c r="O548" s="18" t="inlineStr"/>
      <c r="P548" s="18" t="inlineStr">
        <is>
          <t>Mapeada en academic-work-plan-service/src/pta/entities/pta-evidencia.entity.ts:23 (PtaEvidenciaEntity.componentePta)</t>
        </is>
      </c>
      <c r="Q548" s="18" t="inlineStr">
        <is>
          <t>Propuesta semántica</t>
        </is>
      </c>
      <c r="R548" s="18" t="inlineStr">
        <is>
          <t>Componente del plan de trabajo al que corresponde la evidencia.</t>
        </is>
      </c>
      <c r="S548" s="18" t="inlineStr">
        <is>
          <t>Alta</t>
        </is>
      </c>
      <c r="T548" s="18" t="inlineStr">
        <is>
          <t>nombre + tipo + columnas vecinas</t>
        </is>
      </c>
      <c r="U548" s="18" t="inlineStr"/>
      <c r="V548" s="19" t="inlineStr">
        <is>
          <t>Pendiente</t>
        </is>
      </c>
      <c r="W548" s="19" t="inlineStr"/>
      <c r="X548" s="19" t="inlineStr"/>
      <c r="Y548" s="20" t="n"/>
      <c r="Z548" s="19" t="inlineStr"/>
      <c r="AA548" s="18">
        <f>IF(OR(V548="Aprobada"),R548,IF(AND(OR(V548="Aprobada con ajuste",V548="Rechazada"),W548&lt;&gt;""),W548,""))</f>
        <v/>
      </c>
    </row>
    <row r="549">
      <c r="A549" s="18" t="inlineStr">
        <is>
          <t>C0548</t>
        </is>
      </c>
      <c r="B549" s="18" t="inlineStr">
        <is>
          <t>Plan de trabajo académico</t>
        </is>
      </c>
      <c r="C549" s="18" t="inlineStr">
        <is>
          <t>academic_work_plan</t>
        </is>
      </c>
      <c r="D549" s="18" t="inlineStr">
        <is>
          <t>PtaEvidencia</t>
        </is>
      </c>
      <c r="E549" s="18" t="n">
        <v>2</v>
      </c>
      <c r="F549" s="18" t="inlineStr">
        <is>
          <t>horasAvance</t>
        </is>
      </c>
      <c r="G549" s="18" t="inlineStr">
        <is>
          <t>integer</t>
        </is>
      </c>
      <c r="H549" s="18" t="inlineStr">
        <is>
          <t>No</t>
        </is>
      </c>
      <c r="I549" s="18" t="inlineStr"/>
      <c r="J549" s="18" t="inlineStr"/>
      <c r="K549" s="18" t="inlineStr"/>
      <c r="L549" s="18" t="inlineStr">
        <is>
          <t>No</t>
        </is>
      </c>
      <c r="M549" s="18" t="inlineStr">
        <is>
          <t>No</t>
        </is>
      </c>
      <c r="N549" s="18" t="inlineStr"/>
      <c r="O549" s="18" t="inlineStr"/>
      <c r="P549" s="18" t="inlineStr">
        <is>
          <t>Mapeada en academic-work-plan-service/src/pta/entities/pta-evidencia.entity.ts:31 (PtaEvidenciaEntity.horasAvance)</t>
        </is>
      </c>
      <c r="Q549" s="18" t="inlineStr">
        <is>
          <t>Propuesta semántica</t>
        </is>
      </c>
      <c r="R549" s="18" t="inlineStr">
        <is>
          <t>Número de horas de avance que soporta la evidencia; por defecto, 0.</t>
        </is>
      </c>
      <c r="S549" s="18" t="inlineStr">
        <is>
          <t>Media</t>
        </is>
      </c>
      <c r="T549" s="18" t="inlineStr">
        <is>
          <t>nombre + tipo + columnas vecinas + defecto</t>
        </is>
      </c>
      <c r="U549" s="18" t="inlineStr">
        <is>
          <t>¿Las horas de avance se suman al cumplimiento del componente?</t>
        </is>
      </c>
      <c r="V549" s="19" t="inlineStr">
        <is>
          <t>Pendiente</t>
        </is>
      </c>
      <c r="W549" s="19" t="inlineStr"/>
      <c r="X549" s="19" t="inlineStr"/>
      <c r="Y549" s="20" t="n"/>
      <c r="Z549" s="19" t="inlineStr"/>
      <c r="AA549" s="18">
        <f>IF(OR(V549="Aprobada"),R549,IF(AND(OR(V549="Aprobada con ajuste",V549="Rechazada"),W549&lt;&gt;""),W549,""))</f>
        <v/>
      </c>
    </row>
    <row r="550">
      <c r="A550" s="18" t="inlineStr">
        <is>
          <t>C0549</t>
        </is>
      </c>
      <c r="B550" s="18" t="inlineStr">
        <is>
          <t>Plan de trabajo académico</t>
        </is>
      </c>
      <c r="C550" s="18" t="inlineStr">
        <is>
          <t>academic_work_plan</t>
        </is>
      </c>
      <c r="D550" s="18" t="inlineStr">
        <is>
          <t>PtaEvidencia</t>
        </is>
      </c>
      <c r="E550" s="18" t="n">
        <v>2</v>
      </c>
      <c r="F550" s="18" t="inlineStr">
        <is>
          <t>storagePath</t>
        </is>
      </c>
      <c r="G550" s="18" t="inlineStr">
        <is>
          <t>text</t>
        </is>
      </c>
      <c r="H550" s="18" t="inlineStr">
        <is>
          <t>Sí</t>
        </is>
      </c>
      <c r="I550" s="18" t="inlineStr"/>
      <c r="J550" s="18" t="inlineStr"/>
      <c r="K550" s="18" t="inlineStr"/>
      <c r="L550" s="18" t="inlineStr">
        <is>
          <t>No</t>
        </is>
      </c>
      <c r="M550" s="18" t="inlineStr">
        <is>
          <t>No</t>
        </is>
      </c>
      <c r="N550" s="18" t="inlineStr"/>
      <c r="O550" s="18" t="inlineStr"/>
      <c r="P550" s="18" t="inlineStr"/>
      <c r="Q550" s="18" t="inlineStr">
        <is>
          <t>Propuesta semántica</t>
        </is>
      </c>
      <c r="R550" s="18" t="inlineStr">
        <is>
          <t>Ruta del archivo de evidencia en el almacenamiento.</t>
        </is>
      </c>
      <c r="S550" s="18" t="inlineStr">
        <is>
          <t>Alta</t>
        </is>
      </c>
      <c r="T550" s="18" t="inlineStr">
        <is>
          <t>nombre + tipo + columnas vecinas</t>
        </is>
      </c>
      <c r="U550" s="18" t="inlineStr"/>
      <c r="V550" s="19" t="inlineStr">
        <is>
          <t>Pendiente</t>
        </is>
      </c>
      <c r="W550" s="19" t="inlineStr"/>
      <c r="X550" s="19" t="inlineStr"/>
      <c r="Y550" s="20" t="n"/>
      <c r="Z550" s="19" t="inlineStr"/>
      <c r="AA550" s="18">
        <f>IF(OR(V550="Aprobada"),R550,IF(AND(OR(V550="Aprobada con ajuste",V550="Rechazada"),W550&lt;&gt;""),W550,""))</f>
        <v/>
      </c>
    </row>
    <row r="551">
      <c r="A551" s="18" t="inlineStr">
        <is>
          <t>C0550</t>
        </is>
      </c>
      <c r="B551" s="18" t="inlineStr">
        <is>
          <t>Plan de trabajo académico</t>
        </is>
      </c>
      <c r="C551" s="18" t="inlineStr">
        <is>
          <t>academic_work_plan</t>
        </is>
      </c>
      <c r="D551" s="18" t="inlineStr">
        <is>
          <t>PtaEvidencia</t>
        </is>
      </c>
      <c r="E551" s="18" t="n">
        <v>2</v>
      </c>
      <c r="F551" s="18" t="inlineStr">
        <is>
          <t>storageUrl</t>
        </is>
      </c>
      <c r="G551" s="18" t="inlineStr">
        <is>
          <t>text</t>
        </is>
      </c>
      <c r="H551" s="18" t="inlineStr">
        <is>
          <t>Sí</t>
        </is>
      </c>
      <c r="I551" s="18" t="inlineStr"/>
      <c r="J551" s="18" t="inlineStr"/>
      <c r="K551" s="18" t="inlineStr"/>
      <c r="L551" s="18" t="inlineStr">
        <is>
          <t>No</t>
        </is>
      </c>
      <c r="M551" s="18" t="inlineStr">
        <is>
          <t>No</t>
        </is>
      </c>
      <c r="N551" s="18" t="inlineStr"/>
      <c r="O551" s="18" t="inlineStr"/>
      <c r="P551" s="18" t="inlineStr">
        <is>
          <t>Mapeada en academic-work-plan-service/src/pta/entities/pta-evidencia.entity.ts:34 (PtaEvidenciaEntity.storageUrl)</t>
        </is>
      </c>
      <c r="Q551" s="18" t="inlineStr">
        <is>
          <t>Propuesta semántica</t>
        </is>
      </c>
      <c r="R551" s="18" t="inlineStr">
        <is>
          <t>URL de acceso al archivo de evidencia.</t>
        </is>
      </c>
      <c r="S551" s="18" t="inlineStr">
        <is>
          <t>Alta</t>
        </is>
      </c>
      <c r="T551" s="18" t="inlineStr">
        <is>
          <t>nombre + tipo + columnas vecinas</t>
        </is>
      </c>
      <c r="U551" s="18" t="inlineStr"/>
      <c r="V551" s="19" t="inlineStr">
        <is>
          <t>Pendiente</t>
        </is>
      </c>
      <c r="W551" s="19" t="inlineStr"/>
      <c r="X551" s="19" t="inlineStr"/>
      <c r="Y551" s="20" t="n"/>
      <c r="Z551" s="19" t="inlineStr"/>
      <c r="AA551" s="18">
        <f>IF(OR(V551="Aprobada"),R551,IF(AND(OR(V551="Aprobada con ajuste",V551="Rechazada"),W551&lt;&gt;""),W551,""))</f>
        <v/>
      </c>
    </row>
    <row r="552">
      <c r="A552" s="18" t="inlineStr">
        <is>
          <t>C0551</t>
        </is>
      </c>
      <c r="B552" s="18" t="inlineStr">
        <is>
          <t>Plan de trabajo académico</t>
        </is>
      </c>
      <c r="C552" s="18" t="inlineStr">
        <is>
          <t>academic_work_plan</t>
        </is>
      </c>
      <c r="D552" s="18" t="inlineStr">
        <is>
          <t>PtaEvidencia</t>
        </is>
      </c>
      <c r="E552" s="18" t="n">
        <v>2</v>
      </c>
      <c r="F552" s="18" t="inlineStr">
        <is>
          <t>subidoPor</t>
        </is>
      </c>
      <c r="G552" s="18" t="inlineStr">
        <is>
          <t>text</t>
        </is>
      </c>
      <c r="H552" s="18" t="inlineStr">
        <is>
          <t>Sí</t>
        </is>
      </c>
      <c r="I552" s="18" t="inlineStr"/>
      <c r="J552" s="18" t="inlineStr"/>
      <c r="K552" s="18" t="inlineStr"/>
      <c r="L552" s="18" t="inlineStr">
        <is>
          <t>No</t>
        </is>
      </c>
      <c r="M552" s="18" t="inlineStr">
        <is>
          <t>No</t>
        </is>
      </c>
      <c r="N552" s="18" t="inlineStr"/>
      <c r="O552" s="18" t="inlineStr"/>
      <c r="P552" s="18" t="inlineStr">
        <is>
          <t>Mapeada en academic-work-plan-service/src/pta/entities/pta-evidencia.entity.ts:37 (PtaEvidenciaEntity.subidoPor)</t>
        </is>
      </c>
      <c r="Q552" s="18" t="inlineStr">
        <is>
          <t>Propuesta semántica</t>
        </is>
      </c>
      <c r="R552" s="18" t="inlineStr">
        <is>
          <t>Identificador del usuario que cargó la evidencia.</t>
        </is>
      </c>
      <c r="S552" s="18" t="inlineStr">
        <is>
          <t>Media</t>
        </is>
      </c>
      <c r="T552" s="18" t="inlineStr">
        <is>
          <t>nombre + tipo + columnas vecinas</t>
        </is>
      </c>
      <c r="U552" s="18" t="inlineStr">
        <is>
          <t>¿subidoPor guarda el id, el correo o el nombre del usuario?</t>
        </is>
      </c>
      <c r="V552" s="19" t="inlineStr">
        <is>
          <t>Pendiente</t>
        </is>
      </c>
      <c r="W552" s="19" t="inlineStr"/>
      <c r="X552" s="19" t="inlineStr"/>
      <c r="Y552" s="20" t="n"/>
      <c r="Z552" s="19" t="inlineStr"/>
      <c r="AA552" s="18">
        <f>IF(OR(V552="Aprobada"),R552,IF(AND(OR(V552="Aprobada con ajuste",V552="Rechazada"),W552&lt;&gt;""),W552,""))</f>
        <v/>
      </c>
    </row>
    <row r="553">
      <c r="A553" s="18" t="inlineStr">
        <is>
          <t>C0552</t>
        </is>
      </c>
      <c r="B553" s="18" t="inlineStr">
        <is>
          <t>Plan de trabajo académico</t>
        </is>
      </c>
      <c r="C553" s="18" t="inlineStr">
        <is>
          <t>academic_work_plan</t>
        </is>
      </c>
      <c r="D553" s="18" t="inlineStr">
        <is>
          <t>PtaEvidencia</t>
        </is>
      </c>
      <c r="E553" s="18" t="n">
        <v>2</v>
      </c>
      <c r="F553" s="18" t="inlineStr">
        <is>
          <t>descripcion</t>
        </is>
      </c>
      <c r="G553" s="18" t="inlineStr">
        <is>
          <t>text</t>
        </is>
      </c>
      <c r="H553" s="18" t="inlineStr">
        <is>
          <t>Sí</t>
        </is>
      </c>
      <c r="I553" s="18" t="inlineStr"/>
      <c r="J553" s="18" t="inlineStr"/>
      <c r="K553" s="18" t="inlineStr"/>
      <c r="L553" s="18" t="inlineStr">
        <is>
          <t>No</t>
        </is>
      </c>
      <c r="M553" s="18" t="inlineStr">
        <is>
          <t>No</t>
        </is>
      </c>
      <c r="N553" s="18" t="inlineStr"/>
      <c r="O553" s="18" t="inlineStr"/>
      <c r="P553" s="18" t="inlineStr">
        <is>
          <t>Mapeada en academic-work-plan-service/src/pta/entities/pta-evidencia.entity.ts:40 (PtaEvidenciaEntity.descripcion)</t>
        </is>
      </c>
      <c r="Q553" s="18" t="inlineStr">
        <is>
          <t>Regla estructural</t>
        </is>
      </c>
      <c r="R553" s="18" t="inlineStr">
        <is>
          <t>Descripción del registro de PtaEvidencia.</t>
        </is>
      </c>
      <c r="S553" s="18" t="inlineStr">
        <is>
          <t>Media</t>
        </is>
      </c>
      <c r="T553" s="18" t="inlineStr">
        <is>
          <t>Convención de nombre de la columna.</t>
        </is>
      </c>
      <c r="U553" s="18" t="inlineStr"/>
      <c r="V553" s="19" t="inlineStr">
        <is>
          <t>Pendiente</t>
        </is>
      </c>
      <c r="W553" s="19" t="inlineStr"/>
      <c r="X553" s="19" t="inlineStr"/>
      <c r="Y553" s="20" t="n"/>
      <c r="Z553" s="19" t="inlineStr"/>
      <c r="AA553" s="18">
        <f>IF(OR(V553="Aprobada"),R553,IF(AND(OR(V553="Aprobada con ajuste",V553="Rechazada"),W553&lt;&gt;""),W553,""))</f>
        <v/>
      </c>
    </row>
    <row r="554">
      <c r="A554" s="18" t="inlineStr">
        <is>
          <t>C0553</t>
        </is>
      </c>
      <c r="B554" s="18" t="inlineStr">
        <is>
          <t>Plan de trabajo académico</t>
        </is>
      </c>
      <c r="C554" s="18" t="inlineStr">
        <is>
          <t>academic_work_plan</t>
        </is>
      </c>
      <c r="D554" s="18" t="inlineStr">
        <is>
          <t>PtaEvidencia</t>
        </is>
      </c>
      <c r="E554" s="18" t="n">
        <v>2</v>
      </c>
      <c r="F554" s="18" t="inlineStr">
        <is>
          <t>estado</t>
        </is>
      </c>
      <c r="G554" s="18" t="inlineStr">
        <is>
          <t>text</t>
        </is>
      </c>
      <c r="H554" s="18" t="inlineStr">
        <is>
          <t>No</t>
        </is>
      </c>
      <c r="I554" s="18" t="inlineStr"/>
      <c r="J554" s="18" t="inlineStr"/>
      <c r="K554" s="18" t="inlineStr"/>
      <c r="L554" s="18" t="inlineStr">
        <is>
          <t>No</t>
        </is>
      </c>
      <c r="M554" s="18" t="inlineStr">
        <is>
          <t>No</t>
        </is>
      </c>
      <c r="N554" s="18" t="inlineStr"/>
      <c r="O554" s="18" t="inlineStr"/>
      <c r="P554" s="18" t="inlineStr">
        <is>
          <t>Mapeada en academic-work-plan-service/src/pta/entities/pta-evidencia.entity.ts:43 (PtaEvidenciaEntity.estado)</t>
        </is>
      </c>
      <c r="Q554" s="18" t="inlineStr">
        <is>
          <t>Regla estructural</t>
        </is>
      </c>
      <c r="R554" s="18" t="inlineStr">
        <is>
          <t>Estado del registro de PtaEvidencia.</t>
        </is>
      </c>
      <c r="S554" s="18" t="inlineStr">
        <is>
          <t>Media</t>
        </is>
      </c>
      <c r="T554" s="18" t="inlineStr">
        <is>
          <t>Convención de nombre de la columna.</t>
        </is>
      </c>
      <c r="U554" s="18" t="inlineStr"/>
      <c r="V554" s="19" t="inlineStr">
        <is>
          <t>Pendiente</t>
        </is>
      </c>
      <c r="W554" s="19" t="inlineStr"/>
      <c r="X554" s="19" t="inlineStr"/>
      <c r="Y554" s="20" t="n"/>
      <c r="Z554" s="19" t="inlineStr"/>
      <c r="AA554" s="18">
        <f>IF(OR(V554="Aprobada"),R554,IF(AND(OR(V554="Aprobada con ajuste",V554="Rechazada"),W554&lt;&gt;""),W554,""))</f>
        <v/>
      </c>
    </row>
    <row r="555">
      <c r="A555" s="18" t="inlineStr">
        <is>
          <t>C0554</t>
        </is>
      </c>
      <c r="B555" s="18" t="inlineStr">
        <is>
          <t>Plan de trabajo académico</t>
        </is>
      </c>
      <c r="C555" s="18" t="inlineStr">
        <is>
          <t>academic_work_plan</t>
        </is>
      </c>
      <c r="D555" s="18" t="inlineStr">
        <is>
          <t>PtaEvidencia</t>
        </is>
      </c>
      <c r="E555" s="18" t="n">
        <v>2</v>
      </c>
      <c r="F555" s="18" t="inlineStr">
        <is>
          <t>estadoRevision</t>
        </is>
      </c>
      <c r="G555" s="18" t="inlineStr">
        <is>
          <t>text</t>
        </is>
      </c>
      <c r="H555" s="18" t="inlineStr">
        <is>
          <t>No</t>
        </is>
      </c>
      <c r="I555" s="18" t="inlineStr"/>
      <c r="J555" s="18" t="inlineStr"/>
      <c r="K555" s="18" t="inlineStr"/>
      <c r="L555" s="18" t="inlineStr">
        <is>
          <t>No</t>
        </is>
      </c>
      <c r="M555" s="18" t="inlineStr">
        <is>
          <t>No</t>
        </is>
      </c>
      <c r="N555" s="18" t="inlineStr"/>
      <c r="O555" s="18" t="inlineStr">
        <is>
          <t>PtaEvidencia_estadoRevision_idx</t>
        </is>
      </c>
      <c r="P555" s="18" t="inlineStr">
        <is>
          <t>Mapeada en academic-work-plan-service/src/pta/entities/pta-evidencia.entity.ts:46 (PtaEvidenciaEntity.estadoRevision)</t>
        </is>
      </c>
      <c r="Q555" s="18" t="inlineStr">
        <is>
          <t>Propuesta semántica</t>
        </is>
      </c>
      <c r="R555" s="18" t="inlineStr">
        <is>
          <t>Estado de revisión de la evidencia; por defecto, «pendiente».</t>
        </is>
      </c>
      <c r="S555" s="18" t="inlineStr">
        <is>
          <t>Media</t>
        </is>
      </c>
      <c r="T555" s="18" t="inlineStr">
        <is>
          <t>nombre + tipo + columnas vecinas + defecto</t>
        </is>
      </c>
      <c r="U555" s="18" t="inlineStr">
        <is>
          <t>¿Qué otros valores toma estadoRevision y en qué se diferencia de estado?</t>
        </is>
      </c>
      <c r="V555" s="19" t="inlineStr">
        <is>
          <t>Pendiente</t>
        </is>
      </c>
      <c r="W555" s="19" t="inlineStr"/>
      <c r="X555" s="19" t="inlineStr"/>
      <c r="Y555" s="20" t="n"/>
      <c r="Z555" s="19" t="inlineStr"/>
      <c r="AA555" s="18">
        <f>IF(OR(V555="Aprobada"),R555,IF(AND(OR(V555="Aprobada con ajuste",V555="Rechazada"),W555&lt;&gt;""),W555,""))</f>
        <v/>
      </c>
    </row>
    <row r="556">
      <c r="A556" s="18" t="inlineStr">
        <is>
          <t>C0555</t>
        </is>
      </c>
      <c r="B556" s="18" t="inlineStr">
        <is>
          <t>Plan de trabajo académico</t>
        </is>
      </c>
      <c r="C556" s="18" t="inlineStr">
        <is>
          <t>academic_work_plan</t>
        </is>
      </c>
      <c r="D556" s="18" t="inlineStr">
        <is>
          <t>PtaEvidencia</t>
        </is>
      </c>
      <c r="E556" s="18" t="n">
        <v>2</v>
      </c>
      <c r="F556" s="18" t="inlineStr">
        <is>
          <t>revisadoPor</t>
        </is>
      </c>
      <c r="G556" s="18" t="inlineStr">
        <is>
          <t>text</t>
        </is>
      </c>
      <c r="H556" s="18" t="inlineStr">
        <is>
          <t>Sí</t>
        </is>
      </c>
      <c r="I556" s="18" t="inlineStr"/>
      <c r="J556" s="18" t="inlineStr"/>
      <c r="K556" s="18" t="inlineStr"/>
      <c r="L556" s="18" t="inlineStr">
        <is>
          <t>No</t>
        </is>
      </c>
      <c r="M556" s="18" t="inlineStr">
        <is>
          <t>No</t>
        </is>
      </c>
      <c r="N556" s="18" t="inlineStr"/>
      <c r="O556" s="18" t="inlineStr"/>
      <c r="P556" s="18" t="inlineStr">
        <is>
          <t>Mapeada en academic-work-plan-service/src/pta/entities/pta-evidencia.entity.ts:49 (PtaEvidenciaEntity.revisadoPor)</t>
        </is>
      </c>
      <c r="Q556" s="18" t="inlineStr">
        <is>
          <t>Propuesta semántica</t>
        </is>
      </c>
      <c r="R556" s="18" t="inlineStr">
        <is>
          <t>Identificador del usuario que revisó la evidencia.</t>
        </is>
      </c>
      <c r="S556" s="18" t="inlineStr">
        <is>
          <t>Media</t>
        </is>
      </c>
      <c r="T556" s="18" t="inlineStr">
        <is>
          <t>nombre + tipo + columnas vecinas</t>
        </is>
      </c>
      <c r="U556" s="18" t="inlineStr">
        <is>
          <t>¿revisadoPor guarda el id, el correo o el nombre del usuario?</t>
        </is>
      </c>
      <c r="V556" s="19" t="inlineStr">
        <is>
          <t>Pendiente</t>
        </is>
      </c>
      <c r="W556" s="19" t="inlineStr"/>
      <c r="X556" s="19" t="inlineStr"/>
      <c r="Y556" s="20" t="n"/>
      <c r="Z556" s="19" t="inlineStr"/>
      <c r="AA556" s="18">
        <f>IF(OR(V556="Aprobada"),R556,IF(AND(OR(V556="Aprobada con ajuste",V556="Rechazada"),W556&lt;&gt;""),W556,""))</f>
        <v/>
      </c>
    </row>
    <row r="557">
      <c r="A557" s="18" t="inlineStr">
        <is>
          <t>C0556</t>
        </is>
      </c>
      <c r="B557" s="18" t="inlineStr">
        <is>
          <t>Plan de trabajo académico</t>
        </is>
      </c>
      <c r="C557" s="18" t="inlineStr">
        <is>
          <t>academic_work_plan</t>
        </is>
      </c>
      <c r="D557" s="18" t="inlineStr">
        <is>
          <t>PtaEvidencia</t>
        </is>
      </c>
      <c r="E557" s="18" t="n">
        <v>2</v>
      </c>
      <c r="F557" s="18" t="inlineStr">
        <is>
          <t>fechaRevision</t>
        </is>
      </c>
      <c r="G557" s="18" t="inlineStr">
        <is>
          <t>timestamp with time zone</t>
        </is>
      </c>
      <c r="H557" s="18" t="inlineStr">
        <is>
          <t>Sí</t>
        </is>
      </c>
      <c r="I557" s="18" t="inlineStr"/>
      <c r="J557" s="18" t="inlineStr"/>
      <c r="K557" s="18" t="inlineStr"/>
      <c r="L557" s="18" t="inlineStr">
        <is>
          <t>No</t>
        </is>
      </c>
      <c r="M557" s="18" t="inlineStr">
        <is>
          <t>No</t>
        </is>
      </c>
      <c r="N557" s="18" t="inlineStr"/>
      <c r="O557" s="18" t="inlineStr"/>
      <c r="P557" s="18" t="inlineStr"/>
      <c r="Q557" s="18" t="inlineStr">
        <is>
          <t>Propuesta semántica</t>
        </is>
      </c>
      <c r="R557" s="18" t="inlineStr">
        <is>
          <t>Fecha y hora de revisión de la evidencia.</t>
        </is>
      </c>
      <c r="S557" s="18" t="inlineStr">
        <is>
          <t>Alta</t>
        </is>
      </c>
      <c r="T557" s="18" t="inlineStr">
        <is>
          <t>nombre + tipo + columnas vecinas</t>
        </is>
      </c>
      <c r="U557" s="18" t="inlineStr"/>
      <c r="V557" s="19" t="inlineStr">
        <is>
          <t>Pendiente</t>
        </is>
      </c>
      <c r="W557" s="19" t="inlineStr"/>
      <c r="X557" s="19" t="inlineStr"/>
      <c r="Y557" s="20" t="n"/>
      <c r="Z557" s="19" t="inlineStr"/>
      <c r="AA557" s="18">
        <f>IF(OR(V557="Aprobada"),R557,IF(AND(OR(V557="Aprobada con ajuste",V557="Rechazada"),W557&lt;&gt;""),W557,""))</f>
        <v/>
      </c>
    </row>
    <row r="558">
      <c r="A558" s="18" t="inlineStr">
        <is>
          <t>C0557</t>
        </is>
      </c>
      <c r="B558" s="18" t="inlineStr">
        <is>
          <t>Plan de trabajo académico</t>
        </is>
      </c>
      <c r="C558" s="18" t="inlineStr">
        <is>
          <t>academic_work_plan</t>
        </is>
      </c>
      <c r="D558" s="18" t="inlineStr">
        <is>
          <t>PtaEvidencia</t>
        </is>
      </c>
      <c r="E558" s="18" t="n">
        <v>2</v>
      </c>
      <c r="F558" s="18" t="inlineStr">
        <is>
          <t>comentarioRevision</t>
        </is>
      </c>
      <c r="G558" s="18" t="inlineStr">
        <is>
          <t>text</t>
        </is>
      </c>
      <c r="H558" s="18" t="inlineStr">
        <is>
          <t>Sí</t>
        </is>
      </c>
      <c r="I558" s="18" t="inlineStr"/>
      <c r="J558" s="18" t="inlineStr"/>
      <c r="K558" s="18" t="inlineStr"/>
      <c r="L558" s="18" t="inlineStr">
        <is>
          <t>No</t>
        </is>
      </c>
      <c r="M558" s="18" t="inlineStr">
        <is>
          <t>No</t>
        </is>
      </c>
      <c r="N558" s="18" t="inlineStr"/>
      <c r="O558" s="18" t="inlineStr"/>
      <c r="P558" s="18" t="inlineStr">
        <is>
          <t>Mapeada en academic-work-plan-service/src/pta/entities/pta-evidencia.entity.ts:52 (PtaEvidenciaEntity.comentarioRevision)</t>
        </is>
      </c>
      <c r="Q558" s="18" t="inlineStr">
        <is>
          <t>Propuesta semántica</t>
        </is>
      </c>
      <c r="R558" s="18" t="inlineStr">
        <is>
          <t>Comentario del revisor sobre la evidencia.</t>
        </is>
      </c>
      <c r="S558" s="18" t="inlineStr">
        <is>
          <t>Alta</t>
        </is>
      </c>
      <c r="T558" s="18" t="inlineStr">
        <is>
          <t>nombre + tipo + columnas vecinas</t>
        </is>
      </c>
      <c r="U558" s="18" t="inlineStr"/>
      <c r="V558" s="19" t="inlineStr">
        <is>
          <t>Pendiente</t>
        </is>
      </c>
      <c r="W558" s="19" t="inlineStr"/>
      <c r="X558" s="19" t="inlineStr"/>
      <c r="Y558" s="20" t="n"/>
      <c r="Z558" s="19" t="inlineStr"/>
      <c r="AA558" s="18">
        <f>IF(OR(V558="Aprobada"),R558,IF(AND(OR(V558="Aprobada con ajuste",V558="Rechazada"),W558&lt;&gt;""),W558,""))</f>
        <v/>
      </c>
    </row>
    <row r="559">
      <c r="A559" s="18" t="inlineStr">
        <is>
          <t>C0558</t>
        </is>
      </c>
      <c r="B559" s="18" t="inlineStr">
        <is>
          <t>Plan de trabajo académico</t>
        </is>
      </c>
      <c r="C559" s="18" t="inlineStr">
        <is>
          <t>academic_work_plan</t>
        </is>
      </c>
      <c r="D559" s="18" t="inlineStr">
        <is>
          <t>PtaEvidencia</t>
        </is>
      </c>
      <c r="E559" s="18" t="n">
        <v>2</v>
      </c>
      <c r="F559" s="18" t="inlineStr">
        <is>
          <t>seccionExtension</t>
        </is>
      </c>
      <c r="G559" s="18" t="inlineStr">
        <is>
          <t>text</t>
        </is>
      </c>
      <c r="H559" s="18" t="inlineStr">
        <is>
          <t>Sí</t>
        </is>
      </c>
      <c r="I559" s="18" t="inlineStr"/>
      <c r="J559" s="18" t="inlineStr"/>
      <c r="K559" s="18" t="inlineStr"/>
      <c r="L559" s="18" t="inlineStr">
        <is>
          <t>No</t>
        </is>
      </c>
      <c r="M559" s="18" t="inlineStr">
        <is>
          <t>No</t>
        </is>
      </c>
      <c r="N559" s="18" t="inlineStr"/>
      <c r="O559" s="18" t="inlineStr"/>
      <c r="P559" s="18" t="inlineStr">
        <is>
          <t>academic-work-plan-service/src/pta/entities/pta-evidencia.entity.ts:28: Sección de extensión (solo cuando componentePta = 'extension'): 'capacitacion' | 'seleccion' | 'fortalecimiento' | 'alto_gobierno'. NULL en el resto.</t>
        </is>
      </c>
      <c r="Q559" s="18" t="inlineStr">
        <is>
          <t>Código fuente</t>
        </is>
      </c>
      <c r="R559" s="18" t="inlineStr">
        <is>
          <t>Sección de extensión de la evidencia, solo cuando componentePta es extension. Valores previstos: capacitacion, seleccion, fortalecimiento, alto_gobierno; nulo en los demás casos.</t>
        </is>
      </c>
      <c r="S559" s="18" t="inlineStr">
        <is>
          <t>Alta</t>
        </is>
      </c>
      <c r="T559" s="18" t="inlineStr">
        <is>
          <t>código: academic-work-plan-service/src/pta/entities/pta-evidencia.entity.ts:28</t>
        </is>
      </c>
      <c r="U559" s="18" t="inlineStr"/>
      <c r="V559" s="19" t="inlineStr">
        <is>
          <t>Pendiente</t>
        </is>
      </c>
      <c r="W559" s="19" t="inlineStr"/>
      <c r="X559" s="19" t="inlineStr"/>
      <c r="Y559" s="20" t="n"/>
      <c r="Z559" s="19" t="inlineStr"/>
      <c r="AA559" s="18">
        <f>IF(OR(V559="Aprobada"),R559,IF(AND(OR(V559="Aprobada con ajuste",V559="Rechazada"),W559&lt;&gt;""),W559,""))</f>
        <v/>
      </c>
    </row>
    <row r="560">
      <c r="A560" s="18" t="inlineStr">
        <is>
          <t>C0559</t>
        </is>
      </c>
      <c r="B560" s="18" t="inlineStr">
        <is>
          <t>Plan de trabajo académico</t>
        </is>
      </c>
      <c r="C560" s="18" t="inlineStr">
        <is>
          <t>academic_work_plan</t>
        </is>
      </c>
      <c r="D560" s="18" t="inlineStr">
        <is>
          <t>PtaTerritorialApproval</t>
        </is>
      </c>
      <c r="E560" s="18" t="n">
        <v>3</v>
      </c>
      <c r="F560" s="18" t="inlineStr">
        <is>
          <t>territorial_id</t>
        </is>
      </c>
      <c r="G560" s="18" t="inlineStr">
        <is>
          <t>text</t>
        </is>
      </c>
      <c r="H560" s="18" t="inlineStr">
        <is>
          <t>No</t>
        </is>
      </c>
      <c r="I560" s="18" t="inlineStr"/>
      <c r="J560" s="18" t="inlineStr"/>
      <c r="K560" s="18" t="inlineStr"/>
      <c r="L560" s="18" t="inlineStr">
        <is>
          <t>No</t>
        </is>
      </c>
      <c r="M560" s="18" t="inlineStr">
        <is>
          <t>No</t>
        </is>
      </c>
      <c r="N560" s="18" t="inlineStr"/>
      <c r="O560" s="18" t="inlineStr">
        <is>
          <t>uq_pta_territorial_componente_nivel</t>
        </is>
      </c>
      <c r="P560" s="18" t="inlineStr">
        <is>
          <t>Mapeada en academic-work-plan-service/src/pta/entities/pta-territorial-approval.entity.ts:41 (PtaTerritorialApprovalEntity.territorialId)</t>
        </is>
      </c>
      <c r="Q560" s="18" t="inlineStr">
        <is>
          <t>Propuesta semántica</t>
        </is>
      </c>
      <c r="R560" s="18" t="inlineStr">
        <is>
          <t>Identificador de la territorial que emite la aprobación.</t>
        </is>
      </c>
      <c r="S560" s="18" t="inlineStr">
        <is>
          <t>Media</t>
        </is>
      </c>
      <c r="T560" s="18" t="inlineStr">
        <is>
          <t>nombre + tipo + columnas vecinas + índice único (componente, nivel)</t>
        </is>
      </c>
      <c r="U560" s="18" t="inlineStr">
        <is>
          <t>¿A qué tabla apunta territorial_id?</t>
        </is>
      </c>
      <c r="V560" s="19" t="inlineStr">
        <is>
          <t>Pendiente</t>
        </is>
      </c>
      <c r="W560" s="19" t="inlineStr"/>
      <c r="X560" s="19" t="inlineStr"/>
      <c r="Y560" s="20" t="n"/>
      <c r="Z560" s="19" t="inlineStr"/>
      <c r="AA560" s="18">
        <f>IF(OR(V560="Aprobada"),R560,IF(AND(OR(V560="Aprobada con ajuste",V560="Rechazada"),W560&lt;&gt;""),W560,""))</f>
        <v/>
      </c>
    </row>
    <row r="561">
      <c r="A561" s="18" t="inlineStr">
        <is>
          <t>C0560</t>
        </is>
      </c>
      <c r="B561" s="18" t="inlineStr">
        <is>
          <t>Plan de trabajo académico</t>
        </is>
      </c>
      <c r="C561" s="18" t="inlineStr">
        <is>
          <t>academic_work_plan</t>
        </is>
      </c>
      <c r="D561" s="18" t="inlineStr">
        <is>
          <t>PtaTerritorialApproval</t>
        </is>
      </c>
      <c r="E561" s="18" t="n">
        <v>3</v>
      </c>
      <c r="F561" s="18" t="inlineStr">
        <is>
          <t>territorial_nombre</t>
        </is>
      </c>
      <c r="G561" s="18" t="inlineStr">
        <is>
          <t>text</t>
        </is>
      </c>
      <c r="H561" s="18" t="inlineStr">
        <is>
          <t>Sí</t>
        </is>
      </c>
      <c r="I561" s="18" t="inlineStr"/>
      <c r="J561" s="18" t="inlineStr"/>
      <c r="K561" s="18" t="inlineStr"/>
      <c r="L561" s="18" t="inlineStr">
        <is>
          <t>No</t>
        </is>
      </c>
      <c r="M561" s="18" t="inlineStr">
        <is>
          <t>No</t>
        </is>
      </c>
      <c r="N561" s="18" t="inlineStr"/>
      <c r="O561" s="18" t="inlineStr"/>
      <c r="P561" s="18" t="inlineStr">
        <is>
          <t>Mapeada en academic-work-plan-service/src/pta/entities/pta-territorial-approval.entity.ts:44 (PtaTerritorialApprovalEntity.territorialNombre)</t>
        </is>
      </c>
      <c r="Q561" s="18" t="inlineStr">
        <is>
          <t>Propuesta semántica</t>
        </is>
      </c>
      <c r="R561" s="18" t="inlineStr">
        <is>
          <t>Nombre de la territorial que emite la aprobación.</t>
        </is>
      </c>
      <c r="S561" s="18" t="inlineStr">
        <is>
          <t>Alta</t>
        </is>
      </c>
      <c r="T561" s="18" t="inlineStr">
        <is>
          <t>nombre + tipo + columnas vecinas</t>
        </is>
      </c>
      <c r="U561" s="18" t="inlineStr"/>
      <c r="V561" s="19" t="inlineStr">
        <is>
          <t>Pendiente</t>
        </is>
      </c>
      <c r="W561" s="19" t="inlineStr"/>
      <c r="X561" s="19" t="inlineStr"/>
      <c r="Y561" s="20" t="n"/>
      <c r="Z561" s="19" t="inlineStr"/>
      <c r="AA561" s="18">
        <f>IF(OR(V561="Aprobada"),R561,IF(AND(OR(V561="Aprobada con ajuste",V561="Rechazada"),W561&lt;&gt;""),W561,""))</f>
        <v/>
      </c>
    </row>
    <row r="562">
      <c r="A562" s="18" t="inlineStr">
        <is>
          <t>C0561</t>
        </is>
      </c>
      <c r="B562" s="18" t="inlineStr">
        <is>
          <t>Plan de trabajo académico</t>
        </is>
      </c>
      <c r="C562" s="18" t="inlineStr">
        <is>
          <t>academic_work_plan</t>
        </is>
      </c>
      <c r="D562" s="18" t="inlineStr">
        <is>
          <t>PtaTerritorialApproval</t>
        </is>
      </c>
      <c r="E562" s="18" t="n">
        <v>3</v>
      </c>
      <c r="F562" s="18" t="inlineStr">
        <is>
          <t>estado</t>
        </is>
      </c>
      <c r="G562" s="18" t="inlineStr">
        <is>
          <t>character varying(50)</t>
        </is>
      </c>
      <c r="H562" s="18" t="inlineStr">
        <is>
          <t>No</t>
        </is>
      </c>
      <c r="I562" s="18" t="inlineStr"/>
      <c r="J562" s="18" t="inlineStr"/>
      <c r="K562" s="18" t="inlineStr"/>
      <c r="L562" s="18" t="inlineStr">
        <is>
          <t>No</t>
        </is>
      </c>
      <c r="M562" s="18" t="inlineStr">
        <is>
          <t>No</t>
        </is>
      </c>
      <c r="N562" s="18" t="inlineStr"/>
      <c r="O562" s="18" t="inlineStr"/>
      <c r="P562" s="18" t="inlineStr">
        <is>
          <t>academic-work-plan-service/src/pta/entities/pta-territorial-approval.entity.ts:53: pendiente | aprobado | devuelto | db/migrations/396_create_pta_territorial_approval.sql:27: 'pendiente', 'aprobado', 'devuelto'</t>
        </is>
      </c>
      <c r="Q562" s="18" t="inlineStr">
        <is>
          <t>Código fuente</t>
        </is>
      </c>
      <c r="R562" s="18" t="inlineStr">
        <is>
          <t>Estado de la aprobación territorial del PTA. Valores previstos: pendiente, aprobado, devuelto; por defecto pendiente.</t>
        </is>
      </c>
      <c r="S562" s="18" t="inlineStr">
        <is>
          <t>Alta</t>
        </is>
      </c>
      <c r="T562" s="18" t="inlineStr">
        <is>
          <t>código: academic-work-plan-service/src/pta/entities/pta-territorial-approval.entity.ts:53</t>
        </is>
      </c>
      <c r="U562" s="18" t="inlineStr"/>
      <c r="V562" s="19" t="inlineStr">
        <is>
          <t>Pendiente</t>
        </is>
      </c>
      <c r="W562" s="19" t="inlineStr"/>
      <c r="X562" s="19" t="inlineStr"/>
      <c r="Y562" s="20" t="n"/>
      <c r="Z562" s="19" t="inlineStr"/>
      <c r="AA562" s="18">
        <f>IF(OR(V562="Aprobada"),R562,IF(AND(OR(V562="Aprobada con ajuste",V562="Rechazada"),W562&lt;&gt;""),W562,""))</f>
        <v/>
      </c>
    </row>
    <row r="563">
      <c r="A563" s="18" t="inlineStr">
        <is>
          <t>C0562</t>
        </is>
      </c>
      <c r="B563" s="18" t="inlineStr">
        <is>
          <t>Plan de trabajo académico</t>
        </is>
      </c>
      <c r="C563" s="18" t="inlineStr">
        <is>
          <t>academic_work_plan</t>
        </is>
      </c>
      <c r="D563" s="18" t="inlineStr">
        <is>
          <t>PtaTerritorialApproval</t>
        </is>
      </c>
      <c r="E563" s="18" t="n">
        <v>3</v>
      </c>
      <c r="F563" s="18" t="inlineStr">
        <is>
          <t>actor_id</t>
        </is>
      </c>
      <c r="G563" s="18" t="inlineStr">
        <is>
          <t>character varying(100)</t>
        </is>
      </c>
      <c r="H563" s="18" t="inlineStr">
        <is>
          <t>Sí</t>
        </is>
      </c>
      <c r="I563" s="18" t="inlineStr"/>
      <c r="J563" s="18" t="inlineStr"/>
      <c r="K563" s="18" t="inlineStr"/>
      <c r="L563" s="18" t="inlineStr">
        <is>
          <t>No</t>
        </is>
      </c>
      <c r="M563" s="18" t="inlineStr">
        <is>
          <t>No</t>
        </is>
      </c>
      <c r="N563" s="18" t="inlineStr"/>
      <c r="O563" s="18" t="inlineStr"/>
      <c r="P563" s="18" t="inlineStr">
        <is>
          <t>Mapeada en academic-work-plan-service/src/pta/entities/pta-territorial-approval.entity.ts:56 (PtaTerritorialApprovalEntity.actorId)</t>
        </is>
      </c>
      <c r="Q563" s="18" t="inlineStr">
        <is>
          <t>Propuesta semántica</t>
        </is>
      </c>
      <c r="R563" s="18" t="inlineStr">
        <is>
          <t>Identificador del usuario que registra la decisión territorial.</t>
        </is>
      </c>
      <c r="S563" s="18" t="inlineStr">
        <is>
          <t>Media</t>
        </is>
      </c>
      <c r="T563" s="18" t="inlineStr">
        <is>
          <t>nombre + tipo + columnas vecinas</t>
        </is>
      </c>
      <c r="U563" s="18" t="inlineStr">
        <is>
          <t>¿A qué tabla de usuarios corresponde actor_id?</t>
        </is>
      </c>
      <c r="V563" s="19" t="inlineStr">
        <is>
          <t>Pendiente</t>
        </is>
      </c>
      <c r="W563" s="19" t="inlineStr"/>
      <c r="X563" s="19" t="inlineStr"/>
      <c r="Y563" s="20" t="n"/>
      <c r="Z563" s="19" t="inlineStr"/>
      <c r="AA563" s="18">
        <f>IF(OR(V563="Aprobada"),R563,IF(AND(OR(V563="Aprobada con ajuste",V563="Rechazada"),W563&lt;&gt;""),W563,""))</f>
        <v/>
      </c>
    </row>
    <row r="564">
      <c r="A564" s="18" t="inlineStr">
        <is>
          <t>C0563</t>
        </is>
      </c>
      <c r="B564" s="18" t="inlineStr">
        <is>
          <t>Plan de trabajo académico</t>
        </is>
      </c>
      <c r="C564" s="18" t="inlineStr">
        <is>
          <t>academic_work_plan</t>
        </is>
      </c>
      <c r="D564" s="18" t="inlineStr">
        <is>
          <t>PtaTerritorialApproval</t>
        </is>
      </c>
      <c r="E564" s="18" t="n">
        <v>3</v>
      </c>
      <c r="F564" s="18" t="inlineStr">
        <is>
          <t>actor_nombre</t>
        </is>
      </c>
      <c r="G564" s="18" t="inlineStr">
        <is>
          <t>character varying(200)</t>
        </is>
      </c>
      <c r="H564" s="18" t="inlineStr">
        <is>
          <t>Sí</t>
        </is>
      </c>
      <c r="I564" s="18" t="inlineStr"/>
      <c r="J564" s="18" t="inlineStr"/>
      <c r="K564" s="18" t="inlineStr"/>
      <c r="L564" s="18" t="inlineStr">
        <is>
          <t>No</t>
        </is>
      </c>
      <c r="M564" s="18" t="inlineStr">
        <is>
          <t>No</t>
        </is>
      </c>
      <c r="N564" s="18" t="inlineStr"/>
      <c r="O564" s="18" t="inlineStr"/>
      <c r="P564" s="18" t="inlineStr">
        <is>
          <t>Mapeada en academic-work-plan-service/src/pta/entities/pta-territorial-approval.entity.ts:59 (PtaTerritorialApprovalEntity.actorNombre)</t>
        </is>
      </c>
      <c r="Q564" s="18" t="inlineStr">
        <is>
          <t>Propuesta semántica</t>
        </is>
      </c>
      <c r="R564" s="18" t="inlineStr">
        <is>
          <t>Nombre del usuario que registra la decisión territorial.</t>
        </is>
      </c>
      <c r="S564" s="18" t="inlineStr">
        <is>
          <t>Alta</t>
        </is>
      </c>
      <c r="T564" s="18" t="inlineStr">
        <is>
          <t>nombre + tipo + columnas vecinas</t>
        </is>
      </c>
      <c r="U564" s="18" t="inlineStr"/>
      <c r="V564" s="19" t="inlineStr">
        <is>
          <t>Pendiente</t>
        </is>
      </c>
      <c r="W564" s="19" t="inlineStr"/>
      <c r="X564" s="19" t="inlineStr"/>
      <c r="Y564" s="20" t="n"/>
      <c r="Z564" s="19" t="inlineStr"/>
      <c r="AA564" s="18">
        <f>IF(OR(V564="Aprobada"),R564,IF(AND(OR(V564="Aprobada con ajuste",V564="Rechazada"),W564&lt;&gt;""),W564,""))</f>
        <v/>
      </c>
    </row>
    <row r="565">
      <c r="A565" s="18" t="inlineStr">
        <is>
          <t>C0564</t>
        </is>
      </c>
      <c r="B565" s="18" t="inlineStr">
        <is>
          <t>Plan de trabajo académico</t>
        </is>
      </c>
      <c r="C565" s="18" t="inlineStr">
        <is>
          <t>academic_work_plan</t>
        </is>
      </c>
      <c r="D565" s="18" t="inlineStr">
        <is>
          <t>PtaTerritorialApproval</t>
        </is>
      </c>
      <c r="E565" s="18" t="n">
        <v>3</v>
      </c>
      <c r="F565" s="18" t="inlineStr">
        <is>
          <t>actor_rol</t>
        </is>
      </c>
      <c r="G565" s="18" t="inlineStr">
        <is>
          <t>character varying(100)</t>
        </is>
      </c>
      <c r="H565" s="18" t="inlineStr">
        <is>
          <t>Sí</t>
        </is>
      </c>
      <c r="I565" s="18" t="inlineStr"/>
      <c r="J565" s="18" t="inlineStr"/>
      <c r="K565" s="18" t="inlineStr"/>
      <c r="L565" s="18" t="inlineStr">
        <is>
          <t>No</t>
        </is>
      </c>
      <c r="M565" s="18" t="inlineStr">
        <is>
          <t>No</t>
        </is>
      </c>
      <c r="N565" s="18" t="inlineStr"/>
      <c r="O565" s="18" t="inlineStr"/>
      <c r="P565" s="18" t="inlineStr">
        <is>
          <t>Mapeada en academic-work-plan-service/src/pta/entities/pta-territorial-approval.entity.ts:62 (PtaTerritorialApprovalEntity.actorRol)</t>
        </is>
      </c>
      <c r="Q565" s="18" t="inlineStr">
        <is>
          <t>Propuesta semántica</t>
        </is>
      </c>
      <c r="R565" s="18" t="inlineStr">
        <is>
          <t>Rol del usuario que registra la decisión territorial.</t>
        </is>
      </c>
      <c r="S565" s="18" t="inlineStr">
        <is>
          <t>Alta</t>
        </is>
      </c>
      <c r="T565" s="18" t="inlineStr">
        <is>
          <t>nombre + tipo + columnas vecinas</t>
        </is>
      </c>
      <c r="U565" s="18" t="inlineStr"/>
      <c r="V565" s="19" t="inlineStr">
        <is>
          <t>Pendiente</t>
        </is>
      </c>
      <c r="W565" s="19" t="inlineStr"/>
      <c r="X565" s="19" t="inlineStr"/>
      <c r="Y565" s="20" t="n"/>
      <c r="Z565" s="19" t="inlineStr"/>
      <c r="AA565" s="18">
        <f>IF(OR(V565="Aprobada"),R565,IF(AND(OR(V565="Aprobada con ajuste",V565="Rechazada"),W565&lt;&gt;""),W565,""))</f>
        <v/>
      </c>
    </row>
    <row r="566">
      <c r="A566" s="18" t="inlineStr">
        <is>
          <t>C0565</t>
        </is>
      </c>
      <c r="B566" s="18" t="inlineStr">
        <is>
          <t>Plan de trabajo académico</t>
        </is>
      </c>
      <c r="C566" s="18" t="inlineStr">
        <is>
          <t>academic_work_plan</t>
        </is>
      </c>
      <c r="D566" s="18" t="inlineStr">
        <is>
          <t>PtaTerritorialApproval</t>
        </is>
      </c>
      <c r="E566" s="18" t="n">
        <v>3</v>
      </c>
      <c r="F566" s="18" t="inlineStr">
        <is>
          <t>comentarios</t>
        </is>
      </c>
      <c r="G566" s="18" t="inlineStr">
        <is>
          <t>text</t>
        </is>
      </c>
      <c r="H566" s="18" t="inlineStr">
        <is>
          <t>Sí</t>
        </is>
      </c>
      <c r="I566" s="18" t="inlineStr"/>
      <c r="J566" s="18" t="inlineStr"/>
      <c r="K566" s="18" t="inlineStr"/>
      <c r="L566" s="18" t="inlineStr">
        <is>
          <t>No</t>
        </is>
      </c>
      <c r="M566" s="18" t="inlineStr">
        <is>
          <t>No</t>
        </is>
      </c>
      <c r="N566" s="18" t="inlineStr"/>
      <c r="O566" s="18" t="inlineStr"/>
      <c r="P566" s="18" t="inlineStr">
        <is>
          <t>Mapeada en academic-work-plan-service/src/pta/entities/pta-territorial-approval.entity.ts:65 (PtaTerritorialApprovalEntity.comentarios)</t>
        </is>
      </c>
      <c r="Q566" s="18" t="inlineStr">
        <is>
          <t>Propuesta semántica</t>
        </is>
      </c>
      <c r="R566" s="18" t="inlineStr">
        <is>
          <t>Comentarios sobre la decisión territorial.</t>
        </is>
      </c>
      <c r="S566" s="18" t="inlineStr">
        <is>
          <t>Alta</t>
        </is>
      </c>
      <c r="T566" s="18" t="inlineStr">
        <is>
          <t>nombre + tipo + columnas vecinas</t>
        </is>
      </c>
      <c r="U566" s="18" t="inlineStr"/>
      <c r="V566" s="19" t="inlineStr">
        <is>
          <t>Pendiente</t>
        </is>
      </c>
      <c r="W566" s="19" t="inlineStr"/>
      <c r="X566" s="19" t="inlineStr"/>
      <c r="Y566" s="20" t="n"/>
      <c r="Z566" s="19" t="inlineStr"/>
      <c r="AA566" s="18">
        <f>IF(OR(V566="Aprobada"),R566,IF(AND(OR(V566="Aprobada con ajuste",V566="Rechazada"),W566&lt;&gt;""),W566,""))</f>
        <v/>
      </c>
    </row>
    <row r="567">
      <c r="A567" s="18" t="inlineStr">
        <is>
          <t>C0566</t>
        </is>
      </c>
      <c r="B567" s="18" t="inlineStr">
        <is>
          <t>Plan de trabajo académico</t>
        </is>
      </c>
      <c r="C567" s="18" t="inlineStr">
        <is>
          <t>academic_work_plan</t>
        </is>
      </c>
      <c r="D567" s="18" t="inlineStr">
        <is>
          <t>PtaTerritorialApproval</t>
        </is>
      </c>
      <c r="E567" s="18" t="n">
        <v>3</v>
      </c>
      <c r="F567" s="18" t="inlineStr">
        <is>
          <t>fecha_decision</t>
        </is>
      </c>
      <c r="G567" s="18" t="inlineStr">
        <is>
          <t>timestamp without time zone</t>
        </is>
      </c>
      <c r="H567" s="18" t="inlineStr">
        <is>
          <t>Sí</t>
        </is>
      </c>
      <c r="I567" s="18" t="inlineStr"/>
      <c r="J567" s="18" t="inlineStr"/>
      <c r="K567" s="18" t="inlineStr"/>
      <c r="L567" s="18" t="inlineStr">
        <is>
          <t>No</t>
        </is>
      </c>
      <c r="M567" s="18" t="inlineStr">
        <is>
          <t>No</t>
        </is>
      </c>
      <c r="N567" s="18" t="inlineStr"/>
      <c r="O567" s="18" t="inlineStr"/>
      <c r="P567" s="18" t="inlineStr">
        <is>
          <t>Mapeada en academic-work-plan-service/src/pta/entities/pta-territorial-approval.entity.ts:68 (PtaTerritorialApprovalEntity.fechaDecision)</t>
        </is>
      </c>
      <c r="Q567" s="18" t="inlineStr">
        <is>
          <t>Regla estructural</t>
        </is>
      </c>
      <c r="R567" s="18" t="inlineStr">
        <is>
          <t>Fecha de decisión.</t>
        </is>
      </c>
      <c r="S567" s="18" t="inlineStr">
        <is>
          <t>Media</t>
        </is>
      </c>
      <c r="T567" s="18" t="inlineStr">
        <is>
          <t>Convención de nombre de la columna.</t>
        </is>
      </c>
      <c r="U567" s="18" t="inlineStr"/>
      <c r="V567" s="19" t="inlineStr">
        <is>
          <t>Pendiente</t>
        </is>
      </c>
      <c r="W567" s="19" t="inlineStr"/>
      <c r="X567" s="19" t="inlineStr"/>
      <c r="Y567" s="20" t="n"/>
      <c r="Z567" s="19" t="inlineStr"/>
      <c r="AA567" s="18">
        <f>IF(OR(V567="Aprobada"),R567,IF(AND(OR(V567="Aprobada con ajuste",V567="Rechazada"),W567&lt;&gt;""),W567,""))</f>
        <v/>
      </c>
    </row>
    <row r="568">
      <c r="A568" s="18" t="inlineStr">
        <is>
          <t>C0567</t>
        </is>
      </c>
      <c r="B568" s="18" t="inlineStr">
        <is>
          <t>Plan de trabajo académico</t>
        </is>
      </c>
      <c r="C568" s="18" t="inlineStr">
        <is>
          <t>academic_work_plan</t>
        </is>
      </c>
      <c r="D568" s="18" t="inlineStr">
        <is>
          <t>PtaTerritorialApproval</t>
        </is>
      </c>
      <c r="E568" s="18" t="n">
        <v>3</v>
      </c>
      <c r="F568" s="18" t="inlineStr">
        <is>
          <t>nivel</t>
        </is>
      </c>
      <c r="G568" s="18" t="inlineStr">
        <is>
          <t>character varying(20)</t>
        </is>
      </c>
      <c r="H568" s="18" t="inlineStr">
        <is>
          <t>No</t>
        </is>
      </c>
      <c r="I568" s="18" t="inlineStr"/>
      <c r="J568" s="18" t="inlineStr"/>
      <c r="K568" s="18" t="inlineStr"/>
      <c r="L568" s="18" t="inlineStr">
        <is>
          <t>No</t>
        </is>
      </c>
      <c r="M568" s="18" t="inlineStr">
        <is>
          <t>No</t>
        </is>
      </c>
      <c r="N568" s="18" t="inlineStr"/>
      <c r="O568" s="18" t="inlineStr">
        <is>
          <t>uq_pta_territorial_componente_nivel</t>
        </is>
      </c>
      <c r="P568" s="18" t="inlineStr">
        <is>
          <t>academic-work-plan-service/src/pta/entities/pta-territorial-approval.entity.ts:49: 'pregrado' | 'posgrado' — mismo criterio de clasificación que ya usa clasificarAsignaturasDocencia para Sede Central (programa.tipo).</t>
        </is>
      </c>
      <c r="Q568" s="18" t="inlineStr">
        <is>
          <t>Código fuente</t>
        </is>
      </c>
      <c r="R568" s="18" t="inlineStr">
        <is>
          <t>Nivel de formación al que corresponde la aprobación: pregrado o posgrado, con el mismo criterio de clasificación por tipo de programa usado para Sede Central. Por defecto pregrado.</t>
        </is>
      </c>
      <c r="S568" s="18" t="inlineStr">
        <is>
          <t>Alta</t>
        </is>
      </c>
      <c r="T568" s="18" t="inlineStr">
        <is>
          <t>código: academic-work-plan-service/src/pta/entities/pta-territorial-approval.entity.ts:49</t>
        </is>
      </c>
      <c r="U568" s="18" t="inlineStr"/>
      <c r="V568" s="19" t="inlineStr">
        <is>
          <t>Pendiente</t>
        </is>
      </c>
      <c r="W568" s="19" t="inlineStr"/>
      <c r="X568" s="19" t="inlineStr"/>
      <c r="Y568" s="20" t="n"/>
      <c r="Z568" s="19" t="inlineStr"/>
      <c r="AA568" s="18">
        <f>IF(OR(V568="Aprobada"),R568,IF(AND(OR(V568="Aprobada con ajuste",V568="Rechazada"),W568&lt;&gt;""),W568,""))</f>
        <v/>
      </c>
    </row>
    <row r="569">
      <c r="A569" s="18" t="inlineStr">
        <is>
          <t>C0568</t>
        </is>
      </c>
      <c r="B569" s="18" t="inlineStr">
        <is>
          <t>Plan de trabajo académico</t>
        </is>
      </c>
      <c r="C569" s="18" t="inlineStr">
        <is>
          <t>academic_work_plan</t>
        </is>
      </c>
      <c r="D569" s="18" t="inlineStr">
        <is>
          <t>PtaTerritorialApproval</t>
        </is>
      </c>
      <c r="E569" s="18" t="n">
        <v>3</v>
      </c>
      <c r="F569" s="18" t="inlineStr">
        <is>
          <t>componente</t>
        </is>
      </c>
      <c r="G569" s="18" t="inlineStr">
        <is>
          <t>character varying(60)</t>
        </is>
      </c>
      <c r="H569" s="18" t="inlineStr">
        <is>
          <t>No</t>
        </is>
      </c>
      <c r="I569" s="18" t="inlineStr"/>
      <c r="J569" s="18" t="inlineStr"/>
      <c r="K569" s="18" t="inlineStr"/>
      <c r="L569" s="18" t="inlineStr">
        <is>
          <t>No</t>
        </is>
      </c>
      <c r="M569" s="18" t="inlineStr">
        <is>
          <t>No</t>
        </is>
      </c>
      <c r="N569" s="18" t="inlineStr"/>
      <c r="O569" s="18" t="inlineStr">
        <is>
          <t>idx_pta_territorial_approval_pta_componente, uq_pta_territorial_componente_nivel</t>
        </is>
      </c>
      <c r="P569" s="18" t="inlineStr">
        <is>
          <t>academic-work-plan-service/src/pta/entities/pta-territorial-approval.entity.ts:38: EFDS-1353: qué componente territorial aprueba esta fila ('academica_territorial' | 'complementarias_territorial'). Sin esta columna, la Docencia y la Complementaria de una misma territorial/nivel colisionarían en la misma fila (migración 401).</t>
        </is>
      </c>
      <c r="Q569" s="18" t="inlineStr">
        <is>
          <t>Código fuente</t>
        </is>
      </c>
      <c r="R569" s="18" t="inlineStr">
        <is>
          <t>Componente territorial que aprueba el registro. Valores previstos: academica_territorial, complementarias_territorial; por defecto academica_territorial (EFDS-1353).</t>
        </is>
      </c>
      <c r="S569" s="18" t="inlineStr">
        <is>
          <t>Alta</t>
        </is>
      </c>
      <c r="T569" s="18" t="inlineStr">
        <is>
          <t>código: academic-work-plan-service/src/pta/entities/pta-territorial-approval.entity.ts:38</t>
        </is>
      </c>
      <c r="U569" s="18" t="inlineStr"/>
      <c r="V569" s="19" t="inlineStr">
        <is>
          <t>Pendiente</t>
        </is>
      </c>
      <c r="W569" s="19" t="inlineStr"/>
      <c r="X569" s="19" t="inlineStr"/>
      <c r="Y569" s="20" t="n"/>
      <c r="Z569" s="19" t="inlineStr"/>
      <c r="AA569" s="18">
        <f>IF(OR(V569="Aprobada"),R569,IF(AND(OR(V569="Aprobada con ajuste",V569="Rechazada"),W569&lt;&gt;""),W569,""))</f>
        <v/>
      </c>
    </row>
    <row r="570">
      <c r="A570" s="18" t="inlineStr">
        <is>
          <t>C0569</t>
        </is>
      </c>
      <c r="B570" s="18" t="inlineStr">
        <is>
          <t>Plan de trabajo académico</t>
        </is>
      </c>
      <c r="C570" s="18" t="inlineStr">
        <is>
          <t>academic_work_plan</t>
        </is>
      </c>
      <c r="D570" s="18" t="inlineStr">
        <is>
          <t>PtaTerritorialApproval</t>
        </is>
      </c>
      <c r="E570" s="18" t="n">
        <v>3</v>
      </c>
      <c r="F570" s="18" t="inlineStr">
        <is>
          <t>scope</t>
        </is>
      </c>
      <c r="G570" s="18" t="inlineStr">
        <is>
          <t>character varying(50)</t>
        </is>
      </c>
      <c r="H570" s="18" t="inlineStr">
        <is>
          <t>Sí</t>
        </is>
      </c>
      <c r="I570" s="18" t="inlineStr"/>
      <c r="J570" s="18" t="inlineStr"/>
      <c r="K570" s="18" t="inlineStr"/>
      <c r="L570" s="18" t="inlineStr">
        <is>
          <t>No</t>
        </is>
      </c>
      <c r="M570" s="18" t="inlineStr">
        <is>
          <t>No</t>
        </is>
      </c>
      <c r="N570" s="18" t="inlineStr"/>
      <c r="O570" s="18" t="inlineStr"/>
      <c r="P570" s="18" t="inlineStr"/>
      <c r="Q570" s="18" t="inlineStr">
        <is>
          <t>Propuesta semántica</t>
        </is>
      </c>
      <c r="R570" s="18" t="inlineStr">
        <is>
          <t>Ámbito al que aplica la aprobación territorial.</t>
        </is>
      </c>
      <c r="S570" s="18" t="inlineStr">
        <is>
          <t>Baja</t>
        </is>
      </c>
      <c r="T570" s="18" t="inlineStr">
        <is>
          <t>nombre + tipo + columnas vecinas (scope_id)</t>
        </is>
      </c>
      <c r="U570" s="18" t="inlineStr">
        <is>
          <t>¿Qué valores toma scope?</t>
        </is>
      </c>
      <c r="V570" s="19" t="inlineStr">
        <is>
          <t>Pendiente</t>
        </is>
      </c>
      <c r="W570" s="19" t="inlineStr"/>
      <c r="X570" s="19" t="inlineStr"/>
      <c r="Y570" s="20" t="n"/>
      <c r="Z570" s="19" t="inlineStr"/>
      <c r="AA570" s="18">
        <f>IF(OR(V570="Aprobada"),R570,IF(AND(OR(V570="Aprobada con ajuste",V570="Rechazada"),W570&lt;&gt;""),W570,""))</f>
        <v/>
      </c>
    </row>
    <row r="571">
      <c r="A571" s="18" t="inlineStr">
        <is>
          <t>C0570</t>
        </is>
      </c>
      <c r="B571" s="18" t="inlineStr">
        <is>
          <t>Plan de trabajo académico</t>
        </is>
      </c>
      <c r="C571" s="18" t="inlineStr">
        <is>
          <t>academic_work_plan</t>
        </is>
      </c>
      <c r="D571" s="18" t="inlineStr">
        <is>
          <t>PtaTerritorialApproval</t>
        </is>
      </c>
      <c r="E571" s="18" t="n">
        <v>3</v>
      </c>
      <c r="F571" s="18" t="inlineStr">
        <is>
          <t>scope_id</t>
        </is>
      </c>
      <c r="G571" s="18" t="inlineStr">
        <is>
          <t>character varying(100)</t>
        </is>
      </c>
      <c r="H571" s="18" t="inlineStr">
        <is>
          <t>Sí</t>
        </is>
      </c>
      <c r="I571" s="18" t="inlineStr"/>
      <c r="J571" s="18" t="inlineStr"/>
      <c r="K571" s="18" t="inlineStr"/>
      <c r="L571" s="18" t="inlineStr">
        <is>
          <t>No</t>
        </is>
      </c>
      <c r="M571" s="18" t="inlineStr">
        <is>
          <t>No</t>
        </is>
      </c>
      <c r="N571" s="18" t="inlineStr"/>
      <c r="O571" s="18" t="inlineStr"/>
      <c r="P571" s="18" t="inlineStr"/>
      <c r="Q571" s="18" t="inlineStr">
        <is>
          <t>Propuesta semántica</t>
        </is>
      </c>
      <c r="R571" s="18" t="inlineStr">
        <is>
          <t>Identificador del ámbito al que aplica la aprobación, según scope.</t>
        </is>
      </c>
      <c r="S571" s="18" t="inlineStr">
        <is>
          <t>Baja</t>
        </is>
      </c>
      <c r="T571" s="18" t="inlineStr">
        <is>
          <t>nombre + tipo + columnas vecinas (scope)</t>
        </is>
      </c>
      <c r="U571" s="18" t="inlineStr">
        <is>
          <t>¿A qué entidad apunta scope_id según cada valor de scope?</t>
        </is>
      </c>
      <c r="V571" s="19" t="inlineStr">
        <is>
          <t>Pendiente</t>
        </is>
      </c>
      <c r="W571" s="19" t="inlineStr"/>
      <c r="X571" s="19" t="inlineStr"/>
      <c r="Y571" s="20" t="n"/>
      <c r="Z571" s="19" t="inlineStr"/>
      <c r="AA571" s="18">
        <f>IF(OR(V571="Aprobada"),R571,IF(AND(OR(V571="Aprobada con ajuste",V571="Rechazada"),W571&lt;&gt;""),W571,""))</f>
        <v/>
      </c>
    </row>
    <row r="572">
      <c r="A572" s="18" t="inlineStr">
        <is>
          <t>C0571</t>
        </is>
      </c>
      <c r="B572" s="18" t="inlineStr">
        <is>
          <t>Plan de trabajo académico</t>
        </is>
      </c>
      <c r="C572" s="18" t="inlineStr">
        <is>
          <t>academic_work_plan</t>
        </is>
      </c>
      <c r="D572" s="18" t="inlineStr">
        <is>
          <t>PtaTerritorialReview</t>
        </is>
      </c>
      <c r="E572" s="18" t="n">
        <v>3</v>
      </c>
      <c r="F572" s="18" t="inlineStr">
        <is>
          <t>territorial_id</t>
        </is>
      </c>
      <c r="G572" s="18" t="inlineStr">
        <is>
          <t>text</t>
        </is>
      </c>
      <c r="H572" s="18" t="inlineStr">
        <is>
          <t>No</t>
        </is>
      </c>
      <c r="I572" s="18" t="inlineStr"/>
      <c r="J572" s="18" t="inlineStr"/>
      <c r="K572" s="18" t="inlineStr"/>
      <c r="L572" s="18" t="inlineStr">
        <is>
          <t>No</t>
        </is>
      </c>
      <c r="M572" s="18" t="inlineStr">
        <is>
          <t>No</t>
        </is>
      </c>
      <c r="N572" s="18" t="inlineStr"/>
      <c r="O572" s="18" t="inlineStr">
        <is>
          <t>uq_pta_territorial_review_componente_nivel</t>
        </is>
      </c>
      <c r="P572" s="18" t="inlineStr">
        <is>
          <t>Mapeada en academic-work-plan-service/src/pta/entities/pta-territorial-review.entity.ts:41 (PtaTerritorialReviewEntity.territorialId)</t>
        </is>
      </c>
      <c r="Q572" s="18" t="inlineStr">
        <is>
          <t>Propuesta semántica</t>
        </is>
      </c>
      <c r="R572" s="18" t="inlineStr">
        <is>
          <t>Identificador de la territorial que realiza la revisión.</t>
        </is>
      </c>
      <c r="S572" s="18" t="inlineStr">
        <is>
          <t>Media</t>
        </is>
      </c>
      <c r="T572" s="18" t="inlineStr">
        <is>
          <t>nombre + tipo + columnas vecinas + índice único (componente, nivel)</t>
        </is>
      </c>
      <c r="U572" s="18" t="inlineStr">
        <is>
          <t>¿A qué tabla apunta territorial_id?</t>
        </is>
      </c>
      <c r="V572" s="19" t="inlineStr">
        <is>
          <t>Pendiente</t>
        </is>
      </c>
      <c r="W572" s="19" t="inlineStr"/>
      <c r="X572" s="19" t="inlineStr"/>
      <c r="Y572" s="20" t="n"/>
      <c r="Z572" s="19" t="inlineStr"/>
      <c r="AA572" s="18">
        <f>IF(OR(V572="Aprobada"),R572,IF(AND(OR(V572="Aprobada con ajuste",V572="Rechazada"),W572&lt;&gt;""),W572,""))</f>
        <v/>
      </c>
    </row>
    <row r="573">
      <c r="A573" s="18" t="inlineStr">
        <is>
          <t>C0572</t>
        </is>
      </c>
      <c r="B573" s="18" t="inlineStr">
        <is>
          <t>Plan de trabajo académico</t>
        </is>
      </c>
      <c r="C573" s="18" t="inlineStr">
        <is>
          <t>academic_work_plan</t>
        </is>
      </c>
      <c r="D573" s="18" t="inlineStr">
        <is>
          <t>PtaTerritorialReview</t>
        </is>
      </c>
      <c r="E573" s="18" t="n">
        <v>3</v>
      </c>
      <c r="F573" s="18" t="inlineStr">
        <is>
          <t>territorial_nombre</t>
        </is>
      </c>
      <c r="G573" s="18" t="inlineStr">
        <is>
          <t>text</t>
        </is>
      </c>
      <c r="H573" s="18" t="inlineStr">
        <is>
          <t>Sí</t>
        </is>
      </c>
      <c r="I573" s="18" t="inlineStr"/>
      <c r="J573" s="18" t="inlineStr"/>
      <c r="K573" s="18" t="inlineStr"/>
      <c r="L573" s="18" t="inlineStr">
        <is>
          <t>No</t>
        </is>
      </c>
      <c r="M573" s="18" t="inlineStr">
        <is>
          <t>No</t>
        </is>
      </c>
      <c r="N573" s="18" t="inlineStr"/>
      <c r="O573" s="18" t="inlineStr"/>
      <c r="P573" s="18" t="inlineStr">
        <is>
          <t>Mapeada en academic-work-plan-service/src/pta/entities/pta-territorial-review.entity.ts:44 (PtaTerritorialReviewEntity.territorialNombre)</t>
        </is>
      </c>
      <c r="Q573" s="18" t="inlineStr">
        <is>
          <t>Propuesta semántica</t>
        </is>
      </c>
      <c r="R573" s="18" t="inlineStr">
        <is>
          <t>Nombre de la territorial que realiza la revisión.</t>
        </is>
      </c>
      <c r="S573" s="18" t="inlineStr">
        <is>
          <t>Alta</t>
        </is>
      </c>
      <c r="T573" s="18" t="inlineStr">
        <is>
          <t>nombre + tipo + columnas vecinas</t>
        </is>
      </c>
      <c r="U573" s="18" t="inlineStr"/>
      <c r="V573" s="19" t="inlineStr">
        <is>
          <t>Pendiente</t>
        </is>
      </c>
      <c r="W573" s="19" t="inlineStr"/>
      <c r="X573" s="19" t="inlineStr"/>
      <c r="Y573" s="20" t="n"/>
      <c r="Z573" s="19" t="inlineStr"/>
      <c r="AA573" s="18">
        <f>IF(OR(V573="Aprobada"),R573,IF(AND(OR(V573="Aprobada con ajuste",V573="Rechazada"),W573&lt;&gt;""),W573,""))</f>
        <v/>
      </c>
    </row>
    <row r="574">
      <c r="A574" s="18" t="inlineStr">
        <is>
          <t>C0573</t>
        </is>
      </c>
      <c r="B574" s="18" t="inlineStr">
        <is>
          <t>Plan de trabajo académico</t>
        </is>
      </c>
      <c r="C574" s="18" t="inlineStr">
        <is>
          <t>academic_work_plan</t>
        </is>
      </c>
      <c r="D574" s="18" t="inlineStr">
        <is>
          <t>PtaTerritorialReview</t>
        </is>
      </c>
      <c r="E574" s="18" t="n">
        <v>3</v>
      </c>
      <c r="F574" s="18" t="inlineStr">
        <is>
          <t>nivel</t>
        </is>
      </c>
      <c r="G574" s="18" t="inlineStr">
        <is>
          <t>character varying(20)</t>
        </is>
      </c>
      <c r="H574" s="18" t="inlineStr">
        <is>
          <t>No</t>
        </is>
      </c>
      <c r="I574" s="18" t="inlineStr"/>
      <c r="J574" s="18" t="inlineStr"/>
      <c r="K574" s="18" t="inlineStr"/>
      <c r="L574" s="18" t="inlineStr">
        <is>
          <t>No</t>
        </is>
      </c>
      <c r="M574" s="18" t="inlineStr">
        <is>
          <t>No</t>
        </is>
      </c>
      <c r="N574" s="18" t="inlineStr"/>
      <c r="O574" s="18" t="inlineStr">
        <is>
          <t>uq_pta_territorial_review_componente_nivel</t>
        </is>
      </c>
      <c r="P574" s="18" t="inlineStr">
        <is>
          <t>academic-work-plan-service/src/pta/entities/pta-territorial-review.entity.ts:49: 'pregrado' | 'posgrado' — mismo criterio de clasificación que ya usa clasificarAsignaturasDocencia para Sede Central (programa.tipo).</t>
        </is>
      </c>
      <c r="Q574" s="18" t="inlineStr">
        <is>
          <t>Código fuente</t>
        </is>
      </c>
      <c r="R574" s="18" t="inlineStr">
        <is>
          <t>Nivel de formación al que corresponde la revisión: pregrado o posgrado, con el mismo criterio de clasificación por tipo de programa usado para Sede Central. Por defecto pregrado.</t>
        </is>
      </c>
      <c r="S574" s="18" t="inlineStr">
        <is>
          <t>Alta</t>
        </is>
      </c>
      <c r="T574" s="18" t="inlineStr">
        <is>
          <t>código: academic-work-plan-service/src/pta/entities/pta-territorial-review.entity.ts:49</t>
        </is>
      </c>
      <c r="U574" s="18" t="inlineStr"/>
      <c r="V574" s="19" t="inlineStr">
        <is>
          <t>Pendiente</t>
        </is>
      </c>
      <c r="W574" s="19" t="inlineStr"/>
      <c r="X574" s="19" t="inlineStr"/>
      <c r="Y574" s="20" t="n"/>
      <c r="Z574" s="19" t="inlineStr"/>
      <c r="AA574" s="18">
        <f>IF(OR(V574="Aprobada"),R574,IF(AND(OR(V574="Aprobada con ajuste",V574="Rechazada"),W574&lt;&gt;""),W574,""))</f>
        <v/>
      </c>
    </row>
    <row r="575">
      <c r="A575" s="18" t="inlineStr">
        <is>
          <t>C0574</t>
        </is>
      </c>
      <c r="B575" s="18" t="inlineStr">
        <is>
          <t>Plan de trabajo académico</t>
        </is>
      </c>
      <c r="C575" s="18" t="inlineStr">
        <is>
          <t>academic_work_plan</t>
        </is>
      </c>
      <c r="D575" s="18" t="inlineStr">
        <is>
          <t>PtaTerritorialReview</t>
        </is>
      </c>
      <c r="E575" s="18" t="n">
        <v>3</v>
      </c>
      <c r="F575" s="18" t="inlineStr">
        <is>
          <t>estado</t>
        </is>
      </c>
      <c r="G575" s="18" t="inlineStr">
        <is>
          <t>character varying(50)</t>
        </is>
      </c>
      <c r="H575" s="18" t="inlineStr">
        <is>
          <t>No</t>
        </is>
      </c>
      <c r="I575" s="18" t="inlineStr"/>
      <c r="J575" s="18" t="inlineStr"/>
      <c r="K575" s="18" t="inlineStr"/>
      <c r="L575" s="18" t="inlineStr">
        <is>
          <t>No</t>
        </is>
      </c>
      <c r="M575" s="18" t="inlineStr">
        <is>
          <t>No</t>
        </is>
      </c>
      <c r="N575" s="18" t="inlineStr"/>
      <c r="O575" s="18" t="inlineStr"/>
      <c r="P575" s="18" t="inlineStr">
        <is>
          <t>academic-work-plan-service/src/pta/entities/pta-territorial-review.entity.ts:53: pendiente | revisado | devuelto | db/migrations/399_create_pta_territorial_review.sql:32: 'pendiente', 'revisado', 'devuelto'</t>
        </is>
      </c>
      <c r="Q575" s="18" t="inlineStr">
        <is>
          <t>Código fuente</t>
        </is>
      </c>
      <c r="R575" s="18" t="inlineStr">
        <is>
          <t>Estado de la revisión territorial del PTA. Valores previstos: pendiente, revisado, devuelto; por defecto pendiente.</t>
        </is>
      </c>
      <c r="S575" s="18" t="inlineStr">
        <is>
          <t>Alta</t>
        </is>
      </c>
      <c r="T575" s="18" t="inlineStr">
        <is>
          <t>código: academic-work-plan-service/src/pta/entities/pta-territorial-review.entity.ts:53</t>
        </is>
      </c>
      <c r="U575" s="18" t="inlineStr"/>
      <c r="V575" s="19" t="inlineStr">
        <is>
          <t>Pendiente</t>
        </is>
      </c>
      <c r="W575" s="19" t="inlineStr"/>
      <c r="X575" s="19" t="inlineStr"/>
      <c r="Y575" s="20" t="n"/>
      <c r="Z575" s="19" t="inlineStr"/>
      <c r="AA575" s="18">
        <f>IF(OR(V575="Aprobada"),R575,IF(AND(OR(V575="Aprobada con ajuste",V575="Rechazada"),W575&lt;&gt;""),W575,""))</f>
        <v/>
      </c>
    </row>
    <row r="576">
      <c r="A576" s="18" t="inlineStr">
        <is>
          <t>C0575</t>
        </is>
      </c>
      <c r="B576" s="18" t="inlineStr">
        <is>
          <t>Plan de trabajo académico</t>
        </is>
      </c>
      <c r="C576" s="18" t="inlineStr">
        <is>
          <t>academic_work_plan</t>
        </is>
      </c>
      <c r="D576" s="18" t="inlineStr">
        <is>
          <t>PtaTerritorialReview</t>
        </is>
      </c>
      <c r="E576" s="18" t="n">
        <v>3</v>
      </c>
      <c r="F576" s="18" t="inlineStr">
        <is>
          <t>revisor_id</t>
        </is>
      </c>
      <c r="G576" s="18" t="inlineStr">
        <is>
          <t>character varying(100)</t>
        </is>
      </c>
      <c r="H576" s="18" t="inlineStr">
        <is>
          <t>Sí</t>
        </is>
      </c>
      <c r="I576" s="18" t="inlineStr"/>
      <c r="J576" s="18" t="inlineStr"/>
      <c r="K576" s="18" t="inlineStr"/>
      <c r="L576" s="18" t="inlineStr">
        <is>
          <t>No</t>
        </is>
      </c>
      <c r="M576" s="18" t="inlineStr">
        <is>
          <t>No</t>
        </is>
      </c>
      <c r="N576" s="18" t="inlineStr"/>
      <c r="O576" s="18" t="inlineStr"/>
      <c r="P576" s="18" t="inlineStr">
        <is>
          <t>Mapeada en academic-work-plan-service/src/pta/entities/pta-territorial-review.entity.ts:56 (PtaTerritorialReviewEntity.revisorId)</t>
        </is>
      </c>
      <c r="Q576" s="18" t="inlineStr">
        <is>
          <t>Propuesta semántica</t>
        </is>
      </c>
      <c r="R576" s="18" t="inlineStr">
        <is>
          <t>Identificador del usuario que realiza la revisión territorial.</t>
        </is>
      </c>
      <c r="S576" s="18" t="inlineStr">
        <is>
          <t>Media</t>
        </is>
      </c>
      <c r="T576" s="18" t="inlineStr">
        <is>
          <t>nombre + tipo + columnas vecinas</t>
        </is>
      </c>
      <c r="U576" s="18" t="inlineStr">
        <is>
          <t>¿A qué tabla de usuarios corresponde revisor_id?</t>
        </is>
      </c>
      <c r="V576" s="19" t="inlineStr">
        <is>
          <t>Pendiente</t>
        </is>
      </c>
      <c r="W576" s="19" t="inlineStr"/>
      <c r="X576" s="19" t="inlineStr"/>
      <c r="Y576" s="20" t="n"/>
      <c r="Z576" s="19" t="inlineStr"/>
      <c r="AA576" s="18">
        <f>IF(OR(V576="Aprobada"),R576,IF(AND(OR(V576="Aprobada con ajuste",V576="Rechazada"),W576&lt;&gt;""),W576,""))</f>
        <v/>
      </c>
    </row>
    <row r="577">
      <c r="A577" s="18" t="inlineStr">
        <is>
          <t>C0576</t>
        </is>
      </c>
      <c r="B577" s="18" t="inlineStr">
        <is>
          <t>Plan de trabajo académico</t>
        </is>
      </c>
      <c r="C577" s="18" t="inlineStr">
        <is>
          <t>academic_work_plan</t>
        </is>
      </c>
      <c r="D577" s="18" t="inlineStr">
        <is>
          <t>PtaTerritorialReview</t>
        </is>
      </c>
      <c r="E577" s="18" t="n">
        <v>3</v>
      </c>
      <c r="F577" s="18" t="inlineStr">
        <is>
          <t>revisor_nombre</t>
        </is>
      </c>
      <c r="G577" s="18" t="inlineStr">
        <is>
          <t>character varying(200)</t>
        </is>
      </c>
      <c r="H577" s="18" t="inlineStr">
        <is>
          <t>Sí</t>
        </is>
      </c>
      <c r="I577" s="18" t="inlineStr"/>
      <c r="J577" s="18" t="inlineStr"/>
      <c r="K577" s="18" t="inlineStr"/>
      <c r="L577" s="18" t="inlineStr">
        <is>
          <t>No</t>
        </is>
      </c>
      <c r="M577" s="18" t="inlineStr">
        <is>
          <t>No</t>
        </is>
      </c>
      <c r="N577" s="18" t="inlineStr"/>
      <c r="O577" s="18" t="inlineStr"/>
      <c r="P577" s="18" t="inlineStr">
        <is>
          <t>Mapeada en academic-work-plan-service/src/pta/entities/pta-territorial-review.entity.ts:59 (PtaTerritorialReviewEntity.revisorNombre)</t>
        </is>
      </c>
      <c r="Q577" s="18" t="inlineStr">
        <is>
          <t>Propuesta semántica</t>
        </is>
      </c>
      <c r="R577" s="18" t="inlineStr">
        <is>
          <t>Nombre del usuario que realiza la revisión territorial.</t>
        </is>
      </c>
      <c r="S577" s="18" t="inlineStr">
        <is>
          <t>Alta</t>
        </is>
      </c>
      <c r="T577" s="18" t="inlineStr">
        <is>
          <t>nombre + tipo + columnas vecinas</t>
        </is>
      </c>
      <c r="U577" s="18" t="inlineStr"/>
      <c r="V577" s="19" t="inlineStr">
        <is>
          <t>Pendiente</t>
        </is>
      </c>
      <c r="W577" s="19" t="inlineStr"/>
      <c r="X577" s="19" t="inlineStr"/>
      <c r="Y577" s="20" t="n"/>
      <c r="Z577" s="19" t="inlineStr"/>
      <c r="AA577" s="18">
        <f>IF(OR(V577="Aprobada"),R577,IF(AND(OR(V577="Aprobada con ajuste",V577="Rechazada"),W577&lt;&gt;""),W577,""))</f>
        <v/>
      </c>
    </row>
    <row r="578">
      <c r="A578" s="18" t="inlineStr">
        <is>
          <t>C0577</t>
        </is>
      </c>
      <c r="B578" s="18" t="inlineStr">
        <is>
          <t>Plan de trabajo académico</t>
        </is>
      </c>
      <c r="C578" s="18" t="inlineStr">
        <is>
          <t>academic_work_plan</t>
        </is>
      </c>
      <c r="D578" s="18" t="inlineStr">
        <is>
          <t>PtaTerritorialReview</t>
        </is>
      </c>
      <c r="E578" s="18" t="n">
        <v>3</v>
      </c>
      <c r="F578" s="18" t="inlineStr">
        <is>
          <t>revisor_rol</t>
        </is>
      </c>
      <c r="G578" s="18" t="inlineStr">
        <is>
          <t>character varying(100)</t>
        </is>
      </c>
      <c r="H578" s="18" t="inlineStr">
        <is>
          <t>Sí</t>
        </is>
      </c>
      <c r="I578" s="18" t="inlineStr"/>
      <c r="J578" s="18" t="inlineStr"/>
      <c r="K578" s="18" t="inlineStr"/>
      <c r="L578" s="18" t="inlineStr">
        <is>
          <t>No</t>
        </is>
      </c>
      <c r="M578" s="18" t="inlineStr">
        <is>
          <t>No</t>
        </is>
      </c>
      <c r="N578" s="18" t="inlineStr"/>
      <c r="O578" s="18" t="inlineStr"/>
      <c r="P578" s="18" t="inlineStr">
        <is>
          <t>Mapeada en academic-work-plan-service/src/pta/entities/pta-territorial-review.entity.ts:62 (PtaTerritorialReviewEntity.revisorRol)</t>
        </is>
      </c>
      <c r="Q578" s="18" t="inlineStr">
        <is>
          <t>Propuesta semántica</t>
        </is>
      </c>
      <c r="R578" s="18" t="inlineStr">
        <is>
          <t>Rol del usuario que realiza la revisión territorial.</t>
        </is>
      </c>
      <c r="S578" s="18" t="inlineStr">
        <is>
          <t>Alta</t>
        </is>
      </c>
      <c r="T578" s="18" t="inlineStr">
        <is>
          <t>nombre + tipo + columnas vecinas</t>
        </is>
      </c>
      <c r="U578" s="18" t="inlineStr"/>
      <c r="V578" s="19" t="inlineStr">
        <is>
          <t>Pendiente</t>
        </is>
      </c>
      <c r="W578" s="19" t="inlineStr"/>
      <c r="X578" s="19" t="inlineStr"/>
      <c r="Y578" s="20" t="n"/>
      <c r="Z578" s="19" t="inlineStr"/>
      <c r="AA578" s="18">
        <f>IF(OR(V578="Aprobada"),R578,IF(AND(OR(V578="Aprobada con ajuste",V578="Rechazada"),W578&lt;&gt;""),W578,""))</f>
        <v/>
      </c>
    </row>
    <row r="579">
      <c r="A579" s="18" t="inlineStr">
        <is>
          <t>C0578</t>
        </is>
      </c>
      <c r="B579" s="18" t="inlineStr">
        <is>
          <t>Plan de trabajo académico</t>
        </is>
      </c>
      <c r="C579" s="18" t="inlineStr">
        <is>
          <t>academic_work_plan</t>
        </is>
      </c>
      <c r="D579" s="18" t="inlineStr">
        <is>
          <t>PtaTerritorialReview</t>
        </is>
      </c>
      <c r="E579" s="18" t="n">
        <v>3</v>
      </c>
      <c r="F579" s="18" t="inlineStr">
        <is>
          <t>comentarios</t>
        </is>
      </c>
      <c r="G579" s="18" t="inlineStr">
        <is>
          <t>text</t>
        </is>
      </c>
      <c r="H579" s="18" t="inlineStr">
        <is>
          <t>Sí</t>
        </is>
      </c>
      <c r="I579" s="18" t="inlineStr"/>
      <c r="J579" s="18" t="inlineStr"/>
      <c r="K579" s="18" t="inlineStr"/>
      <c r="L579" s="18" t="inlineStr">
        <is>
          <t>No</t>
        </is>
      </c>
      <c r="M579" s="18" t="inlineStr">
        <is>
          <t>No</t>
        </is>
      </c>
      <c r="N579" s="18" t="inlineStr"/>
      <c r="O579" s="18" t="inlineStr"/>
      <c r="P579" s="18" t="inlineStr">
        <is>
          <t>Mapeada en academic-work-plan-service/src/pta/entities/pta-territorial-review.entity.ts:65 (PtaTerritorialReviewEntity.comentarios)</t>
        </is>
      </c>
      <c r="Q579" s="18" t="inlineStr">
        <is>
          <t>Propuesta semántica</t>
        </is>
      </c>
      <c r="R579" s="18" t="inlineStr">
        <is>
          <t>Comentarios de la revisión territorial.</t>
        </is>
      </c>
      <c r="S579" s="18" t="inlineStr">
        <is>
          <t>Alta</t>
        </is>
      </c>
      <c r="T579" s="18" t="inlineStr">
        <is>
          <t>nombre + tipo + columnas vecinas</t>
        </is>
      </c>
      <c r="U579" s="18" t="inlineStr"/>
      <c r="V579" s="19" t="inlineStr">
        <is>
          <t>Pendiente</t>
        </is>
      </c>
      <c r="W579" s="19" t="inlineStr"/>
      <c r="X579" s="19" t="inlineStr"/>
      <c r="Y579" s="20" t="n"/>
      <c r="Z579" s="19" t="inlineStr"/>
      <c r="AA579" s="18">
        <f>IF(OR(V579="Aprobada"),R579,IF(AND(OR(V579="Aprobada con ajuste",V579="Rechazada"),W579&lt;&gt;""),W579,""))</f>
        <v/>
      </c>
    </row>
    <row r="580">
      <c r="A580" s="18" t="inlineStr">
        <is>
          <t>C0579</t>
        </is>
      </c>
      <c r="B580" s="18" t="inlineStr">
        <is>
          <t>Plan de trabajo académico</t>
        </is>
      </c>
      <c r="C580" s="18" t="inlineStr">
        <is>
          <t>academic_work_plan</t>
        </is>
      </c>
      <c r="D580" s="18" t="inlineStr">
        <is>
          <t>PtaTerritorialReview</t>
        </is>
      </c>
      <c r="E580" s="18" t="n">
        <v>3</v>
      </c>
      <c r="F580" s="18" t="inlineStr">
        <is>
          <t>fecha_revision</t>
        </is>
      </c>
      <c r="G580" s="18" t="inlineStr">
        <is>
          <t>timestamp without time zone</t>
        </is>
      </c>
      <c r="H580" s="18" t="inlineStr">
        <is>
          <t>Sí</t>
        </is>
      </c>
      <c r="I580" s="18" t="inlineStr"/>
      <c r="J580" s="18" t="inlineStr"/>
      <c r="K580" s="18" t="inlineStr"/>
      <c r="L580" s="18" t="inlineStr">
        <is>
          <t>No</t>
        </is>
      </c>
      <c r="M580" s="18" t="inlineStr">
        <is>
          <t>No</t>
        </is>
      </c>
      <c r="N580" s="18" t="inlineStr"/>
      <c r="O580" s="18" t="inlineStr"/>
      <c r="P580" s="18" t="inlineStr">
        <is>
          <t>Mapeada en academic-work-plan-service/src/pta/entities/pta-territorial-review.entity.ts:68 (PtaTerritorialReviewEntity.fechaRevision)</t>
        </is>
      </c>
      <c r="Q580" s="18" t="inlineStr">
        <is>
          <t>Regla estructural</t>
        </is>
      </c>
      <c r="R580" s="18" t="inlineStr">
        <is>
          <t>Fecha de revisión.</t>
        </is>
      </c>
      <c r="S580" s="18" t="inlineStr">
        <is>
          <t>Media</t>
        </is>
      </c>
      <c r="T580" s="18" t="inlineStr">
        <is>
          <t>Convención de nombre de la columna.</t>
        </is>
      </c>
      <c r="U580" s="18" t="inlineStr"/>
      <c r="V580" s="19" t="inlineStr">
        <is>
          <t>Pendiente</t>
        </is>
      </c>
      <c r="W580" s="19" t="inlineStr"/>
      <c r="X580" s="19" t="inlineStr"/>
      <c r="Y580" s="20" t="n"/>
      <c r="Z580" s="19" t="inlineStr"/>
      <c r="AA580" s="18">
        <f>IF(OR(V580="Aprobada"),R580,IF(AND(OR(V580="Aprobada con ajuste",V580="Rechazada"),W580&lt;&gt;""),W580,""))</f>
        <v/>
      </c>
    </row>
    <row r="581">
      <c r="A581" s="18" t="inlineStr">
        <is>
          <t>C0580</t>
        </is>
      </c>
      <c r="B581" s="18" t="inlineStr">
        <is>
          <t>Plan de trabajo académico</t>
        </is>
      </c>
      <c r="C581" s="18" t="inlineStr">
        <is>
          <t>academic_work_plan</t>
        </is>
      </c>
      <c r="D581" s="18" t="inlineStr">
        <is>
          <t>PtaTerritorialReview</t>
        </is>
      </c>
      <c r="E581" s="18" t="n">
        <v>3</v>
      </c>
      <c r="F581" s="18" t="inlineStr">
        <is>
          <t>componente</t>
        </is>
      </c>
      <c r="G581" s="18" t="inlineStr">
        <is>
          <t>character varying(60)</t>
        </is>
      </c>
      <c r="H581" s="18" t="inlineStr">
        <is>
          <t>No</t>
        </is>
      </c>
      <c r="I581" s="18" t="inlineStr"/>
      <c r="J581" s="18" t="inlineStr"/>
      <c r="K581" s="18" t="inlineStr"/>
      <c r="L581" s="18" t="inlineStr">
        <is>
          <t>No</t>
        </is>
      </c>
      <c r="M581" s="18" t="inlineStr">
        <is>
          <t>No</t>
        </is>
      </c>
      <c r="N581" s="18" t="inlineStr"/>
      <c r="O581" s="18" t="inlineStr">
        <is>
          <t>idx_pta_territorial_review_pta_componente, uq_pta_territorial_review_componente_nivel</t>
        </is>
      </c>
      <c r="P581" s="18" t="inlineStr">
        <is>
          <t>academic-work-plan-service/src/pta/entities/pta-territorial-review.entity.ts:38: EFDS-1353: espejo de PtaTerritorialApproval.componente — distingue la revisión de Docencia territorial de la de Complementarias territoriales (migración 401).</t>
        </is>
      </c>
      <c r="Q581" s="18" t="inlineStr">
        <is>
          <t>Código fuente</t>
        </is>
      </c>
      <c r="R581" s="18" t="inlineStr">
        <is>
          <t>Componente territorial revisado: distingue la revisión de Docencia territorial (academica_territorial) de la de Complementarias territoriales (complementarias_territorial). Por defecto academica_territorial (EFDS-1353).</t>
        </is>
      </c>
      <c r="S581" s="18" t="inlineStr">
        <is>
          <t>Alta</t>
        </is>
      </c>
      <c r="T581" s="18" t="inlineStr">
        <is>
          <t>código: academic-work-plan-service/src/pta/entities/pta-territorial-review.entity.ts:38</t>
        </is>
      </c>
      <c r="U581" s="18" t="inlineStr"/>
      <c r="V581" s="19" t="inlineStr">
        <is>
          <t>Pendiente</t>
        </is>
      </c>
      <c r="W581" s="19" t="inlineStr"/>
      <c r="X581" s="19" t="inlineStr"/>
      <c r="Y581" s="20" t="n"/>
      <c r="Z581" s="19" t="inlineStr"/>
      <c r="AA581" s="18">
        <f>IF(OR(V581="Aprobada"),R581,IF(AND(OR(V581="Aprobada con ajuste",V581="Rechazada"),W581&lt;&gt;""),W581,""))</f>
        <v/>
      </c>
    </row>
    <row r="582">
      <c r="A582" s="18" t="inlineStr">
        <is>
          <t>C0581</t>
        </is>
      </c>
      <c r="B582" s="18" t="inlineStr">
        <is>
          <t>Plan de trabajo académico</t>
        </is>
      </c>
      <c r="C582" s="18" t="inlineStr">
        <is>
          <t>academic_work_plan</t>
        </is>
      </c>
      <c r="D582" s="18" t="inlineStr">
        <is>
          <t>PTAUserData</t>
        </is>
      </c>
      <c r="E582" s="18" t="n">
        <v>55</v>
      </c>
      <c r="F582" s="18" t="inlineStr">
        <is>
          <t>userId</t>
        </is>
      </c>
      <c r="G582" s="18" t="inlineStr">
        <is>
          <t>text</t>
        </is>
      </c>
      <c r="H582" s="18" t="inlineStr">
        <is>
          <t>No</t>
        </is>
      </c>
      <c r="I582" s="18" t="inlineStr">
        <is>
          <t>Única</t>
        </is>
      </c>
      <c r="J582" s="18" t="inlineStr"/>
      <c r="K582" s="18" t="inlineStr"/>
      <c r="L582" s="18" t="inlineStr">
        <is>
          <t>No</t>
        </is>
      </c>
      <c r="M582" s="18" t="inlineStr">
        <is>
          <t>No</t>
        </is>
      </c>
      <c r="N582" s="18" t="inlineStr"/>
      <c r="O582" s="18" t="inlineStr">
        <is>
          <t>PTAUserData_userId_key</t>
        </is>
      </c>
      <c r="P582" s="18" t="inlineStr">
        <is>
          <t>Mapeada en academic-work-plan-service/src/pta/entities/pta-user-data.entity.ts:14 (PtaUserDataEntity.userId)</t>
        </is>
      </c>
      <c r="Q582" s="18" t="inlineStr">
        <is>
          <t>Propuesta semántica</t>
        </is>
      </c>
      <c r="R582" s="18" t="inlineStr">
        <is>
          <t>Identificador del usuario al que pertenecen las preferencias; valor único.</t>
        </is>
      </c>
      <c r="S582" s="18" t="inlineStr">
        <is>
          <t>Alta</t>
        </is>
      </c>
      <c r="T582" s="18" t="inlineStr">
        <is>
          <t>nombre + tipo + columnas vecinas + restricción única</t>
        </is>
      </c>
      <c r="U582" s="18" t="inlineStr"/>
      <c r="V582" s="19" t="inlineStr">
        <is>
          <t>Pendiente</t>
        </is>
      </c>
      <c r="W582" s="19" t="inlineStr"/>
      <c r="X582" s="19" t="inlineStr"/>
      <c r="Y582" s="20" t="n"/>
      <c r="Z582" s="19" t="inlineStr"/>
      <c r="AA582" s="18">
        <f>IF(OR(V582="Aprobada"),R582,IF(AND(OR(V582="Aprobada con ajuste",V582="Rechazada"),W582&lt;&gt;""),W582,""))</f>
        <v/>
      </c>
    </row>
    <row r="583">
      <c r="A583" s="18" t="inlineStr">
        <is>
          <t>C0582</t>
        </is>
      </c>
      <c r="B583" s="18" t="inlineStr">
        <is>
          <t>Plan de trabajo académico</t>
        </is>
      </c>
      <c r="C583" s="18" t="inlineStr">
        <is>
          <t>academic_work_plan</t>
        </is>
      </c>
      <c r="D583" s="18" t="inlineStr">
        <is>
          <t>PTAUserData</t>
        </is>
      </c>
      <c r="E583" s="18" t="n">
        <v>55</v>
      </c>
      <c r="F583" s="18" t="inlineStr">
        <is>
          <t>tags</t>
        </is>
      </c>
      <c r="G583" s="18" t="inlineStr">
        <is>
          <t>jsonb</t>
        </is>
      </c>
      <c r="H583" s="18" t="inlineStr">
        <is>
          <t>No</t>
        </is>
      </c>
      <c r="I583" s="18" t="inlineStr"/>
      <c r="J583" s="18" t="inlineStr"/>
      <c r="K583" s="18" t="inlineStr"/>
      <c r="L583" s="18" t="inlineStr">
        <is>
          <t>No</t>
        </is>
      </c>
      <c r="M583" s="18" t="inlineStr">
        <is>
          <t>No</t>
        </is>
      </c>
      <c r="N583" s="18" t="inlineStr"/>
      <c r="O583" s="18" t="inlineStr"/>
      <c r="P583" s="18" t="inlineStr">
        <is>
          <t>Mapeada en academic-work-plan-service/src/pta/entities/pta-user-data.entity.ts:17 (PtaUserDataEntity.tags)</t>
        </is>
      </c>
      <c r="Q583" s="18" t="inlineStr">
        <is>
          <t>Propuesta semántica</t>
        </is>
      </c>
      <c r="R583" s="18" t="inlineStr">
        <is>
          <t>Etiquetas que el usuario asigna a los planes de trabajo, en formato JSON.</t>
        </is>
      </c>
      <c r="S583" s="18" t="inlineStr">
        <is>
          <t>Baja</t>
        </is>
      </c>
      <c r="T583" s="18" t="inlineStr">
        <is>
          <t>nombre + tipo + columnas vecinas</t>
        </is>
      </c>
      <c r="U583" s="18" t="inlineStr">
        <is>
          <t>¿Qué estructura tiene tags y a qué elementos se asignan?</t>
        </is>
      </c>
      <c r="V583" s="19" t="inlineStr">
        <is>
          <t>Pendiente</t>
        </is>
      </c>
      <c r="W583" s="19" t="inlineStr"/>
      <c r="X583" s="19" t="inlineStr"/>
      <c r="Y583" s="20" t="n"/>
      <c r="Z583" s="19" t="inlineStr"/>
      <c r="AA583" s="18">
        <f>IF(OR(V583="Aprobada"),R583,IF(AND(OR(V583="Aprobada con ajuste",V583="Rechazada"),W583&lt;&gt;""),W583,""))</f>
        <v/>
      </c>
    </row>
    <row r="584">
      <c r="A584" s="18" t="inlineStr">
        <is>
          <t>C0583</t>
        </is>
      </c>
      <c r="B584" s="18" t="inlineStr">
        <is>
          <t>Plan de trabajo académico</t>
        </is>
      </c>
      <c r="C584" s="18" t="inlineStr">
        <is>
          <t>academic_work_plan</t>
        </is>
      </c>
      <c r="D584" s="18" t="inlineStr">
        <is>
          <t>PTAUserData</t>
        </is>
      </c>
      <c r="E584" s="18" t="n">
        <v>55</v>
      </c>
      <c r="F584" s="18" t="inlineStr">
        <is>
          <t>notes</t>
        </is>
      </c>
      <c r="G584" s="18" t="inlineStr">
        <is>
          <t>jsonb</t>
        </is>
      </c>
      <c r="H584" s="18" t="inlineStr">
        <is>
          <t>No</t>
        </is>
      </c>
      <c r="I584" s="18" t="inlineStr"/>
      <c r="J584" s="18" t="inlineStr"/>
      <c r="K584" s="18" t="inlineStr"/>
      <c r="L584" s="18" t="inlineStr">
        <is>
          <t>No</t>
        </is>
      </c>
      <c r="M584" s="18" t="inlineStr">
        <is>
          <t>No</t>
        </is>
      </c>
      <c r="N584" s="18" t="inlineStr"/>
      <c r="O584" s="18" t="inlineStr"/>
      <c r="P584" s="18" t="inlineStr">
        <is>
          <t>Mapeada en academic-work-plan-service/src/pta/entities/pta-user-data.entity.ts:20 (PtaUserDataEntity.notes)</t>
        </is>
      </c>
      <c r="Q584" s="18" t="inlineStr">
        <is>
          <t>Propuesta semántica</t>
        </is>
      </c>
      <c r="R584" s="18" t="inlineStr">
        <is>
          <t>Notas personales del usuario sobre los planes de trabajo, en formato JSON.</t>
        </is>
      </c>
      <c r="S584" s="18" t="inlineStr">
        <is>
          <t>Baja</t>
        </is>
      </c>
      <c r="T584" s="18" t="inlineStr">
        <is>
          <t>nombre + tipo + columnas vecinas</t>
        </is>
      </c>
      <c r="U584" s="18" t="inlineStr">
        <is>
          <t>¿Qué estructura tiene notes?</t>
        </is>
      </c>
      <c r="V584" s="19" t="inlineStr">
        <is>
          <t>Pendiente</t>
        </is>
      </c>
      <c r="W584" s="19" t="inlineStr"/>
      <c r="X584" s="19" t="inlineStr"/>
      <c r="Y584" s="20" t="n"/>
      <c r="Z584" s="19" t="inlineStr"/>
      <c r="AA584" s="18">
        <f>IF(OR(V584="Aprobada"),R584,IF(AND(OR(V584="Aprobada con ajuste",V584="Rechazada"),W584&lt;&gt;""),W584,""))</f>
        <v/>
      </c>
    </row>
    <row r="585">
      <c r="A585" s="18" t="inlineStr">
        <is>
          <t>C0584</t>
        </is>
      </c>
      <c r="B585" s="18" t="inlineStr">
        <is>
          <t>Plan de trabajo académico</t>
        </is>
      </c>
      <c r="C585" s="18" t="inlineStr">
        <is>
          <t>academic_work_plan</t>
        </is>
      </c>
      <c r="D585" s="18" t="inlineStr">
        <is>
          <t>PTAUserData</t>
        </is>
      </c>
      <c r="E585" s="18" t="n">
        <v>55</v>
      </c>
      <c r="F585" s="18" t="inlineStr">
        <is>
          <t>pinned</t>
        </is>
      </c>
      <c r="G585" s="18" t="inlineStr">
        <is>
          <t>jsonb</t>
        </is>
      </c>
      <c r="H585" s="18" t="inlineStr">
        <is>
          <t>No</t>
        </is>
      </c>
      <c r="I585" s="18" t="inlineStr"/>
      <c r="J585" s="18" t="inlineStr"/>
      <c r="K585" s="18" t="inlineStr"/>
      <c r="L585" s="18" t="inlineStr">
        <is>
          <t>No</t>
        </is>
      </c>
      <c r="M585" s="18" t="inlineStr">
        <is>
          <t>No</t>
        </is>
      </c>
      <c r="N585" s="18" t="inlineStr"/>
      <c r="O585" s="18" t="inlineStr"/>
      <c r="P585" s="18" t="inlineStr">
        <is>
          <t>Mapeada en academic-work-plan-service/src/pta/entities/pta-user-data.entity.ts:23 (PtaUserDataEntity.pinned)</t>
        </is>
      </c>
      <c r="Q585" s="18" t="inlineStr">
        <is>
          <t>Propuesta semántica</t>
        </is>
      </c>
      <c r="R585" s="18" t="inlineStr">
        <is>
          <t>Lista de elementos fijados por el usuario, en formato JSON.</t>
        </is>
      </c>
      <c r="S585" s="18" t="inlineStr">
        <is>
          <t>Baja</t>
        </is>
      </c>
      <c r="T585" s="18" t="inlineStr">
        <is>
          <t>nombre + tipo + columnas vecinas</t>
        </is>
      </c>
      <c r="U585" s="18" t="inlineStr">
        <is>
          <t>¿Qué elementos se fijan (planes, docentes…)?</t>
        </is>
      </c>
      <c r="V585" s="19" t="inlineStr">
        <is>
          <t>Pendiente</t>
        </is>
      </c>
      <c r="W585" s="19" t="inlineStr"/>
      <c r="X585" s="19" t="inlineStr"/>
      <c r="Y585" s="20" t="n"/>
      <c r="Z585" s="19" t="inlineStr"/>
      <c r="AA585" s="18">
        <f>IF(OR(V585="Aprobada"),R585,IF(AND(OR(V585="Aprobada con ajuste",V585="Rechazada"),W585&lt;&gt;""),W585,""))</f>
        <v/>
      </c>
    </row>
    <row r="586">
      <c r="A586" s="18" t="inlineStr">
        <is>
          <t>C0585</t>
        </is>
      </c>
      <c r="B586" s="18" t="inlineStr">
        <is>
          <t>Plan de trabajo académico</t>
        </is>
      </c>
      <c r="C586" s="18" t="inlineStr">
        <is>
          <t>academic_work_plan</t>
        </is>
      </c>
      <c r="D586" s="18" t="inlineStr">
        <is>
          <t>PTAUserData</t>
        </is>
      </c>
      <c r="E586" s="18" t="n">
        <v>55</v>
      </c>
      <c r="F586" s="18" t="inlineStr">
        <is>
          <t>priority</t>
        </is>
      </c>
      <c r="G586" s="18" t="inlineStr">
        <is>
          <t>jsonb</t>
        </is>
      </c>
      <c r="H586" s="18" t="inlineStr">
        <is>
          <t>No</t>
        </is>
      </c>
      <c r="I586" s="18" t="inlineStr"/>
      <c r="J586" s="18" t="inlineStr"/>
      <c r="K586" s="18" t="inlineStr"/>
      <c r="L586" s="18" t="inlineStr">
        <is>
          <t>No</t>
        </is>
      </c>
      <c r="M586" s="18" t="inlineStr">
        <is>
          <t>No</t>
        </is>
      </c>
      <c r="N586" s="18" t="inlineStr"/>
      <c r="O586" s="18" t="inlineStr"/>
      <c r="P586" s="18" t="inlineStr">
        <is>
          <t>Mapeada en academic-work-plan-service/src/pta/entities/pta-user-data.entity.ts:26 (PtaUserDataEntity.priority)</t>
        </is>
      </c>
      <c r="Q586" s="18" t="inlineStr">
        <is>
          <t>Propuesta semántica</t>
        </is>
      </c>
      <c r="R586" s="18" t="inlineStr">
        <is>
          <t>Lista de elementos marcados como prioritarios por el usuario, en formato JSON.</t>
        </is>
      </c>
      <c r="S586" s="18" t="inlineStr">
        <is>
          <t>Baja</t>
        </is>
      </c>
      <c r="T586" s="18" t="inlineStr">
        <is>
          <t>nombre + tipo + columnas vecinas</t>
        </is>
      </c>
      <c r="U586" s="18" t="inlineStr">
        <is>
          <t>¿Qué elementos se priorizan y cómo se ordena la lista?</t>
        </is>
      </c>
      <c r="V586" s="19" t="inlineStr">
        <is>
          <t>Pendiente</t>
        </is>
      </c>
      <c r="W586" s="19" t="inlineStr"/>
      <c r="X586" s="19" t="inlineStr"/>
      <c r="Y586" s="20" t="n"/>
      <c r="Z586" s="19" t="inlineStr"/>
      <c r="AA586" s="18">
        <f>IF(OR(V586="Aprobada"),R586,IF(AND(OR(V586="Aprobada con ajuste",V586="Rechazada"),W586&lt;&gt;""),W586,""))</f>
        <v/>
      </c>
    </row>
    <row r="587">
      <c r="A587" s="18" t="inlineStr">
        <is>
          <t>C0586</t>
        </is>
      </c>
      <c r="B587" s="18" t="inlineStr">
        <is>
          <t>Plan de trabajo académico</t>
        </is>
      </c>
      <c r="C587" s="18" t="inlineStr">
        <is>
          <t>academic_work_plan</t>
        </is>
      </c>
      <c r="D587" s="18" t="inlineStr">
        <is>
          <t>Rol</t>
        </is>
      </c>
      <c r="E587" s="18" t="n">
        <v>12</v>
      </c>
      <c r="F587" s="18" t="inlineStr">
        <is>
          <t>nombre</t>
        </is>
      </c>
      <c r="G587" s="18" t="inlineStr">
        <is>
          <t>text</t>
        </is>
      </c>
      <c r="H587" s="18" t="inlineStr">
        <is>
          <t>No</t>
        </is>
      </c>
      <c r="I587" s="18" t="inlineStr"/>
      <c r="J587" s="18" t="inlineStr"/>
      <c r="K587" s="18" t="inlineStr"/>
      <c r="L587" s="18" t="inlineStr">
        <is>
          <t>No</t>
        </is>
      </c>
      <c r="M587" s="18" t="inlineStr">
        <is>
          <t>Sí</t>
        </is>
      </c>
      <c r="N587" s="18" t="inlineStr">
        <is>
          <t>Función control_interno.fn_configurar_actividad_auditorias_plan — control_interno.fn_configurar_actividad_auditorias_plan: LOWER(a.nombre) LIKE '%auditoría%'</t>
        </is>
      </c>
      <c r="O587" s="18" t="inlineStr">
        <is>
          <t>Rol_nombre_key</t>
        </is>
      </c>
      <c r="P587" s="18" t="inlineStr"/>
      <c r="Q587" s="18" t="inlineStr">
        <is>
          <t>Regla estructural</t>
        </is>
      </c>
      <c r="R587" s="18" t="inlineStr">
        <is>
          <t>Nombre del registro de Rol.</t>
        </is>
      </c>
      <c r="S587" s="18" t="inlineStr">
        <is>
          <t>Media</t>
        </is>
      </c>
      <c r="T587" s="18" t="inlineStr">
        <is>
          <t>Convención de nombre de la columna.</t>
        </is>
      </c>
      <c r="U587" s="18" t="inlineStr"/>
      <c r="V587" s="19" t="inlineStr">
        <is>
          <t>Pendiente</t>
        </is>
      </c>
      <c r="W587" s="19" t="inlineStr"/>
      <c r="X587" s="19" t="inlineStr"/>
      <c r="Y587" s="20" t="n"/>
      <c r="Z587" s="19" t="inlineStr"/>
      <c r="AA587" s="18">
        <f>IF(OR(V587="Aprobada"),R587,IF(AND(OR(V587="Aprobada con ajuste",V587="Rechazada"),W587&lt;&gt;""),W587,""))</f>
        <v/>
      </c>
    </row>
    <row r="588">
      <c r="A588" s="18" t="inlineStr">
        <is>
          <t>C0587</t>
        </is>
      </c>
      <c r="B588" s="18" t="inlineStr">
        <is>
          <t>Plan de trabajo académico</t>
        </is>
      </c>
      <c r="C588" s="18" t="inlineStr">
        <is>
          <t>academic_work_plan</t>
        </is>
      </c>
      <c r="D588" s="18" t="inlineStr">
        <is>
          <t>Rol</t>
        </is>
      </c>
      <c r="E588" s="18" t="n">
        <v>12</v>
      </c>
      <c r="F588" s="18" t="inlineStr">
        <is>
          <t>descripcion</t>
        </is>
      </c>
      <c r="G588" s="18" t="inlineStr">
        <is>
          <t>text</t>
        </is>
      </c>
      <c r="H588" s="18" t="inlineStr">
        <is>
          <t>Sí</t>
        </is>
      </c>
      <c r="I588" s="18" t="inlineStr"/>
      <c r="J588" s="18" t="inlineStr"/>
      <c r="K588" s="18" t="inlineStr"/>
      <c r="L588" s="18" t="inlineStr">
        <is>
          <t>No</t>
        </is>
      </c>
      <c r="M588" s="18" t="inlineStr">
        <is>
          <t>No</t>
        </is>
      </c>
      <c r="N588" s="18" t="inlineStr"/>
      <c r="O588" s="18" t="inlineStr"/>
      <c r="P588" s="18" t="inlineStr"/>
      <c r="Q588" s="18" t="inlineStr">
        <is>
          <t>Regla estructural</t>
        </is>
      </c>
      <c r="R588" s="18" t="inlineStr">
        <is>
          <t>Descripción del registro de Rol.</t>
        </is>
      </c>
      <c r="S588" s="18" t="inlineStr">
        <is>
          <t>Media</t>
        </is>
      </c>
      <c r="T588" s="18" t="inlineStr">
        <is>
          <t>Convención de nombre de la columna.</t>
        </is>
      </c>
      <c r="U588" s="18" t="inlineStr"/>
      <c r="V588" s="19" t="inlineStr">
        <is>
          <t>Pendiente</t>
        </is>
      </c>
      <c r="W588" s="19" t="inlineStr"/>
      <c r="X588" s="19" t="inlineStr"/>
      <c r="Y588" s="20" t="n"/>
      <c r="Z588" s="19" t="inlineStr"/>
      <c r="AA588" s="18">
        <f>IF(OR(V588="Aprobada"),R588,IF(AND(OR(V588="Aprobada con ajuste",V588="Rechazada"),W588&lt;&gt;""),W588,""))</f>
        <v/>
      </c>
    </row>
    <row r="589">
      <c r="A589" s="18" t="inlineStr">
        <is>
          <t>C0588</t>
        </is>
      </c>
      <c r="B589" s="18" t="inlineStr">
        <is>
          <t>Plan de trabajo académico</t>
        </is>
      </c>
      <c r="C589" s="18" t="inlineStr">
        <is>
          <t>academic_work_plan</t>
        </is>
      </c>
      <c r="D589" s="18" t="inlineStr">
        <is>
          <t>Rol</t>
        </is>
      </c>
      <c r="E589" s="18" t="n">
        <v>12</v>
      </c>
      <c r="F589" s="18" t="inlineStr">
        <is>
          <t>isSystem</t>
        </is>
      </c>
      <c r="G589" s="18" t="inlineStr">
        <is>
          <t>boolean</t>
        </is>
      </c>
      <c r="H589" s="18" t="inlineStr">
        <is>
          <t>No</t>
        </is>
      </c>
      <c r="I589" s="18" t="inlineStr"/>
      <c r="J589" s="18" t="inlineStr"/>
      <c r="K589" s="18" t="inlineStr"/>
      <c r="L589" s="18" t="inlineStr">
        <is>
          <t>No</t>
        </is>
      </c>
      <c r="M589" s="18" t="inlineStr">
        <is>
          <t>No</t>
        </is>
      </c>
      <c r="N589" s="18" t="inlineStr"/>
      <c r="O589" s="18" t="inlineStr"/>
      <c r="P589" s="18" t="inlineStr"/>
      <c r="Q589" s="18" t="inlineStr">
        <is>
          <t>Regla estructural</t>
        </is>
      </c>
      <c r="R589" s="18" t="inlineStr">
        <is>
          <t>Indica si aplica: issystem.</t>
        </is>
      </c>
      <c r="S589" s="18" t="inlineStr">
        <is>
          <t>Media</t>
        </is>
      </c>
      <c r="T589" s="18" t="inlineStr">
        <is>
          <t>Convención de nombre de la columna.</t>
        </is>
      </c>
      <c r="U589" s="18" t="inlineStr"/>
      <c r="V589" s="19" t="inlineStr">
        <is>
          <t>Pendiente</t>
        </is>
      </c>
      <c r="W589" s="19" t="inlineStr"/>
      <c r="X589" s="19" t="inlineStr"/>
      <c r="Y589" s="20" t="n"/>
      <c r="Z589" s="19" t="inlineStr"/>
      <c r="AA589" s="18">
        <f>IF(OR(V589="Aprobada"),R589,IF(AND(OR(V589="Aprobada con ajuste",V589="Rechazada"),W589&lt;&gt;""),W589,""))</f>
        <v/>
      </c>
    </row>
    <row r="590">
      <c r="A590" s="18" t="inlineStr">
        <is>
          <t>C0589</t>
        </is>
      </c>
      <c r="B590" s="18" t="inlineStr">
        <is>
          <t>Plan de trabajo académico</t>
        </is>
      </c>
      <c r="C590" s="18" t="inlineStr">
        <is>
          <t>academic_work_plan</t>
        </is>
      </c>
      <c r="D590" s="18" t="inlineStr">
        <is>
          <t>Rol</t>
        </is>
      </c>
      <c r="E590" s="18" t="n">
        <v>12</v>
      </c>
      <c r="F590" s="18" t="inlineStr">
        <is>
          <t>estado</t>
        </is>
      </c>
      <c r="G590" s="18" t="inlineStr">
        <is>
          <t>text</t>
        </is>
      </c>
      <c r="H590" s="18" t="inlineStr">
        <is>
          <t>No</t>
        </is>
      </c>
      <c r="I590" s="18" t="inlineStr"/>
      <c r="J590" s="18" t="inlineStr"/>
      <c r="K590" s="18" t="inlineStr"/>
      <c r="L590" s="18" t="inlineStr">
        <is>
          <t>No</t>
        </is>
      </c>
      <c r="M590" s="18" t="inlineStr">
        <is>
          <t>No</t>
        </is>
      </c>
      <c r="N590" s="18" t="inlineStr"/>
      <c r="O590" s="18" t="inlineStr"/>
      <c r="P590" s="18" t="inlineStr"/>
      <c r="Q590" s="18" t="inlineStr">
        <is>
          <t>Regla estructural</t>
        </is>
      </c>
      <c r="R590" s="18" t="inlineStr">
        <is>
          <t>Estado del registro de Rol.</t>
        </is>
      </c>
      <c r="S590" s="18" t="inlineStr">
        <is>
          <t>Media</t>
        </is>
      </c>
      <c r="T590" s="18" t="inlineStr">
        <is>
          <t>Convención de nombre de la columna.</t>
        </is>
      </c>
      <c r="U590" s="18" t="inlineStr"/>
      <c r="V590" s="19" t="inlineStr">
        <is>
          <t>Pendiente</t>
        </is>
      </c>
      <c r="W590" s="19" t="inlineStr"/>
      <c r="X590" s="19" t="inlineStr"/>
      <c r="Y590" s="20" t="n"/>
      <c r="Z590" s="19" t="inlineStr"/>
      <c r="AA590" s="18">
        <f>IF(OR(V590="Aprobada"),R590,IF(AND(OR(V590="Aprobada con ajuste",V590="Rechazada"),W590&lt;&gt;""),W590,""))</f>
        <v/>
      </c>
    </row>
    <row r="591">
      <c r="A591" s="18" t="inlineStr">
        <is>
          <t>C0590</t>
        </is>
      </c>
      <c r="B591" s="18" t="inlineStr">
        <is>
          <t>Plan de trabajo académico</t>
        </is>
      </c>
      <c r="C591" s="18" t="inlineStr">
        <is>
          <t>academic_work_plan</t>
        </is>
      </c>
      <c r="D591" s="18" t="inlineStr">
        <is>
          <t>Sede</t>
        </is>
      </c>
      <c r="E591" s="18" t="n">
        <v>280</v>
      </c>
      <c r="F591" s="18" t="inlineStr">
        <is>
          <t>nombre</t>
        </is>
      </c>
      <c r="G591" s="18" t="inlineStr">
        <is>
          <t>text</t>
        </is>
      </c>
      <c r="H591" s="18" t="inlineStr">
        <is>
          <t>No</t>
        </is>
      </c>
      <c r="I591" s="18" t="inlineStr"/>
      <c r="J591" s="18" t="inlineStr"/>
      <c r="K591" s="18" t="inlineStr"/>
      <c r="L591" s="18" t="inlineStr">
        <is>
          <t>No</t>
        </is>
      </c>
      <c r="M591" s="18" t="inlineStr">
        <is>
          <t>No</t>
        </is>
      </c>
      <c r="N591" s="18" t="inlineStr"/>
      <c r="O591" s="18" t="inlineStr"/>
      <c r="P591" s="18" t="inlineStr">
        <is>
          <t>Mapeada en academic-work-plan-service/src/pta/entities/sede.entity.ts:16 (SedeEntity.nombre)</t>
        </is>
      </c>
      <c r="Q591" s="18" t="inlineStr">
        <is>
          <t>Regla estructural</t>
        </is>
      </c>
      <c r="R591" s="18" t="inlineStr">
        <is>
          <t>Nombre del registro de Sede.</t>
        </is>
      </c>
      <c r="S591" s="18" t="inlineStr">
        <is>
          <t>Media</t>
        </is>
      </c>
      <c r="T591" s="18" t="inlineStr">
        <is>
          <t>Convención de nombre de la columna.</t>
        </is>
      </c>
      <c r="U591" s="18" t="inlineStr"/>
      <c r="V591" s="19" t="inlineStr">
        <is>
          <t>Pendiente</t>
        </is>
      </c>
      <c r="W591" s="19" t="inlineStr"/>
      <c r="X591" s="19" t="inlineStr"/>
      <c r="Y591" s="20" t="n"/>
      <c r="Z591" s="19" t="inlineStr"/>
      <c r="AA591" s="18">
        <f>IF(OR(V591="Aprobada"),R591,IF(AND(OR(V591="Aprobada con ajuste",V591="Rechazada"),W591&lt;&gt;""),W591,""))</f>
        <v/>
      </c>
    </row>
    <row r="592">
      <c r="A592" s="18" t="inlineStr">
        <is>
          <t>C0591</t>
        </is>
      </c>
      <c r="B592" s="18" t="inlineStr">
        <is>
          <t>Plan de trabajo académico</t>
        </is>
      </c>
      <c r="C592" s="18" t="inlineStr">
        <is>
          <t>academic_work_plan</t>
        </is>
      </c>
      <c r="D592" s="18" t="inlineStr">
        <is>
          <t>Sede</t>
        </is>
      </c>
      <c r="E592" s="18" t="n">
        <v>280</v>
      </c>
      <c r="F592" s="18" t="inlineStr">
        <is>
          <t>municipio</t>
        </is>
      </c>
      <c r="G592" s="18" t="inlineStr">
        <is>
          <t>text</t>
        </is>
      </c>
      <c r="H592" s="18" t="inlineStr">
        <is>
          <t>Sí</t>
        </is>
      </c>
      <c r="I592" s="18" t="inlineStr"/>
      <c r="J592" s="18" t="inlineStr"/>
      <c r="K592" s="18" t="inlineStr"/>
      <c r="L592" s="18" t="inlineStr">
        <is>
          <t>No</t>
        </is>
      </c>
      <c r="M592" s="18" t="inlineStr">
        <is>
          <t>No</t>
        </is>
      </c>
      <c r="N592" s="18" t="inlineStr"/>
      <c r="O592" s="18" t="inlineStr"/>
      <c r="P592" s="18" t="inlineStr">
        <is>
          <t>Mapeada en academic-work-plan-service/src/pta/entities/sede.entity.ts:19 (SedeEntity.municipio)</t>
        </is>
      </c>
      <c r="Q592" s="18" t="inlineStr">
        <is>
          <t>Propuesta semántica</t>
        </is>
      </c>
      <c r="R592" s="18" t="inlineStr">
        <is>
          <t>Municipio donde se ubica la sede.</t>
        </is>
      </c>
      <c r="S592" s="18" t="inlineStr">
        <is>
          <t>Alta</t>
        </is>
      </c>
      <c r="T592" s="18" t="inlineStr">
        <is>
          <t>nombre + tipo + columnas vecinas</t>
        </is>
      </c>
      <c r="U592" s="18" t="inlineStr"/>
      <c r="V592" s="19" t="inlineStr">
        <is>
          <t>Pendiente</t>
        </is>
      </c>
      <c r="W592" s="19" t="inlineStr"/>
      <c r="X592" s="19" t="inlineStr"/>
      <c r="Y592" s="20" t="n"/>
      <c r="Z592" s="19" t="inlineStr"/>
      <c r="AA592" s="18">
        <f>IF(OR(V592="Aprobada"),R592,IF(AND(OR(V592="Aprobada con ajuste",V592="Rechazada"),W592&lt;&gt;""),W592,""))</f>
        <v/>
      </c>
    </row>
    <row r="593">
      <c r="A593" s="18" t="inlineStr">
        <is>
          <t>C0592</t>
        </is>
      </c>
      <c r="B593" s="18" t="inlineStr">
        <is>
          <t>Plan de trabajo académico</t>
        </is>
      </c>
      <c r="C593" s="18" t="inlineStr">
        <is>
          <t>academic_work_plan</t>
        </is>
      </c>
      <c r="D593" s="18" t="inlineStr">
        <is>
          <t>Sede</t>
        </is>
      </c>
      <c r="E593" s="18" t="n">
        <v>280</v>
      </c>
      <c r="F593" s="18" t="inlineStr">
        <is>
          <t>codigo</t>
        </is>
      </c>
      <c r="G593" s="18" t="inlineStr">
        <is>
          <t>text</t>
        </is>
      </c>
      <c r="H593" s="18" t="inlineStr">
        <is>
          <t>Sí</t>
        </is>
      </c>
      <c r="I593" s="18" t="inlineStr">
        <is>
          <t>Única</t>
        </is>
      </c>
      <c r="J593" s="18" t="inlineStr"/>
      <c r="K593" s="18" t="inlineStr"/>
      <c r="L593" s="18" t="inlineStr">
        <is>
          <t>No</t>
        </is>
      </c>
      <c r="M593" s="18" t="inlineStr">
        <is>
          <t>No</t>
        </is>
      </c>
      <c r="N593" s="18" t="inlineStr"/>
      <c r="O593" s="18" t="inlineStr">
        <is>
          <t>Sede_codigo_key</t>
        </is>
      </c>
      <c r="P593" s="18" t="inlineStr">
        <is>
          <t>Mapeada en academic-work-plan-service/src/pta/entities/sede.entity.ts:22 (SedeEntity.codigo)</t>
        </is>
      </c>
      <c r="Q593" s="18" t="inlineStr">
        <is>
          <t>Regla estructural</t>
        </is>
      </c>
      <c r="R593" s="18" t="inlineStr">
        <is>
          <t>Código del registro de Sede. Único en la tabla.</t>
        </is>
      </c>
      <c r="S593" s="18" t="inlineStr">
        <is>
          <t>Media</t>
        </is>
      </c>
      <c r="T593" s="18" t="inlineStr">
        <is>
          <t>Convención de nombre de la columna.</t>
        </is>
      </c>
      <c r="U593" s="18" t="inlineStr"/>
      <c r="V593" s="19" t="inlineStr">
        <is>
          <t>Pendiente</t>
        </is>
      </c>
      <c r="W593" s="19" t="inlineStr"/>
      <c r="X593" s="19" t="inlineStr"/>
      <c r="Y593" s="20" t="n"/>
      <c r="Z593" s="19" t="inlineStr"/>
      <c r="AA593" s="18">
        <f>IF(OR(V593="Aprobada"),R593,IF(AND(OR(V593="Aprobada con ajuste",V593="Rechazada"),W593&lt;&gt;""),W593,""))</f>
        <v/>
      </c>
    </row>
    <row r="594">
      <c r="A594" s="18" t="inlineStr">
        <is>
          <t>C0593</t>
        </is>
      </c>
      <c r="B594" s="18" t="inlineStr">
        <is>
          <t>Plan de trabajo académico</t>
        </is>
      </c>
      <c r="C594" s="18" t="inlineStr">
        <is>
          <t>academic_work_plan</t>
        </is>
      </c>
      <c r="D594" s="18" t="inlineStr">
        <is>
          <t>SistemaAlerta</t>
        </is>
      </c>
      <c r="E594" s="18" t="n">
        <v>1</v>
      </c>
      <c r="F594" s="18" t="inlineStr">
        <is>
          <t>tipo</t>
        </is>
      </c>
      <c r="G594" s="18" t="inlineStr">
        <is>
          <t>text</t>
        </is>
      </c>
      <c r="H594" s="18" t="inlineStr">
        <is>
          <t>No</t>
        </is>
      </c>
      <c r="I594" s="18" t="inlineStr"/>
      <c r="J594" s="18" t="inlineStr"/>
      <c r="K594" s="18" t="inlineStr"/>
      <c r="L594" s="18" t="inlineStr">
        <is>
          <t>No</t>
        </is>
      </c>
      <c r="M594" s="18" t="inlineStr">
        <is>
          <t>No</t>
        </is>
      </c>
      <c r="N594" s="18" t="inlineStr"/>
      <c r="O594" s="18" t="inlineStr"/>
      <c r="P594" s="18" t="inlineStr"/>
      <c r="Q594" s="18" t="inlineStr">
        <is>
          <t>Regla estructural</t>
        </is>
      </c>
      <c r="R594" s="18" t="inlineStr">
        <is>
          <t>Tipo del registro de SistemaAlerta.</t>
        </is>
      </c>
      <c r="S594" s="18" t="inlineStr">
        <is>
          <t>Media</t>
        </is>
      </c>
      <c r="T594" s="18" t="inlineStr">
        <is>
          <t>Convención de nombre de la columna.</t>
        </is>
      </c>
      <c r="U594" s="18" t="inlineStr"/>
      <c r="V594" s="19" t="inlineStr">
        <is>
          <t>Pendiente</t>
        </is>
      </c>
      <c r="W594" s="19" t="inlineStr"/>
      <c r="X594" s="19" t="inlineStr"/>
      <c r="Y594" s="20" t="n"/>
      <c r="Z594" s="19" t="inlineStr"/>
      <c r="AA594" s="18">
        <f>IF(OR(V594="Aprobada"),R594,IF(AND(OR(V594="Aprobada con ajuste",V594="Rechazada"),W594&lt;&gt;""),W594,""))</f>
        <v/>
      </c>
    </row>
    <row r="595">
      <c r="A595" s="18" t="inlineStr">
        <is>
          <t>C0594</t>
        </is>
      </c>
      <c r="B595" s="18" t="inlineStr">
        <is>
          <t>Plan de trabajo académico</t>
        </is>
      </c>
      <c r="C595" s="18" t="inlineStr">
        <is>
          <t>academic_work_plan</t>
        </is>
      </c>
      <c r="D595" s="18" t="inlineStr">
        <is>
          <t>SistemaAlerta</t>
        </is>
      </c>
      <c r="E595" s="18" t="n">
        <v>1</v>
      </c>
      <c r="F595" s="18" t="inlineStr">
        <is>
          <t>severidad</t>
        </is>
      </c>
      <c r="G595" s="18" t="inlineStr">
        <is>
          <t>text</t>
        </is>
      </c>
      <c r="H595" s="18" t="inlineStr">
        <is>
          <t>No</t>
        </is>
      </c>
      <c r="I595" s="18" t="inlineStr"/>
      <c r="J595" s="18" t="inlineStr"/>
      <c r="K595" s="18" t="inlineStr"/>
      <c r="L595" s="18" t="inlineStr">
        <is>
          <t>No</t>
        </is>
      </c>
      <c r="M595" s="18" t="inlineStr">
        <is>
          <t>No</t>
        </is>
      </c>
      <c r="N595" s="18" t="inlineStr"/>
      <c r="O595" s="18" t="inlineStr"/>
      <c r="P595" s="18" t="inlineStr"/>
      <c r="Q595" s="18" t="inlineStr">
        <is>
          <t>Propuesta semántica</t>
        </is>
      </c>
      <c r="R595" s="18" t="inlineStr">
        <is>
          <t>Nivel de severidad de la alerta; por defecto, «ALTA».</t>
        </is>
      </c>
      <c r="S595" s="18" t="inlineStr">
        <is>
          <t>Media</t>
        </is>
      </c>
      <c r="T595" s="18" t="inlineStr">
        <is>
          <t>nombre + tipo + columnas vecinas + defecto</t>
        </is>
      </c>
      <c r="U595" s="18" t="inlineStr">
        <is>
          <t>¿Qué otros valores toma severidad?</t>
        </is>
      </c>
      <c r="V595" s="19" t="inlineStr">
        <is>
          <t>Pendiente</t>
        </is>
      </c>
      <c r="W595" s="19" t="inlineStr"/>
      <c r="X595" s="19" t="inlineStr"/>
      <c r="Y595" s="20" t="n"/>
      <c r="Z595" s="19" t="inlineStr"/>
      <c r="AA595" s="18">
        <f>IF(OR(V595="Aprobada"),R595,IF(AND(OR(V595="Aprobada con ajuste",V595="Rechazada"),W595&lt;&gt;""),W595,""))</f>
        <v/>
      </c>
    </row>
    <row r="596">
      <c r="A596" s="18" t="inlineStr">
        <is>
          <t>C0595</t>
        </is>
      </c>
      <c r="B596" s="18" t="inlineStr">
        <is>
          <t>Plan de trabajo académico</t>
        </is>
      </c>
      <c r="C596" s="18" t="inlineStr">
        <is>
          <t>academic_work_plan</t>
        </is>
      </c>
      <c r="D596" s="18" t="inlineStr">
        <is>
          <t>SistemaAlerta</t>
        </is>
      </c>
      <c r="E596" s="18" t="n">
        <v>1</v>
      </c>
      <c r="F596" s="18" t="inlineStr">
        <is>
          <t>mensaje</t>
        </is>
      </c>
      <c r="G596" s="18" t="inlineStr">
        <is>
          <t>text</t>
        </is>
      </c>
      <c r="H596" s="18" t="inlineStr">
        <is>
          <t>No</t>
        </is>
      </c>
      <c r="I596" s="18" t="inlineStr"/>
      <c r="J596" s="18" t="inlineStr"/>
      <c r="K596" s="18" t="inlineStr"/>
      <c r="L596" s="18" t="inlineStr">
        <is>
          <t>No</t>
        </is>
      </c>
      <c r="M596" s="18" t="inlineStr">
        <is>
          <t>No</t>
        </is>
      </c>
      <c r="N596" s="18" t="inlineStr"/>
      <c r="O596" s="18" t="inlineStr"/>
      <c r="P596" s="18" t="inlineStr"/>
      <c r="Q596" s="18" t="inlineStr">
        <is>
          <t>Propuesta semántica</t>
        </is>
      </c>
      <c r="R596" s="18" t="inlineStr">
        <is>
          <t>Mensaje descriptivo de la alerta.</t>
        </is>
      </c>
      <c r="S596" s="18" t="inlineStr">
        <is>
          <t>Alta</t>
        </is>
      </c>
      <c r="T596" s="18" t="inlineStr">
        <is>
          <t>nombre + tipo + columnas vecinas</t>
        </is>
      </c>
      <c r="U596" s="18" t="inlineStr"/>
      <c r="V596" s="19" t="inlineStr">
        <is>
          <t>Pendiente</t>
        </is>
      </c>
      <c r="W596" s="19" t="inlineStr"/>
      <c r="X596" s="19" t="inlineStr"/>
      <c r="Y596" s="20" t="n"/>
      <c r="Z596" s="19" t="inlineStr"/>
      <c r="AA596" s="18">
        <f>IF(OR(V596="Aprobada"),R596,IF(AND(OR(V596="Aprobada con ajuste",V596="Rechazada"),W596&lt;&gt;""),W596,""))</f>
        <v/>
      </c>
    </row>
    <row r="597">
      <c r="A597" s="18" t="inlineStr">
        <is>
          <t>C0596</t>
        </is>
      </c>
      <c r="B597" s="18" t="inlineStr">
        <is>
          <t>Plan de trabajo académico</t>
        </is>
      </c>
      <c r="C597" s="18" t="inlineStr">
        <is>
          <t>academic_work_plan</t>
        </is>
      </c>
      <c r="D597" s="18" t="inlineStr">
        <is>
          <t>SistemaAlerta</t>
        </is>
      </c>
      <c r="E597" s="18" t="n">
        <v>1</v>
      </c>
      <c r="F597" s="18" t="inlineStr">
        <is>
          <t>entidadId</t>
        </is>
      </c>
      <c r="G597" s="18" t="inlineStr">
        <is>
          <t>text</t>
        </is>
      </c>
      <c r="H597" s="18" t="inlineStr">
        <is>
          <t>Sí</t>
        </is>
      </c>
      <c r="I597" s="18" t="inlineStr"/>
      <c r="J597" s="18" t="inlineStr"/>
      <c r="K597" s="18" t="inlineStr"/>
      <c r="L597" s="18" t="inlineStr">
        <is>
          <t>No</t>
        </is>
      </c>
      <c r="M597" s="18" t="inlineStr">
        <is>
          <t>No</t>
        </is>
      </c>
      <c r="N597" s="18" t="inlineStr"/>
      <c r="O597" s="18" t="inlineStr"/>
      <c r="P597" s="18" t="inlineStr"/>
      <c r="Q597" s="18" t="inlineStr">
        <is>
          <t>Propuesta semántica</t>
        </is>
      </c>
      <c r="R597" s="18" t="inlineStr">
        <is>
          <t>Identificador del registro que origina la alerta.</t>
        </is>
      </c>
      <c r="S597" s="18" t="inlineStr">
        <is>
          <t>Media</t>
        </is>
      </c>
      <c r="T597" s="18" t="inlineStr">
        <is>
          <t>nombre + tipo + columnas vecinas (entidadRef)</t>
        </is>
      </c>
      <c r="U597" s="18" t="inlineStr">
        <is>
          <t>¿A qué tablas puede apuntar entidadId?</t>
        </is>
      </c>
      <c r="V597" s="19" t="inlineStr">
        <is>
          <t>Pendiente</t>
        </is>
      </c>
      <c r="W597" s="19" t="inlineStr"/>
      <c r="X597" s="19" t="inlineStr"/>
      <c r="Y597" s="20" t="n"/>
      <c r="Z597" s="19" t="inlineStr"/>
      <c r="AA597" s="18">
        <f>IF(OR(V597="Aprobada"),R597,IF(AND(OR(V597="Aprobada con ajuste",V597="Rechazada"),W597&lt;&gt;""),W597,""))</f>
        <v/>
      </c>
    </row>
    <row r="598">
      <c r="A598" s="18" t="inlineStr">
        <is>
          <t>C0597</t>
        </is>
      </c>
      <c r="B598" s="18" t="inlineStr">
        <is>
          <t>Plan de trabajo académico</t>
        </is>
      </c>
      <c r="C598" s="18" t="inlineStr">
        <is>
          <t>academic_work_plan</t>
        </is>
      </c>
      <c r="D598" s="18" t="inlineStr">
        <is>
          <t>SistemaAlerta</t>
        </is>
      </c>
      <c r="E598" s="18" t="n">
        <v>1</v>
      </c>
      <c r="F598" s="18" t="inlineStr">
        <is>
          <t>entidadRef</t>
        </is>
      </c>
      <c r="G598" s="18" t="inlineStr">
        <is>
          <t>text</t>
        </is>
      </c>
      <c r="H598" s="18" t="inlineStr">
        <is>
          <t>Sí</t>
        </is>
      </c>
      <c r="I598" s="18" t="inlineStr"/>
      <c r="J598" s="18" t="inlineStr"/>
      <c r="K598" s="18" t="inlineStr"/>
      <c r="L598" s="18" t="inlineStr">
        <is>
          <t>No</t>
        </is>
      </c>
      <c r="M598" s="18" t="inlineStr">
        <is>
          <t>No</t>
        </is>
      </c>
      <c r="N598" s="18" t="inlineStr"/>
      <c r="O598" s="18" t="inlineStr"/>
      <c r="P598" s="18" t="inlineStr"/>
      <c r="Q598" s="18" t="inlineStr">
        <is>
          <t>Propuesta semántica</t>
        </is>
      </c>
      <c r="R598" s="18" t="inlineStr">
        <is>
          <t>Referencia o tipo de la entidad que origina la alerta.</t>
        </is>
      </c>
      <c r="S598" s="18" t="inlineStr">
        <is>
          <t>Baja</t>
        </is>
      </c>
      <c r="T598" s="18" t="inlineStr">
        <is>
          <t>nombre + tipo + columnas vecinas (entidadId)</t>
        </is>
      </c>
      <c r="U598" s="18" t="inlineStr">
        <is>
          <t>¿Qué guarda entidadRef: el nombre de la tabla, un código legible u otro dato?</t>
        </is>
      </c>
      <c r="V598" s="19" t="inlineStr">
        <is>
          <t>Pendiente</t>
        </is>
      </c>
      <c r="W598" s="19" t="inlineStr"/>
      <c r="X598" s="19" t="inlineStr"/>
      <c r="Y598" s="20" t="n"/>
      <c r="Z598" s="19" t="inlineStr"/>
      <c r="AA598" s="18">
        <f>IF(OR(V598="Aprobada"),R598,IF(AND(OR(V598="Aprobada con ajuste",V598="Rechazada"),W598&lt;&gt;""),W598,""))</f>
        <v/>
      </c>
    </row>
    <row r="599">
      <c r="A599" s="18" t="inlineStr">
        <is>
          <t>C0598</t>
        </is>
      </c>
      <c r="B599" s="18" t="inlineStr">
        <is>
          <t>Plan de trabajo académico</t>
        </is>
      </c>
      <c r="C599" s="18" t="inlineStr">
        <is>
          <t>academic_work_plan</t>
        </is>
      </c>
      <c r="D599" s="18" t="inlineStr">
        <is>
          <t>SistemaAlerta</t>
        </is>
      </c>
      <c r="E599" s="18" t="n">
        <v>1</v>
      </c>
      <c r="F599" s="18" t="inlineStr">
        <is>
          <t>resuelta</t>
        </is>
      </c>
      <c r="G599" s="18" t="inlineStr">
        <is>
          <t>boolean</t>
        </is>
      </c>
      <c r="H599" s="18" t="inlineStr">
        <is>
          <t>No</t>
        </is>
      </c>
      <c r="I599" s="18" t="inlineStr"/>
      <c r="J599" s="18" t="inlineStr"/>
      <c r="K599" s="18" t="inlineStr"/>
      <c r="L599" s="18" t="inlineStr">
        <is>
          <t>No</t>
        </is>
      </c>
      <c r="M599" s="18" t="inlineStr">
        <is>
          <t>No</t>
        </is>
      </c>
      <c r="N599" s="18" t="inlineStr"/>
      <c r="O599" s="18" t="inlineStr"/>
      <c r="P599" s="18" t="inlineStr"/>
      <c r="Q599" s="18" t="inlineStr">
        <is>
          <t>Regla estructural</t>
        </is>
      </c>
      <c r="R599" s="18" t="inlineStr">
        <is>
          <t>Indica si aplica: resuelta.</t>
        </is>
      </c>
      <c r="S599" s="18" t="inlineStr">
        <is>
          <t>Media</t>
        </is>
      </c>
      <c r="T599" s="18" t="inlineStr">
        <is>
          <t>Convención de nombre de la columna.</t>
        </is>
      </c>
      <c r="U599" s="18" t="inlineStr"/>
      <c r="V599" s="19" t="inlineStr">
        <is>
          <t>Pendiente</t>
        </is>
      </c>
      <c r="W599" s="19" t="inlineStr"/>
      <c r="X599" s="19" t="inlineStr"/>
      <c r="Y599" s="20" t="n"/>
      <c r="Z599" s="19" t="inlineStr"/>
      <c r="AA599" s="18">
        <f>IF(OR(V599="Aprobada"),R599,IF(AND(OR(V599="Aprobada con ajuste",V599="Rechazada"),W599&lt;&gt;""),W599,""))</f>
        <v/>
      </c>
    </row>
    <row r="600">
      <c r="A600" s="18" t="inlineStr">
        <is>
          <t>C0599</t>
        </is>
      </c>
      <c r="B600" s="18" t="inlineStr">
        <is>
          <t>Plan de trabajo académico</t>
        </is>
      </c>
      <c r="C600" s="18" t="inlineStr">
        <is>
          <t>academic_work_plan</t>
        </is>
      </c>
      <c r="D600" s="18" t="inlineStr">
        <is>
          <t>SolicitudPTA</t>
        </is>
      </c>
      <c r="E600" s="18" t="n">
        <v>13</v>
      </c>
      <c r="F600" s="18" t="inlineStr">
        <is>
          <t>docenteNombre</t>
        </is>
      </c>
      <c r="G600" s="18" t="inlineStr">
        <is>
          <t>text</t>
        </is>
      </c>
      <c r="H600" s="18" t="inlineStr">
        <is>
          <t>No</t>
        </is>
      </c>
      <c r="I600" s="18" t="inlineStr"/>
      <c r="J600" s="18" t="inlineStr"/>
      <c r="K600" s="18" t="inlineStr"/>
      <c r="L600" s="18" t="inlineStr">
        <is>
          <t>No</t>
        </is>
      </c>
      <c r="M600" s="18" t="inlineStr">
        <is>
          <t>No</t>
        </is>
      </c>
      <c r="N600" s="18" t="inlineStr"/>
      <c r="O600" s="18" t="inlineStr"/>
      <c r="P600" s="18" t="inlineStr">
        <is>
          <t>Mapeada en academic-work-plan-service/src/pta/entities/solicitud-pta.entity.ts:11 (SolicitudPtaEntity.docenteNombre)</t>
        </is>
      </c>
      <c r="Q600" s="18" t="inlineStr">
        <is>
          <t>Propuesta semántica</t>
        </is>
      </c>
      <c r="R600" s="18" t="inlineStr">
        <is>
          <t>Nombre del docente que presenta la solicitud.</t>
        </is>
      </c>
      <c r="S600" s="18" t="inlineStr">
        <is>
          <t>Alta</t>
        </is>
      </c>
      <c r="T600" s="18" t="inlineStr">
        <is>
          <t>nombre + tipo + columnas vecinas</t>
        </is>
      </c>
      <c r="U600" s="18" t="inlineStr"/>
      <c r="V600" s="19" t="inlineStr">
        <is>
          <t>Pendiente</t>
        </is>
      </c>
      <c r="W600" s="19" t="inlineStr"/>
      <c r="X600" s="19" t="inlineStr"/>
      <c r="Y600" s="20" t="n"/>
      <c r="Z600" s="19" t="inlineStr"/>
      <c r="AA600" s="18">
        <f>IF(OR(V600="Aprobada"),R600,IF(AND(OR(V600="Aprobada con ajuste",V600="Rechazada"),W600&lt;&gt;""),W600,""))</f>
        <v/>
      </c>
    </row>
    <row r="601">
      <c r="A601" s="18" t="inlineStr">
        <is>
          <t>C0600</t>
        </is>
      </c>
      <c r="B601" s="18" t="inlineStr">
        <is>
          <t>Plan de trabajo académico</t>
        </is>
      </c>
      <c r="C601" s="18" t="inlineStr">
        <is>
          <t>academic_work_plan</t>
        </is>
      </c>
      <c r="D601" s="18" t="inlineStr">
        <is>
          <t>SolicitudPTA</t>
        </is>
      </c>
      <c r="E601" s="18" t="n">
        <v>13</v>
      </c>
      <c r="F601" s="18" t="inlineStr">
        <is>
          <t>docenteEmail</t>
        </is>
      </c>
      <c r="G601" s="18" t="inlineStr">
        <is>
          <t>text</t>
        </is>
      </c>
      <c r="H601" s="18" t="inlineStr">
        <is>
          <t>Sí</t>
        </is>
      </c>
      <c r="I601" s="18" t="inlineStr"/>
      <c r="J601" s="18" t="inlineStr"/>
      <c r="K601" s="18" t="inlineStr"/>
      <c r="L601" s="18" t="inlineStr">
        <is>
          <t>No</t>
        </is>
      </c>
      <c r="M601" s="18" t="inlineStr">
        <is>
          <t>No</t>
        </is>
      </c>
      <c r="N601" s="18" t="inlineStr"/>
      <c r="O601" s="18" t="inlineStr"/>
      <c r="P601" s="18" t="inlineStr">
        <is>
          <t>Mapeada en academic-work-plan-service/src/pta/entities/solicitud-pta.entity.ts:14 (SolicitudPtaEntity.docenteEmail)</t>
        </is>
      </c>
      <c r="Q601" s="18" t="inlineStr">
        <is>
          <t>Propuesta semántica</t>
        </is>
      </c>
      <c r="R601" s="18" t="inlineStr">
        <is>
          <t>Correo electrónico del docente que presenta la solicitud.</t>
        </is>
      </c>
      <c r="S601" s="18" t="inlineStr">
        <is>
          <t>Alta</t>
        </is>
      </c>
      <c r="T601" s="18" t="inlineStr">
        <is>
          <t>nombre + tipo + columnas vecinas</t>
        </is>
      </c>
      <c r="U601" s="18" t="inlineStr"/>
      <c r="V601" s="19" t="inlineStr">
        <is>
          <t>Pendiente</t>
        </is>
      </c>
      <c r="W601" s="19" t="inlineStr"/>
      <c r="X601" s="19" t="inlineStr"/>
      <c r="Y601" s="20" t="n"/>
      <c r="Z601" s="19" t="inlineStr"/>
      <c r="AA601" s="18">
        <f>IF(OR(V601="Aprobada"),R601,IF(AND(OR(V601="Aprobada con ajuste",V601="Rechazada"),W601&lt;&gt;""),W601,""))</f>
        <v/>
      </c>
    </row>
    <row r="602">
      <c r="A602" s="18" t="inlineStr">
        <is>
          <t>C0601</t>
        </is>
      </c>
      <c r="B602" s="18" t="inlineStr">
        <is>
          <t>Plan de trabajo académico</t>
        </is>
      </c>
      <c r="C602" s="18" t="inlineStr">
        <is>
          <t>academic_work_plan</t>
        </is>
      </c>
      <c r="D602" s="18" t="inlineStr">
        <is>
          <t>SolicitudPTA</t>
        </is>
      </c>
      <c r="E602" s="18" t="n">
        <v>13</v>
      </c>
      <c r="F602" s="18" t="inlineStr">
        <is>
          <t>caso</t>
        </is>
      </c>
      <c r="G602" s="18" t="inlineStr">
        <is>
          <t>text</t>
        </is>
      </c>
      <c r="H602" s="18" t="inlineStr">
        <is>
          <t>No</t>
        </is>
      </c>
      <c r="I602" s="18" t="inlineStr"/>
      <c r="J602" s="18" t="inlineStr"/>
      <c r="K602" s="18" t="inlineStr"/>
      <c r="L602" s="18" t="inlineStr">
        <is>
          <t>No</t>
        </is>
      </c>
      <c r="M602" s="18" t="inlineStr">
        <is>
          <t>No</t>
        </is>
      </c>
      <c r="N602" s="18" t="inlineStr"/>
      <c r="O602" s="18" t="inlineStr"/>
      <c r="P602" s="18" t="inlineStr">
        <is>
          <t>Mapeada en academic-work-plan-service/src/pta/entities/solicitud-pta.entity.ts:45 (SolicitudPtaEntity.caso)</t>
        </is>
      </c>
      <c r="Q602" s="18" t="inlineStr">
        <is>
          <t>Propuesta semántica</t>
        </is>
      </c>
      <c r="R602" s="18" t="inlineStr">
        <is>
          <t>Caso o tipo de situación que motiva la solicitud.</t>
        </is>
      </c>
      <c r="S602" s="18" t="inlineStr">
        <is>
          <t>Media</t>
        </is>
      </c>
      <c r="T602" s="18" t="inlineStr">
        <is>
          <t>nombre + tipo + columnas vecinas (casoLibre)</t>
        </is>
      </c>
      <c r="U602" s="18" t="inlineStr">
        <is>
          <t>¿Qué valores toma caso?</t>
        </is>
      </c>
      <c r="V602" s="19" t="inlineStr">
        <is>
          <t>Pendiente</t>
        </is>
      </c>
      <c r="W602" s="19" t="inlineStr"/>
      <c r="X602" s="19" t="inlineStr"/>
      <c r="Y602" s="20" t="n"/>
      <c r="Z602" s="19" t="inlineStr"/>
      <c r="AA602" s="18">
        <f>IF(OR(V602="Aprobada"),R602,IF(AND(OR(V602="Aprobada con ajuste",V602="Rechazada"),W602&lt;&gt;""),W602,""))</f>
        <v/>
      </c>
    </row>
    <row r="603">
      <c r="A603" s="18" t="inlineStr">
        <is>
          <t>C0602</t>
        </is>
      </c>
      <c r="B603" s="18" t="inlineStr">
        <is>
          <t>Plan de trabajo académico</t>
        </is>
      </c>
      <c r="C603" s="18" t="inlineStr">
        <is>
          <t>academic_work_plan</t>
        </is>
      </c>
      <c r="D603" s="18" t="inlineStr">
        <is>
          <t>SolicitudPTA</t>
        </is>
      </c>
      <c r="E603" s="18" t="n">
        <v>13</v>
      </c>
      <c r="F603" s="18" t="inlineStr">
        <is>
          <t>razon</t>
        </is>
      </c>
      <c r="G603" s="18" t="inlineStr">
        <is>
          <t>text</t>
        </is>
      </c>
      <c r="H603" s="18" t="inlineStr">
        <is>
          <t>No</t>
        </is>
      </c>
      <c r="I603" s="18" t="inlineStr"/>
      <c r="J603" s="18" t="inlineStr"/>
      <c r="K603" s="18" t="inlineStr"/>
      <c r="L603" s="18" t="inlineStr">
        <is>
          <t>No</t>
        </is>
      </c>
      <c r="M603" s="18" t="inlineStr">
        <is>
          <t>No</t>
        </is>
      </c>
      <c r="N603" s="18" t="inlineStr"/>
      <c r="O603" s="18" t="inlineStr"/>
      <c r="P603" s="18" t="inlineStr">
        <is>
          <t>Mapeada en academic-work-plan-service/src/pta/entities/solicitud-pta.entity.ts:48 (SolicitudPtaEntity.razon)</t>
        </is>
      </c>
      <c r="Q603" s="18" t="inlineStr">
        <is>
          <t>Propuesta semántica</t>
        </is>
      </c>
      <c r="R603" s="18" t="inlineStr">
        <is>
          <t>Razón de la solicitud.</t>
        </is>
      </c>
      <c r="S603" s="18" t="inlineStr">
        <is>
          <t>Media</t>
        </is>
      </c>
      <c r="T603" s="18" t="inlineStr">
        <is>
          <t>nombre + tipo + columnas vecinas (justificacion)</t>
        </is>
      </c>
      <c r="U603" s="18" t="inlineStr">
        <is>
          <t>¿En qué se diferencia razon de justificacion?</t>
        </is>
      </c>
      <c r="V603" s="19" t="inlineStr">
        <is>
          <t>Pendiente</t>
        </is>
      </c>
      <c r="W603" s="19" t="inlineStr"/>
      <c r="X603" s="19" t="inlineStr"/>
      <c r="Y603" s="20" t="n"/>
      <c r="Z603" s="19" t="inlineStr"/>
      <c r="AA603" s="18">
        <f>IF(OR(V603="Aprobada"),R603,IF(AND(OR(V603="Aprobada con ajuste",V603="Rechazada"),W603&lt;&gt;""),W603,""))</f>
        <v/>
      </c>
    </row>
    <row r="604">
      <c r="A604" s="18" t="inlineStr">
        <is>
          <t>C0603</t>
        </is>
      </c>
      <c r="B604" s="18" t="inlineStr">
        <is>
          <t>Plan de trabajo académico</t>
        </is>
      </c>
      <c r="C604" s="18" t="inlineStr">
        <is>
          <t>academic_work_plan</t>
        </is>
      </c>
      <c r="D604" s="18" t="inlineStr">
        <is>
          <t>SolicitudPTA</t>
        </is>
      </c>
      <c r="E604" s="18" t="n">
        <v>13</v>
      </c>
      <c r="F604" s="18" t="inlineStr">
        <is>
          <t>justificacion</t>
        </is>
      </c>
      <c r="G604" s="18" t="inlineStr">
        <is>
          <t>text</t>
        </is>
      </c>
      <c r="H604" s="18" t="inlineStr">
        <is>
          <t>No</t>
        </is>
      </c>
      <c r="I604" s="18" t="inlineStr"/>
      <c r="J604" s="18" t="inlineStr"/>
      <c r="K604" s="18" t="inlineStr"/>
      <c r="L604" s="18" t="inlineStr">
        <is>
          <t>No</t>
        </is>
      </c>
      <c r="M604" s="18" t="inlineStr">
        <is>
          <t>No</t>
        </is>
      </c>
      <c r="N604" s="18" t="inlineStr"/>
      <c r="O604" s="18" t="inlineStr"/>
      <c r="P604" s="18" t="inlineStr">
        <is>
          <t>Mapeada en academic-work-plan-service/src/pta/entities/solicitud-pta.entity.ts:51 (SolicitudPtaEntity.justificacion)</t>
        </is>
      </c>
      <c r="Q604" s="18" t="inlineStr">
        <is>
          <t>Propuesta semántica</t>
        </is>
      </c>
      <c r="R604" s="18" t="inlineStr">
        <is>
          <t>Justificación detallada de la solicitud.</t>
        </is>
      </c>
      <c r="S604" s="18" t="inlineStr">
        <is>
          <t>Alta</t>
        </is>
      </c>
      <c r="T604" s="18" t="inlineStr">
        <is>
          <t>nombre + tipo + columnas vecinas</t>
        </is>
      </c>
      <c r="U604" s="18" t="inlineStr"/>
      <c r="V604" s="19" t="inlineStr">
        <is>
          <t>Pendiente</t>
        </is>
      </c>
      <c r="W604" s="19" t="inlineStr"/>
      <c r="X604" s="19" t="inlineStr"/>
      <c r="Y604" s="20" t="n"/>
      <c r="Z604" s="19" t="inlineStr"/>
      <c r="AA604" s="18">
        <f>IF(OR(V604="Aprobada"),R604,IF(AND(OR(V604="Aprobada con ajuste",V604="Rechazada"),W604&lt;&gt;""),W604,""))</f>
        <v/>
      </c>
    </row>
    <row r="605">
      <c r="A605" s="18" t="inlineStr">
        <is>
          <t>C0604</t>
        </is>
      </c>
      <c r="B605" s="18" t="inlineStr">
        <is>
          <t>Plan de trabajo académico</t>
        </is>
      </c>
      <c r="C605" s="18" t="inlineStr">
        <is>
          <t>academic_work_plan</t>
        </is>
      </c>
      <c r="D605" s="18" t="inlineStr">
        <is>
          <t>SolicitudPTA</t>
        </is>
      </c>
      <c r="E605" s="18" t="n">
        <v>13</v>
      </c>
      <c r="F605" s="18" t="inlineStr">
        <is>
          <t>casoLibre</t>
        </is>
      </c>
      <c r="G605" s="18" t="inlineStr">
        <is>
          <t>text</t>
        </is>
      </c>
      <c r="H605" s="18" t="inlineStr">
        <is>
          <t>Sí</t>
        </is>
      </c>
      <c r="I605" s="18" t="inlineStr"/>
      <c r="J605" s="18" t="inlineStr"/>
      <c r="K605" s="18" t="inlineStr"/>
      <c r="L605" s="18" t="inlineStr">
        <is>
          <t>No</t>
        </is>
      </c>
      <c r="M605" s="18" t="inlineStr">
        <is>
          <t>No</t>
        </is>
      </c>
      <c r="N605" s="18" t="inlineStr"/>
      <c r="O605" s="18" t="inlineStr"/>
      <c r="P605" s="18" t="inlineStr">
        <is>
          <t>Mapeada en academic-work-plan-service/src/pta/entities/solicitud-pta.entity.ts:54 (SolicitudPtaEntity.casoLibre)</t>
        </is>
      </c>
      <c r="Q605" s="18" t="inlineStr">
        <is>
          <t>Propuesta semántica</t>
        </is>
      </c>
      <c r="R605" s="18" t="inlineStr">
        <is>
          <t>Descripción libre del caso cuando no corresponde a uno predefinido.</t>
        </is>
      </c>
      <c r="S605" s="18" t="inlineStr">
        <is>
          <t>Media</t>
        </is>
      </c>
      <c r="T605" s="18" t="inlineStr">
        <is>
          <t>nombre + tipo + columnas vecinas (caso)</t>
        </is>
      </c>
      <c r="U605" s="18" t="inlineStr">
        <is>
          <t>¿Se diligencia solo cuando caso es «otro»?</t>
        </is>
      </c>
      <c r="V605" s="19" t="inlineStr">
        <is>
          <t>Pendiente</t>
        </is>
      </c>
      <c r="W605" s="19" t="inlineStr"/>
      <c r="X605" s="19" t="inlineStr"/>
      <c r="Y605" s="20" t="n"/>
      <c r="Z605" s="19" t="inlineStr"/>
      <c r="AA605" s="18">
        <f>IF(OR(V605="Aprobada"),R605,IF(AND(OR(V605="Aprobada con ajuste",V605="Rechazada"),W605&lt;&gt;""),W605,""))</f>
        <v/>
      </c>
    </row>
    <row r="606">
      <c r="A606" s="18" t="inlineStr">
        <is>
          <t>C0605</t>
        </is>
      </c>
      <c r="B606" s="18" t="inlineStr">
        <is>
          <t>Plan de trabajo académico</t>
        </is>
      </c>
      <c r="C606" s="18" t="inlineStr">
        <is>
          <t>academic_work_plan</t>
        </is>
      </c>
      <c r="D606" s="18" t="inlineStr">
        <is>
          <t>SolicitudPTA</t>
        </is>
      </c>
      <c r="E606" s="18" t="n">
        <v>13</v>
      </c>
      <c r="F606" s="18" t="inlineStr">
        <is>
          <t>archivos</t>
        </is>
      </c>
      <c r="G606" s="18" t="inlineStr">
        <is>
          <t>jsonb</t>
        </is>
      </c>
      <c r="H606" s="18" t="inlineStr">
        <is>
          <t>Sí</t>
        </is>
      </c>
      <c r="I606" s="18" t="inlineStr"/>
      <c r="J606" s="18" t="inlineStr"/>
      <c r="K606" s="18" t="inlineStr"/>
      <c r="L606" s="18" t="inlineStr">
        <is>
          <t>No</t>
        </is>
      </c>
      <c r="M606" s="18" t="inlineStr">
        <is>
          <t>No</t>
        </is>
      </c>
      <c r="N606" s="18" t="inlineStr"/>
      <c r="O606" s="18" t="inlineStr"/>
      <c r="P606" s="18" t="inlineStr">
        <is>
          <t>Mapeada en academic-work-plan-service/src/pta/entities/solicitud-pta.entity.ts:57 (SolicitudPtaEntity.archivos)</t>
        </is>
      </c>
      <c r="Q606" s="18" t="inlineStr">
        <is>
          <t>Propuesta semántica</t>
        </is>
      </c>
      <c r="R606" s="18" t="inlineStr">
        <is>
          <t>Archivos de soporte de la solicitud, en formato JSON.</t>
        </is>
      </c>
      <c r="S606" s="18" t="inlineStr">
        <is>
          <t>Media</t>
        </is>
      </c>
      <c r="T606" s="18" t="inlineStr">
        <is>
          <t>nombre + tipo + columnas vecinas</t>
        </is>
      </c>
      <c r="U606" s="18" t="inlineStr">
        <is>
          <t>¿Qué estructura tiene archivos (nombre, URL, tamaño)?</t>
        </is>
      </c>
      <c r="V606" s="19" t="inlineStr">
        <is>
          <t>Pendiente</t>
        </is>
      </c>
      <c r="W606" s="19" t="inlineStr"/>
      <c r="X606" s="19" t="inlineStr"/>
      <c r="Y606" s="20" t="n"/>
      <c r="Z606" s="19" t="inlineStr"/>
      <c r="AA606" s="18">
        <f>IF(OR(V606="Aprobada"),R606,IF(AND(OR(V606="Aprobada con ajuste",V606="Rechazada"),W606&lt;&gt;""),W606,""))</f>
        <v/>
      </c>
    </row>
    <row r="607">
      <c r="A607" s="18" t="inlineStr">
        <is>
          <t>C0606</t>
        </is>
      </c>
      <c r="B607" s="18" t="inlineStr">
        <is>
          <t>Plan de trabajo académico</t>
        </is>
      </c>
      <c r="C607" s="18" t="inlineStr">
        <is>
          <t>academic_work_plan</t>
        </is>
      </c>
      <c r="D607" s="18" t="inlineStr">
        <is>
          <t>SolicitudPTA</t>
        </is>
      </c>
      <c r="E607" s="18" t="n">
        <v>13</v>
      </c>
      <c r="F607" s="18" t="inlineStr">
        <is>
          <t>estado</t>
        </is>
      </c>
      <c r="G607" s="18" t="inlineStr">
        <is>
          <t>text</t>
        </is>
      </c>
      <c r="H607" s="18" t="inlineStr">
        <is>
          <t>No</t>
        </is>
      </c>
      <c r="I607" s="18" t="inlineStr"/>
      <c r="J607" s="18" t="inlineStr"/>
      <c r="K607" s="18" t="inlineStr"/>
      <c r="L607" s="18" t="inlineStr">
        <is>
          <t>No</t>
        </is>
      </c>
      <c r="M607" s="18" t="inlineStr">
        <is>
          <t>No</t>
        </is>
      </c>
      <c r="N607" s="18" t="inlineStr"/>
      <c r="O607" s="18" t="inlineStr">
        <is>
          <t>idx_solicitud_estado, idx_solicitud_tipo_estado</t>
        </is>
      </c>
      <c r="P607" s="18" t="inlineStr">
        <is>
          <t>Mapeada en academic-work-plan-service/src/pta/entities/solicitud-pta.entity.ts:60 (SolicitudPtaEntity.estado)</t>
        </is>
      </c>
      <c r="Q607" s="18" t="inlineStr">
        <is>
          <t>Regla estructural</t>
        </is>
      </c>
      <c r="R607" s="18" t="inlineStr">
        <is>
          <t>Estado del registro de SolicitudPTA.</t>
        </is>
      </c>
      <c r="S607" s="18" t="inlineStr">
        <is>
          <t>Media</t>
        </is>
      </c>
      <c r="T607" s="18" t="inlineStr">
        <is>
          <t>Convención de nombre de la columna.</t>
        </is>
      </c>
      <c r="U607" s="18" t="inlineStr"/>
      <c r="V607" s="19" t="inlineStr">
        <is>
          <t>Pendiente</t>
        </is>
      </c>
      <c r="W607" s="19" t="inlineStr"/>
      <c r="X607" s="19" t="inlineStr"/>
      <c r="Y607" s="20" t="n"/>
      <c r="Z607" s="19" t="inlineStr"/>
      <c r="AA607" s="18">
        <f>IF(OR(V607="Aprobada"),R607,IF(AND(OR(V607="Aprobada con ajuste",V607="Rechazada"),W607&lt;&gt;""),W607,""))</f>
        <v/>
      </c>
    </row>
    <row r="608">
      <c r="A608" s="18" t="inlineStr">
        <is>
          <t>C0607</t>
        </is>
      </c>
      <c r="B608" s="18" t="inlineStr">
        <is>
          <t>Plan de trabajo académico</t>
        </is>
      </c>
      <c r="C608" s="18" t="inlineStr">
        <is>
          <t>academic_work_plan</t>
        </is>
      </c>
      <c r="D608" s="18" t="inlineStr">
        <is>
          <t>SolicitudPTA</t>
        </is>
      </c>
      <c r="E608" s="18" t="n">
        <v>13</v>
      </c>
      <c r="F608" s="18" t="inlineStr">
        <is>
          <t>resueltoPor</t>
        </is>
      </c>
      <c r="G608" s="18" t="inlineStr">
        <is>
          <t>text</t>
        </is>
      </c>
      <c r="H608" s="18" t="inlineStr">
        <is>
          <t>Sí</t>
        </is>
      </c>
      <c r="I608" s="18" t="inlineStr"/>
      <c r="J608" s="18" t="inlineStr"/>
      <c r="K608" s="18" t="inlineStr"/>
      <c r="L608" s="18" t="inlineStr">
        <is>
          <t>No</t>
        </is>
      </c>
      <c r="M608" s="18" t="inlineStr">
        <is>
          <t>No</t>
        </is>
      </c>
      <c r="N608" s="18" t="inlineStr"/>
      <c r="O608" s="18" t="inlineStr"/>
      <c r="P608" s="18" t="inlineStr">
        <is>
          <t>Mapeada en academic-work-plan-service/src/pta/entities/solicitud-pta.entity.ts:63 (SolicitudPtaEntity.resueltoPor)</t>
        </is>
      </c>
      <c r="Q608" s="18" t="inlineStr">
        <is>
          <t>Propuesta semántica</t>
        </is>
      </c>
      <c r="R608" s="18" t="inlineStr">
        <is>
          <t>Identificador del usuario que resolvió la solicitud.</t>
        </is>
      </c>
      <c r="S608" s="18" t="inlineStr">
        <is>
          <t>Media</t>
        </is>
      </c>
      <c r="T608" s="18" t="inlineStr">
        <is>
          <t>nombre + tipo + columnas vecinas</t>
        </is>
      </c>
      <c r="U608" s="18" t="inlineStr">
        <is>
          <t>¿resueltoPor guarda el id, el correo o el nombre del usuario?</t>
        </is>
      </c>
      <c r="V608" s="19" t="inlineStr">
        <is>
          <t>Pendiente</t>
        </is>
      </c>
      <c r="W608" s="19" t="inlineStr"/>
      <c r="X608" s="19" t="inlineStr"/>
      <c r="Y608" s="20" t="n"/>
      <c r="Z608" s="19" t="inlineStr"/>
      <c r="AA608" s="18">
        <f>IF(OR(V608="Aprobada"),R608,IF(AND(OR(V608="Aprobada con ajuste",V608="Rechazada"),W608&lt;&gt;""),W608,""))</f>
        <v/>
      </c>
    </row>
    <row r="609">
      <c r="A609" s="18" t="inlineStr">
        <is>
          <t>C0608</t>
        </is>
      </c>
      <c r="B609" s="18" t="inlineStr">
        <is>
          <t>Plan de trabajo académico</t>
        </is>
      </c>
      <c r="C609" s="18" t="inlineStr">
        <is>
          <t>academic_work_plan</t>
        </is>
      </c>
      <c r="D609" s="18" t="inlineStr">
        <is>
          <t>SolicitudPTA</t>
        </is>
      </c>
      <c r="E609" s="18" t="n">
        <v>13</v>
      </c>
      <c r="F609" s="18" t="inlineStr">
        <is>
          <t>resolucionFecha</t>
        </is>
      </c>
      <c r="G609" s="18" t="inlineStr">
        <is>
          <t>timestamp with time zone</t>
        </is>
      </c>
      <c r="H609" s="18" t="inlineStr">
        <is>
          <t>Sí</t>
        </is>
      </c>
      <c r="I609" s="18" t="inlineStr"/>
      <c r="J609" s="18" t="inlineStr"/>
      <c r="K609" s="18" t="inlineStr"/>
      <c r="L609" s="18" t="inlineStr">
        <is>
          <t>No</t>
        </is>
      </c>
      <c r="M609" s="18" t="inlineStr">
        <is>
          <t>No</t>
        </is>
      </c>
      <c r="N609" s="18" t="inlineStr"/>
      <c r="O609" s="18" t="inlineStr"/>
      <c r="P609" s="18" t="inlineStr">
        <is>
          <t>Mapeada en academic-work-plan-service/src/pta/entities/solicitud-pta.entity.ts:66 (SolicitudPtaEntity.resolucionFecha)</t>
        </is>
      </c>
      <c r="Q609" s="18" t="inlineStr">
        <is>
          <t>Propuesta semántica</t>
        </is>
      </c>
      <c r="R609" s="18" t="inlineStr">
        <is>
          <t>Fecha y hora de resolución de la solicitud.</t>
        </is>
      </c>
      <c r="S609" s="18" t="inlineStr">
        <is>
          <t>Alta</t>
        </is>
      </c>
      <c r="T609" s="18" t="inlineStr">
        <is>
          <t>nombre + tipo + columnas vecinas</t>
        </is>
      </c>
      <c r="U609" s="18" t="inlineStr"/>
      <c r="V609" s="19" t="inlineStr">
        <is>
          <t>Pendiente</t>
        </is>
      </c>
      <c r="W609" s="19" t="inlineStr"/>
      <c r="X609" s="19" t="inlineStr"/>
      <c r="Y609" s="20" t="n"/>
      <c r="Z609" s="19" t="inlineStr"/>
      <c r="AA609" s="18">
        <f>IF(OR(V609="Aprobada"),R609,IF(AND(OR(V609="Aprobada con ajuste",V609="Rechazada"),W609&lt;&gt;""),W609,""))</f>
        <v/>
      </c>
    </row>
    <row r="610">
      <c r="A610" s="18" t="inlineStr">
        <is>
          <t>C0609</t>
        </is>
      </c>
      <c r="B610" s="18" t="inlineStr">
        <is>
          <t>Plan de trabajo académico</t>
        </is>
      </c>
      <c r="C610" s="18" t="inlineStr">
        <is>
          <t>academic_work_plan</t>
        </is>
      </c>
      <c r="D610" s="18" t="inlineStr">
        <is>
          <t>SolicitudPTA</t>
        </is>
      </c>
      <c r="E610" s="18" t="n">
        <v>13</v>
      </c>
      <c r="F610" s="18" t="inlineStr">
        <is>
          <t>resolucionMotivo</t>
        </is>
      </c>
      <c r="G610" s="18" t="inlineStr">
        <is>
          <t>text</t>
        </is>
      </c>
      <c r="H610" s="18" t="inlineStr">
        <is>
          <t>Sí</t>
        </is>
      </c>
      <c r="I610" s="18" t="inlineStr"/>
      <c r="J610" s="18" t="inlineStr"/>
      <c r="K610" s="18" t="inlineStr"/>
      <c r="L610" s="18" t="inlineStr">
        <is>
          <t>No</t>
        </is>
      </c>
      <c r="M610" s="18" t="inlineStr">
        <is>
          <t>No</t>
        </is>
      </c>
      <c r="N610" s="18" t="inlineStr"/>
      <c r="O610" s="18" t="inlineStr"/>
      <c r="P610" s="18" t="inlineStr">
        <is>
          <t>Mapeada en academic-work-plan-service/src/pta/entities/solicitud-pta.entity.ts:69 (SolicitudPtaEntity.resolucionMotivo)</t>
        </is>
      </c>
      <c r="Q610" s="18" t="inlineStr">
        <is>
          <t>Propuesta semántica</t>
        </is>
      </c>
      <c r="R610" s="18" t="inlineStr">
        <is>
          <t>Motivo de la resolución de la solicitud.</t>
        </is>
      </c>
      <c r="S610" s="18" t="inlineStr">
        <is>
          <t>Alta</t>
        </is>
      </c>
      <c r="T610" s="18" t="inlineStr">
        <is>
          <t>nombre + tipo + columnas vecinas</t>
        </is>
      </c>
      <c r="U610" s="18" t="inlineStr"/>
      <c r="V610" s="19" t="inlineStr">
        <is>
          <t>Pendiente</t>
        </is>
      </c>
      <c r="W610" s="19" t="inlineStr"/>
      <c r="X610" s="19" t="inlineStr"/>
      <c r="Y610" s="20" t="n"/>
      <c r="Z610" s="19" t="inlineStr"/>
      <c r="AA610" s="18">
        <f>IF(OR(V610="Aprobada"),R610,IF(AND(OR(V610="Aprobada con ajuste",V610="Rechazada"),W610&lt;&gt;""),W610,""))</f>
        <v/>
      </c>
    </row>
    <row r="611">
      <c r="A611" s="18" t="inlineStr">
        <is>
          <t>C0610</t>
        </is>
      </c>
      <c r="B611" s="18" t="inlineStr">
        <is>
          <t>Plan de trabajo académico</t>
        </is>
      </c>
      <c r="C611" s="18" t="inlineStr">
        <is>
          <t>academic_work_plan</t>
        </is>
      </c>
      <c r="D611" s="18" t="inlineStr">
        <is>
          <t>SolicitudPTA</t>
        </is>
      </c>
      <c r="E611" s="18" t="n">
        <v>13</v>
      </c>
      <c r="F611" s="18" t="inlineStr">
        <is>
          <t>resolucionAccion</t>
        </is>
      </c>
      <c r="G611" s="18" t="inlineStr">
        <is>
          <t>text</t>
        </is>
      </c>
      <c r="H611" s="18" t="inlineStr">
        <is>
          <t>Sí</t>
        </is>
      </c>
      <c r="I611" s="18" t="inlineStr"/>
      <c r="J611" s="18" t="inlineStr"/>
      <c r="K611" s="18" t="inlineStr"/>
      <c r="L611" s="18" t="inlineStr">
        <is>
          <t>No</t>
        </is>
      </c>
      <c r="M611" s="18" t="inlineStr">
        <is>
          <t>No</t>
        </is>
      </c>
      <c r="N611" s="18" t="inlineStr"/>
      <c r="O611" s="18" t="inlineStr"/>
      <c r="P611" s="18" t="inlineStr">
        <is>
          <t>Mapeada en academic-work-plan-service/src/pta/entities/solicitud-pta.entity.ts:72 (SolicitudPtaEntity.resolucionAccion)</t>
        </is>
      </c>
      <c r="Q611" s="18" t="inlineStr">
        <is>
          <t>Propuesta semántica</t>
        </is>
      </c>
      <c r="R611" s="18" t="inlineStr">
        <is>
          <t>Acción tomada al resolver la solicitud.</t>
        </is>
      </c>
      <c r="S611" s="18" t="inlineStr">
        <is>
          <t>Media</t>
        </is>
      </c>
      <c r="T611" s="18" t="inlineStr">
        <is>
          <t>nombre + tipo + columnas vecinas</t>
        </is>
      </c>
      <c r="U611" s="18" t="inlineStr">
        <is>
          <t>¿Qué valores toma resolucionAccion?</t>
        </is>
      </c>
      <c r="V611" s="19" t="inlineStr">
        <is>
          <t>Pendiente</t>
        </is>
      </c>
      <c r="W611" s="19" t="inlineStr"/>
      <c r="X611" s="19" t="inlineStr"/>
      <c r="Y611" s="20" t="n"/>
      <c r="Z611" s="19" t="inlineStr"/>
      <c r="AA611" s="18">
        <f>IF(OR(V611="Aprobada"),R611,IF(AND(OR(V611="Aprobada con ajuste",V611="Rechazada"),W611&lt;&gt;""),W611,""))</f>
        <v/>
      </c>
    </row>
    <row r="612">
      <c r="A612" s="18" t="inlineStr">
        <is>
          <t>C0611</t>
        </is>
      </c>
      <c r="B612" s="18" t="inlineStr">
        <is>
          <t>Plan de trabajo académico</t>
        </is>
      </c>
      <c r="C612" s="18" t="inlineStr">
        <is>
          <t>academic_work_plan</t>
        </is>
      </c>
      <c r="D612" s="18" t="inlineStr">
        <is>
          <t>SolicitudPTA</t>
        </is>
      </c>
      <c r="E612" s="18" t="n">
        <v>13</v>
      </c>
      <c r="F612" s="18" t="inlineStr">
        <is>
          <t>territorialNueva</t>
        </is>
      </c>
      <c r="G612" s="18" t="inlineStr">
        <is>
          <t>text</t>
        </is>
      </c>
      <c r="H612" s="18" t="inlineStr">
        <is>
          <t>Sí</t>
        </is>
      </c>
      <c r="I612" s="18" t="inlineStr"/>
      <c r="J612" s="18" t="inlineStr"/>
      <c r="K612" s="18" t="inlineStr"/>
      <c r="L612" s="18" t="inlineStr">
        <is>
          <t>No</t>
        </is>
      </c>
      <c r="M612" s="18" t="inlineStr">
        <is>
          <t>No</t>
        </is>
      </c>
      <c r="N612" s="18" t="inlineStr"/>
      <c r="O612" s="18" t="inlineStr"/>
      <c r="P612" s="18" t="inlineStr">
        <is>
          <t>Mapeada en academic-work-plan-service/src/pta/entities/solicitud-pta.entity.ts:75 (SolicitudPtaEntity.territorialNueva)</t>
        </is>
      </c>
      <c r="Q612" s="18" t="inlineStr">
        <is>
          <t>Propuesta semántica</t>
        </is>
      </c>
      <c r="R612" s="18" t="inlineStr">
        <is>
          <t>Territorial nueva solicitada para el docente.</t>
        </is>
      </c>
      <c r="S612" s="18" t="inlineStr">
        <is>
          <t>Media</t>
        </is>
      </c>
      <c r="T612" s="18" t="inlineStr">
        <is>
          <t>nombre + tipo + columnas vecinas</t>
        </is>
      </c>
      <c r="U612" s="18" t="inlineStr">
        <is>
          <t>¿Se diligencia solo en solicitudes de cambio de territorial?</t>
        </is>
      </c>
      <c r="V612" s="19" t="inlineStr">
        <is>
          <t>Pendiente</t>
        </is>
      </c>
      <c r="W612" s="19" t="inlineStr"/>
      <c r="X612" s="19" t="inlineStr"/>
      <c r="Y612" s="20" t="n"/>
      <c r="Z612" s="19" t="inlineStr"/>
      <c r="AA612" s="18">
        <f>IF(OR(V612="Aprobada"),R612,IF(AND(OR(V612="Aprobada con ajuste",V612="Rechazada"),W612&lt;&gt;""),W612,""))</f>
        <v/>
      </c>
    </row>
    <row r="613">
      <c r="A613" s="18" t="inlineStr">
        <is>
          <t>C0612</t>
        </is>
      </c>
      <c r="B613" s="18" t="inlineStr">
        <is>
          <t>Plan de trabajo académico</t>
        </is>
      </c>
      <c r="C613" s="18" t="inlineStr">
        <is>
          <t>academic_work_plan</t>
        </is>
      </c>
      <c r="D613" s="18" t="inlineStr">
        <is>
          <t>SolicitudPTA</t>
        </is>
      </c>
      <c r="E613" s="18" t="n">
        <v>13</v>
      </c>
      <c r="F613" s="18" t="inlineStr">
        <is>
          <t>horasPtaOriginal</t>
        </is>
      </c>
      <c r="G613" s="18" t="inlineStr">
        <is>
          <t>integer</t>
        </is>
      </c>
      <c r="H613" s="18" t="inlineStr">
        <is>
          <t>Sí</t>
        </is>
      </c>
      <c r="I613" s="18" t="inlineStr"/>
      <c r="J613" s="18" t="inlineStr"/>
      <c r="K613" s="18" t="inlineStr"/>
      <c r="L613" s="18" t="inlineStr">
        <is>
          <t>No</t>
        </is>
      </c>
      <c r="M613" s="18" t="inlineStr">
        <is>
          <t>No</t>
        </is>
      </c>
      <c r="N613" s="18" t="inlineStr"/>
      <c r="O613" s="18" t="inlineStr"/>
      <c r="P613" s="18" t="inlineStr">
        <is>
          <t>Mapeada en academic-work-plan-service/src/pta/entities/solicitud-pta.entity.ts:78 (SolicitudPtaEntity.horasPtaOriginal)</t>
        </is>
      </c>
      <c r="Q613" s="18" t="inlineStr">
        <is>
          <t>Propuesta semántica</t>
        </is>
      </c>
      <c r="R613" s="18" t="inlineStr">
        <is>
          <t>Número de horas del plan de trabajo antes de la solicitud.</t>
        </is>
      </c>
      <c r="S613" s="18" t="inlineStr">
        <is>
          <t>Alta</t>
        </is>
      </c>
      <c r="T613" s="18" t="inlineStr">
        <is>
          <t>nombre + tipo + columnas vecinas (horasPtaNuevo)</t>
        </is>
      </c>
      <c r="U613" s="18" t="inlineStr"/>
      <c r="V613" s="19" t="inlineStr">
        <is>
          <t>Pendiente</t>
        </is>
      </c>
      <c r="W613" s="19" t="inlineStr"/>
      <c r="X613" s="19" t="inlineStr"/>
      <c r="Y613" s="20" t="n"/>
      <c r="Z613" s="19" t="inlineStr"/>
      <c r="AA613" s="18">
        <f>IF(OR(V613="Aprobada"),R613,IF(AND(OR(V613="Aprobada con ajuste",V613="Rechazada"),W613&lt;&gt;""),W613,""))</f>
        <v/>
      </c>
    </row>
    <row r="614">
      <c r="A614" s="18" t="inlineStr">
        <is>
          <t>C0613</t>
        </is>
      </c>
      <c r="B614" s="18" t="inlineStr">
        <is>
          <t>Plan de trabajo académico</t>
        </is>
      </c>
      <c r="C614" s="18" t="inlineStr">
        <is>
          <t>academic_work_plan</t>
        </is>
      </c>
      <c r="D614" s="18" t="inlineStr">
        <is>
          <t>SolicitudPTA</t>
        </is>
      </c>
      <c r="E614" s="18" t="n">
        <v>13</v>
      </c>
      <c r="F614" s="18" t="inlineStr">
        <is>
          <t>horasPtaNuevo</t>
        </is>
      </c>
      <c r="G614" s="18" t="inlineStr">
        <is>
          <t>integer</t>
        </is>
      </c>
      <c r="H614" s="18" t="inlineStr">
        <is>
          <t>Sí</t>
        </is>
      </c>
      <c r="I614" s="18" t="inlineStr"/>
      <c r="J614" s="18" t="inlineStr"/>
      <c r="K614" s="18" t="inlineStr"/>
      <c r="L614" s="18" t="inlineStr">
        <is>
          <t>No</t>
        </is>
      </c>
      <c r="M614" s="18" t="inlineStr">
        <is>
          <t>No</t>
        </is>
      </c>
      <c r="N614" s="18" t="inlineStr"/>
      <c r="O614" s="18" t="inlineStr"/>
      <c r="P614" s="18" t="inlineStr">
        <is>
          <t>Mapeada en academic-work-plan-service/src/pta/entities/solicitud-pta.entity.ts:81 (SolicitudPtaEntity.horasPtaNuevo)</t>
        </is>
      </c>
      <c r="Q614" s="18" t="inlineStr">
        <is>
          <t>Propuesta semántica</t>
        </is>
      </c>
      <c r="R614" s="18" t="inlineStr">
        <is>
          <t>Número de horas del plan de trabajo solicitadas.</t>
        </is>
      </c>
      <c r="S614" s="18" t="inlineStr">
        <is>
          <t>Alta</t>
        </is>
      </c>
      <c r="T614" s="18" t="inlineStr">
        <is>
          <t>nombre + tipo + columnas vecinas (horasPtaOriginal)</t>
        </is>
      </c>
      <c r="U614" s="18" t="inlineStr"/>
      <c r="V614" s="19" t="inlineStr">
        <is>
          <t>Pendiente</t>
        </is>
      </c>
      <c r="W614" s="19" t="inlineStr"/>
      <c r="X614" s="19" t="inlineStr"/>
      <c r="Y614" s="20" t="n"/>
      <c r="Z614" s="19" t="inlineStr"/>
      <c r="AA614" s="18">
        <f>IF(OR(V614="Aprobada"),R614,IF(AND(OR(V614="Aprobada con ajuste",V614="Rechazada"),W614&lt;&gt;""),W614,""))</f>
        <v/>
      </c>
    </row>
    <row r="615">
      <c r="A615" s="18" t="inlineStr">
        <is>
          <t>C0614</t>
        </is>
      </c>
      <c r="B615" s="18" t="inlineStr">
        <is>
          <t>Plan de trabajo académico</t>
        </is>
      </c>
      <c r="C615" s="18" t="inlineStr">
        <is>
          <t>academic_work_plan</t>
        </is>
      </c>
      <c r="D615" s="18" t="inlineStr">
        <is>
          <t>SolicitudPTA</t>
        </is>
      </c>
      <c r="E615" s="18" t="n">
        <v>13</v>
      </c>
      <c r="F615" s="18" t="inlineStr">
        <is>
          <t>notificacionLeida</t>
        </is>
      </c>
      <c r="G615" s="18" t="inlineStr">
        <is>
          <t>boolean</t>
        </is>
      </c>
      <c r="H615" s="18" t="inlineStr">
        <is>
          <t>No</t>
        </is>
      </c>
      <c r="I615" s="18" t="inlineStr"/>
      <c r="J615" s="18" t="inlineStr"/>
      <c r="K615" s="18" t="inlineStr"/>
      <c r="L615" s="18" t="inlineStr">
        <is>
          <t>No</t>
        </is>
      </c>
      <c r="M615" s="18" t="inlineStr">
        <is>
          <t>No</t>
        </is>
      </c>
      <c r="N615" s="18" t="inlineStr"/>
      <c r="O615" s="18" t="inlineStr"/>
      <c r="P615" s="18" t="inlineStr">
        <is>
          <t>Mapeada en academic-work-plan-service/src/pta/entities/solicitud-pta.entity.ts:84 (SolicitudPtaEntity.notificacionLeida)</t>
        </is>
      </c>
      <c r="Q615" s="18" t="inlineStr">
        <is>
          <t>Regla estructural</t>
        </is>
      </c>
      <c r="R615" s="18" t="inlineStr">
        <is>
          <t>Indica si el registro está notificacionleida.</t>
        </is>
      </c>
      <c r="S615" s="18" t="inlineStr">
        <is>
          <t>Media</t>
        </is>
      </c>
      <c r="T615" s="18" t="inlineStr">
        <is>
          <t>Convención de nombre de la columna.</t>
        </is>
      </c>
      <c r="U615" s="18" t="inlineStr"/>
      <c r="V615" s="19" t="inlineStr">
        <is>
          <t>Pendiente</t>
        </is>
      </c>
      <c r="W615" s="19" t="inlineStr"/>
      <c r="X615" s="19" t="inlineStr"/>
      <c r="Y615" s="20" t="n"/>
      <c r="Z615" s="19" t="inlineStr"/>
      <c r="AA615" s="18">
        <f>IF(OR(V615="Aprobada"),R615,IF(AND(OR(V615="Aprobada con ajuste",V615="Rechazada"),W615&lt;&gt;""),W615,""))</f>
        <v/>
      </c>
    </row>
    <row r="616">
      <c r="A616" s="18" t="inlineStr">
        <is>
          <t>C0615</t>
        </is>
      </c>
      <c r="B616" s="18" t="inlineStr">
        <is>
          <t>Plan de trabajo académico</t>
        </is>
      </c>
      <c r="C616" s="18" t="inlineStr">
        <is>
          <t>academic_work_plan</t>
        </is>
      </c>
      <c r="D616" s="18" t="inlineStr">
        <is>
          <t>SolicitudPTA</t>
        </is>
      </c>
      <c r="E616" s="18" t="n">
        <v>13</v>
      </c>
      <c r="F616" s="18" t="inlineStr">
        <is>
          <t>tipoSolicitud</t>
        </is>
      </c>
      <c r="G616" s="18" t="inlineStr">
        <is>
          <t>text</t>
        </is>
      </c>
      <c r="H616" s="18" t="inlineStr">
        <is>
          <t>No</t>
        </is>
      </c>
      <c r="I616" s="18" t="inlineStr"/>
      <c r="J616" s="18" t="inlineStr"/>
      <c r="K616" s="18" t="inlineStr"/>
      <c r="L616" s="18" t="inlineStr">
        <is>
          <t>No</t>
        </is>
      </c>
      <c r="M616" s="18" t="inlineStr">
        <is>
          <t>No</t>
        </is>
      </c>
      <c r="N616" s="18" t="inlineStr"/>
      <c r="O616" s="18" t="inlineStr">
        <is>
          <t>idx_solicitud_tipo_estado</t>
        </is>
      </c>
      <c r="P616" s="18" t="inlineStr">
        <is>
          <t>academic-work-plan-service/src/pta/entities/solicitud-pta.entity.ts:19: "creacion" conserva el flujo histórico; "edicion_componentes" actúa sobre el mismo PTA y nunca habilita la creación de un plan adicional.</t>
        </is>
      </c>
      <c r="Q616" s="18" t="inlineStr">
        <is>
          <t>Código fuente</t>
        </is>
      </c>
      <c r="R616" s="18" t="inlineStr">
        <is>
          <t>Tipo de solicitud del docente. Valores previstos: creacion (flujo de creación del PTA) y edicion_componentes (edición de componentes del mismo PTA, sin crear un plan adicional); por defecto creacion.</t>
        </is>
      </c>
      <c r="S616" s="18" t="inlineStr">
        <is>
          <t>Alta</t>
        </is>
      </c>
      <c r="T616" s="18" t="inlineStr">
        <is>
          <t>código: academic-work-plan-service/src/pta/entities/solicitud-pta.entity.ts:19</t>
        </is>
      </c>
      <c r="U616" s="18" t="inlineStr"/>
      <c r="V616" s="19" t="inlineStr">
        <is>
          <t>Pendiente</t>
        </is>
      </c>
      <c r="W616" s="19" t="inlineStr"/>
      <c r="X616" s="19" t="inlineStr"/>
      <c r="Y616" s="20" t="n"/>
      <c r="Z616" s="19" t="inlineStr"/>
      <c r="AA616" s="18">
        <f>IF(OR(V616="Aprobada"),R616,IF(AND(OR(V616="Aprobada con ajuste",V616="Rechazada"),W616&lt;&gt;""),W616,""))</f>
        <v/>
      </c>
    </row>
    <row r="617">
      <c r="A617" s="18" t="inlineStr">
        <is>
          <t>C0616</t>
        </is>
      </c>
      <c r="B617" s="18" t="inlineStr">
        <is>
          <t>Plan de trabajo académico</t>
        </is>
      </c>
      <c r="C617" s="18" t="inlineStr">
        <is>
          <t>academic_work_plan</t>
        </is>
      </c>
      <c r="D617" s="18" t="inlineStr">
        <is>
          <t>SolicitudPTA</t>
        </is>
      </c>
      <c r="E617" s="18" t="n">
        <v>13</v>
      </c>
      <c r="F617" s="18" t="inlineStr">
        <is>
          <t>ptaId</t>
        </is>
      </c>
      <c r="G617" s="18" t="inlineStr">
        <is>
          <t>uuid</t>
        </is>
      </c>
      <c r="H617" s="18" t="inlineStr">
        <is>
          <t>Sí</t>
        </is>
      </c>
      <c r="I617" s="18" t="inlineStr"/>
      <c r="J617" s="18" t="inlineStr"/>
      <c r="K617" s="18" t="inlineStr"/>
      <c r="L617" s="18" t="inlineStr">
        <is>
          <t>No</t>
        </is>
      </c>
      <c r="M617" s="18" t="inlineStr">
        <is>
          <t>No</t>
        </is>
      </c>
      <c r="N617" s="18" t="inlineStr"/>
      <c r="O617" s="18" t="inlineStr">
        <is>
          <t>idx_solicitud_pta_id, uq_solicitud_edicion_activa_por_pta</t>
        </is>
      </c>
      <c r="P617" s="18" t="inlineStr">
        <is>
          <t>Mapeada en academic-work-plan-service/src/pta/entities/solicitud-pta.entity.ts:22 (SolicitudPtaEntity.ptaId)</t>
        </is>
      </c>
      <c r="Q617" s="18" t="inlineStr">
        <is>
          <t>Propuesta semántica</t>
        </is>
      </c>
      <c r="R617" s="18" t="inlineStr">
        <is>
          <t>Identificador del plan de trabajo académico al que se refiere la solicitud.</t>
        </is>
      </c>
      <c r="S617" s="18" t="inlineStr">
        <is>
          <t>Alta</t>
        </is>
      </c>
      <c r="T617" s="18" t="inlineStr">
        <is>
          <t>nombre + tipo + columnas vecinas + índices</t>
        </is>
      </c>
      <c r="U617" s="18" t="inlineStr"/>
      <c r="V617" s="19" t="inlineStr">
        <is>
          <t>Pendiente</t>
        </is>
      </c>
      <c r="W617" s="19" t="inlineStr"/>
      <c r="X617" s="19" t="inlineStr"/>
      <c r="Y617" s="20" t="n"/>
      <c r="Z617" s="19" t="inlineStr"/>
      <c r="AA617" s="18">
        <f>IF(OR(V617="Aprobada"),R617,IF(AND(OR(V617="Aprobada con ajuste",V617="Rechazada"),W617&lt;&gt;""),W617,""))</f>
        <v/>
      </c>
    </row>
    <row r="618">
      <c r="A618" s="18" t="inlineStr">
        <is>
          <t>C0617</t>
        </is>
      </c>
      <c r="B618" s="18" t="inlineStr">
        <is>
          <t>Plan de trabajo académico</t>
        </is>
      </c>
      <c r="C618" s="18" t="inlineStr">
        <is>
          <t>academic_work_plan</t>
        </is>
      </c>
      <c r="D618" s="18" t="inlineStr">
        <is>
          <t>SolicitudPTA</t>
        </is>
      </c>
      <c r="E618" s="18" t="n">
        <v>13</v>
      </c>
      <c r="F618" s="18" t="inlineStr">
        <is>
          <t>componentes</t>
        </is>
      </c>
      <c r="G618" s="18" t="inlineStr">
        <is>
          <t>jsonb</t>
        </is>
      </c>
      <c r="H618" s="18" t="inlineStr">
        <is>
          <t>Sí</t>
        </is>
      </c>
      <c r="I618" s="18" t="inlineStr"/>
      <c r="J618" s="18" t="inlineStr"/>
      <c r="K618" s="18" t="inlineStr"/>
      <c r="L618" s="18" t="inlineStr">
        <is>
          <t>No</t>
        </is>
      </c>
      <c r="M618" s="18" t="inlineStr">
        <is>
          <t>No</t>
        </is>
      </c>
      <c r="N618" s="18" t="inlineStr"/>
      <c r="O618" s="18" t="inlineStr">
        <is>
          <t>idx_solicitud_pta_componentes_gin</t>
        </is>
      </c>
      <c r="P618" s="18" t="inlineStr">
        <is>
          <t>academic-work-plan-service/src/pta/entities/solicitud-pta.entity.ts:27: Componentes funcionales seleccionados por el docente: docencia, investigacion, extension y/o complementarias.</t>
        </is>
      </c>
      <c r="Q618" s="18" t="inlineStr">
        <is>
          <t>Código fuente</t>
        </is>
      </c>
      <c r="R618" s="18" t="inlineStr">
        <is>
          <t>Componentes funcionales del PTA seleccionados por el docente en la solicitud (docencia, investigacion, extension o complementarias), en formato JSON.</t>
        </is>
      </c>
      <c r="S618" s="18" t="inlineStr">
        <is>
          <t>Alta</t>
        </is>
      </c>
      <c r="T618" s="18" t="inlineStr">
        <is>
          <t>código: academic-work-plan-service/src/pta/entities/solicitud-pta.entity.ts:27</t>
        </is>
      </c>
      <c r="U618" s="18" t="inlineStr"/>
      <c r="V618" s="19" t="inlineStr">
        <is>
          <t>Pendiente</t>
        </is>
      </c>
      <c r="W618" s="19" t="inlineStr"/>
      <c r="X618" s="19" t="inlineStr"/>
      <c r="Y618" s="20" t="n"/>
      <c r="Z618" s="19" t="inlineStr"/>
      <c r="AA618" s="18">
        <f>IF(OR(V618="Aprobada"),R618,IF(AND(OR(V618="Aprobada con ajuste",V618="Rechazada"),W618&lt;&gt;""),W618,""))</f>
        <v/>
      </c>
    </row>
    <row r="619">
      <c r="A619" s="18" t="inlineStr">
        <is>
          <t>C0618</t>
        </is>
      </c>
      <c r="B619" s="18" t="inlineStr">
        <is>
          <t>Plan de trabajo académico</t>
        </is>
      </c>
      <c r="C619" s="18" t="inlineStr">
        <is>
          <t>academic_work_plan</t>
        </is>
      </c>
      <c r="D619" s="18" t="inlineStr">
        <is>
          <t>SolicitudPTA</t>
        </is>
      </c>
      <c r="E619" s="18" t="n">
        <v>13</v>
      </c>
      <c r="F619" s="18" t="inlineStr">
        <is>
          <t>estadoPtaAnterior</t>
        </is>
      </c>
      <c r="G619" s="18" t="inlineStr">
        <is>
          <t>text</t>
        </is>
      </c>
      <c r="H619" s="18" t="inlineStr">
        <is>
          <t>Sí</t>
        </is>
      </c>
      <c r="I619" s="18" t="inlineStr"/>
      <c r="J619" s="18" t="inlineStr"/>
      <c r="K619" s="18" t="inlineStr"/>
      <c r="L619" s="18" t="inlineStr">
        <is>
          <t>No</t>
        </is>
      </c>
      <c r="M619" s="18" t="inlineStr">
        <is>
          <t>No</t>
        </is>
      </c>
      <c r="N619" s="18" t="inlineStr"/>
      <c r="O619" s="18" t="inlineStr"/>
      <c r="P619" s="18" t="inlineStr">
        <is>
          <t>academic-work-plan-service/src/pta/entities/solicitud-pta.entity.ts:42: Estado consolidado que tenía el PTA antes de autorizar su reapertura.</t>
        </is>
      </c>
      <c r="Q619" s="18" t="inlineStr">
        <is>
          <t>Código fuente</t>
        </is>
      </c>
      <c r="R619" s="18" t="inlineStr">
        <is>
          <t>Estado consolidado que tenía el PTA antes de autorizar su reapertura.</t>
        </is>
      </c>
      <c r="S619" s="18" t="inlineStr">
        <is>
          <t>Alta</t>
        </is>
      </c>
      <c r="T619" s="18" t="inlineStr">
        <is>
          <t>código: academic-work-plan-service/src/pta/entities/solicitud-pta.entity.ts:42</t>
        </is>
      </c>
      <c r="U619" s="18" t="inlineStr"/>
      <c r="V619" s="19" t="inlineStr">
        <is>
          <t>Pendiente</t>
        </is>
      </c>
      <c r="W619" s="19" t="inlineStr"/>
      <c r="X619" s="19" t="inlineStr"/>
      <c r="Y619" s="20" t="n"/>
      <c r="Z619" s="19" t="inlineStr"/>
      <c r="AA619" s="18">
        <f>IF(OR(V619="Aprobada"),R619,IF(AND(OR(V619="Aprobada con ajuste",V619="Rechazada"),W619&lt;&gt;""),W619,""))</f>
        <v/>
      </c>
    </row>
    <row r="620">
      <c r="A620" s="18" t="inlineStr">
        <is>
          <t>C0619</t>
        </is>
      </c>
      <c r="B620" s="18" t="inlineStr">
        <is>
          <t>Plan de trabajo académico</t>
        </is>
      </c>
      <c r="C620" s="18" t="inlineStr">
        <is>
          <t>academic_work_plan</t>
        </is>
      </c>
      <c r="D620" s="18" t="inlineStr">
        <is>
          <t>Territorial</t>
        </is>
      </c>
      <c r="E620" s="18" t="n">
        <v>21</v>
      </c>
      <c r="F620" s="18" t="inlineStr">
        <is>
          <t>nombre</t>
        </is>
      </c>
      <c r="G620" s="18" t="inlineStr">
        <is>
          <t>text</t>
        </is>
      </c>
      <c r="H620" s="18" t="inlineStr">
        <is>
          <t>No</t>
        </is>
      </c>
      <c r="I620" s="18" t="inlineStr"/>
      <c r="J620" s="18" t="inlineStr"/>
      <c r="K620" s="18" t="inlineStr"/>
      <c r="L620" s="18" t="inlineStr">
        <is>
          <t>Sí</t>
        </is>
      </c>
      <c r="M620" s="18" t="inlineStr">
        <is>
          <t>Sí</t>
        </is>
      </c>
      <c r="N620" s="18" t="inlineStr">
        <is>
          <t>Vista control_interno.v_auditorias_kanban_completo</t>
        </is>
      </c>
      <c r="O620" s="18" t="inlineStr">
        <is>
          <t>Territorial_nombre_key</t>
        </is>
      </c>
      <c r="P620" s="18" t="inlineStr">
        <is>
          <t>Mapeada en academic-work-plan-service/src/pta/entities/territorial.entity.ts:9 (TerritorialEntity.nombre)</t>
        </is>
      </c>
      <c r="Q620" s="18" t="inlineStr">
        <is>
          <t>Regla estructural</t>
        </is>
      </c>
      <c r="R620" s="18" t="inlineStr">
        <is>
          <t>Nombre del registro de Territorial.</t>
        </is>
      </c>
      <c r="S620" s="18" t="inlineStr">
        <is>
          <t>Media</t>
        </is>
      </c>
      <c r="T620" s="18" t="inlineStr">
        <is>
          <t>Convención de nombre de la columna.</t>
        </is>
      </c>
      <c r="U620" s="18" t="inlineStr"/>
      <c r="V620" s="19" t="inlineStr">
        <is>
          <t>Pendiente</t>
        </is>
      </c>
      <c r="W620" s="19" t="inlineStr"/>
      <c r="X620" s="19" t="inlineStr"/>
      <c r="Y620" s="20" t="n"/>
      <c r="Z620" s="19" t="inlineStr"/>
      <c r="AA620" s="18">
        <f>IF(OR(V620="Aprobada"),R620,IF(AND(OR(V620="Aprobada con ajuste",V620="Rechazada"),W620&lt;&gt;""),W620,""))</f>
        <v/>
      </c>
    </row>
    <row r="621">
      <c r="A621" s="18" t="inlineStr">
        <is>
          <t>C0620</t>
        </is>
      </c>
      <c r="B621" s="18" t="inlineStr">
        <is>
          <t>Plan de trabajo académico</t>
        </is>
      </c>
      <c r="C621" s="18" t="inlineStr">
        <is>
          <t>academic_work_plan</t>
        </is>
      </c>
      <c r="D621" s="18" t="inlineStr">
        <is>
          <t>Territorial</t>
        </is>
      </c>
      <c r="E621" s="18" t="n">
        <v>21</v>
      </c>
      <c r="F621" s="18" t="inlineStr">
        <is>
          <t>codigo</t>
        </is>
      </c>
      <c r="G621" s="18" t="inlineStr">
        <is>
          <t>text</t>
        </is>
      </c>
      <c r="H621" s="18" t="inlineStr">
        <is>
          <t>Sí</t>
        </is>
      </c>
      <c r="I621" s="18" t="inlineStr"/>
      <c r="J621" s="18" t="inlineStr"/>
      <c r="K621" s="18" t="inlineStr"/>
      <c r="L621" s="18" t="inlineStr">
        <is>
          <t>Sí</t>
        </is>
      </c>
      <c r="M621" s="18" t="inlineStr">
        <is>
          <t>Sí</t>
        </is>
      </c>
      <c r="N621" s="18" t="inlineStr">
        <is>
          <t>Vista control_interno.v_auditorias_kanban_completo</t>
        </is>
      </c>
      <c r="O621" s="18" t="inlineStr">
        <is>
          <t>Territorial_codigo_key</t>
        </is>
      </c>
      <c r="P621" s="18" t="inlineStr">
        <is>
          <t>Mapeada en academic-work-plan-service/src/pta/entities/territorial.entity.ts:12 (TerritorialEntity.codigo)</t>
        </is>
      </c>
      <c r="Q621" s="18" t="inlineStr">
        <is>
          <t>Regla estructural</t>
        </is>
      </c>
      <c r="R621" s="18" t="inlineStr">
        <is>
          <t>Código del registro de Territorial.</t>
        </is>
      </c>
      <c r="S621" s="18" t="inlineStr">
        <is>
          <t>Media</t>
        </is>
      </c>
      <c r="T621" s="18" t="inlineStr">
        <is>
          <t>Convención de nombre de la columna.</t>
        </is>
      </c>
      <c r="U621" s="18" t="inlineStr"/>
      <c r="V621" s="19" t="inlineStr">
        <is>
          <t>Pendiente</t>
        </is>
      </c>
      <c r="W621" s="19" t="inlineStr"/>
      <c r="X621" s="19" t="inlineStr"/>
      <c r="Y621" s="20" t="n"/>
      <c r="Z621" s="19" t="inlineStr"/>
      <c r="AA621" s="18">
        <f>IF(OR(V621="Aprobada"),R621,IF(AND(OR(V621="Aprobada con ajuste",V621="Rechazada"),W621&lt;&gt;""),W621,""))</f>
        <v/>
      </c>
    </row>
    <row r="622">
      <c r="A622" s="18" t="inlineStr">
        <is>
          <t>C0621</t>
        </is>
      </c>
      <c r="B622" s="18" t="inlineStr">
        <is>
          <t>Plan de trabajo académico</t>
        </is>
      </c>
      <c r="C622" s="18" t="inlineStr">
        <is>
          <t>academic_work_plan</t>
        </is>
      </c>
      <c r="D622" s="18" t="inlineStr">
        <is>
          <t>ubicacion_semestral</t>
        </is>
      </c>
      <c r="E622" s="18" t="n">
        <v>16</v>
      </c>
      <c r="F622" s="18" t="inlineStr">
        <is>
          <t>codigo</t>
        </is>
      </c>
      <c r="G622" s="18" t="inlineStr">
        <is>
          <t>character varying(10)</t>
        </is>
      </c>
      <c r="H622" s="18" t="inlineStr">
        <is>
          <t>No</t>
        </is>
      </c>
      <c r="I622" s="18" t="inlineStr">
        <is>
          <t>Única</t>
        </is>
      </c>
      <c r="J622" s="18" t="inlineStr"/>
      <c r="K622" s="18" t="inlineStr"/>
      <c r="L622" s="18" t="inlineStr">
        <is>
          <t>Sí</t>
        </is>
      </c>
      <c r="M622" s="18" t="inlineStr">
        <is>
          <t>No</t>
        </is>
      </c>
      <c r="N622" s="18" t="inlineStr"/>
      <c r="O622" s="18" t="inlineStr">
        <is>
          <t>ubicacion_semestral_codigo_key</t>
        </is>
      </c>
      <c r="P622" s="18" t="inlineStr">
        <is>
          <t>Mapeada en academic-work-plan-service/src/pta/entities/ubicacion-semestral.entity.ts:8 (UbicacionSemestralEntity.codigo)</t>
        </is>
      </c>
      <c r="Q622" s="18" t="inlineStr">
        <is>
          <t>Regla estructural</t>
        </is>
      </c>
      <c r="R622" s="18" t="inlineStr">
        <is>
          <t>Código del registro de ubicacion_semestral. Único en la tabla.</t>
        </is>
      </c>
      <c r="S622" s="18" t="inlineStr">
        <is>
          <t>Media</t>
        </is>
      </c>
      <c r="T622" s="18" t="inlineStr">
        <is>
          <t>Convención de nombre de la columna.</t>
        </is>
      </c>
      <c r="U622" s="18" t="inlineStr"/>
      <c r="V622" s="19" t="inlineStr">
        <is>
          <t>Pendiente</t>
        </is>
      </c>
      <c r="W622" s="19" t="inlineStr"/>
      <c r="X622" s="19" t="inlineStr"/>
      <c r="Y622" s="20" t="n"/>
      <c r="Z622" s="19" t="inlineStr"/>
      <c r="AA622" s="18">
        <f>IF(OR(V622="Aprobada"),R622,IF(AND(OR(V622="Aprobada con ajuste",V622="Rechazada"),W622&lt;&gt;""),W622,""))</f>
        <v/>
      </c>
    </row>
    <row r="623">
      <c r="A623" s="18" t="inlineStr">
        <is>
          <t>C0622</t>
        </is>
      </c>
      <c r="B623" s="18" t="inlineStr">
        <is>
          <t>Plan de trabajo académico</t>
        </is>
      </c>
      <c r="C623" s="18" t="inlineStr">
        <is>
          <t>academic_work_plan</t>
        </is>
      </c>
      <c r="D623" s="18" t="inlineStr">
        <is>
          <t>ubicacion_semestral</t>
        </is>
      </c>
      <c r="E623" s="18" t="n">
        <v>16</v>
      </c>
      <c r="F623" s="18" t="inlineStr">
        <is>
          <t>etiqueta</t>
        </is>
      </c>
      <c r="G623" s="18" t="inlineStr">
        <is>
          <t>character varying(30)</t>
        </is>
      </c>
      <c r="H623" s="18" t="inlineStr">
        <is>
          <t>No</t>
        </is>
      </c>
      <c r="I623" s="18" t="inlineStr">
        <is>
          <t>Única</t>
        </is>
      </c>
      <c r="J623" s="18" t="inlineStr"/>
      <c r="K623" s="18" t="inlineStr"/>
      <c r="L623" s="18" t="inlineStr">
        <is>
          <t>Sí</t>
        </is>
      </c>
      <c r="M623" s="18" t="inlineStr">
        <is>
          <t>No</t>
        </is>
      </c>
      <c r="N623" s="18" t="inlineStr"/>
      <c r="O623" s="18" t="inlineStr">
        <is>
          <t>ubicacion_semestral_etiqueta_key</t>
        </is>
      </c>
      <c r="P623" s="18" t="inlineStr">
        <is>
          <t>Mapeada en academic-work-plan-service/src/pta/entities/ubicacion-semestral.entity.ts:11 (UbicacionSemestralEntity.etiqueta)</t>
        </is>
      </c>
      <c r="Q623" s="18" t="inlineStr">
        <is>
          <t>Propuesta semántica</t>
        </is>
      </c>
      <c r="R623" s="18" t="inlineStr">
        <is>
          <t>Texto con el que se muestra el semestre del plan de estudios; es único en la tabla.</t>
        </is>
      </c>
      <c r="S623" s="18" t="inlineStr">
        <is>
          <t>Alta</t>
        </is>
      </c>
      <c r="T623" s="18" t="inlineStr">
        <is>
          <t>documentación de la entidad + restricción única</t>
        </is>
      </c>
      <c r="U623" s="18" t="inlineStr"/>
      <c r="V623" s="19" t="inlineStr">
        <is>
          <t>Pendiente</t>
        </is>
      </c>
      <c r="W623" s="19" t="inlineStr"/>
      <c r="X623" s="19" t="inlineStr"/>
      <c r="Y623" s="20" t="n"/>
      <c r="Z623" s="19" t="inlineStr"/>
      <c r="AA623" s="18">
        <f>IF(OR(V623="Aprobada"),R623,IF(AND(OR(V623="Aprobada con ajuste",V623="Rechazada"),W623&lt;&gt;""),W623,""))</f>
        <v/>
      </c>
    </row>
    <row r="624">
      <c r="A624" s="18" t="inlineStr">
        <is>
          <t>C0623</t>
        </is>
      </c>
      <c r="B624" s="18" t="inlineStr">
        <is>
          <t>Plan de trabajo académico</t>
        </is>
      </c>
      <c r="C624" s="18" t="inlineStr">
        <is>
          <t>academic_work_plan</t>
        </is>
      </c>
      <c r="D624" s="18" t="inlineStr">
        <is>
          <t>ubicacion_semestral</t>
        </is>
      </c>
      <c r="E624" s="18" t="n">
        <v>16</v>
      </c>
      <c r="F624" s="18" t="inlineStr">
        <is>
          <t>tipo_programa</t>
        </is>
      </c>
      <c r="G624" s="18" t="inlineStr">
        <is>
          <t>character varying(20)</t>
        </is>
      </c>
      <c r="H624" s="18" t="inlineStr">
        <is>
          <t>No</t>
        </is>
      </c>
      <c r="I624" s="18" t="inlineStr">
        <is>
          <t>CHECK</t>
        </is>
      </c>
      <c r="J624" s="18" t="inlineStr">
        <is>
          <t>posgrado, pregrado</t>
        </is>
      </c>
      <c r="K624" s="18" t="inlineStr"/>
      <c r="L624" s="18" t="inlineStr">
        <is>
          <t>Sí</t>
        </is>
      </c>
      <c r="M624" s="18" t="inlineStr">
        <is>
          <t>No</t>
        </is>
      </c>
      <c r="N624" s="18" t="inlineStr"/>
      <c r="O624" s="18" t="inlineStr"/>
      <c r="P624" s="18" t="inlineStr">
        <is>
          <t>academic-work-plan-service/src/pta/entities/ubicacion-semestral.entity.ts:14: 'pregrado' | 'posgrado' | academic-schedule-service/src/catalogo/entities/ubicacion-semestral.readonly.entity.ts:19: 'pregrado' | 'posgrado'</t>
        </is>
      </c>
      <c r="Q624" s="18" t="inlineStr">
        <is>
          <t>Código fuente</t>
        </is>
      </c>
      <c r="R624" s="18" t="inlineStr">
        <is>
          <t>Tipo de programa al que corresponde la ubicación semestral. Valores permitidos: pregrado, posgrado.</t>
        </is>
      </c>
      <c r="S624" s="18" t="inlineStr">
        <is>
          <t>Alta</t>
        </is>
      </c>
      <c r="T624" s="18" t="inlineStr">
        <is>
          <t>código: academic-work-plan-service/src/pta/entities/ubicacion-semestral.entity.ts:14</t>
        </is>
      </c>
      <c r="U624" s="18" t="inlineStr"/>
      <c r="V624" s="19" t="inlineStr">
        <is>
          <t>Pendiente</t>
        </is>
      </c>
      <c r="W624" s="19" t="inlineStr"/>
      <c r="X624" s="19" t="inlineStr"/>
      <c r="Y624" s="20" t="n"/>
      <c r="Z624" s="19" t="inlineStr"/>
      <c r="AA624" s="18">
        <f>IF(OR(V624="Aprobada"),R624,IF(AND(OR(V624="Aprobada con ajuste",V624="Rechazada"),W624&lt;&gt;""),W624,""))</f>
        <v/>
      </c>
    </row>
    <row r="625">
      <c r="A625" s="18" t="inlineStr">
        <is>
          <t>C0624</t>
        </is>
      </c>
      <c r="B625" s="18" t="inlineStr">
        <is>
          <t>Plan de trabajo académico</t>
        </is>
      </c>
      <c r="C625" s="18" t="inlineStr">
        <is>
          <t>academic_work_plan</t>
        </is>
      </c>
      <c r="D625" s="18" t="inlineStr">
        <is>
          <t>ubicacion_semestral</t>
        </is>
      </c>
      <c r="E625" s="18" t="n">
        <v>16</v>
      </c>
      <c r="F625" s="18" t="inlineStr">
        <is>
          <t>orden</t>
        </is>
      </c>
      <c r="G625" s="18" t="inlineStr">
        <is>
          <t>smallint</t>
        </is>
      </c>
      <c r="H625" s="18" t="inlineStr">
        <is>
          <t>No</t>
        </is>
      </c>
      <c r="I625" s="18" t="inlineStr"/>
      <c r="J625" s="18" t="inlineStr"/>
      <c r="K625" s="18" t="inlineStr"/>
      <c r="L625" s="18" t="inlineStr">
        <is>
          <t>Sí</t>
        </is>
      </c>
      <c r="M625" s="18" t="inlineStr">
        <is>
          <t>No</t>
        </is>
      </c>
      <c r="N625" s="18" t="inlineStr"/>
      <c r="O625" s="18" t="inlineStr"/>
      <c r="P625" s="18" t="inlineStr">
        <is>
          <t>Mapeada en academic-work-plan-service/src/pta/entities/ubicacion-semestral.entity.ts:17 (UbicacionSemestralEntity.orden)</t>
        </is>
      </c>
      <c r="Q625" s="18" t="inlineStr">
        <is>
          <t>Regla estructural</t>
        </is>
      </c>
      <c r="R625" s="18" t="inlineStr">
        <is>
          <t>Posición del registro para su ordenamiento.</t>
        </is>
      </c>
      <c r="S625" s="18" t="inlineStr">
        <is>
          <t>Media</t>
        </is>
      </c>
      <c r="T625" s="18" t="inlineStr">
        <is>
          <t>Convención de nombre de la columna.</t>
        </is>
      </c>
      <c r="U625" s="18" t="inlineStr"/>
      <c r="V625" s="19" t="inlineStr">
        <is>
          <t>Pendiente</t>
        </is>
      </c>
      <c r="W625" s="19" t="inlineStr"/>
      <c r="X625" s="19" t="inlineStr"/>
      <c r="Y625" s="20" t="n"/>
      <c r="Z625" s="19" t="inlineStr"/>
      <c r="AA625" s="18">
        <f>IF(OR(V625="Aprobada"),R625,IF(AND(OR(V625="Aprobada con ajuste",V625="Rechazada"),W625&lt;&gt;""),W625,""))</f>
        <v/>
      </c>
    </row>
    <row r="626">
      <c r="A626" s="18" t="inlineStr">
        <is>
          <t>C0625</t>
        </is>
      </c>
      <c r="B626" s="18" t="inlineStr">
        <is>
          <t>Plan de trabajo académico</t>
        </is>
      </c>
      <c r="C626" s="18" t="inlineStr">
        <is>
          <t>academic_work_plan</t>
        </is>
      </c>
      <c r="D626" s="18" t="inlineStr">
        <is>
          <t>Usuario</t>
        </is>
      </c>
      <c r="E626" s="18" t="n">
        <v>283</v>
      </c>
      <c r="F626" s="18" t="inlineStr">
        <is>
          <t>email</t>
        </is>
      </c>
      <c r="G626" s="18" t="inlineStr">
        <is>
          <t>text</t>
        </is>
      </c>
      <c r="H626" s="18" t="inlineStr">
        <is>
          <t>No</t>
        </is>
      </c>
      <c r="I626" s="18" t="inlineStr"/>
      <c r="J626" s="18" t="inlineStr"/>
      <c r="K626" s="18" t="inlineStr"/>
      <c r="L626" s="18" t="inlineStr">
        <is>
          <t>No</t>
        </is>
      </c>
      <c r="M626" s="18" t="inlineStr">
        <is>
          <t>No</t>
        </is>
      </c>
      <c r="N626" s="18" t="inlineStr"/>
      <c r="O626" s="18" t="inlineStr">
        <is>
          <t>Usuario_email_key</t>
        </is>
      </c>
      <c r="P626" s="18" t="inlineStr">
        <is>
          <t>Mapeada en academic-work-plan-service/src/pta/entities/usuario.entity.ts:8 (UsuarioEntity.email)</t>
        </is>
      </c>
      <c r="Q626" s="18" t="inlineStr">
        <is>
          <t>Regla estructural</t>
        </is>
      </c>
      <c r="R626" s="18" t="inlineStr">
        <is>
          <t>Correo electrónico.</t>
        </is>
      </c>
      <c r="S626" s="18" t="inlineStr">
        <is>
          <t>Media</t>
        </is>
      </c>
      <c r="T626" s="18" t="inlineStr">
        <is>
          <t>Convención de nombre de la columna.</t>
        </is>
      </c>
      <c r="U626" s="18" t="inlineStr"/>
      <c r="V626" s="19" t="inlineStr">
        <is>
          <t>Pendiente</t>
        </is>
      </c>
      <c r="W626" s="19" t="inlineStr"/>
      <c r="X626" s="19" t="inlineStr"/>
      <c r="Y626" s="20" t="n"/>
      <c r="Z626" s="19" t="inlineStr"/>
      <c r="AA626" s="18">
        <f>IF(OR(V626="Aprobada"),R626,IF(AND(OR(V626="Aprobada con ajuste",V626="Rechazada"),W626&lt;&gt;""),W626,""))</f>
        <v/>
      </c>
    </row>
    <row r="627">
      <c r="A627" s="18" t="inlineStr">
        <is>
          <t>C0626</t>
        </is>
      </c>
      <c r="B627" s="18" t="inlineStr">
        <is>
          <t>Plan de trabajo académico</t>
        </is>
      </c>
      <c r="C627" s="18" t="inlineStr">
        <is>
          <t>academic_work_plan</t>
        </is>
      </c>
      <c r="D627" s="18" t="inlineStr">
        <is>
          <t>Usuario</t>
        </is>
      </c>
      <c r="E627" s="18" t="n">
        <v>283</v>
      </c>
      <c r="F627" s="18" t="inlineStr">
        <is>
          <t>password</t>
        </is>
      </c>
      <c r="G627" s="18" t="inlineStr">
        <is>
          <t>text</t>
        </is>
      </c>
      <c r="H627" s="18" t="inlineStr">
        <is>
          <t>No</t>
        </is>
      </c>
      <c r="I627" s="18" t="inlineStr"/>
      <c r="J627" s="18" t="inlineStr"/>
      <c r="K627" s="18" t="inlineStr"/>
      <c r="L627" s="18" t="inlineStr">
        <is>
          <t>No</t>
        </is>
      </c>
      <c r="M627" s="18" t="inlineStr">
        <is>
          <t>No</t>
        </is>
      </c>
      <c r="N627" s="18" t="inlineStr"/>
      <c r="O627" s="18" t="inlineStr"/>
      <c r="P627" s="18" t="inlineStr">
        <is>
          <t>Mapeada en academic-work-plan-service/src/pta/entities/usuario.entity.ts:11 (UsuarioEntity.password)</t>
        </is>
      </c>
      <c r="Q627" s="18" t="inlineStr">
        <is>
          <t>Propuesta semántica</t>
        </is>
      </c>
      <c r="R627" s="18" t="inlineStr">
        <is>
          <t>Contraseña del usuario para el inicio de sesión, almacenada cifrada.</t>
        </is>
      </c>
      <c r="S627" s="18" t="inlineStr">
        <is>
          <t>Media</t>
        </is>
      </c>
      <c r="T627" s="18" t="inlineStr">
        <is>
          <t>nombre + tipo + columnas vecinas (email, activo)</t>
        </is>
      </c>
      <c r="U627" s="18" t="inlineStr">
        <is>
          <t>¿La contraseña se guarda con hash (bcrypt u otro) y esta tabla sigue en uso frente a auth."user"?</t>
        </is>
      </c>
      <c r="V627" s="19" t="inlineStr">
        <is>
          <t>Pendiente</t>
        </is>
      </c>
      <c r="W627" s="19" t="inlineStr"/>
      <c r="X627" s="19" t="inlineStr"/>
      <c r="Y627" s="20" t="n"/>
      <c r="Z627" s="19" t="inlineStr"/>
      <c r="AA627" s="18">
        <f>IF(OR(V627="Aprobada"),R627,IF(AND(OR(V627="Aprobada con ajuste",V627="Rechazada"),W627&lt;&gt;""),W627,""))</f>
        <v/>
      </c>
    </row>
    <row r="628">
      <c r="A628" s="18" t="inlineStr">
        <is>
          <t>C0627</t>
        </is>
      </c>
      <c r="B628" s="18" t="inlineStr">
        <is>
          <t>Plan de trabajo académico</t>
        </is>
      </c>
      <c r="C628" s="18" t="inlineStr">
        <is>
          <t>academic_work_plan</t>
        </is>
      </c>
      <c r="D628" s="18" t="inlineStr">
        <is>
          <t>Usuario</t>
        </is>
      </c>
      <c r="E628" s="18" t="n">
        <v>283</v>
      </c>
      <c r="F628" s="18" t="inlineStr">
        <is>
          <t>nombre</t>
        </is>
      </c>
      <c r="G628" s="18" t="inlineStr">
        <is>
          <t>text</t>
        </is>
      </c>
      <c r="H628" s="18" t="inlineStr">
        <is>
          <t>Sí</t>
        </is>
      </c>
      <c r="I628" s="18" t="inlineStr"/>
      <c r="J628" s="18" t="inlineStr"/>
      <c r="K628" s="18" t="inlineStr"/>
      <c r="L628" s="18" t="inlineStr">
        <is>
          <t>No</t>
        </is>
      </c>
      <c r="M628" s="18" t="inlineStr">
        <is>
          <t>No</t>
        </is>
      </c>
      <c r="N628" s="18" t="inlineStr"/>
      <c r="O628" s="18" t="inlineStr"/>
      <c r="P628" s="18" t="inlineStr">
        <is>
          <t>Mapeada en academic-work-plan-service/src/pta/entities/usuario.entity.ts:14 (UsuarioEntity.nombre)</t>
        </is>
      </c>
      <c r="Q628" s="18" t="inlineStr">
        <is>
          <t>Regla estructural</t>
        </is>
      </c>
      <c r="R628" s="18" t="inlineStr">
        <is>
          <t>Nombre del registro de Usuario.</t>
        </is>
      </c>
      <c r="S628" s="18" t="inlineStr">
        <is>
          <t>Media</t>
        </is>
      </c>
      <c r="T628" s="18" t="inlineStr">
        <is>
          <t>Convención de nombre de la columna.</t>
        </is>
      </c>
      <c r="U628" s="18" t="inlineStr"/>
      <c r="V628" s="19" t="inlineStr">
        <is>
          <t>Pendiente</t>
        </is>
      </c>
      <c r="W628" s="19" t="inlineStr"/>
      <c r="X628" s="19" t="inlineStr"/>
      <c r="Y628" s="20" t="n"/>
      <c r="Z628" s="19" t="inlineStr"/>
      <c r="AA628" s="18">
        <f>IF(OR(V628="Aprobada"),R628,IF(AND(OR(V628="Aprobada con ajuste",V628="Rechazada"),W628&lt;&gt;""),W628,""))</f>
        <v/>
      </c>
    </row>
    <row r="629">
      <c r="A629" s="18" t="inlineStr">
        <is>
          <t>C0628</t>
        </is>
      </c>
      <c r="B629" s="18" t="inlineStr">
        <is>
          <t>Plan de trabajo académico</t>
        </is>
      </c>
      <c r="C629" s="18" t="inlineStr">
        <is>
          <t>academic_work_plan</t>
        </is>
      </c>
      <c r="D629" s="18" t="inlineStr">
        <is>
          <t>Usuario</t>
        </is>
      </c>
      <c r="E629" s="18" t="n">
        <v>283</v>
      </c>
      <c r="F629" s="18" t="inlineStr">
        <is>
          <t>activo</t>
        </is>
      </c>
      <c r="G629" s="18" t="inlineStr">
        <is>
          <t>boolean</t>
        </is>
      </c>
      <c r="H629" s="18" t="inlineStr">
        <is>
          <t>No</t>
        </is>
      </c>
      <c r="I629" s="18" t="inlineStr"/>
      <c r="J629" s="18" t="inlineStr"/>
      <c r="K629" s="18" t="inlineStr"/>
      <c r="L629" s="18" t="inlineStr">
        <is>
          <t>No</t>
        </is>
      </c>
      <c r="M629" s="18" t="inlineStr">
        <is>
          <t>No</t>
        </is>
      </c>
      <c r="N629" s="18" t="inlineStr"/>
      <c r="O629" s="18" t="inlineStr"/>
      <c r="P629" s="18" t="inlineStr">
        <is>
          <t>Mapeada en academic-work-plan-service/src/pta/entities/usuario.entity.ts:17 (UsuarioEntity.activo)</t>
        </is>
      </c>
      <c r="Q629" s="18" t="inlineStr">
        <is>
          <t>Regla estructural</t>
        </is>
      </c>
      <c r="R629" s="18" t="inlineStr">
        <is>
          <t>Indica si el registro está activo.</t>
        </is>
      </c>
      <c r="S629" s="18" t="inlineStr">
        <is>
          <t>Media</t>
        </is>
      </c>
      <c r="T629" s="18" t="inlineStr">
        <is>
          <t>Convención de nombre de la columna.</t>
        </is>
      </c>
      <c r="U629" s="18" t="inlineStr"/>
      <c r="V629" s="19" t="inlineStr">
        <is>
          <t>Pendiente</t>
        </is>
      </c>
      <c r="W629" s="19" t="inlineStr"/>
      <c r="X629" s="19" t="inlineStr"/>
      <c r="Y629" s="20" t="n"/>
      <c r="Z629" s="19" t="inlineStr"/>
      <c r="AA629" s="18">
        <f>IF(OR(V629="Aprobada"),R629,IF(AND(OR(V629="Aprobada con ajuste",V629="Rechazada"),W629&lt;&gt;""),W629,""))</f>
        <v/>
      </c>
    </row>
    <row r="630">
      <c r="A630" s="18" t="inlineStr">
        <is>
          <t>C0629</t>
        </is>
      </c>
      <c r="B630" s="18" t="inlineStr">
        <is>
          <t>Plan de trabajo académico</t>
        </is>
      </c>
      <c r="C630" s="18" t="inlineStr">
        <is>
          <t>academic_work_plan</t>
        </is>
      </c>
      <c r="D630" s="18" t="inlineStr">
        <is>
          <t>validacion_documental</t>
        </is>
      </c>
      <c r="E630" s="18" t="n">
        <v>12000</v>
      </c>
      <c r="F630" s="18" t="inlineStr">
        <is>
          <t>campo_rund</t>
        </is>
      </c>
      <c r="G630" s="18" t="inlineStr">
        <is>
          <t>character varying(100)</t>
        </is>
      </c>
      <c r="H630" s="18" t="inlineStr">
        <is>
          <t>No</t>
        </is>
      </c>
      <c r="I630" s="18" t="inlineStr"/>
      <c r="J630" s="18" t="inlineStr"/>
      <c r="K630" s="18" t="inlineStr"/>
      <c r="L630" s="18" t="inlineStr">
        <is>
          <t>No</t>
        </is>
      </c>
      <c r="M630" s="18" t="inlineStr">
        <is>
          <t>No</t>
        </is>
      </c>
      <c r="N630" s="18" t="inlineStr"/>
      <c r="O630" s="18" t="inlineStr">
        <is>
          <t>uq_docente_campo</t>
        </is>
      </c>
      <c r="P630" s="18" t="inlineStr"/>
      <c r="Q630" s="18" t="inlineStr">
        <is>
          <t>Propuesta semántica</t>
        </is>
      </c>
      <c r="R630" s="18" t="inlineStr">
        <is>
          <t>Campo del RUND al que corresponde el documento de soporte del docente.</t>
        </is>
      </c>
      <c r="S630" s="18" t="inlineStr">
        <is>
          <t>Media</t>
        </is>
      </c>
      <c r="T630" s="18" t="inlineStr">
        <is>
          <t>nombre + tipo + columnas vecinas + índice único uq_docente_campo</t>
        </is>
      </c>
      <c r="U630" s="18" t="inlineStr">
        <is>
          <t>¿Qué valores toma campo_rund y de qué catálogo provienen?</t>
        </is>
      </c>
      <c r="V630" s="19" t="inlineStr">
        <is>
          <t>Pendiente</t>
        </is>
      </c>
      <c r="W630" s="19" t="inlineStr"/>
      <c r="X630" s="19" t="inlineStr"/>
      <c r="Y630" s="20" t="n"/>
      <c r="Z630" s="19" t="inlineStr"/>
      <c r="AA630" s="18">
        <f>IF(OR(V630="Aprobada"),R630,IF(AND(OR(V630="Aprobada con ajuste",V630="Rechazada"),W630&lt;&gt;""),W630,""))</f>
        <v/>
      </c>
    </row>
    <row r="631">
      <c r="A631" s="18" t="inlineStr">
        <is>
          <t>C0630</t>
        </is>
      </c>
      <c r="B631" s="18" t="inlineStr">
        <is>
          <t>Plan de trabajo académico</t>
        </is>
      </c>
      <c r="C631" s="18" t="inlineStr">
        <is>
          <t>academic_work_plan</t>
        </is>
      </c>
      <c r="D631" s="18" t="inlineStr">
        <is>
          <t>validacion_documental</t>
        </is>
      </c>
      <c r="E631" s="18" t="n">
        <v>12000</v>
      </c>
      <c r="F631" s="18" t="inlineStr">
        <is>
          <t>tipo_documento_soporte</t>
        </is>
      </c>
      <c r="G631" s="18" t="inlineStr">
        <is>
          <t>character varying(100)</t>
        </is>
      </c>
      <c r="H631" s="18" t="inlineStr">
        <is>
          <t>No</t>
        </is>
      </c>
      <c r="I631" s="18" t="inlineStr"/>
      <c r="J631" s="18" t="inlineStr"/>
      <c r="K631" s="18" t="inlineStr"/>
      <c r="L631" s="18" t="inlineStr">
        <is>
          <t>No</t>
        </is>
      </c>
      <c r="M631" s="18" t="inlineStr">
        <is>
          <t>No</t>
        </is>
      </c>
      <c r="N631" s="18" t="inlineStr"/>
      <c r="O631" s="18" t="inlineStr"/>
      <c r="P631" s="18" t="inlineStr"/>
      <c r="Q631" s="18" t="inlineStr">
        <is>
          <t>Propuesta semántica</t>
        </is>
      </c>
      <c r="R631" s="18" t="inlineStr">
        <is>
          <t>Tipo de documento de soporte exigido para el campo del RUND.</t>
        </is>
      </c>
      <c r="S631" s="18" t="inlineStr">
        <is>
          <t>Media</t>
        </is>
      </c>
      <c r="T631" s="18" t="inlineStr">
        <is>
          <t>nombre + tipo + columnas vecinas</t>
        </is>
      </c>
      <c r="U631" s="18" t="inlineStr">
        <is>
          <t>¿Se relaciona con auth.tipo_documento o es texto libre?</t>
        </is>
      </c>
      <c r="V631" s="19" t="inlineStr">
        <is>
          <t>Pendiente</t>
        </is>
      </c>
      <c r="W631" s="19" t="inlineStr"/>
      <c r="X631" s="19" t="inlineStr"/>
      <c r="Y631" s="20" t="n"/>
      <c r="Z631" s="19" t="inlineStr"/>
      <c r="AA631" s="18">
        <f>IF(OR(V631="Aprobada"),R631,IF(AND(OR(V631="Aprobada con ajuste",V631="Rechazada"),W631&lt;&gt;""),W631,""))</f>
        <v/>
      </c>
    </row>
    <row r="632">
      <c r="A632" s="18" t="inlineStr">
        <is>
          <t>C0631</t>
        </is>
      </c>
      <c r="B632" s="18" t="inlineStr">
        <is>
          <t>Plan de trabajo académico</t>
        </is>
      </c>
      <c r="C632" s="18" t="inlineStr">
        <is>
          <t>academic_work_plan</t>
        </is>
      </c>
      <c r="D632" s="18" t="inlineStr">
        <is>
          <t>validacion_documental</t>
        </is>
      </c>
      <c r="E632" s="18" t="n">
        <v>12000</v>
      </c>
      <c r="F632" s="18" t="inlineStr">
        <is>
          <t>id_documento_carpeta</t>
        </is>
      </c>
      <c r="G632" s="18" t="inlineStr">
        <is>
          <t>text</t>
        </is>
      </c>
      <c r="H632" s="18" t="inlineStr">
        <is>
          <t>Sí</t>
        </is>
      </c>
      <c r="I632" s="18" t="inlineStr"/>
      <c r="J632" s="18" t="inlineStr"/>
      <c r="K632" s="18" t="inlineStr"/>
      <c r="L632" s="18" t="inlineStr">
        <is>
          <t>No</t>
        </is>
      </c>
      <c r="M632" s="18" t="inlineStr">
        <is>
          <t>No</t>
        </is>
      </c>
      <c r="N632" s="18" t="inlineStr"/>
      <c r="O632" s="18" t="inlineStr"/>
      <c r="P632" s="18" t="inlineStr"/>
      <c r="Q632" s="18" t="inlineStr">
        <is>
          <t>Propuesta semántica</t>
        </is>
      </c>
      <c r="R632" s="18" t="inlineStr">
        <is>
          <t>Identificador del documento de la carpeta digital del docente usado como soporte.</t>
        </is>
      </c>
      <c r="S632" s="18" t="inlineStr">
        <is>
          <t>Media</t>
        </is>
      </c>
      <c r="T632" s="18" t="inlineStr">
        <is>
          <t>nombre + tipo + columnas vecinas</t>
        </is>
      </c>
      <c r="U632" s="18" t="inlineStr">
        <is>
          <t>¿Referencia a auth.documento_carpeta_digital.id_documento y por qué es de tipo text?</t>
        </is>
      </c>
      <c r="V632" s="19" t="inlineStr">
        <is>
          <t>Pendiente</t>
        </is>
      </c>
      <c r="W632" s="19" t="inlineStr"/>
      <c r="X632" s="19" t="inlineStr"/>
      <c r="Y632" s="20" t="n"/>
      <c r="Z632" s="19" t="inlineStr"/>
      <c r="AA632" s="18">
        <f>IF(OR(V632="Aprobada"),R632,IF(AND(OR(V632="Aprobada con ajuste",V632="Rechazada"),W632&lt;&gt;""),W632,""))</f>
        <v/>
      </c>
    </row>
    <row r="633">
      <c r="A633" s="18" t="inlineStr">
        <is>
          <t>C0632</t>
        </is>
      </c>
      <c r="B633" s="18" t="inlineStr">
        <is>
          <t>Plan de trabajo académico</t>
        </is>
      </c>
      <c r="C633" s="18" t="inlineStr">
        <is>
          <t>academic_work_plan</t>
        </is>
      </c>
      <c r="D633" s="18" t="inlineStr">
        <is>
          <t>validacion_documental</t>
        </is>
      </c>
      <c r="E633" s="18" t="n">
        <v>12000</v>
      </c>
      <c r="F633" s="18" t="inlineStr">
        <is>
          <t>estado_documento</t>
        </is>
      </c>
      <c r="G633" s="18" t="inlineStr">
        <is>
          <t>character varying(30)</t>
        </is>
      </c>
      <c r="H633" s="18" t="inlineStr">
        <is>
          <t>No</t>
        </is>
      </c>
      <c r="I633" s="18" t="inlineStr">
        <is>
          <t>CHECK</t>
        </is>
      </c>
      <c r="J633" s="18" t="inlineStr">
        <is>
          <t>Aceptado, No aplica, Pendiente, Rechazado, Sin cargar</t>
        </is>
      </c>
      <c r="K633" s="18" t="inlineStr"/>
      <c r="L633" s="18" t="inlineStr">
        <is>
          <t>Sí</t>
        </is>
      </c>
      <c r="M633" s="18" t="inlineStr">
        <is>
          <t>No</t>
        </is>
      </c>
      <c r="N633" s="18" t="inlineStr"/>
      <c r="O633" s="18" t="inlineStr"/>
      <c r="P633" s="18" t="inlineStr"/>
      <c r="Q633" s="18" t="inlineStr">
        <is>
          <t>Propuesta semántica</t>
        </is>
      </c>
      <c r="R633" s="18" t="inlineStr">
        <is>
          <t>Estado de validación del documento de soporte. Valores permitidos: Aceptado, No aplica, Pendiente, Rechazado, Sin cargar. Por defecto, Sin cargar.</t>
        </is>
      </c>
      <c r="S633" s="18" t="inlineStr">
        <is>
          <t>Alta</t>
        </is>
      </c>
      <c r="T633" s="18" t="inlineStr">
        <is>
          <t>valores permitidos del CHECK</t>
        </is>
      </c>
      <c r="U633" s="18" t="inlineStr"/>
      <c r="V633" s="19" t="inlineStr">
        <is>
          <t>Pendiente</t>
        </is>
      </c>
      <c r="W633" s="19" t="inlineStr"/>
      <c r="X633" s="19" t="inlineStr"/>
      <c r="Y633" s="20" t="n"/>
      <c r="Z633" s="19" t="inlineStr"/>
      <c r="AA633" s="18">
        <f>IF(OR(V633="Aprobada"),R633,IF(AND(OR(V633="Aprobada con ajuste",V633="Rechazada"),W633&lt;&gt;""),W633,""))</f>
        <v/>
      </c>
    </row>
    <row r="634">
      <c r="A634" s="18" t="inlineStr">
        <is>
          <t>C0633</t>
        </is>
      </c>
      <c r="B634" s="18" t="inlineStr">
        <is>
          <t>Plan de trabajo académico</t>
        </is>
      </c>
      <c r="C634" s="18" t="inlineStr">
        <is>
          <t>academic_work_plan</t>
        </is>
      </c>
      <c r="D634" s="18" t="inlineStr">
        <is>
          <t>validacion_documental</t>
        </is>
      </c>
      <c r="E634" s="18" t="n">
        <v>12000</v>
      </c>
      <c r="F634" s="18" t="inlineStr">
        <is>
          <t>fecha_carga</t>
        </is>
      </c>
      <c r="G634" s="18" t="inlineStr">
        <is>
          <t>timestamp without time zone</t>
        </is>
      </c>
      <c r="H634" s="18" t="inlineStr">
        <is>
          <t>Sí</t>
        </is>
      </c>
      <c r="I634" s="18" t="inlineStr"/>
      <c r="J634" s="18" t="inlineStr"/>
      <c r="K634" s="18" t="inlineStr"/>
      <c r="L634" s="18" t="inlineStr">
        <is>
          <t>No</t>
        </is>
      </c>
      <c r="M634" s="18" t="inlineStr">
        <is>
          <t>No</t>
        </is>
      </c>
      <c r="N634" s="18" t="inlineStr"/>
      <c r="O634" s="18" t="inlineStr"/>
      <c r="P634" s="18" t="inlineStr"/>
      <c r="Q634" s="18" t="inlineStr">
        <is>
          <t>Regla estructural</t>
        </is>
      </c>
      <c r="R634" s="18" t="inlineStr">
        <is>
          <t>Fecha de carga.</t>
        </is>
      </c>
      <c r="S634" s="18" t="inlineStr">
        <is>
          <t>Media</t>
        </is>
      </c>
      <c r="T634" s="18" t="inlineStr">
        <is>
          <t>Convención de nombre de la columna.</t>
        </is>
      </c>
      <c r="U634" s="18" t="inlineStr"/>
      <c r="V634" s="19" t="inlineStr">
        <is>
          <t>Pendiente</t>
        </is>
      </c>
      <c r="W634" s="19" t="inlineStr"/>
      <c r="X634" s="19" t="inlineStr"/>
      <c r="Y634" s="20" t="n"/>
      <c r="Z634" s="19" t="inlineStr"/>
      <c r="AA634" s="18">
        <f>IF(OR(V634="Aprobada"),R634,IF(AND(OR(V634="Aprobada con ajuste",V634="Rechazada"),W634&lt;&gt;""),W634,""))</f>
        <v/>
      </c>
    </row>
    <row r="635">
      <c r="A635" s="18" t="inlineStr">
        <is>
          <t>C0634</t>
        </is>
      </c>
      <c r="B635" s="18" t="inlineStr">
        <is>
          <t>Plan de trabajo académico</t>
        </is>
      </c>
      <c r="C635" s="18" t="inlineStr">
        <is>
          <t>academic_work_plan</t>
        </is>
      </c>
      <c r="D635" s="18" t="inlineStr">
        <is>
          <t>validacion_documental</t>
        </is>
      </c>
      <c r="E635" s="18" t="n">
        <v>12000</v>
      </c>
      <c r="F635" s="18" t="inlineStr">
        <is>
          <t>fecha_validacion</t>
        </is>
      </c>
      <c r="G635" s="18" t="inlineStr">
        <is>
          <t>timestamp without time zone</t>
        </is>
      </c>
      <c r="H635" s="18" t="inlineStr">
        <is>
          <t>Sí</t>
        </is>
      </c>
      <c r="I635" s="18" t="inlineStr"/>
      <c r="J635" s="18" t="inlineStr"/>
      <c r="K635" s="18" t="inlineStr"/>
      <c r="L635" s="18" t="inlineStr">
        <is>
          <t>No</t>
        </is>
      </c>
      <c r="M635" s="18" t="inlineStr">
        <is>
          <t>No</t>
        </is>
      </c>
      <c r="N635" s="18" t="inlineStr"/>
      <c r="O635" s="18" t="inlineStr"/>
      <c r="P635" s="18" t="inlineStr"/>
      <c r="Q635" s="18" t="inlineStr">
        <is>
          <t>Regla estructural</t>
        </is>
      </c>
      <c r="R635" s="18" t="inlineStr">
        <is>
          <t>Fecha de validación.</t>
        </is>
      </c>
      <c r="S635" s="18" t="inlineStr">
        <is>
          <t>Media</t>
        </is>
      </c>
      <c r="T635" s="18" t="inlineStr">
        <is>
          <t>Convención de nombre de la columna.</t>
        </is>
      </c>
      <c r="U635" s="18" t="inlineStr"/>
      <c r="V635" s="19" t="inlineStr">
        <is>
          <t>Pendiente</t>
        </is>
      </c>
      <c r="W635" s="19" t="inlineStr"/>
      <c r="X635" s="19" t="inlineStr"/>
      <c r="Y635" s="20" t="n"/>
      <c r="Z635" s="19" t="inlineStr"/>
      <c r="AA635" s="18">
        <f>IF(OR(V635="Aprobada"),R635,IF(AND(OR(V635="Aprobada con ajuste",V635="Rechazada"),W635&lt;&gt;""),W635,""))</f>
        <v/>
      </c>
    </row>
    <row r="636">
      <c r="A636" s="18" t="inlineStr">
        <is>
          <t>C0635</t>
        </is>
      </c>
      <c r="B636" s="18" t="inlineStr">
        <is>
          <t>Plan de trabajo académico</t>
        </is>
      </c>
      <c r="C636" s="18" t="inlineStr">
        <is>
          <t>academic_work_plan</t>
        </is>
      </c>
      <c r="D636" s="18" t="inlineStr">
        <is>
          <t>validacion_documental</t>
        </is>
      </c>
      <c r="E636" s="18" t="n">
        <v>12000</v>
      </c>
      <c r="F636" s="18" t="inlineStr">
        <is>
          <t>validado_por</t>
        </is>
      </c>
      <c r="G636" s="18" t="inlineStr">
        <is>
          <t>character varying(150)</t>
        </is>
      </c>
      <c r="H636" s="18" t="inlineStr">
        <is>
          <t>Sí</t>
        </is>
      </c>
      <c r="I636" s="18" t="inlineStr"/>
      <c r="J636" s="18" t="inlineStr"/>
      <c r="K636" s="18" t="inlineStr"/>
      <c r="L636" s="18" t="inlineStr">
        <is>
          <t>No</t>
        </is>
      </c>
      <c r="M636" s="18" t="inlineStr">
        <is>
          <t>No</t>
        </is>
      </c>
      <c r="N636" s="18" t="inlineStr"/>
      <c r="O636" s="18" t="inlineStr"/>
      <c r="P636" s="18" t="inlineStr"/>
      <c r="Q636" s="18" t="inlineStr">
        <is>
          <t>Regla estructural</t>
        </is>
      </c>
      <c r="R636" s="18" t="inlineStr">
        <is>
          <t>Usuario que realizó la validación.</t>
        </is>
      </c>
      <c r="S636" s="18" t="inlineStr">
        <is>
          <t>Media</t>
        </is>
      </c>
      <c r="T636" s="18" t="inlineStr">
        <is>
          <t>Convención de nombre de la columna.</t>
        </is>
      </c>
      <c r="U636" s="18" t="inlineStr"/>
      <c r="V636" s="19" t="inlineStr">
        <is>
          <t>Pendiente</t>
        </is>
      </c>
      <c r="W636" s="19" t="inlineStr"/>
      <c r="X636" s="19" t="inlineStr"/>
      <c r="Y636" s="20" t="n"/>
      <c r="Z636" s="19" t="inlineStr"/>
      <c r="AA636" s="18">
        <f>IF(OR(V636="Aprobada"),R636,IF(AND(OR(V636="Aprobada con ajuste",V636="Rechazada"),W636&lt;&gt;""),W636,""))</f>
        <v/>
      </c>
    </row>
    <row r="637">
      <c r="A637" s="18" t="inlineStr">
        <is>
          <t>C0636</t>
        </is>
      </c>
      <c r="B637" s="18" t="inlineStr">
        <is>
          <t>Plan de trabajo académico</t>
        </is>
      </c>
      <c r="C637" s="18" t="inlineStr">
        <is>
          <t>academic_work_plan</t>
        </is>
      </c>
      <c r="D637" s="18" t="inlineStr">
        <is>
          <t>validacion_documental</t>
        </is>
      </c>
      <c r="E637" s="18" t="n">
        <v>12000</v>
      </c>
      <c r="F637" s="18" t="inlineStr">
        <is>
          <t>observacion</t>
        </is>
      </c>
      <c r="G637" s="18" t="inlineStr">
        <is>
          <t>text</t>
        </is>
      </c>
      <c r="H637" s="18" t="inlineStr">
        <is>
          <t>Sí</t>
        </is>
      </c>
      <c r="I637" s="18" t="inlineStr"/>
      <c r="J637" s="18" t="inlineStr"/>
      <c r="K637" s="18" t="inlineStr"/>
      <c r="L637" s="18" t="inlineStr">
        <is>
          <t>No</t>
        </is>
      </c>
      <c r="M637" s="18" t="inlineStr">
        <is>
          <t>No</t>
        </is>
      </c>
      <c r="N637" s="18" t="inlineStr"/>
      <c r="O637" s="18" t="inlineStr"/>
      <c r="P637" s="18" t="inlineStr"/>
      <c r="Q637" s="18" t="inlineStr">
        <is>
          <t>Regla estructural</t>
        </is>
      </c>
      <c r="R637" s="18" t="inlineStr">
        <is>
          <t>Observación registrada sobre el registro.</t>
        </is>
      </c>
      <c r="S637" s="18" t="inlineStr">
        <is>
          <t>Media</t>
        </is>
      </c>
      <c r="T637" s="18" t="inlineStr">
        <is>
          <t>Convención de nombre de la columna.</t>
        </is>
      </c>
      <c r="U637" s="18" t="inlineStr"/>
      <c r="V637" s="19" t="inlineStr">
        <is>
          <t>Pendiente</t>
        </is>
      </c>
      <c r="W637" s="19" t="inlineStr"/>
      <c r="X637" s="19" t="inlineStr"/>
      <c r="Y637" s="20" t="n"/>
      <c r="Z637" s="19" t="inlineStr"/>
      <c r="AA637" s="18">
        <f>IF(OR(V637="Aprobada"),R637,IF(AND(OR(V637="Aprobada con ajuste",V637="Rechazada"),W637&lt;&gt;""),W637,""))</f>
        <v/>
      </c>
    </row>
    <row r="638">
      <c r="A638" s="18" t="inlineStr">
        <is>
          <t>C0637</t>
        </is>
      </c>
      <c r="B638" s="18" t="inlineStr">
        <is>
          <t>Certificaciones</t>
        </is>
      </c>
      <c r="C638" s="18" t="inlineStr">
        <is>
          <t>certification</t>
        </is>
      </c>
      <c r="D638" s="18" t="inlineStr">
        <is>
          <t>certificate_correction_requests</t>
        </is>
      </c>
      <c r="E638" s="18" t="n">
        <v>9</v>
      </c>
      <c r="F638" s="18" t="inlineStr">
        <is>
          <t>request_number</t>
        </is>
      </c>
      <c r="G638" s="18" t="inlineStr">
        <is>
          <t>character varying(50)</t>
        </is>
      </c>
      <c r="H638" s="18" t="inlineStr">
        <is>
          <t>No</t>
        </is>
      </c>
      <c r="I638" s="18" t="inlineStr">
        <is>
          <t>Única</t>
        </is>
      </c>
      <c r="J638" s="18" t="inlineStr"/>
      <c r="K638" s="18" t="inlineStr"/>
      <c r="L638" s="18" t="inlineStr">
        <is>
          <t>No</t>
        </is>
      </c>
      <c r="M638" s="18" t="inlineStr">
        <is>
          <t>No</t>
        </is>
      </c>
      <c r="N638" s="18" t="inlineStr"/>
      <c r="O638" s="18" t="inlineStr">
        <is>
          <t>certificate_correction_requests_request_number_key</t>
        </is>
      </c>
      <c r="P638" s="18" t="inlineStr">
        <is>
          <t>Mapeada en certification-service/src/certificates/certificate-correction-request.entity.ts:49 (CertificateCorrectionRequest.request_number)</t>
        </is>
      </c>
      <c r="Q638" s="18" t="inlineStr">
        <is>
          <t>Propuesta semántica</t>
        </is>
      </c>
      <c r="R638" s="18" t="inlineStr">
        <is>
          <t>Número de la solicitud de corrección; es único en la tabla.</t>
        </is>
      </c>
      <c r="S638" s="18" t="inlineStr">
        <is>
          <t>Alta</t>
        </is>
      </c>
      <c r="T638" s="18" t="inlineStr">
        <is>
          <t>nombre + tipo + columnas vecinas + restricción única</t>
        </is>
      </c>
      <c r="U638" s="18" t="inlineStr"/>
      <c r="V638" s="19" t="inlineStr">
        <is>
          <t>Pendiente</t>
        </is>
      </c>
      <c r="W638" s="19" t="inlineStr"/>
      <c r="X638" s="19" t="inlineStr"/>
      <c r="Y638" s="20" t="n"/>
      <c r="Z638" s="19" t="inlineStr"/>
      <c r="AA638" s="18">
        <f>IF(OR(V638="Aprobada"),R638,IF(AND(OR(V638="Aprobada con ajuste",V638="Rechazada"),W638&lt;&gt;""),W638,""))</f>
        <v/>
      </c>
    </row>
    <row r="639">
      <c r="A639" s="18" t="inlineStr">
        <is>
          <t>C0638</t>
        </is>
      </c>
      <c r="B639" s="18" t="inlineStr">
        <is>
          <t>Certificaciones</t>
        </is>
      </c>
      <c r="C639" s="18" t="inlineStr">
        <is>
          <t>certification</t>
        </is>
      </c>
      <c r="D639" s="18" t="inlineStr">
        <is>
          <t>certificate_correction_requests</t>
        </is>
      </c>
      <c r="E639" s="18" t="n">
        <v>9</v>
      </c>
      <c r="F639" s="18" t="inlineStr">
        <is>
          <t>status</t>
        </is>
      </c>
      <c r="G639" s="18" t="inlineStr">
        <is>
          <t>character varying(20)</t>
        </is>
      </c>
      <c r="H639" s="18" t="inlineStr">
        <is>
          <t>No</t>
        </is>
      </c>
      <c r="I639" s="18" t="inlineStr">
        <is>
          <t>CHECK</t>
        </is>
      </c>
      <c r="J639" s="18" t="inlineStr">
        <is>
          <t>APPROVED, IN_REVIEW, PENDING, REJECTED</t>
        </is>
      </c>
      <c r="K639" s="18" t="inlineStr"/>
      <c r="L639" s="18" t="inlineStr">
        <is>
          <t>Sí</t>
        </is>
      </c>
      <c r="M639" s="18" t="inlineStr">
        <is>
          <t>No</t>
        </is>
      </c>
      <c r="N639" s="18" t="inlineStr"/>
      <c r="O639" s="18" t="inlineStr">
        <is>
          <t>idx_certificate_corrections_status_created</t>
        </is>
      </c>
      <c r="P639" s="18" t="inlineStr">
        <is>
          <t>Mapeada en certification-service/src/certificates/certificate-correction-request.entity.ts:55 (CertificateCorrectionRequest.status)</t>
        </is>
      </c>
      <c r="Q639" s="18" t="inlineStr">
        <is>
          <t>Regla estructural</t>
        </is>
      </c>
      <c r="R639" s="18" t="inlineStr">
        <is>
          <t>Estado del registro de certificate_correction_requests.</t>
        </is>
      </c>
      <c r="S639" s="18" t="inlineStr">
        <is>
          <t>Media</t>
        </is>
      </c>
      <c r="T639" s="18" t="inlineStr">
        <is>
          <t>Convención de nombre de la columna.</t>
        </is>
      </c>
      <c r="U639" s="18" t="inlineStr"/>
      <c r="V639" s="19" t="inlineStr">
        <is>
          <t>Pendiente</t>
        </is>
      </c>
      <c r="W639" s="19" t="inlineStr"/>
      <c r="X639" s="19" t="inlineStr"/>
      <c r="Y639" s="20" t="n"/>
      <c r="Z639" s="19" t="inlineStr"/>
      <c r="AA639" s="18">
        <f>IF(OR(V639="Aprobada"),R639,IF(AND(OR(V639="Aprobada con ajuste",V639="Rechazada"),W639&lt;&gt;""),W639,""))</f>
        <v/>
      </c>
    </row>
    <row r="640">
      <c r="A640" s="18" t="inlineStr">
        <is>
          <t>C0639</t>
        </is>
      </c>
      <c r="B640" s="18" t="inlineStr">
        <is>
          <t>Certificaciones</t>
        </is>
      </c>
      <c r="C640" s="18" t="inlineStr">
        <is>
          <t>certification</t>
        </is>
      </c>
      <c r="D640" s="18" t="inlineStr">
        <is>
          <t>certificate_correction_requests</t>
        </is>
      </c>
      <c r="E640" s="18" t="n">
        <v>9</v>
      </c>
      <c r="F640" s="18" t="inlineStr">
        <is>
          <t>description</t>
        </is>
      </c>
      <c r="G640" s="18" t="inlineStr">
        <is>
          <t>text</t>
        </is>
      </c>
      <c r="H640" s="18" t="inlineStr">
        <is>
          <t>No</t>
        </is>
      </c>
      <c r="I640" s="18" t="inlineStr">
        <is>
          <t>CHECK</t>
        </is>
      </c>
      <c r="J640" s="18" t="inlineStr"/>
      <c r="K640" s="18" t="inlineStr"/>
      <c r="L640" s="18" t="inlineStr">
        <is>
          <t>No</t>
        </is>
      </c>
      <c r="M640" s="18" t="inlineStr">
        <is>
          <t>No</t>
        </is>
      </c>
      <c r="N640" s="18" t="inlineStr"/>
      <c r="O640" s="18" t="inlineStr"/>
      <c r="P640" s="18" t="inlineStr">
        <is>
          <t>Mapeada en certification-service/src/certificates/certificate-correction-request.entity.ts:58 (CertificateCorrectionRequest.description)</t>
        </is>
      </c>
      <c r="Q640" s="18" t="inlineStr">
        <is>
          <t>Regla estructural</t>
        </is>
      </c>
      <c r="R640" s="18" t="inlineStr">
        <is>
          <t>Descripción del registro de certificate_correction_requests.</t>
        </is>
      </c>
      <c r="S640" s="18" t="inlineStr">
        <is>
          <t>Media</t>
        </is>
      </c>
      <c r="T640" s="18" t="inlineStr">
        <is>
          <t>Convención de nombre de la columna.</t>
        </is>
      </c>
      <c r="U640" s="18" t="inlineStr"/>
      <c r="V640" s="19" t="inlineStr">
        <is>
          <t>Pendiente</t>
        </is>
      </c>
      <c r="W640" s="19" t="inlineStr"/>
      <c r="X640" s="19" t="inlineStr"/>
      <c r="Y640" s="20" t="n"/>
      <c r="Z640" s="19" t="inlineStr"/>
      <c r="AA640" s="18">
        <f>IF(OR(V640="Aprobada"),R640,IF(AND(OR(V640="Aprobada con ajuste",V640="Rechazada"),W640&lt;&gt;""),W640,""))</f>
        <v/>
      </c>
    </row>
    <row r="641">
      <c r="A641" s="18" t="inlineStr">
        <is>
          <t>C0640</t>
        </is>
      </c>
      <c r="B641" s="18" t="inlineStr">
        <is>
          <t>Certificaciones</t>
        </is>
      </c>
      <c r="C641" s="18" t="inlineStr">
        <is>
          <t>certification</t>
        </is>
      </c>
      <c r="D641" s="18" t="inlineStr">
        <is>
          <t>certificate_correction_requests</t>
        </is>
      </c>
      <c r="E641" s="18" t="n">
        <v>9</v>
      </c>
      <c r="F641" s="18" t="inlineStr">
        <is>
          <t>requester_name</t>
        </is>
      </c>
      <c r="G641" s="18" t="inlineStr">
        <is>
          <t>character varying(255)</t>
        </is>
      </c>
      <c r="H641" s="18" t="inlineStr">
        <is>
          <t>No</t>
        </is>
      </c>
      <c r="I641" s="18" t="inlineStr"/>
      <c r="J641" s="18" t="inlineStr"/>
      <c r="K641" s="18" t="inlineStr"/>
      <c r="L641" s="18" t="inlineStr">
        <is>
          <t>No</t>
        </is>
      </c>
      <c r="M641" s="18" t="inlineStr">
        <is>
          <t>No</t>
        </is>
      </c>
      <c r="N641" s="18" t="inlineStr"/>
      <c r="O641" s="18" t="inlineStr"/>
      <c r="P641" s="18" t="inlineStr">
        <is>
          <t>Mapeada en certification-service/src/certificates/certificate-correction-request.entity.ts:61 (CertificateCorrectionRequest.requester_name)</t>
        </is>
      </c>
      <c r="Q641" s="18" t="inlineStr">
        <is>
          <t>Propuesta semántica</t>
        </is>
      </c>
      <c r="R641" s="18" t="inlineStr">
        <is>
          <t>Nombre de la persona que solicita la corrección del certificado.</t>
        </is>
      </c>
      <c r="S641" s="18" t="inlineStr">
        <is>
          <t>Alta</t>
        </is>
      </c>
      <c r="T641" s="18" t="inlineStr">
        <is>
          <t>nombre + tipo + columnas vecinas + descripción de la tabla</t>
        </is>
      </c>
      <c r="U641" s="18" t="inlineStr"/>
      <c r="V641" s="19" t="inlineStr">
        <is>
          <t>Pendiente</t>
        </is>
      </c>
      <c r="W641" s="19" t="inlineStr"/>
      <c r="X641" s="19" t="inlineStr"/>
      <c r="Y641" s="20" t="n"/>
      <c r="Z641" s="19" t="inlineStr"/>
      <c r="AA641" s="18">
        <f>IF(OR(V641="Aprobada"),R641,IF(AND(OR(V641="Aprobada con ajuste",V641="Rechazada"),W641&lt;&gt;""),W641,""))</f>
        <v/>
      </c>
    </row>
    <row r="642">
      <c r="A642" s="18" t="inlineStr">
        <is>
          <t>C0641</t>
        </is>
      </c>
      <c r="B642" s="18" t="inlineStr">
        <is>
          <t>Certificaciones</t>
        </is>
      </c>
      <c r="C642" s="18" t="inlineStr">
        <is>
          <t>certification</t>
        </is>
      </c>
      <c r="D642" s="18" t="inlineStr">
        <is>
          <t>certificate_correction_requests</t>
        </is>
      </c>
      <c r="E642" s="18" t="n">
        <v>9</v>
      </c>
      <c r="F642" s="18" t="inlineStr">
        <is>
          <t>requester_email</t>
        </is>
      </c>
      <c r="G642" s="18" t="inlineStr">
        <is>
          <t>character varying(255)</t>
        </is>
      </c>
      <c r="H642" s="18" t="inlineStr">
        <is>
          <t>No</t>
        </is>
      </c>
      <c r="I642" s="18" t="inlineStr"/>
      <c r="J642" s="18" t="inlineStr"/>
      <c r="K642" s="18" t="inlineStr"/>
      <c r="L642" s="18" t="inlineStr">
        <is>
          <t>No</t>
        </is>
      </c>
      <c r="M642" s="18" t="inlineStr">
        <is>
          <t>No</t>
        </is>
      </c>
      <c r="N642" s="18" t="inlineStr"/>
      <c r="O642" s="18" t="inlineStr"/>
      <c r="P642" s="18" t="inlineStr">
        <is>
          <t>Mapeada en certification-service/src/certificates/certificate-correction-request.entity.ts:64 (CertificateCorrectionRequest.requester_email)</t>
        </is>
      </c>
      <c r="Q642" s="18" t="inlineStr">
        <is>
          <t>Propuesta semántica</t>
        </is>
      </c>
      <c r="R642" s="18" t="inlineStr">
        <is>
          <t>Correo electrónico de la persona que solicita la corrección del certificado.</t>
        </is>
      </c>
      <c r="S642" s="18" t="inlineStr">
        <is>
          <t>Alta</t>
        </is>
      </c>
      <c r="T642" s="18" t="inlineStr">
        <is>
          <t>nombre + tipo + columnas vecinas + descripción de la tabla</t>
        </is>
      </c>
      <c r="U642" s="18" t="inlineStr"/>
      <c r="V642" s="19" t="inlineStr">
        <is>
          <t>Pendiente</t>
        </is>
      </c>
      <c r="W642" s="19" t="inlineStr"/>
      <c r="X642" s="19" t="inlineStr"/>
      <c r="Y642" s="20" t="n"/>
      <c r="Z642" s="19" t="inlineStr"/>
      <c r="AA642" s="18">
        <f>IF(OR(V642="Aprobada"),R642,IF(AND(OR(V642="Aprobada con ajuste",V642="Rechazada"),W642&lt;&gt;""),W642,""))</f>
        <v/>
      </c>
    </row>
    <row r="643">
      <c r="A643" s="18" t="inlineStr">
        <is>
          <t>C0642</t>
        </is>
      </c>
      <c r="B643" s="18" t="inlineStr">
        <is>
          <t>Certificaciones</t>
        </is>
      </c>
      <c r="C643" s="18" t="inlineStr">
        <is>
          <t>certification</t>
        </is>
      </c>
      <c r="D643" s="18" t="inlineStr">
        <is>
          <t>certificate_correction_requests</t>
        </is>
      </c>
      <c r="E643" s="18" t="n">
        <v>9</v>
      </c>
      <c r="F643" s="18" t="inlineStr">
        <is>
          <t>submitted_evidence</t>
        </is>
      </c>
      <c r="G643" s="18" t="inlineStr">
        <is>
          <t>jsonb</t>
        </is>
      </c>
      <c r="H643" s="18" t="inlineStr">
        <is>
          <t>No</t>
        </is>
      </c>
      <c r="I643" s="18" t="inlineStr"/>
      <c r="J643" s="18" t="inlineStr"/>
      <c r="K643" s="18" t="inlineStr"/>
      <c r="L643" s="18" t="inlineStr">
        <is>
          <t>No</t>
        </is>
      </c>
      <c r="M643" s="18" t="inlineStr">
        <is>
          <t>No</t>
        </is>
      </c>
      <c r="N643" s="18" t="inlineStr"/>
      <c r="O643" s="18" t="inlineStr"/>
      <c r="P643" s="18" t="inlineStr">
        <is>
          <t>Mapeada en certification-service/src/certificates/certificate-correction-request.entity.ts:67 (CertificateCorrectionRequest.submitted_evidence)</t>
        </is>
      </c>
      <c r="Q643" s="18" t="inlineStr">
        <is>
          <t>Propuesta semántica</t>
        </is>
      </c>
      <c r="R643" s="18" t="inlineStr">
        <is>
          <t>Evidencias presentadas por el solicitante con la solicitud de corrección, en formato JSON. Por defecto, una lista vacía.</t>
        </is>
      </c>
      <c r="S643" s="18" t="inlineStr">
        <is>
          <t>Media</t>
        </is>
      </c>
      <c r="T643" s="18" t="inlineStr">
        <is>
          <t>nombre + tipo + columnas vecinas + defecto</t>
        </is>
      </c>
      <c r="U643" s="18" t="inlineStr">
        <is>
          <t>¿El JSON guarda la referencia a archivos (URL, nombre) o el contenido?</t>
        </is>
      </c>
      <c r="V643" s="19" t="inlineStr">
        <is>
          <t>Pendiente</t>
        </is>
      </c>
      <c r="W643" s="19" t="inlineStr"/>
      <c r="X643" s="19" t="inlineStr"/>
      <c r="Y643" s="20" t="n"/>
      <c r="Z643" s="19" t="inlineStr"/>
      <c r="AA643" s="18">
        <f>IF(OR(V643="Aprobada"),R643,IF(AND(OR(V643="Aprobada con ajuste",V643="Rechazada"),W643&lt;&gt;""),W643,""))</f>
        <v/>
      </c>
    </row>
    <row r="644">
      <c r="A644" s="18" t="inlineStr">
        <is>
          <t>C0643</t>
        </is>
      </c>
      <c r="B644" s="18" t="inlineStr">
        <is>
          <t>Certificaciones</t>
        </is>
      </c>
      <c r="C644" s="18" t="inlineStr">
        <is>
          <t>certification</t>
        </is>
      </c>
      <c r="D644" s="18" t="inlineStr">
        <is>
          <t>certificate_correction_requests</t>
        </is>
      </c>
      <c r="E644" s="18" t="n">
        <v>9</v>
      </c>
      <c r="F644" s="18" t="inlineStr">
        <is>
          <t>reviewed_by_id</t>
        </is>
      </c>
      <c r="G644" s="18" t="inlineStr">
        <is>
          <t>uuid</t>
        </is>
      </c>
      <c r="H644" s="18" t="inlineStr">
        <is>
          <t>Sí</t>
        </is>
      </c>
      <c r="I644" s="18" t="inlineStr"/>
      <c r="J644" s="18" t="inlineStr"/>
      <c r="K644" s="18" t="inlineStr"/>
      <c r="L644" s="18" t="inlineStr">
        <is>
          <t>No</t>
        </is>
      </c>
      <c r="M644" s="18" t="inlineStr">
        <is>
          <t>No</t>
        </is>
      </c>
      <c r="N644" s="18" t="inlineStr"/>
      <c r="O644" s="18" t="inlineStr"/>
      <c r="P644" s="18" t="inlineStr">
        <is>
          <t>Mapeada en certification-service/src/certificates/certificate-correction-request.entity.ts:76 (CertificateCorrectionRequest.reviewed_by_id)</t>
        </is>
      </c>
      <c r="Q644" s="18" t="inlineStr">
        <is>
          <t>Propuesta semántica</t>
        </is>
      </c>
      <c r="R644" s="18" t="inlineStr">
        <is>
          <t>Identificador del coordinador que revisa la solicitud de corrección.</t>
        </is>
      </c>
      <c r="S644" s="18" t="inlineStr">
        <is>
          <t>Media</t>
        </is>
      </c>
      <c r="T644" s="18" t="inlineStr">
        <is>
          <t>nombre + tipo + columnas vecinas + descripción de la tabla</t>
        </is>
      </c>
      <c r="U644" s="18" t="inlineStr">
        <is>
          <t>¿reviewed_by_id corresponde a auth.personas.id_person u otro UUID?</t>
        </is>
      </c>
      <c r="V644" s="19" t="inlineStr">
        <is>
          <t>Pendiente</t>
        </is>
      </c>
      <c r="W644" s="19" t="inlineStr"/>
      <c r="X644" s="19" t="inlineStr"/>
      <c r="Y644" s="20" t="n"/>
      <c r="Z644" s="19" t="inlineStr"/>
      <c r="AA644" s="18">
        <f>IF(OR(V644="Aprobada"),R644,IF(AND(OR(V644="Aprobada con ajuste",V644="Rechazada"),W644&lt;&gt;""),W644,""))</f>
        <v/>
      </c>
    </row>
    <row r="645">
      <c r="A645" s="18" t="inlineStr">
        <is>
          <t>C0644</t>
        </is>
      </c>
      <c r="B645" s="18" t="inlineStr">
        <is>
          <t>Certificaciones</t>
        </is>
      </c>
      <c r="C645" s="18" t="inlineStr">
        <is>
          <t>certification</t>
        </is>
      </c>
      <c r="D645" s="18" t="inlineStr">
        <is>
          <t>certificate_correction_requests</t>
        </is>
      </c>
      <c r="E645" s="18" t="n">
        <v>9</v>
      </c>
      <c r="F645" s="18" t="inlineStr">
        <is>
          <t>reviewed_by_name</t>
        </is>
      </c>
      <c r="G645" s="18" t="inlineStr">
        <is>
          <t>character varying(255)</t>
        </is>
      </c>
      <c r="H645" s="18" t="inlineStr">
        <is>
          <t>Sí</t>
        </is>
      </c>
      <c r="I645" s="18" t="inlineStr"/>
      <c r="J645" s="18" t="inlineStr"/>
      <c r="K645" s="18" t="inlineStr"/>
      <c r="L645" s="18" t="inlineStr">
        <is>
          <t>No</t>
        </is>
      </c>
      <c r="M645" s="18" t="inlineStr">
        <is>
          <t>No</t>
        </is>
      </c>
      <c r="N645" s="18" t="inlineStr"/>
      <c r="O645" s="18" t="inlineStr"/>
      <c r="P645" s="18" t="inlineStr">
        <is>
          <t>Mapeada en certification-service/src/certificates/certificate-correction-request.entity.ts:79 (CertificateCorrectionRequest.reviewed_by_name)</t>
        </is>
      </c>
      <c r="Q645" s="18" t="inlineStr">
        <is>
          <t>Propuesta semántica</t>
        </is>
      </c>
      <c r="R645" s="18" t="inlineStr">
        <is>
          <t>Nombre del coordinador que revisa la solicitud de corrección.</t>
        </is>
      </c>
      <c r="S645" s="18" t="inlineStr">
        <is>
          <t>Alta</t>
        </is>
      </c>
      <c r="T645" s="18" t="inlineStr">
        <is>
          <t>nombre + tipo + columnas vecinas + descripción de la tabla</t>
        </is>
      </c>
      <c r="U645" s="18" t="inlineStr"/>
      <c r="V645" s="19" t="inlineStr">
        <is>
          <t>Pendiente</t>
        </is>
      </c>
      <c r="W645" s="19" t="inlineStr"/>
      <c r="X645" s="19" t="inlineStr"/>
      <c r="Y645" s="20" t="n"/>
      <c r="Z645" s="19" t="inlineStr"/>
      <c r="AA645" s="18">
        <f>IF(OR(V645="Aprobada"),R645,IF(AND(OR(V645="Aprobada con ajuste",V645="Rechazada"),W645&lt;&gt;""),W645,""))</f>
        <v/>
      </c>
    </row>
    <row r="646">
      <c r="A646" s="18" t="inlineStr">
        <is>
          <t>C0645</t>
        </is>
      </c>
      <c r="B646" s="18" t="inlineStr">
        <is>
          <t>Certificaciones</t>
        </is>
      </c>
      <c r="C646" s="18" t="inlineStr">
        <is>
          <t>certification</t>
        </is>
      </c>
      <c r="D646" s="18" t="inlineStr">
        <is>
          <t>certificate_correction_requests</t>
        </is>
      </c>
      <c r="E646" s="18" t="n">
        <v>9</v>
      </c>
      <c r="F646" s="18" t="inlineStr">
        <is>
          <t>reviewed_by_email</t>
        </is>
      </c>
      <c r="G646" s="18" t="inlineStr">
        <is>
          <t>character varying(255)</t>
        </is>
      </c>
      <c r="H646" s="18" t="inlineStr">
        <is>
          <t>Sí</t>
        </is>
      </c>
      <c r="I646" s="18" t="inlineStr"/>
      <c r="J646" s="18" t="inlineStr"/>
      <c r="K646" s="18" t="inlineStr"/>
      <c r="L646" s="18" t="inlineStr">
        <is>
          <t>No</t>
        </is>
      </c>
      <c r="M646" s="18" t="inlineStr">
        <is>
          <t>No</t>
        </is>
      </c>
      <c r="N646" s="18" t="inlineStr"/>
      <c r="O646" s="18" t="inlineStr"/>
      <c r="P646" s="18" t="inlineStr">
        <is>
          <t>Mapeada en certification-service/src/certificates/certificate-correction-request.entity.ts:82 (CertificateCorrectionRequest.reviewed_by_email)</t>
        </is>
      </c>
      <c r="Q646" s="18" t="inlineStr">
        <is>
          <t>Propuesta semántica</t>
        </is>
      </c>
      <c r="R646" s="18" t="inlineStr">
        <is>
          <t>Correo electrónico del coordinador que revisa la solicitud de corrección.</t>
        </is>
      </c>
      <c r="S646" s="18" t="inlineStr">
        <is>
          <t>Alta</t>
        </is>
      </c>
      <c r="T646" s="18" t="inlineStr">
        <is>
          <t>nombre + tipo + columnas vecinas + descripción de la tabla</t>
        </is>
      </c>
      <c r="U646" s="18" t="inlineStr"/>
      <c r="V646" s="19" t="inlineStr">
        <is>
          <t>Pendiente</t>
        </is>
      </c>
      <c r="W646" s="19" t="inlineStr"/>
      <c r="X646" s="19" t="inlineStr"/>
      <c r="Y646" s="20" t="n"/>
      <c r="Z646" s="19" t="inlineStr"/>
      <c r="AA646" s="18">
        <f>IF(OR(V646="Aprobada"),R646,IF(AND(OR(V646="Aprobada con ajuste",V646="Rechazada"),W646&lt;&gt;""),W646,""))</f>
        <v/>
      </c>
    </row>
    <row r="647">
      <c r="A647" s="18" t="inlineStr">
        <is>
          <t>C0646</t>
        </is>
      </c>
      <c r="B647" s="18" t="inlineStr">
        <is>
          <t>Certificaciones</t>
        </is>
      </c>
      <c r="C647" s="18" t="inlineStr">
        <is>
          <t>certification</t>
        </is>
      </c>
      <c r="D647" s="18" t="inlineStr">
        <is>
          <t>certificate_correction_requests</t>
        </is>
      </c>
      <c r="E647" s="18" t="n">
        <v>9</v>
      </c>
      <c r="F647" s="18" t="inlineStr">
        <is>
          <t>review_started_at</t>
        </is>
      </c>
      <c r="G647" s="18" t="inlineStr">
        <is>
          <t>timestamp without time zone</t>
        </is>
      </c>
      <c r="H647" s="18" t="inlineStr">
        <is>
          <t>Sí</t>
        </is>
      </c>
      <c r="I647" s="18" t="inlineStr"/>
      <c r="J647" s="18" t="inlineStr"/>
      <c r="K647" s="18" t="inlineStr"/>
      <c r="L647" s="18" t="inlineStr">
        <is>
          <t>No</t>
        </is>
      </c>
      <c r="M647" s="18" t="inlineStr">
        <is>
          <t>No</t>
        </is>
      </c>
      <c r="N647" s="18" t="inlineStr"/>
      <c r="O647" s="18" t="inlineStr"/>
      <c r="P647" s="18" t="inlineStr">
        <is>
          <t>Mapeada en certification-service/src/certificates/certificate-correction-request.entity.ts:85 (CertificateCorrectionRequest.review_started_at)</t>
        </is>
      </c>
      <c r="Q647" s="18" t="inlineStr">
        <is>
          <t>Propuesta semántica</t>
        </is>
      </c>
      <c r="R647" s="18" t="inlineStr">
        <is>
          <t>Fecha y hora en que inició la revisión de la solicitud de corrección.</t>
        </is>
      </c>
      <c r="S647" s="18" t="inlineStr">
        <is>
          <t>Alta</t>
        </is>
      </c>
      <c r="T647" s="18" t="inlineStr">
        <is>
          <t>nombre + tipo + columnas vecinas</t>
        </is>
      </c>
      <c r="U647" s="18" t="inlineStr"/>
      <c r="V647" s="19" t="inlineStr">
        <is>
          <t>Pendiente</t>
        </is>
      </c>
      <c r="W647" s="19" t="inlineStr"/>
      <c r="X647" s="19" t="inlineStr"/>
      <c r="Y647" s="20" t="n"/>
      <c r="Z647" s="19" t="inlineStr"/>
      <c r="AA647" s="18">
        <f>IF(OR(V647="Aprobada"),R647,IF(AND(OR(V647="Aprobada con ajuste",V647="Rechazada"),W647&lt;&gt;""),W647,""))</f>
        <v/>
      </c>
    </row>
    <row r="648">
      <c r="A648" s="18" t="inlineStr">
        <is>
          <t>C0647</t>
        </is>
      </c>
      <c r="B648" s="18" t="inlineStr">
        <is>
          <t>Certificaciones</t>
        </is>
      </c>
      <c r="C648" s="18" t="inlineStr">
        <is>
          <t>certification</t>
        </is>
      </c>
      <c r="D648" s="18" t="inlineStr">
        <is>
          <t>certificate_correction_requests</t>
        </is>
      </c>
      <c r="E648" s="18" t="n">
        <v>9</v>
      </c>
      <c r="F648" s="18" t="inlineStr">
        <is>
          <t>resolution_description</t>
        </is>
      </c>
      <c r="G648" s="18" t="inlineStr">
        <is>
          <t>text</t>
        </is>
      </c>
      <c r="H648" s="18" t="inlineStr">
        <is>
          <t>Sí</t>
        </is>
      </c>
      <c r="I648" s="18" t="inlineStr"/>
      <c r="J648" s="18" t="inlineStr"/>
      <c r="K648" s="18" t="inlineStr"/>
      <c r="L648" s="18" t="inlineStr">
        <is>
          <t>No</t>
        </is>
      </c>
      <c r="M648" s="18" t="inlineStr">
        <is>
          <t>No</t>
        </is>
      </c>
      <c r="N648" s="18" t="inlineStr"/>
      <c r="O648" s="18" t="inlineStr"/>
      <c r="P648" s="18" t="inlineStr">
        <is>
          <t>Mapeada en certification-service/src/certificates/certificate-correction-request.entity.ts:88 (CertificateCorrectionRequest.resolution_description)</t>
        </is>
      </c>
      <c r="Q648" s="18" t="inlineStr">
        <is>
          <t>Propuesta semántica</t>
        </is>
      </c>
      <c r="R648" s="18" t="inlineStr">
        <is>
          <t>Descripción de la resolución del coordinador sobre la solicitud de corrección.</t>
        </is>
      </c>
      <c r="S648" s="18" t="inlineStr">
        <is>
          <t>Alta</t>
        </is>
      </c>
      <c r="T648" s="18" t="inlineStr">
        <is>
          <t>nombre + tipo + columnas vecinas + descripción de la tabla</t>
        </is>
      </c>
      <c r="U648" s="18" t="inlineStr"/>
      <c r="V648" s="19" t="inlineStr">
        <is>
          <t>Pendiente</t>
        </is>
      </c>
      <c r="W648" s="19" t="inlineStr"/>
      <c r="X648" s="19" t="inlineStr"/>
      <c r="Y648" s="20" t="n"/>
      <c r="Z648" s="19" t="inlineStr"/>
      <c r="AA648" s="18">
        <f>IF(OR(V648="Aprobada"),R648,IF(AND(OR(V648="Aprobada con ajuste",V648="Rechazada"),W648&lt;&gt;""),W648,""))</f>
        <v/>
      </c>
    </row>
    <row r="649">
      <c r="A649" s="18" t="inlineStr">
        <is>
          <t>C0648</t>
        </is>
      </c>
      <c r="B649" s="18" t="inlineStr">
        <is>
          <t>Certificaciones</t>
        </is>
      </c>
      <c r="C649" s="18" t="inlineStr">
        <is>
          <t>certification</t>
        </is>
      </c>
      <c r="D649" s="18" t="inlineStr">
        <is>
          <t>certificate_correction_requests</t>
        </is>
      </c>
      <c r="E649" s="18" t="n">
        <v>9</v>
      </c>
      <c r="F649" s="18" t="inlineStr">
        <is>
          <t>resolution_evidence</t>
        </is>
      </c>
      <c r="G649" s="18" t="inlineStr">
        <is>
          <t>jsonb</t>
        </is>
      </c>
      <c r="H649" s="18" t="inlineStr">
        <is>
          <t>No</t>
        </is>
      </c>
      <c r="I649" s="18" t="inlineStr"/>
      <c r="J649" s="18" t="inlineStr"/>
      <c r="K649" s="18" t="inlineStr"/>
      <c r="L649" s="18" t="inlineStr">
        <is>
          <t>No</t>
        </is>
      </c>
      <c r="M649" s="18" t="inlineStr">
        <is>
          <t>No</t>
        </is>
      </c>
      <c r="N649" s="18" t="inlineStr"/>
      <c r="O649" s="18" t="inlineStr"/>
      <c r="P649" s="18" t="inlineStr">
        <is>
          <t>Mapeada en certification-service/src/certificates/certificate-correction-request.entity.ts:91 (CertificateCorrectionRequest.resolution_evidence)</t>
        </is>
      </c>
      <c r="Q649" s="18" t="inlineStr">
        <is>
          <t>Propuesta semántica</t>
        </is>
      </c>
      <c r="R649" s="18" t="inlineStr">
        <is>
          <t>Evidencias de la resolución de la solicitud de corrección, en formato JSON. Por defecto, una lista vacía.</t>
        </is>
      </c>
      <c r="S649" s="18" t="inlineStr">
        <is>
          <t>Media</t>
        </is>
      </c>
      <c r="T649" s="18" t="inlineStr">
        <is>
          <t>nombre + tipo + columnas vecinas + defecto</t>
        </is>
      </c>
      <c r="U649" s="18" t="inlineStr">
        <is>
          <t>¿El JSON guarda la referencia a archivos (URL, nombre) o el contenido?</t>
        </is>
      </c>
      <c r="V649" s="19" t="inlineStr">
        <is>
          <t>Pendiente</t>
        </is>
      </c>
      <c r="W649" s="19" t="inlineStr"/>
      <c r="X649" s="19" t="inlineStr"/>
      <c r="Y649" s="20" t="n"/>
      <c r="Z649" s="19" t="inlineStr"/>
      <c r="AA649" s="18">
        <f>IF(OR(V649="Aprobada"),R649,IF(AND(OR(V649="Aprobada con ajuste",V649="Rechazada"),W649&lt;&gt;""),W649,""))</f>
        <v/>
      </c>
    </row>
    <row r="650">
      <c r="A650" s="18" t="inlineStr">
        <is>
          <t>C0649</t>
        </is>
      </c>
      <c r="B650" s="18" t="inlineStr">
        <is>
          <t>Certificaciones</t>
        </is>
      </c>
      <c r="C650" s="18" t="inlineStr">
        <is>
          <t>certification</t>
        </is>
      </c>
      <c r="D650" s="18" t="inlineStr">
        <is>
          <t>certificate_correction_requests</t>
        </is>
      </c>
      <c r="E650" s="18" t="n">
        <v>9</v>
      </c>
      <c r="F650" s="18" t="inlineStr">
        <is>
          <t>corrected_data</t>
        </is>
      </c>
      <c r="G650" s="18" t="inlineStr">
        <is>
          <t>jsonb</t>
        </is>
      </c>
      <c r="H650" s="18" t="inlineStr">
        <is>
          <t>Sí</t>
        </is>
      </c>
      <c r="I650" s="18" t="inlineStr"/>
      <c r="J650" s="18" t="inlineStr"/>
      <c r="K650" s="18" t="inlineStr"/>
      <c r="L650" s="18" t="inlineStr">
        <is>
          <t>No</t>
        </is>
      </c>
      <c r="M650" s="18" t="inlineStr">
        <is>
          <t>No</t>
        </is>
      </c>
      <c r="N650" s="18" t="inlineStr"/>
      <c r="O650" s="18" t="inlineStr"/>
      <c r="P650" s="18" t="inlineStr">
        <is>
          <t>Mapeada en certification-service/src/certificates/certificate-correction-request.entity.ts:94 (CertificateCorrectionRequest.corrected_data)</t>
        </is>
      </c>
      <c r="Q650" s="18" t="inlineStr">
        <is>
          <t>Propuesta semántica</t>
        </is>
      </c>
      <c r="R650" s="18" t="inlineStr">
        <is>
          <t>Datos del certificado corregidos como resultado de la solicitud, en formato JSON.</t>
        </is>
      </c>
      <c r="S650" s="18" t="inlineStr">
        <is>
          <t>Media</t>
        </is>
      </c>
      <c r="T650" s="18" t="inlineStr">
        <is>
          <t>nombre + tipo + columnas vecinas (certificate_snapshot)</t>
        </is>
      </c>
      <c r="U650" s="18" t="inlineStr">
        <is>
          <t>¿corrected_data guarda solo los campos modificados o el certificado completo?</t>
        </is>
      </c>
      <c r="V650" s="19" t="inlineStr">
        <is>
          <t>Pendiente</t>
        </is>
      </c>
      <c r="W650" s="19" t="inlineStr"/>
      <c r="X650" s="19" t="inlineStr"/>
      <c r="Y650" s="20" t="n"/>
      <c r="Z650" s="19" t="inlineStr"/>
      <c r="AA650" s="18">
        <f>IF(OR(V650="Aprobada"),R650,IF(AND(OR(V650="Aprobada con ajuste",V650="Rechazada"),W650&lt;&gt;""),W650,""))</f>
        <v/>
      </c>
    </row>
    <row r="651">
      <c r="A651" s="18" t="inlineStr">
        <is>
          <t>C0650</t>
        </is>
      </c>
      <c r="B651" s="18" t="inlineStr">
        <is>
          <t>Certificaciones</t>
        </is>
      </c>
      <c r="C651" s="18" t="inlineStr">
        <is>
          <t>certification</t>
        </is>
      </c>
      <c r="D651" s="18" t="inlineStr">
        <is>
          <t>certificate_correction_requests</t>
        </is>
      </c>
      <c r="E651" s="18" t="n">
        <v>9</v>
      </c>
      <c r="F651" s="18" t="inlineStr">
        <is>
          <t>resolved_at</t>
        </is>
      </c>
      <c r="G651" s="18" t="inlineStr">
        <is>
          <t>timestamp without time zone</t>
        </is>
      </c>
      <c r="H651" s="18" t="inlineStr">
        <is>
          <t>Sí</t>
        </is>
      </c>
      <c r="I651" s="18" t="inlineStr"/>
      <c r="J651" s="18" t="inlineStr"/>
      <c r="K651" s="18" t="inlineStr"/>
      <c r="L651" s="18" t="inlineStr">
        <is>
          <t>No</t>
        </is>
      </c>
      <c r="M651" s="18" t="inlineStr">
        <is>
          <t>No</t>
        </is>
      </c>
      <c r="N651" s="18" t="inlineStr"/>
      <c r="O651" s="18" t="inlineStr"/>
      <c r="P651" s="18" t="inlineStr">
        <is>
          <t>Mapeada en certification-service/src/certificates/certificate-correction-request.entity.ts:100 (CertificateCorrectionRequest.resolved_at)</t>
        </is>
      </c>
      <c r="Q651" s="18" t="inlineStr">
        <is>
          <t>Propuesta semántica</t>
        </is>
      </c>
      <c r="R651" s="18" t="inlineStr">
        <is>
          <t>Fecha y hora en que se resolvió la solicitud de corrección.</t>
        </is>
      </c>
      <c r="S651" s="18" t="inlineStr">
        <is>
          <t>Alta</t>
        </is>
      </c>
      <c r="T651" s="18" t="inlineStr">
        <is>
          <t>nombre + tipo + columnas vecinas</t>
        </is>
      </c>
      <c r="U651" s="18" t="inlineStr"/>
      <c r="V651" s="19" t="inlineStr">
        <is>
          <t>Pendiente</t>
        </is>
      </c>
      <c r="W651" s="19" t="inlineStr"/>
      <c r="X651" s="19" t="inlineStr"/>
      <c r="Y651" s="20" t="n"/>
      <c r="Z651" s="19" t="inlineStr"/>
      <c r="AA651" s="18">
        <f>IF(OR(V651="Aprobada"),R651,IF(AND(OR(V651="Aprobada con ajuste",V651="Rechazada"),W651&lt;&gt;""),W651,""))</f>
        <v/>
      </c>
    </row>
    <row r="652">
      <c r="A652" s="18" t="inlineStr">
        <is>
          <t>C0651</t>
        </is>
      </c>
      <c r="B652" s="18" t="inlineStr">
        <is>
          <t>Certificaciones</t>
        </is>
      </c>
      <c r="C652" s="18" t="inlineStr">
        <is>
          <t>certification</t>
        </is>
      </c>
      <c r="D652" s="18" t="inlineStr">
        <is>
          <t>certificate_requests</t>
        </is>
      </c>
      <c r="E652" s="18" t="n">
        <v>15250</v>
      </c>
      <c r="F652" s="18" t="inlineStr">
        <is>
          <t>person_id</t>
        </is>
      </c>
      <c r="G652" s="18" t="inlineStr">
        <is>
          <t>uuid</t>
        </is>
      </c>
      <c r="H652" s="18" t="inlineStr">
        <is>
          <t>Sí</t>
        </is>
      </c>
      <c r="I652" s="18" t="inlineStr"/>
      <c r="J652" s="18" t="inlineStr"/>
      <c r="K652" s="18" t="inlineStr"/>
      <c r="L652" s="18" t="inlineStr">
        <is>
          <t>No</t>
        </is>
      </c>
      <c r="M652" s="18" t="inlineStr">
        <is>
          <t>No</t>
        </is>
      </c>
      <c r="N652" s="18" t="inlineStr"/>
      <c r="O652" s="18" t="inlineStr">
        <is>
          <t>idx_requests_person</t>
        </is>
      </c>
      <c r="P652" s="18" t="inlineStr">
        <is>
          <t>db/init/old/005_schema_certification.sql:17: Relationship with person (auth.person) Optional reference to auth.person</t>
        </is>
      </c>
      <c r="Q652" s="18" t="inlineStr">
        <is>
          <t>Código fuente</t>
        </is>
      </c>
      <c r="R652" s="18" t="inlineStr">
        <is>
          <t>Identificador opcional de la persona que solicita el certificado laboral; según el código, referencia a la tabla de personas de auth.</t>
        </is>
      </c>
      <c r="S652" s="18" t="inlineStr">
        <is>
          <t>Media</t>
        </is>
      </c>
      <c r="T652" s="18" t="inlineStr">
        <is>
          <t>código: db/init/old/005_schema_certification.sql:17</t>
        </is>
      </c>
      <c r="U652" s="18" t="inlineStr">
        <is>
          <t>¿person_id (uuid) referencia a auth.personas? ¿A qué columna?</t>
        </is>
      </c>
      <c r="V652" s="19" t="inlineStr">
        <is>
          <t>Pendiente</t>
        </is>
      </c>
      <c r="W652" s="19" t="inlineStr"/>
      <c r="X652" s="19" t="inlineStr"/>
      <c r="Y652" s="20" t="n"/>
      <c r="Z652" s="19" t="inlineStr"/>
      <c r="AA652" s="18">
        <f>IF(OR(V652="Aprobada"),R652,IF(AND(OR(V652="Aprobada con ajuste",V652="Rechazada"),W652&lt;&gt;""),W652,""))</f>
        <v/>
      </c>
    </row>
    <row r="653">
      <c r="A653" s="18" t="inlineStr">
        <is>
          <t>C0652</t>
        </is>
      </c>
      <c r="B653" s="18" t="inlineStr">
        <is>
          <t>Certificaciones</t>
        </is>
      </c>
      <c r="C653" s="18" t="inlineStr">
        <is>
          <t>certification</t>
        </is>
      </c>
      <c r="D653" s="18" t="inlineStr">
        <is>
          <t>certificate_requests</t>
        </is>
      </c>
      <c r="E653" s="18" t="n">
        <v>15250</v>
      </c>
      <c r="F653" s="18" t="inlineStr">
        <is>
          <t>full_name</t>
        </is>
      </c>
      <c r="G653" s="18" t="inlineStr">
        <is>
          <t>character varying(255)</t>
        </is>
      </c>
      <c r="H653" s="18" t="inlineStr">
        <is>
          <t>No</t>
        </is>
      </c>
      <c r="I653" s="18" t="inlineStr"/>
      <c r="J653" s="18" t="inlineStr"/>
      <c r="K653" s="18" t="inlineStr"/>
      <c r="L653" s="18" t="inlineStr">
        <is>
          <t>No</t>
        </is>
      </c>
      <c r="M653" s="18" t="inlineStr">
        <is>
          <t>No</t>
        </is>
      </c>
      <c r="N653" s="18" t="inlineStr"/>
      <c r="O653" s="18" t="inlineStr"/>
      <c r="P653" s="18" t="inlineStr">
        <is>
          <t>db/init/old/005_schema_certification.sql:20: DATA1: Full name of the employee</t>
        </is>
      </c>
      <c r="Q653" s="18" t="inlineStr">
        <is>
          <t>Código fuente</t>
        </is>
      </c>
      <c r="R653" s="18" t="inlineStr">
        <is>
          <t>Nombre completo del empleado (dato DATA1 del certificado).</t>
        </is>
      </c>
      <c r="S653" s="18" t="inlineStr">
        <is>
          <t>Alta</t>
        </is>
      </c>
      <c r="T653" s="18" t="inlineStr">
        <is>
          <t>código: db/init/old/005_schema_certification.sql:20</t>
        </is>
      </c>
      <c r="U653" s="18" t="inlineStr"/>
      <c r="V653" s="19" t="inlineStr">
        <is>
          <t>Pendiente</t>
        </is>
      </c>
      <c r="W653" s="19" t="inlineStr"/>
      <c r="X653" s="19" t="inlineStr"/>
      <c r="Y653" s="20" t="n"/>
      <c r="Z653" s="19" t="inlineStr"/>
      <c r="AA653" s="18">
        <f>IF(OR(V653="Aprobada"),R653,IF(AND(OR(V653="Aprobada con ajuste",V653="Rechazada"),W653&lt;&gt;""),W653,""))</f>
        <v/>
      </c>
    </row>
    <row r="654">
      <c r="A654" s="18" t="inlineStr">
        <is>
          <t>C0653</t>
        </is>
      </c>
      <c r="B654" s="18" t="inlineStr">
        <is>
          <t>Certificaciones</t>
        </is>
      </c>
      <c r="C654" s="18" t="inlineStr">
        <is>
          <t>certification</t>
        </is>
      </c>
      <c r="D654" s="18" t="inlineStr">
        <is>
          <t>certificate_requests</t>
        </is>
      </c>
      <c r="E654" s="18" t="n">
        <v>15250</v>
      </c>
      <c r="F654" s="18" t="inlineStr">
        <is>
          <t>id_number</t>
        </is>
      </c>
      <c r="G654" s="18" t="inlineStr">
        <is>
          <t>character varying(50)</t>
        </is>
      </c>
      <c r="H654" s="18" t="inlineStr">
        <is>
          <t>No</t>
        </is>
      </c>
      <c r="I654" s="18" t="inlineStr"/>
      <c r="J654" s="18" t="inlineStr"/>
      <c r="K654" s="18" t="inlineStr"/>
      <c r="L654" s="18" t="inlineStr">
        <is>
          <t>No</t>
        </is>
      </c>
      <c r="M654" s="18" t="inlineStr">
        <is>
          <t>No</t>
        </is>
      </c>
      <c r="N654" s="18" t="inlineStr"/>
      <c r="O654" s="18" t="inlineStr">
        <is>
          <t>idx_requests_id_number</t>
        </is>
      </c>
      <c r="P654" s="18" t="inlineStr">
        <is>
          <t>db/init/old/005_schema_certification.sql:23: DATA2: ID number</t>
        </is>
      </c>
      <c r="Q654" s="18" t="inlineStr">
        <is>
          <t>Código fuente</t>
        </is>
      </c>
      <c r="R654" s="18" t="inlineStr">
        <is>
          <t>Número de identificación del empleado (dato DATA2 del certificado).</t>
        </is>
      </c>
      <c r="S654" s="18" t="inlineStr">
        <is>
          <t>Alta</t>
        </is>
      </c>
      <c r="T654" s="18" t="inlineStr">
        <is>
          <t>código: db/init/old/005_schema_certification.sql:23</t>
        </is>
      </c>
      <c r="U654" s="18" t="inlineStr"/>
      <c r="V654" s="19" t="inlineStr">
        <is>
          <t>Pendiente</t>
        </is>
      </c>
      <c r="W654" s="19" t="inlineStr"/>
      <c r="X654" s="19" t="inlineStr"/>
      <c r="Y654" s="20" t="n"/>
      <c r="Z654" s="19" t="inlineStr"/>
      <c r="AA654" s="18">
        <f>IF(OR(V654="Aprobada"),R654,IF(AND(OR(V654="Aprobada con ajuste",V654="Rechazada"),W654&lt;&gt;""),W654,""))</f>
        <v/>
      </c>
    </row>
    <row r="655">
      <c r="A655" s="18" t="inlineStr">
        <is>
          <t>C0654</t>
        </is>
      </c>
      <c r="B655" s="18" t="inlineStr">
        <is>
          <t>Certificaciones</t>
        </is>
      </c>
      <c r="C655" s="18" t="inlineStr">
        <is>
          <t>certification</t>
        </is>
      </c>
      <c r="D655" s="18" t="inlineStr">
        <is>
          <t>certificate_requests</t>
        </is>
      </c>
      <c r="E655" s="18" t="n">
        <v>15250</v>
      </c>
      <c r="F655" s="18" t="inlineStr">
        <is>
          <t>hiring_date</t>
        </is>
      </c>
      <c r="G655" s="18" t="inlineStr">
        <is>
          <t>date</t>
        </is>
      </c>
      <c r="H655" s="18" t="inlineStr">
        <is>
          <t>No</t>
        </is>
      </c>
      <c r="I655" s="18" t="inlineStr"/>
      <c r="J655" s="18" t="inlineStr"/>
      <c r="K655" s="18" t="inlineStr"/>
      <c r="L655" s="18" t="inlineStr">
        <is>
          <t>No</t>
        </is>
      </c>
      <c r="M655" s="18" t="inlineStr">
        <is>
          <t>No</t>
        </is>
      </c>
      <c r="N655" s="18" t="inlineStr"/>
      <c r="O655" s="18" t="inlineStr"/>
      <c r="P655" s="18" t="inlineStr">
        <is>
          <t>db/init/old/005_schema_certification.sql:32: DATA4: Hiring date (contract start)</t>
        </is>
      </c>
      <c r="Q655" s="18" t="inlineStr">
        <is>
          <t>Código fuente</t>
        </is>
      </c>
      <c r="R655" s="18" t="inlineStr">
        <is>
          <t>Fecha de vinculación del empleado, correspondiente al inicio del contrato (dato DATA4 del certificado).</t>
        </is>
      </c>
      <c r="S655" s="18" t="inlineStr">
        <is>
          <t>Alta</t>
        </is>
      </c>
      <c r="T655" s="18" t="inlineStr">
        <is>
          <t>código: db/init/old/005_schema_certification.sql:32</t>
        </is>
      </c>
      <c r="U655" s="18" t="inlineStr"/>
      <c r="V655" s="19" t="inlineStr">
        <is>
          <t>Pendiente</t>
        </is>
      </c>
      <c r="W655" s="19" t="inlineStr"/>
      <c r="X655" s="19" t="inlineStr"/>
      <c r="Y655" s="20" t="n"/>
      <c r="Z655" s="19" t="inlineStr"/>
      <c r="AA655" s="18">
        <f>IF(OR(V655="Aprobada"),R655,IF(AND(OR(V655="Aprobada con ajuste",V655="Rechazada"),W655&lt;&gt;""),W655,""))</f>
        <v/>
      </c>
    </row>
    <row r="656">
      <c r="A656" s="18" t="inlineStr">
        <is>
          <t>C0655</t>
        </is>
      </c>
      <c r="B656" s="18" t="inlineStr">
        <is>
          <t>Certificaciones</t>
        </is>
      </c>
      <c r="C656" s="18" t="inlineStr">
        <is>
          <t>certification</t>
        </is>
      </c>
      <c r="D656" s="18" t="inlineStr">
        <is>
          <t>certificate_requests</t>
        </is>
      </c>
      <c r="E656" s="18" t="n">
        <v>15250</v>
      </c>
      <c r="F656" s="18" t="inlineStr">
        <is>
          <t>position_location</t>
        </is>
      </c>
      <c r="G656" s="18" t="inlineStr">
        <is>
          <t>character varying(150)</t>
        </is>
      </c>
      <c r="H656" s="18" t="inlineStr">
        <is>
          <t>Sí</t>
        </is>
      </c>
      <c r="I656" s="18" t="inlineStr"/>
      <c r="J656" s="18" t="inlineStr"/>
      <c r="K656" s="18" t="inlineStr"/>
      <c r="L656" s="18" t="inlineStr">
        <is>
          <t>No</t>
        </is>
      </c>
      <c r="M656" s="18" t="inlineStr">
        <is>
          <t>No</t>
        </is>
      </c>
      <c r="N656" s="18" t="inlineStr"/>
      <c r="O656" s="18" t="inlineStr"/>
      <c r="P656" s="18" t="inlineStr">
        <is>
          <t>db/init/old/005_schema_certification.sql:38: DATA6: Position location (city)</t>
        </is>
      </c>
      <c r="Q656" s="18" t="inlineStr">
        <is>
          <t>Código fuente</t>
        </is>
      </c>
      <c r="R656" s="18" t="inlineStr">
        <is>
          <t>Ciudad de ubicación del cargo (dato DATA6 del certificado).</t>
        </is>
      </c>
      <c r="S656" s="18" t="inlineStr">
        <is>
          <t>Alta</t>
        </is>
      </c>
      <c r="T656" s="18" t="inlineStr">
        <is>
          <t>código: db/init/old/005_schema_certification.sql:38</t>
        </is>
      </c>
      <c r="U656" s="18" t="inlineStr"/>
      <c r="V656" s="19" t="inlineStr">
        <is>
          <t>Pendiente</t>
        </is>
      </c>
      <c r="W656" s="19" t="inlineStr"/>
      <c r="X656" s="19" t="inlineStr"/>
      <c r="Y656" s="20" t="n"/>
      <c r="Z656" s="19" t="inlineStr"/>
      <c r="AA656" s="18">
        <f>IF(OR(V656="Aprobada"),R656,IF(AND(OR(V656="Aprobada con ajuste",V656="Rechazada"),W656&lt;&gt;""),W656,""))</f>
        <v/>
      </c>
    </row>
    <row r="657">
      <c r="A657" s="18" t="inlineStr">
        <is>
          <t>C0656</t>
        </is>
      </c>
      <c r="B657" s="18" t="inlineStr">
        <is>
          <t>Certificaciones</t>
        </is>
      </c>
      <c r="C657" s="18" t="inlineStr">
        <is>
          <t>certification</t>
        </is>
      </c>
      <c r="D657" s="18" t="inlineStr">
        <is>
          <t>certificate_requests</t>
        </is>
      </c>
      <c r="E657" s="18" t="n">
        <v>15250</v>
      </c>
      <c r="F657" s="18" t="inlineStr">
        <is>
          <t>department</t>
        </is>
      </c>
      <c r="G657" s="18" t="inlineStr">
        <is>
          <t>character varying(255)</t>
        </is>
      </c>
      <c r="H657" s="18" t="inlineStr">
        <is>
          <t>Sí</t>
        </is>
      </c>
      <c r="I657" s="18" t="inlineStr"/>
      <c r="J657" s="18" t="inlineStr"/>
      <c r="K657" s="18" t="inlineStr"/>
      <c r="L657" s="18" t="inlineStr">
        <is>
          <t>No</t>
        </is>
      </c>
      <c r="M657" s="18" t="inlineStr">
        <is>
          <t>No</t>
        </is>
      </c>
      <c r="N657" s="18" t="inlineStr"/>
      <c r="O657" s="18" t="inlineStr"/>
      <c r="P657" s="18" t="inlineStr">
        <is>
          <t>db/init/old/005_schema_certification.sql:48: Territorial Directorate Bogotá, etc.</t>
        </is>
      </c>
      <c r="Q657" s="18" t="inlineStr">
        <is>
          <t>Código fuente</t>
        </is>
      </c>
      <c r="R657" s="18" t="inlineStr">
        <is>
          <t>Dependencia o dirección territorial del empleado (por ejemplo, Dirección Territorial Bogotá).</t>
        </is>
      </c>
      <c r="S657" s="18" t="inlineStr">
        <is>
          <t>Alta</t>
        </is>
      </c>
      <c r="T657" s="18" t="inlineStr">
        <is>
          <t>código: db/init/old/005_schema_certification.sql:48</t>
        </is>
      </c>
      <c r="U657" s="18" t="inlineStr"/>
      <c r="V657" s="19" t="inlineStr">
        <is>
          <t>Pendiente</t>
        </is>
      </c>
      <c r="W657" s="19" t="inlineStr"/>
      <c r="X657" s="19" t="inlineStr"/>
      <c r="Y657" s="20" t="n"/>
      <c r="Z657" s="19" t="inlineStr"/>
      <c r="AA657" s="18">
        <f>IF(OR(V657="Aprobada"),R657,IF(AND(OR(V657="Aprobada con ajuste",V657="Rechazada"),W657&lt;&gt;""),W657,""))</f>
        <v/>
      </c>
    </row>
    <row r="658">
      <c r="A658" s="18" t="inlineStr">
        <is>
          <t>C0657</t>
        </is>
      </c>
      <c r="B658" s="18" t="inlineStr">
        <is>
          <t>Certificaciones</t>
        </is>
      </c>
      <c r="C658" s="18" t="inlineStr">
        <is>
          <t>certification</t>
        </is>
      </c>
      <c r="D658" s="18" t="inlineStr">
        <is>
          <t>certificate_requests</t>
        </is>
      </c>
      <c r="E658" s="18" t="n">
        <v>15250</v>
      </c>
      <c r="F658" s="18" t="inlineStr">
        <is>
          <t>campus</t>
        </is>
      </c>
      <c r="G658" s="18" t="inlineStr">
        <is>
          <t>character varying(100)</t>
        </is>
      </c>
      <c r="H658" s="18" t="inlineStr">
        <is>
          <t>Sí</t>
        </is>
      </c>
      <c r="I658" s="18" t="inlineStr"/>
      <c r="J658" s="18" t="inlineStr"/>
      <c r="K658" s="18" t="inlineStr"/>
      <c r="L658" s="18" t="inlineStr">
        <is>
          <t>No</t>
        </is>
      </c>
      <c r="M658" s="18" t="inlineStr">
        <is>
          <t>No</t>
        </is>
      </c>
      <c r="N658" s="18" t="inlineStr"/>
      <c r="O658" s="18" t="inlineStr"/>
      <c r="P658" s="18" t="inlineStr">
        <is>
          <t>db/init/old/005_schema_certification.sql:49: Main campus, Bogotá D.C., etc.</t>
        </is>
      </c>
      <c r="Q658" s="18" t="inlineStr">
        <is>
          <t>Código fuente</t>
        </is>
      </c>
      <c r="R658" s="18" t="inlineStr">
        <is>
          <t>Sede del empleado (por ejemplo, Sede Central, Bogotá D.C.).</t>
        </is>
      </c>
      <c r="S658" s="18" t="inlineStr">
        <is>
          <t>Alta</t>
        </is>
      </c>
      <c r="T658" s="18" t="inlineStr">
        <is>
          <t>código: db/init/old/005_schema_certification.sql:49</t>
        </is>
      </c>
      <c r="U658" s="18" t="inlineStr"/>
      <c r="V658" s="19" t="inlineStr">
        <is>
          <t>Pendiente</t>
        </is>
      </c>
      <c r="W658" s="19" t="inlineStr"/>
      <c r="X658" s="19" t="inlineStr"/>
      <c r="Y658" s="20" t="n"/>
      <c r="Z658" s="19" t="inlineStr"/>
      <c r="AA658" s="18">
        <f>IF(OR(V658="Aprobada"),R658,IF(AND(OR(V658="Aprobada con ajuste",V658="Rechazada"),W658&lt;&gt;""),W658,""))</f>
        <v/>
      </c>
    </row>
    <row r="659">
      <c r="A659" s="18" t="inlineStr">
        <is>
          <t>C0658</t>
        </is>
      </c>
      <c r="B659" s="18" t="inlineStr">
        <is>
          <t>Certificaciones</t>
        </is>
      </c>
      <c r="C659" s="18" t="inlineStr">
        <is>
          <t>certification</t>
        </is>
      </c>
      <c r="D659" s="18" t="inlineStr">
        <is>
          <t>certificate_requests</t>
        </is>
      </c>
      <c r="E659" s="18" t="n">
        <v>15250</v>
      </c>
      <c r="F659" s="18" t="inlineStr">
        <is>
          <t>email</t>
        </is>
      </c>
      <c r="G659" s="18" t="inlineStr">
        <is>
          <t>character varying(100)</t>
        </is>
      </c>
      <c r="H659" s="18" t="inlineStr">
        <is>
          <t>Sí</t>
        </is>
      </c>
      <c r="I659" s="18" t="inlineStr"/>
      <c r="J659" s="18" t="inlineStr"/>
      <c r="K659" s="18" t="inlineStr"/>
      <c r="L659" s="18" t="inlineStr">
        <is>
          <t>No</t>
        </is>
      </c>
      <c r="M659" s="18" t="inlineStr">
        <is>
          <t>No</t>
        </is>
      </c>
      <c r="N659" s="18" t="inlineStr"/>
      <c r="O659" s="18" t="inlineStr"/>
      <c r="P659" s="18" t="inlineStr">
        <is>
          <t>Mapeada en certification-service/src/certificates/certificate-request.entity.ts:81 (CertificateRequest.email)</t>
        </is>
      </c>
      <c r="Q659" s="18" t="inlineStr">
        <is>
          <t>Regla estructural</t>
        </is>
      </c>
      <c r="R659" s="18" t="inlineStr">
        <is>
          <t>Correo electrónico.</t>
        </is>
      </c>
      <c r="S659" s="18" t="inlineStr">
        <is>
          <t>Media</t>
        </is>
      </c>
      <c r="T659" s="18" t="inlineStr">
        <is>
          <t>Convención de nombre de la columna.</t>
        </is>
      </c>
      <c r="U659" s="18" t="inlineStr"/>
      <c r="V659" s="19" t="inlineStr">
        <is>
          <t>Pendiente</t>
        </is>
      </c>
      <c r="W659" s="19" t="inlineStr"/>
      <c r="X659" s="19" t="inlineStr"/>
      <c r="Y659" s="20" t="n"/>
      <c r="Z659" s="19" t="inlineStr"/>
      <c r="AA659" s="18">
        <f>IF(OR(V659="Aprobada"),R659,IF(AND(OR(V659="Aprobada con ajuste",V659="Rechazada"),W659&lt;&gt;""),W659,""))</f>
        <v/>
      </c>
    </row>
    <row r="660">
      <c r="A660" s="18" t="inlineStr">
        <is>
          <t>C0659</t>
        </is>
      </c>
      <c r="B660" s="18" t="inlineStr">
        <is>
          <t>Certificaciones</t>
        </is>
      </c>
      <c r="C660" s="18" t="inlineStr">
        <is>
          <t>certification</t>
        </is>
      </c>
      <c r="D660" s="18" t="inlineStr">
        <is>
          <t>certificate_requests</t>
        </is>
      </c>
      <c r="E660" s="18" t="n">
        <v>15250</v>
      </c>
      <c r="F660" s="18" t="inlineStr">
        <is>
          <t>phone</t>
        </is>
      </c>
      <c r="G660" s="18" t="inlineStr">
        <is>
          <t>character varying(20)</t>
        </is>
      </c>
      <c r="H660" s="18" t="inlineStr">
        <is>
          <t>Sí</t>
        </is>
      </c>
      <c r="I660" s="18" t="inlineStr"/>
      <c r="J660" s="18" t="inlineStr"/>
      <c r="K660" s="18" t="inlineStr"/>
      <c r="L660" s="18" t="inlineStr">
        <is>
          <t>No</t>
        </is>
      </c>
      <c r="M660" s="18" t="inlineStr">
        <is>
          <t>No</t>
        </is>
      </c>
      <c r="N660" s="18" t="inlineStr"/>
      <c r="O660" s="18" t="inlineStr"/>
      <c r="P660" s="18" t="inlineStr">
        <is>
          <t>Mapeada en certification-service/src/certificates/certificate-request.entity.ts:84 (CertificateRequest.phone)</t>
        </is>
      </c>
      <c r="Q660" s="18" t="inlineStr">
        <is>
          <t>Propuesta semántica</t>
        </is>
      </c>
      <c r="R660" s="18" t="inlineStr">
        <is>
          <t>Número de teléfono del solicitante del certificado laboral.</t>
        </is>
      </c>
      <c r="S660" s="18" t="inlineStr">
        <is>
          <t>Alta</t>
        </is>
      </c>
      <c r="T660" s="18" t="inlineStr">
        <is>
          <t>nombre + tipo + columnas vecinas + descripción de la tabla</t>
        </is>
      </c>
      <c r="U660" s="18" t="inlineStr"/>
      <c r="V660" s="19" t="inlineStr">
        <is>
          <t>Pendiente</t>
        </is>
      </c>
      <c r="W660" s="19" t="inlineStr"/>
      <c r="X660" s="19" t="inlineStr"/>
      <c r="Y660" s="20" t="n"/>
      <c r="Z660" s="19" t="inlineStr"/>
      <c r="AA660" s="18">
        <f>IF(OR(V660="Aprobada"),R660,IF(AND(OR(V660="Aprobada con ajuste",V660="Rechazada"),W660&lt;&gt;""),W660,""))</f>
        <v/>
      </c>
    </row>
    <row r="661">
      <c r="A661" s="18" t="inlineStr">
        <is>
          <t>C0660</t>
        </is>
      </c>
      <c r="B661" s="18" t="inlineStr">
        <is>
          <t>Certificaciones</t>
        </is>
      </c>
      <c r="C661" s="18" t="inlineStr">
        <is>
          <t>certification</t>
        </is>
      </c>
      <c r="D661" s="18" t="inlineStr">
        <is>
          <t>certificate_requests</t>
        </is>
      </c>
      <c r="E661" s="18" t="n">
        <v>15250</v>
      </c>
      <c r="F661" s="18" t="inlineStr">
        <is>
          <t>status</t>
        </is>
      </c>
      <c r="G661" s="18" t="inlineStr">
        <is>
          <t>character varying(50)</t>
        </is>
      </c>
      <c r="H661" s="18" t="inlineStr">
        <is>
          <t>No</t>
        </is>
      </c>
      <c r="I661" s="18" t="inlineStr"/>
      <c r="J661" s="18" t="inlineStr"/>
      <c r="K661" s="18" t="inlineStr"/>
      <c r="L661" s="18" t="inlineStr">
        <is>
          <t>No</t>
        </is>
      </c>
      <c r="M661" s="18" t="inlineStr">
        <is>
          <t>No</t>
        </is>
      </c>
      <c r="N661" s="18" t="inlineStr"/>
      <c r="O661" s="18" t="inlineStr">
        <is>
          <t>idx_requests_status</t>
        </is>
      </c>
      <c r="P661" s="18" t="inlineStr">
        <is>
          <t>db/init/old/005_schema_certification.sql:54: Request status PENDING, APPROVED, REJECTED, GENERATED</t>
        </is>
      </c>
      <c r="Q661" s="18" t="inlineStr">
        <is>
          <t>Código fuente</t>
        </is>
      </c>
      <c r="R661" s="18" t="inlineStr">
        <is>
          <t>Estado de la solicitud del certificado laboral. Valores previstos: PENDING, APPROVED, REJECTED, GENERATED; por defecto PENDING.</t>
        </is>
      </c>
      <c r="S661" s="18" t="inlineStr">
        <is>
          <t>Alta</t>
        </is>
      </c>
      <c r="T661" s="18" t="inlineStr">
        <is>
          <t>código: db/init/old/005_schema_certification.sql:54</t>
        </is>
      </c>
      <c r="U661" s="18" t="inlineStr"/>
      <c r="V661" s="19" t="inlineStr">
        <is>
          <t>Pendiente</t>
        </is>
      </c>
      <c r="W661" s="19" t="inlineStr"/>
      <c r="X661" s="19" t="inlineStr"/>
      <c r="Y661" s="20" t="n"/>
      <c r="Z661" s="19" t="inlineStr"/>
      <c r="AA661" s="18">
        <f>IF(OR(V661="Aprobada"),R661,IF(AND(OR(V661="Aprobada con ajuste",V661="Rechazada"),W661&lt;&gt;""),W661,""))</f>
        <v/>
      </c>
    </row>
    <row r="662">
      <c r="A662" s="18" t="inlineStr">
        <is>
          <t>C0661</t>
        </is>
      </c>
      <c r="B662" s="18" t="inlineStr">
        <is>
          <t>Certificaciones</t>
        </is>
      </c>
      <c r="C662" s="18" t="inlineStr">
        <is>
          <t>certification</t>
        </is>
      </c>
      <c r="D662" s="18" t="inlineStr">
        <is>
          <t>certificate_requests</t>
        </is>
      </c>
      <c r="E662" s="18" t="n">
        <v>15250</v>
      </c>
      <c r="F662" s="18" t="inlineStr">
        <is>
          <t>request_date</t>
        </is>
      </c>
      <c r="G662" s="18" t="inlineStr">
        <is>
          <t>timestamp without time zone</t>
        </is>
      </c>
      <c r="H662" s="18" t="inlineStr">
        <is>
          <t>Sí</t>
        </is>
      </c>
      <c r="I662" s="18" t="inlineStr"/>
      <c r="J662" s="18" t="inlineStr"/>
      <c r="K662" s="18" t="inlineStr"/>
      <c r="L662" s="18" t="inlineStr">
        <is>
          <t>No</t>
        </is>
      </c>
      <c r="M662" s="18" t="inlineStr">
        <is>
          <t>No</t>
        </is>
      </c>
      <c r="N662" s="18" t="inlineStr"/>
      <c r="O662" s="18" t="inlineStr">
        <is>
          <t>idx_requests_date</t>
        </is>
      </c>
      <c r="P662" s="18" t="inlineStr">
        <is>
          <t>Mapeada en certification-service/src/certificates/certificate-request.entity.ts:96 (CertificateRequest.request_date)</t>
        </is>
      </c>
      <c r="Q662" s="18" t="inlineStr">
        <is>
          <t>Propuesta semántica</t>
        </is>
      </c>
      <c r="R662" s="18" t="inlineStr">
        <is>
          <t>Fecha y hora de la solicitud del certificado. Por defecto, la fecha y hora del registro.</t>
        </is>
      </c>
      <c r="S662" s="18" t="inlineStr">
        <is>
          <t>Alta</t>
        </is>
      </c>
      <c r="T662" s="18" t="inlineStr">
        <is>
          <t>nombre + tipo + columnas vecinas + defecto now()</t>
        </is>
      </c>
      <c r="U662" s="18" t="inlineStr"/>
      <c r="V662" s="19" t="inlineStr">
        <is>
          <t>Pendiente</t>
        </is>
      </c>
      <c r="W662" s="19" t="inlineStr"/>
      <c r="X662" s="19" t="inlineStr"/>
      <c r="Y662" s="20" t="n"/>
      <c r="Z662" s="19" t="inlineStr"/>
      <c r="AA662" s="18">
        <f>IF(OR(V662="Aprobada"),R662,IF(AND(OR(V662="Aprobada con ajuste",V662="Rechazada"),W662&lt;&gt;""),W662,""))</f>
        <v/>
      </c>
    </row>
    <row r="663">
      <c r="A663" s="18" t="inlineStr">
        <is>
          <t>C0662</t>
        </is>
      </c>
      <c r="B663" s="18" t="inlineStr">
        <is>
          <t>Certificaciones</t>
        </is>
      </c>
      <c r="C663" s="18" t="inlineStr">
        <is>
          <t>certification</t>
        </is>
      </c>
      <c r="D663" s="18" t="inlineStr">
        <is>
          <t>certificate_requests</t>
        </is>
      </c>
      <c r="E663" s="18" t="n">
        <v>15250</v>
      </c>
      <c r="F663" s="18" t="inlineStr">
        <is>
          <t>observations</t>
        </is>
      </c>
      <c r="G663" s="18" t="inlineStr">
        <is>
          <t>text</t>
        </is>
      </c>
      <c r="H663" s="18" t="inlineStr">
        <is>
          <t>Sí</t>
        </is>
      </c>
      <c r="I663" s="18" t="inlineStr"/>
      <c r="J663" s="18" t="inlineStr"/>
      <c r="K663" s="18" t="inlineStr"/>
      <c r="L663" s="18" t="inlineStr">
        <is>
          <t>No</t>
        </is>
      </c>
      <c r="M663" s="18" t="inlineStr">
        <is>
          <t>No</t>
        </is>
      </c>
      <c r="N663" s="18" t="inlineStr"/>
      <c r="O663" s="18" t="inlineStr"/>
      <c r="P663" s="18" t="inlineStr">
        <is>
          <t>db/init/old/005_schema_certification.sql:64: Observations</t>
        </is>
      </c>
      <c r="Q663" s="18" t="inlineStr">
        <is>
          <t>Código fuente</t>
        </is>
      </c>
      <c r="R663" s="18" t="inlineStr">
        <is>
          <t>Observaciones sobre la solicitud del certificado laboral.</t>
        </is>
      </c>
      <c r="S663" s="18" t="inlineStr">
        <is>
          <t>Alta</t>
        </is>
      </c>
      <c r="T663" s="18" t="inlineStr">
        <is>
          <t>código: db/init/old/005_schema_certification.sql:64</t>
        </is>
      </c>
      <c r="U663" s="18" t="inlineStr"/>
      <c r="V663" s="19" t="inlineStr">
        <is>
          <t>Pendiente</t>
        </is>
      </c>
      <c r="W663" s="19" t="inlineStr"/>
      <c r="X663" s="19" t="inlineStr"/>
      <c r="Y663" s="20" t="n"/>
      <c r="Z663" s="19" t="inlineStr"/>
      <c r="AA663" s="18">
        <f>IF(OR(V663="Aprobada"),R663,IF(AND(OR(V663="Aprobada con ajuste",V663="Rechazada"),W663&lt;&gt;""),W663,""))</f>
        <v/>
      </c>
    </row>
    <row r="664">
      <c r="A664" s="18" t="inlineStr">
        <is>
          <t>C0663</t>
        </is>
      </c>
      <c r="B664" s="18" t="inlineStr">
        <is>
          <t>Certificaciones</t>
        </is>
      </c>
      <c r="C664" s="18" t="inlineStr">
        <is>
          <t>certification</t>
        </is>
      </c>
      <c r="D664" s="18" t="inlineStr">
        <is>
          <t>certificate_requests</t>
        </is>
      </c>
      <c r="E664" s="18" t="n">
        <v>15250</v>
      </c>
      <c r="F664" s="18" t="inlineStr">
        <is>
          <t>validation_code</t>
        </is>
      </c>
      <c r="G664" s="18" t="inlineStr">
        <is>
          <t>character varying(10)</t>
        </is>
      </c>
      <c r="H664" s="18" t="inlineStr">
        <is>
          <t>Sí</t>
        </is>
      </c>
      <c r="I664" s="18" t="inlineStr"/>
      <c r="J664" s="18" t="inlineStr"/>
      <c r="K664" s="18" t="inlineStr"/>
      <c r="L664" s="18" t="inlineStr">
        <is>
          <t>No</t>
        </is>
      </c>
      <c r="M664" s="18" t="inlineStr">
        <is>
          <t>No</t>
        </is>
      </c>
      <c r="N664" s="18" t="inlineStr"/>
      <c r="O664" s="18" t="inlineStr"/>
      <c r="P664" s="18" t="inlineStr">
        <is>
          <t>Mapeada en certification-service/src/certificates/certificate-request.entity.ts:90 (CertificateRequest.validation_code)</t>
        </is>
      </c>
      <c r="Q664" s="18" t="inlineStr">
        <is>
          <t>Propuesta semántica</t>
        </is>
      </c>
      <c r="R664" s="18" t="inlineStr">
        <is>
          <t>Código de validación del certificado laboral.</t>
        </is>
      </c>
      <c r="S664" s="18" t="inlineStr">
        <is>
          <t>Media</t>
        </is>
      </c>
      <c r="T664" s="18" t="inlineStr">
        <is>
          <t>nombre + tipo + columnas vecinas (validation_expires_at)</t>
        </is>
      </c>
      <c r="U664" s="18" t="inlineStr">
        <is>
          <t>¿El código sirve para verificar la autenticidad del certificado o para confirmar la solicitud?</t>
        </is>
      </c>
      <c r="V664" s="19" t="inlineStr">
        <is>
          <t>Pendiente</t>
        </is>
      </c>
      <c r="W664" s="19" t="inlineStr"/>
      <c r="X664" s="19" t="inlineStr"/>
      <c r="Y664" s="20" t="n"/>
      <c r="Z664" s="19" t="inlineStr"/>
      <c r="AA664" s="18">
        <f>IF(OR(V664="Aprobada"),R664,IF(AND(OR(V664="Aprobada con ajuste",V664="Rechazada"),W664&lt;&gt;""),W664,""))</f>
        <v/>
      </c>
    </row>
    <row r="665">
      <c r="A665" s="18" t="inlineStr">
        <is>
          <t>C0664</t>
        </is>
      </c>
      <c r="B665" s="18" t="inlineStr">
        <is>
          <t>Certificaciones</t>
        </is>
      </c>
      <c r="C665" s="18" t="inlineStr">
        <is>
          <t>certification</t>
        </is>
      </c>
      <c r="D665" s="18" t="inlineStr">
        <is>
          <t>certificate_requests</t>
        </is>
      </c>
      <c r="E665" s="18" t="n">
        <v>15250</v>
      </c>
      <c r="F665" s="18" t="inlineStr">
        <is>
          <t>validation_expires_at</t>
        </is>
      </c>
      <c r="G665" s="18" t="inlineStr">
        <is>
          <t>timestamp without time zone</t>
        </is>
      </c>
      <c r="H665" s="18" t="inlineStr">
        <is>
          <t>Sí</t>
        </is>
      </c>
      <c r="I665" s="18" t="inlineStr"/>
      <c r="J665" s="18" t="inlineStr"/>
      <c r="K665" s="18" t="inlineStr"/>
      <c r="L665" s="18" t="inlineStr">
        <is>
          <t>No</t>
        </is>
      </c>
      <c r="M665" s="18" t="inlineStr">
        <is>
          <t>No</t>
        </is>
      </c>
      <c r="N665" s="18" t="inlineStr"/>
      <c r="O665" s="18" t="inlineStr">
        <is>
          <t>idx_certificate_requests_validation_expires</t>
        </is>
      </c>
      <c r="P665" s="18" t="inlineStr">
        <is>
          <t>Mapeada en certification-service/src/certificates/certificate-request.entity.ts:93 (CertificateRequest.validation_expires_at)</t>
        </is>
      </c>
      <c r="Q665" s="18" t="inlineStr">
        <is>
          <t>Propuesta semántica</t>
        </is>
      </c>
      <c r="R665" s="18" t="inlineStr">
        <is>
          <t>Fecha y hora de vencimiento del código de validación.</t>
        </is>
      </c>
      <c r="S665" s="18" t="inlineStr">
        <is>
          <t>Alta</t>
        </is>
      </c>
      <c r="T665" s="18" t="inlineStr">
        <is>
          <t>nombre + tipo + columnas vecinas (validation_code)</t>
        </is>
      </c>
      <c r="U665" s="18" t="inlineStr"/>
      <c r="V665" s="19" t="inlineStr">
        <is>
          <t>Pendiente</t>
        </is>
      </c>
      <c r="W665" s="19" t="inlineStr"/>
      <c r="X665" s="19" t="inlineStr"/>
      <c r="Y665" s="20" t="n"/>
      <c r="Z665" s="19" t="inlineStr"/>
      <c r="AA665" s="18">
        <f>IF(OR(V665="Aprobada"),R665,IF(AND(OR(V665="Aprobada con ajuste",V665="Rechazada"),W665&lt;&gt;""),W665,""))</f>
        <v/>
      </c>
    </row>
    <row r="666">
      <c r="A666" s="18" t="inlineStr">
        <is>
          <t>C0665</t>
        </is>
      </c>
      <c r="B666" s="18" t="inlineStr">
        <is>
          <t>Certificaciones</t>
        </is>
      </c>
      <c r="C666" s="18" t="inlineStr">
        <is>
          <t>certification</t>
        </is>
      </c>
      <c r="D666" s="18" t="inlineStr">
        <is>
          <t>certificate_requests</t>
        </is>
      </c>
      <c r="E666" s="18" t="n">
        <v>15250</v>
      </c>
      <c r="F666" s="18" t="inlineStr">
        <is>
          <t>base_position_code</t>
        </is>
      </c>
      <c r="G666" s="18" t="inlineStr">
        <is>
          <t>character varying(20)</t>
        </is>
      </c>
      <c r="H666" s="18" t="inlineStr">
        <is>
          <t>Sí</t>
        </is>
      </c>
      <c r="I666" s="18" t="inlineStr"/>
      <c r="J666" s="18" t="inlineStr"/>
      <c r="K666" s="18" t="inlineStr"/>
      <c r="L666" s="18" t="inlineStr">
        <is>
          <t>No</t>
        </is>
      </c>
      <c r="M666" s="18" t="inlineStr">
        <is>
          <t>No</t>
        </is>
      </c>
      <c r="N666" s="18" t="inlineStr"/>
      <c r="O666" s="18" t="inlineStr"/>
      <c r="P666" s="18" t="inlineStr">
        <is>
          <t>Mapeada en certification-service/src/certificates/certificate-request.entity.ts:54 (CertificateRequest.base_position_code)</t>
        </is>
      </c>
      <c r="Q666" s="18" t="inlineStr">
        <is>
          <t>Propuesta semántica</t>
        </is>
      </c>
      <c r="R666" s="18" t="inlineStr">
        <is>
          <t>Código del cargo base del empleado.</t>
        </is>
      </c>
      <c r="S666" s="18" t="inlineStr">
        <is>
          <t>Media</t>
        </is>
      </c>
      <c r="T666" s="18" t="inlineStr">
        <is>
          <t>nombre + tipo + columnas vecinas (position_code, grade_code)</t>
        </is>
      </c>
      <c r="U666" s="18" t="inlineStr">
        <is>
          <t>¿En qué se diferencia el código del cargo base de position_code?</t>
        </is>
      </c>
      <c r="V666" s="19" t="inlineStr">
        <is>
          <t>Pendiente</t>
        </is>
      </c>
      <c r="W666" s="19" t="inlineStr"/>
      <c r="X666" s="19" t="inlineStr"/>
      <c r="Y666" s="20" t="n"/>
      <c r="Z666" s="19" t="inlineStr"/>
      <c r="AA666" s="18">
        <f>IF(OR(V666="Aprobada"),R666,IF(AND(OR(V666="Aprobada con ajuste",V666="Rechazada"),W666&lt;&gt;""),W666,""))</f>
        <v/>
      </c>
    </row>
    <row r="667">
      <c r="A667" s="18" t="inlineStr">
        <is>
          <t>C0666</t>
        </is>
      </c>
      <c r="B667" s="18" t="inlineStr">
        <is>
          <t>Certificaciones</t>
        </is>
      </c>
      <c r="C667" s="18" t="inlineStr">
        <is>
          <t>certification</t>
        </is>
      </c>
      <c r="D667" s="18" t="inlineStr">
        <is>
          <t>certificate_requests</t>
        </is>
      </c>
      <c r="E667" s="18" t="n">
        <v>15250</v>
      </c>
      <c r="F667" s="18" t="inlineStr">
        <is>
          <t>hierarchical_level</t>
        </is>
      </c>
      <c r="G667" s="18" t="inlineStr">
        <is>
          <t>character varying(100)</t>
        </is>
      </c>
      <c r="H667" s="18" t="inlineStr">
        <is>
          <t>Sí</t>
        </is>
      </c>
      <c r="I667" s="18" t="inlineStr"/>
      <c r="J667" s="18" t="inlineStr"/>
      <c r="K667" s="18" t="inlineStr"/>
      <c r="L667" s="18" t="inlineStr">
        <is>
          <t>No</t>
        </is>
      </c>
      <c r="M667" s="18" t="inlineStr">
        <is>
          <t>No</t>
        </is>
      </c>
      <c r="N667" s="18" t="inlineStr"/>
      <c r="O667" s="18" t="inlineStr"/>
      <c r="P667" s="18" t="inlineStr">
        <is>
          <t>Mapeada en certification-service/src/certificates/certificate-request.entity.ts:57 (CertificateRequest.hierarchical_level)</t>
        </is>
      </c>
      <c r="Q667" s="18" t="inlineStr">
        <is>
          <t>Propuesta semántica</t>
        </is>
      </c>
      <c r="R667" s="18" t="inlineStr">
        <is>
          <t>Nivel jerárquico del cargo del empleado.</t>
        </is>
      </c>
      <c r="S667" s="18" t="inlineStr">
        <is>
          <t>Alta</t>
        </is>
      </c>
      <c r="T667" s="18" t="inlineStr">
        <is>
          <t>nombre + tipo + columnas vecinas</t>
        </is>
      </c>
      <c r="U667" s="18" t="inlineStr"/>
      <c r="V667" s="19" t="inlineStr">
        <is>
          <t>Pendiente</t>
        </is>
      </c>
      <c r="W667" s="19" t="inlineStr"/>
      <c r="X667" s="19" t="inlineStr"/>
      <c r="Y667" s="20" t="n"/>
      <c r="Z667" s="19" t="inlineStr"/>
      <c r="AA667" s="18">
        <f>IF(OR(V667="Aprobada"),R667,IF(AND(OR(V667="Aprobada con ajuste",V667="Rechazada"),W667&lt;&gt;""),W667,""))</f>
        <v/>
      </c>
    </row>
    <row r="668">
      <c r="A668" s="18" t="inlineStr">
        <is>
          <t>C0667</t>
        </is>
      </c>
      <c r="B668" s="18" t="inlineStr">
        <is>
          <t>Certificaciones</t>
        </is>
      </c>
      <c r="C668" s="18" t="inlineStr">
        <is>
          <t>certification</t>
        </is>
      </c>
      <c r="D668" s="18" t="inlineStr">
        <is>
          <t>certificate_requests</t>
        </is>
      </c>
      <c r="E668" s="18" t="n">
        <v>15250</v>
      </c>
      <c r="F668" s="18" t="inlineStr">
        <is>
          <t>position_name</t>
        </is>
      </c>
      <c r="G668" s="18" t="inlineStr">
        <is>
          <t>character varying(255)</t>
        </is>
      </c>
      <c r="H668" s="18" t="inlineStr">
        <is>
          <t>Sí</t>
        </is>
      </c>
      <c r="I668" s="18" t="inlineStr"/>
      <c r="J668" s="18" t="inlineStr"/>
      <c r="K668" s="18" t="inlineStr"/>
      <c r="L668" s="18" t="inlineStr">
        <is>
          <t>No</t>
        </is>
      </c>
      <c r="M668" s="18" t="inlineStr">
        <is>
          <t>No</t>
        </is>
      </c>
      <c r="N668" s="18" t="inlineStr"/>
      <c r="O668" s="18" t="inlineStr"/>
      <c r="P668" s="18" t="inlineStr">
        <is>
          <t>Mapeada en certification-service/src/certificates/certificate-request.entity.ts:60 (CertificateRequest.position_name)</t>
        </is>
      </c>
      <c r="Q668" s="18" t="inlineStr">
        <is>
          <t>Propuesta semántica</t>
        </is>
      </c>
      <c r="R668" s="18" t="inlineStr">
        <is>
          <t>Nombre del cargo del empleado.</t>
        </is>
      </c>
      <c r="S668" s="18" t="inlineStr">
        <is>
          <t>Alta</t>
        </is>
      </c>
      <c r="T668" s="18" t="inlineStr">
        <is>
          <t>nombre + tipo + columnas vecinas</t>
        </is>
      </c>
      <c r="U668" s="18" t="inlineStr"/>
      <c r="V668" s="19" t="inlineStr">
        <is>
          <t>Pendiente</t>
        </is>
      </c>
      <c r="W668" s="19" t="inlineStr"/>
      <c r="X668" s="19" t="inlineStr"/>
      <c r="Y668" s="20" t="n"/>
      <c r="Z668" s="19" t="inlineStr"/>
      <c r="AA668" s="18">
        <f>IF(OR(V668="Aprobada"),R668,IF(AND(OR(V668="Aprobada con ajuste",V668="Rechazada"),W668&lt;&gt;""),W668,""))</f>
        <v/>
      </c>
    </row>
    <row r="669">
      <c r="A669" s="18" t="inlineStr">
        <is>
          <t>C0668</t>
        </is>
      </c>
      <c r="B669" s="18" t="inlineStr">
        <is>
          <t>Certificaciones</t>
        </is>
      </c>
      <c r="C669" s="18" t="inlineStr">
        <is>
          <t>certification</t>
        </is>
      </c>
      <c r="D669" s="18" t="inlineStr">
        <is>
          <t>certificate_requests</t>
        </is>
      </c>
      <c r="E669" s="18" t="n">
        <v>15250</v>
      </c>
      <c r="F669" s="18" t="inlineStr">
        <is>
          <t>organization_department</t>
        </is>
      </c>
      <c r="G669" s="18" t="inlineStr">
        <is>
          <t>character varying(500)</t>
        </is>
      </c>
      <c r="H669" s="18" t="inlineStr">
        <is>
          <t>Sí</t>
        </is>
      </c>
      <c r="I669" s="18" t="inlineStr"/>
      <c r="J669" s="18" t="inlineStr"/>
      <c r="K669" s="18" t="inlineStr"/>
      <c r="L669" s="18" t="inlineStr">
        <is>
          <t>No</t>
        </is>
      </c>
      <c r="M669" s="18" t="inlineStr">
        <is>
          <t>No</t>
        </is>
      </c>
      <c r="N669" s="18" t="inlineStr"/>
      <c r="O669" s="18" t="inlineStr"/>
      <c r="P669" s="18" t="inlineStr">
        <is>
          <t>Mapeada en certification-service/src/certificates/certificate-request.entity.ts:63 (CertificateRequest.organization_department)</t>
        </is>
      </c>
      <c r="Q669" s="18" t="inlineStr">
        <is>
          <t>Propuesta semántica</t>
        </is>
      </c>
      <c r="R669" s="18" t="inlineStr">
        <is>
          <t>Dependencia de la estructura organizacional a la que pertenece el empleado.</t>
        </is>
      </c>
      <c r="S669" s="18" t="inlineStr">
        <is>
          <t>Media</t>
        </is>
      </c>
      <c r="T669" s="18" t="inlineStr">
        <is>
          <t>nombre + tipo + columnas vecinas (department)</t>
        </is>
      </c>
      <c r="U669" s="18" t="inlineStr">
        <is>
          <t>¿En qué se diferencia organization_department de department?</t>
        </is>
      </c>
      <c r="V669" s="19" t="inlineStr">
        <is>
          <t>Pendiente</t>
        </is>
      </c>
      <c r="W669" s="19" t="inlineStr"/>
      <c r="X669" s="19" t="inlineStr"/>
      <c r="Y669" s="20" t="n"/>
      <c r="Z669" s="19" t="inlineStr"/>
      <c r="AA669" s="18">
        <f>IF(OR(V669="Aprobada"),R669,IF(AND(OR(V669="Aprobada con ajuste",V669="Rechazada"),W669&lt;&gt;""),W669,""))</f>
        <v/>
      </c>
    </row>
    <row r="670">
      <c r="A670" s="18" t="inlineStr">
        <is>
          <t>C0669</t>
        </is>
      </c>
      <c r="B670" s="18" t="inlineStr">
        <is>
          <t>Certificaciones</t>
        </is>
      </c>
      <c r="C670" s="18" t="inlineStr">
        <is>
          <t>certification</t>
        </is>
      </c>
      <c r="D670" s="18" t="inlineStr">
        <is>
          <t>certificate_requests</t>
        </is>
      </c>
      <c r="E670" s="18" t="n">
        <v>15250</v>
      </c>
      <c r="F670" s="18" t="inlineStr">
        <is>
          <t>internal_group</t>
        </is>
      </c>
      <c r="G670" s="18" t="inlineStr">
        <is>
          <t>character varying(500)</t>
        </is>
      </c>
      <c r="H670" s="18" t="inlineStr">
        <is>
          <t>Sí</t>
        </is>
      </c>
      <c r="I670" s="18" t="inlineStr"/>
      <c r="J670" s="18" t="inlineStr"/>
      <c r="K670" s="18" t="inlineStr"/>
      <c r="L670" s="18" t="inlineStr">
        <is>
          <t>No</t>
        </is>
      </c>
      <c r="M670" s="18" t="inlineStr">
        <is>
          <t>No</t>
        </is>
      </c>
      <c r="N670" s="18" t="inlineStr"/>
      <c r="O670" s="18" t="inlineStr"/>
      <c r="P670" s="18" t="inlineStr">
        <is>
          <t>Mapeada en certification-service/src/certificates/certificate-request.entity.ts:66 (CertificateRequest.internal_group)</t>
        </is>
      </c>
      <c r="Q670" s="18" t="inlineStr">
        <is>
          <t>Propuesta semántica</t>
        </is>
      </c>
      <c r="R670" s="18" t="inlineStr">
        <is>
          <t>Grupo interno de trabajo al que pertenece el empleado.</t>
        </is>
      </c>
      <c r="S670" s="18" t="inlineStr">
        <is>
          <t>Alta</t>
        </is>
      </c>
      <c r="T670" s="18" t="inlineStr">
        <is>
          <t>nombre + tipo + columnas vecinas</t>
        </is>
      </c>
      <c r="U670" s="18" t="inlineStr"/>
      <c r="V670" s="19" t="inlineStr">
        <is>
          <t>Pendiente</t>
        </is>
      </c>
      <c r="W670" s="19" t="inlineStr"/>
      <c r="X670" s="19" t="inlineStr"/>
      <c r="Y670" s="20" t="n"/>
      <c r="Z670" s="19" t="inlineStr"/>
      <c r="AA670" s="18">
        <f>IF(OR(V670="Aprobada"),R670,IF(AND(OR(V670="Aprobada con ajuste",V670="Rechazada"),W670&lt;&gt;""),W670,""))</f>
        <v/>
      </c>
    </row>
    <row r="671">
      <c r="A671" s="18" t="inlineStr">
        <is>
          <t>C0670</t>
        </is>
      </c>
      <c r="B671" s="18" t="inlineStr">
        <is>
          <t>Certificaciones</t>
        </is>
      </c>
      <c r="C671" s="18" t="inlineStr">
        <is>
          <t>certification</t>
        </is>
      </c>
      <c r="D671" s="18" t="inlineStr">
        <is>
          <t>certificate_requests</t>
        </is>
      </c>
      <c r="E671" s="18" t="n">
        <v>15250</v>
      </c>
      <c r="F671" s="18" t="inlineStr">
        <is>
          <t>cost_center</t>
        </is>
      </c>
      <c r="G671" s="18" t="inlineStr">
        <is>
          <t>character varying(255)</t>
        </is>
      </c>
      <c r="H671" s="18" t="inlineStr">
        <is>
          <t>Sí</t>
        </is>
      </c>
      <c r="I671" s="18" t="inlineStr"/>
      <c r="J671" s="18" t="inlineStr"/>
      <c r="K671" s="18" t="inlineStr"/>
      <c r="L671" s="18" t="inlineStr">
        <is>
          <t>No</t>
        </is>
      </c>
      <c r="M671" s="18" t="inlineStr">
        <is>
          <t>No</t>
        </is>
      </c>
      <c r="N671" s="18" t="inlineStr"/>
      <c r="O671" s="18" t="inlineStr"/>
      <c r="P671" s="18" t="inlineStr">
        <is>
          <t>Mapeada en certification-service/src/certificates/certificate-request.entity.ts:75 (CertificateRequest.cost_center)</t>
        </is>
      </c>
      <c r="Q671" s="18" t="inlineStr">
        <is>
          <t>Propuesta semántica</t>
        </is>
      </c>
      <c r="R671" s="18" t="inlineStr">
        <is>
          <t>Centro de costo al que está asociado el empleado.</t>
        </is>
      </c>
      <c r="S671" s="18" t="inlineStr">
        <is>
          <t>Alta</t>
        </is>
      </c>
      <c r="T671" s="18" t="inlineStr">
        <is>
          <t>nombre + tipo + columnas vecinas</t>
        </is>
      </c>
      <c r="U671" s="18" t="inlineStr"/>
      <c r="V671" s="19" t="inlineStr">
        <is>
          <t>Pendiente</t>
        </is>
      </c>
      <c r="W671" s="19" t="inlineStr"/>
      <c r="X671" s="19" t="inlineStr"/>
      <c r="Y671" s="20" t="n"/>
      <c r="Z671" s="19" t="inlineStr"/>
      <c r="AA671" s="18">
        <f>IF(OR(V671="Aprobada"),R671,IF(AND(OR(V671="Aprobada con ajuste",V671="Rechazada"),W671&lt;&gt;""),W671,""))</f>
        <v/>
      </c>
    </row>
    <row r="672">
      <c r="A672" s="18" t="inlineStr">
        <is>
          <t>C0671</t>
        </is>
      </c>
      <c r="B672" s="18" t="inlineStr">
        <is>
          <t>Certificaciones</t>
        </is>
      </c>
      <c r="C672" s="18" t="inlineStr">
        <is>
          <t>certification</t>
        </is>
      </c>
      <c r="D672" s="18" t="inlineStr">
        <is>
          <t>certificate_template_config</t>
        </is>
      </c>
      <c r="E672" s="18" t="n">
        <v>3</v>
      </c>
      <c r="F672" s="18" t="inlineStr">
        <is>
          <t>entity_logo_filename</t>
        </is>
      </c>
      <c r="G672" s="18" t="inlineStr">
        <is>
          <t>character varying(255)</t>
        </is>
      </c>
      <c r="H672" s="18" t="inlineStr">
        <is>
          <t>Sí</t>
        </is>
      </c>
      <c r="I672" s="18" t="inlineStr"/>
      <c r="J672" s="18" t="inlineStr"/>
      <c r="K672" s="18" t="inlineStr"/>
      <c r="L672" s="18" t="inlineStr">
        <is>
          <t>No</t>
        </is>
      </c>
      <c r="M672" s="18" t="inlineStr">
        <is>
          <t>No</t>
        </is>
      </c>
      <c r="N672" s="18" t="inlineStr"/>
      <c r="O672" s="18" t="inlineStr"/>
      <c r="P672" s="18" t="inlineStr">
        <is>
          <t>Mapeada en certification-service/src/certificates/template-config.entity.ts:27 (TemplateConfig.entityLogoFilename)</t>
        </is>
      </c>
      <c r="Q672" s="18" t="inlineStr">
        <is>
          <t>Propuesta semántica</t>
        </is>
      </c>
      <c r="R672" s="18" t="inlineStr">
        <is>
          <t>Nombre del archivo del logo de la entidad usado en la plantilla del certificado.</t>
        </is>
      </c>
      <c r="S672" s="18" t="inlineStr">
        <is>
          <t>Alta</t>
        </is>
      </c>
      <c r="T672" s="18" t="inlineStr">
        <is>
          <t>nombre + tipo + columnas vecinas (entity_logo_url)</t>
        </is>
      </c>
      <c r="U672" s="18" t="inlineStr"/>
      <c r="V672" s="19" t="inlineStr">
        <is>
          <t>Pendiente</t>
        </is>
      </c>
      <c r="W672" s="19" t="inlineStr"/>
      <c r="X672" s="19" t="inlineStr"/>
      <c r="Y672" s="20" t="n"/>
      <c r="Z672" s="19" t="inlineStr"/>
      <c r="AA672" s="18">
        <f>IF(OR(V672="Aprobada"),R672,IF(AND(OR(V672="Aprobada con ajuste",V672="Rechazada"),W672&lt;&gt;""),W672,""))</f>
        <v/>
      </c>
    </row>
    <row r="673">
      <c r="A673" s="18" t="inlineStr">
        <is>
          <t>C0672</t>
        </is>
      </c>
      <c r="B673" s="18" t="inlineStr">
        <is>
          <t>Certificaciones</t>
        </is>
      </c>
      <c r="C673" s="18" t="inlineStr">
        <is>
          <t>certification</t>
        </is>
      </c>
      <c r="D673" s="18" t="inlineStr">
        <is>
          <t>certificate_template_config</t>
        </is>
      </c>
      <c r="E673" s="18" t="n">
        <v>3</v>
      </c>
      <c r="F673" s="18" t="inlineStr">
        <is>
          <t>entity_logo_size</t>
        </is>
      </c>
      <c r="G673" s="18" t="inlineStr">
        <is>
          <t>character varying(50)</t>
        </is>
      </c>
      <c r="H673" s="18" t="inlineStr">
        <is>
          <t>Sí</t>
        </is>
      </c>
      <c r="I673" s="18" t="inlineStr"/>
      <c r="J673" s="18" t="inlineStr"/>
      <c r="K673" s="18" t="inlineStr"/>
      <c r="L673" s="18" t="inlineStr">
        <is>
          <t>No</t>
        </is>
      </c>
      <c r="M673" s="18" t="inlineStr">
        <is>
          <t>No</t>
        </is>
      </c>
      <c r="N673" s="18" t="inlineStr"/>
      <c r="O673" s="18" t="inlineStr"/>
      <c r="P673" s="18" t="inlineStr">
        <is>
          <t>Mapeada en certification-service/src/certificates/template-config.entity.ts:30 (TemplateConfig.entityLogoSize)</t>
        </is>
      </c>
      <c r="Q673" s="18" t="inlineStr">
        <is>
          <t>Propuesta semántica</t>
        </is>
      </c>
      <c r="R673" s="18" t="inlineStr">
        <is>
          <t>Tamaño del logo de la entidad en la plantilla del certificado.</t>
        </is>
      </c>
      <c r="S673" s="18" t="inlineStr">
        <is>
          <t>Baja</t>
        </is>
      </c>
      <c r="T673" s="18" t="inlineStr">
        <is>
          <t>nombre + tipo + columnas vecinas (varchar)</t>
        </is>
      </c>
      <c r="U673" s="18" t="inlineStr">
        <is>
          <t>¿entity_logo_size es el tamaño del archivo o las dimensiones de presentación?</t>
        </is>
      </c>
      <c r="V673" s="19" t="inlineStr">
        <is>
          <t>Pendiente</t>
        </is>
      </c>
      <c r="W673" s="19" t="inlineStr"/>
      <c r="X673" s="19" t="inlineStr"/>
      <c r="Y673" s="20" t="n"/>
      <c r="Z673" s="19" t="inlineStr"/>
      <c r="AA673" s="18">
        <f>IF(OR(V673="Aprobada"),R673,IF(AND(OR(V673="Aprobada con ajuste",V673="Rechazada"),W673&lt;&gt;""),W673,""))</f>
        <v/>
      </c>
    </row>
    <row r="674">
      <c r="A674" s="18" t="inlineStr">
        <is>
          <t>C0673</t>
        </is>
      </c>
      <c r="B674" s="18" t="inlineStr">
        <is>
          <t>Certificaciones</t>
        </is>
      </c>
      <c r="C674" s="18" t="inlineStr">
        <is>
          <t>certification</t>
        </is>
      </c>
      <c r="D674" s="18" t="inlineStr">
        <is>
          <t>certificate_template_config</t>
        </is>
      </c>
      <c r="E674" s="18" t="n">
        <v>3</v>
      </c>
      <c r="F674" s="18" t="inlineStr">
        <is>
          <t>version</t>
        </is>
      </c>
      <c r="G674" s="18" t="inlineStr">
        <is>
          <t>character varying(20)</t>
        </is>
      </c>
      <c r="H674" s="18" t="inlineStr">
        <is>
          <t>Sí</t>
        </is>
      </c>
      <c r="I674" s="18" t="inlineStr"/>
      <c r="J674" s="18" t="inlineStr"/>
      <c r="K674" s="18" t="inlineStr"/>
      <c r="L674" s="18" t="inlineStr">
        <is>
          <t>No</t>
        </is>
      </c>
      <c r="M674" s="18" t="inlineStr">
        <is>
          <t>No</t>
        </is>
      </c>
      <c r="N674" s="18" t="inlineStr"/>
      <c r="O674" s="18" t="inlineStr"/>
      <c r="P674" s="18" t="inlineStr">
        <is>
          <t>Mapeada en certification-service/src/certificates/template-config.entity.ts:42 (TemplateConfig.version)</t>
        </is>
      </c>
      <c r="Q674" s="18" t="inlineStr">
        <is>
          <t>Regla estructural</t>
        </is>
      </c>
      <c r="R674" s="18" t="inlineStr">
        <is>
          <t>Número de versión del registro.</t>
        </is>
      </c>
      <c r="S674" s="18" t="inlineStr">
        <is>
          <t>Media</t>
        </is>
      </c>
      <c r="T674" s="18" t="inlineStr">
        <is>
          <t>Convención de nombre de la columna.</t>
        </is>
      </c>
      <c r="U674" s="18" t="inlineStr"/>
      <c r="V674" s="19" t="inlineStr">
        <is>
          <t>Pendiente</t>
        </is>
      </c>
      <c r="W674" s="19" t="inlineStr"/>
      <c r="X674" s="19" t="inlineStr"/>
      <c r="Y674" s="20" t="n"/>
      <c r="Z674" s="19" t="inlineStr"/>
      <c r="AA674" s="18">
        <f>IF(OR(V674="Aprobada"),R674,IF(AND(OR(V674="Aprobada con ajuste",V674="Rechazada"),W674&lt;&gt;""),W674,""))</f>
        <v/>
      </c>
    </row>
    <row r="675">
      <c r="A675" s="18" t="inlineStr">
        <is>
          <t>C0674</t>
        </is>
      </c>
      <c r="B675" s="18" t="inlineStr">
        <is>
          <t>Certificaciones</t>
        </is>
      </c>
      <c r="C675" s="18" t="inlineStr">
        <is>
          <t>certification</t>
        </is>
      </c>
      <c r="D675" s="18" t="inlineStr">
        <is>
          <t>certificate_template_config</t>
        </is>
      </c>
      <c r="E675" s="18" t="n">
        <v>3</v>
      </c>
      <c r="F675" s="18" t="inlineStr">
        <is>
          <t>status</t>
        </is>
      </c>
      <c r="G675" s="18" t="inlineStr">
        <is>
          <t>character varying(50)</t>
        </is>
      </c>
      <c r="H675" s="18" t="inlineStr">
        <is>
          <t>Sí</t>
        </is>
      </c>
      <c r="I675" s="18" t="inlineStr"/>
      <c r="J675" s="18" t="inlineStr"/>
      <c r="K675" s="18" t="inlineStr"/>
      <c r="L675" s="18" t="inlineStr">
        <is>
          <t>No</t>
        </is>
      </c>
      <c r="M675" s="18" t="inlineStr">
        <is>
          <t>No</t>
        </is>
      </c>
      <c r="N675" s="18" t="inlineStr"/>
      <c r="O675" s="18" t="inlineStr"/>
      <c r="P675" s="18" t="inlineStr">
        <is>
          <t>Mapeada en certification-service/src/certificates/template-config.entity.ts:45 (TemplateConfig.status)</t>
        </is>
      </c>
      <c r="Q675" s="18" t="inlineStr">
        <is>
          <t>Regla estructural</t>
        </is>
      </c>
      <c r="R675" s="18" t="inlineStr">
        <is>
          <t>Estado del registro de certificate_template_config.</t>
        </is>
      </c>
      <c r="S675" s="18" t="inlineStr">
        <is>
          <t>Media</t>
        </is>
      </c>
      <c r="T675" s="18" t="inlineStr">
        <is>
          <t>Convención de nombre de la columna.</t>
        </is>
      </c>
      <c r="U675" s="18" t="inlineStr"/>
      <c r="V675" s="19" t="inlineStr">
        <is>
          <t>Pendiente</t>
        </is>
      </c>
      <c r="W675" s="19" t="inlineStr"/>
      <c r="X675" s="19" t="inlineStr"/>
      <c r="Y675" s="20" t="n"/>
      <c r="Z675" s="19" t="inlineStr"/>
      <c r="AA675" s="18">
        <f>IF(OR(V675="Aprobada"),R675,IF(AND(OR(V675="Aprobada con ajuste",V675="Rechazada"),W675&lt;&gt;""),W675,""))</f>
        <v/>
      </c>
    </row>
    <row r="676">
      <c r="A676" s="18" t="inlineStr">
        <is>
          <t>C0675</t>
        </is>
      </c>
      <c r="B676" s="18" t="inlineStr">
        <is>
          <t>Certificaciones</t>
        </is>
      </c>
      <c r="C676" s="18" t="inlineStr">
        <is>
          <t>certification</t>
        </is>
      </c>
      <c r="D676" s="18" t="inlineStr">
        <is>
          <t>certificate_template_config</t>
        </is>
      </c>
      <c r="E676" s="18" t="n">
        <v>3</v>
      </c>
      <c r="F676" s="18" t="inlineStr">
        <is>
          <t>template_type</t>
        </is>
      </c>
      <c r="G676" s="18" t="inlineStr">
        <is>
          <t>character varying(30)</t>
        </is>
      </c>
      <c r="H676" s="18" t="inlineStr">
        <is>
          <t>No</t>
        </is>
      </c>
      <c r="I676" s="18" t="inlineStr"/>
      <c r="J676" s="18" t="inlineStr"/>
      <c r="K676" s="18" t="inlineStr"/>
      <c r="L676" s="18" t="inlineStr">
        <is>
          <t>No</t>
        </is>
      </c>
      <c r="M676" s="18" t="inlineStr">
        <is>
          <t>No</t>
        </is>
      </c>
      <c r="N676" s="18" t="inlineStr"/>
      <c r="O676" s="18" t="inlineStr">
        <is>
          <t>idx_certificate_template_config_template_type</t>
        </is>
      </c>
      <c r="P676" s="18" t="inlineStr">
        <is>
          <t>Mapeada en certification-service/src/certificates/template-config.entity.ts:63 (TemplateConfig.templateType)</t>
        </is>
      </c>
      <c r="Q676" s="18" t="inlineStr">
        <is>
          <t>Propuesta semántica</t>
        </is>
      </c>
      <c r="R676" s="18" t="inlineStr">
        <is>
          <t>Tipo de plantilla de certificado laboral. Por defecto, docente.</t>
        </is>
      </c>
      <c r="S676" s="18" t="inlineStr">
        <is>
          <t>Media</t>
        </is>
      </c>
      <c r="T676" s="18" t="inlineStr">
        <is>
          <t>nombre + tipo + columnas vecinas + defecto</t>
        </is>
      </c>
      <c r="U676" s="18" t="inlineStr">
        <is>
          <t>¿Qué otros valores toma template_type (por ejemplo, administrativo)?</t>
        </is>
      </c>
      <c r="V676" s="19" t="inlineStr">
        <is>
          <t>Pendiente</t>
        </is>
      </c>
      <c r="W676" s="19" t="inlineStr"/>
      <c r="X676" s="19" t="inlineStr"/>
      <c r="Y676" s="20" t="n"/>
      <c r="Z676" s="19" t="inlineStr"/>
      <c r="AA676" s="18">
        <f>IF(OR(V676="Aprobada"),R676,IF(AND(OR(V676="Aprobada con ajuste",V676="Rechazada"),W676&lt;&gt;""),W676,""))</f>
        <v/>
      </c>
    </row>
    <row r="677">
      <c r="A677" s="18" t="inlineStr">
        <is>
          <t>C0676</t>
        </is>
      </c>
      <c r="B677" s="18" t="inlineStr">
        <is>
          <t>Certificaciones</t>
        </is>
      </c>
      <c r="C677" s="18" t="inlineStr">
        <is>
          <t>certification</t>
        </is>
      </c>
      <c r="D677" s="18" t="inlineStr">
        <is>
          <t>certificate_template_config</t>
        </is>
      </c>
      <c r="E677" s="18" t="n">
        <v>3</v>
      </c>
      <c r="F677" s="18" t="inlineStr">
        <is>
          <t>signature_url</t>
        </is>
      </c>
      <c r="G677" s="18" t="inlineStr">
        <is>
          <t>text</t>
        </is>
      </c>
      <c r="H677" s="18" t="inlineStr">
        <is>
          <t>Sí</t>
        </is>
      </c>
      <c r="I677" s="18" t="inlineStr"/>
      <c r="J677" s="18" t="inlineStr"/>
      <c r="K677" s="18" t="inlineStr"/>
      <c r="L677" s="18" t="inlineStr">
        <is>
          <t>No</t>
        </is>
      </c>
      <c r="M677" s="18" t="inlineStr">
        <is>
          <t>No</t>
        </is>
      </c>
      <c r="N677" s="18" t="inlineStr"/>
      <c r="O677" s="18" t="inlineStr"/>
      <c r="P677" s="18" t="inlineStr">
        <is>
          <t>Mapeada en certification-service/src/certificates/template-config.entity.ts:66 (TemplateConfig.signatureUrl)</t>
        </is>
      </c>
      <c r="Q677" s="18" t="inlineStr">
        <is>
          <t>Propuesta semántica</t>
        </is>
      </c>
      <c r="R677" s="18" t="inlineStr">
        <is>
          <t>Dirección (URL) del archivo de la imagen de la firma usada en el certificado.</t>
        </is>
      </c>
      <c r="S677" s="18" t="inlineStr">
        <is>
          <t>Alta</t>
        </is>
      </c>
      <c r="T677" s="18" t="inlineStr">
        <is>
          <t>nombre + tipo + columnas vecinas</t>
        </is>
      </c>
      <c r="U677" s="18" t="inlineStr"/>
      <c r="V677" s="19" t="inlineStr">
        <is>
          <t>Pendiente</t>
        </is>
      </c>
      <c r="W677" s="19" t="inlineStr"/>
      <c r="X677" s="19" t="inlineStr"/>
      <c r="Y677" s="20" t="n"/>
      <c r="Z677" s="19" t="inlineStr"/>
      <c r="AA677" s="18">
        <f>IF(OR(V677="Aprobada"),R677,IF(AND(OR(V677="Aprobada con ajuste",V677="Rechazada"),W677&lt;&gt;""),W677,""))</f>
        <v/>
      </c>
    </row>
    <row r="678">
      <c r="A678" s="18" t="inlineStr">
        <is>
          <t>C0677</t>
        </is>
      </c>
      <c r="B678" s="18" t="inlineStr">
        <is>
          <t>Certificaciones</t>
        </is>
      </c>
      <c r="C678" s="18" t="inlineStr">
        <is>
          <t>certification</t>
        </is>
      </c>
      <c r="D678" s="18" t="inlineStr">
        <is>
          <t>certificate_template_config</t>
        </is>
      </c>
      <c r="E678" s="18" t="n">
        <v>3</v>
      </c>
      <c r="F678" s="18" t="inlineStr">
        <is>
          <t>signature_filename</t>
        </is>
      </c>
      <c r="G678" s="18" t="inlineStr">
        <is>
          <t>text</t>
        </is>
      </c>
      <c r="H678" s="18" t="inlineStr">
        <is>
          <t>Sí</t>
        </is>
      </c>
      <c r="I678" s="18" t="inlineStr"/>
      <c r="J678" s="18" t="inlineStr"/>
      <c r="K678" s="18" t="inlineStr"/>
      <c r="L678" s="18" t="inlineStr">
        <is>
          <t>No</t>
        </is>
      </c>
      <c r="M678" s="18" t="inlineStr">
        <is>
          <t>No</t>
        </is>
      </c>
      <c r="N678" s="18" t="inlineStr"/>
      <c r="O678" s="18" t="inlineStr"/>
      <c r="P678" s="18" t="inlineStr">
        <is>
          <t>Mapeada en certification-service/src/certificates/template-config.entity.ts:69 (TemplateConfig.signatureFilename)</t>
        </is>
      </c>
      <c r="Q678" s="18" t="inlineStr">
        <is>
          <t>Propuesta semántica</t>
        </is>
      </c>
      <c r="R678" s="18" t="inlineStr">
        <is>
          <t>Nombre del archivo de la imagen de la firma usada en el certificado.</t>
        </is>
      </c>
      <c r="S678" s="18" t="inlineStr">
        <is>
          <t>Alta</t>
        </is>
      </c>
      <c r="T678" s="18" t="inlineStr">
        <is>
          <t>nombre + tipo + columnas vecinas</t>
        </is>
      </c>
      <c r="U678" s="18" t="inlineStr"/>
      <c r="V678" s="19" t="inlineStr">
        <is>
          <t>Pendiente</t>
        </is>
      </c>
      <c r="W678" s="19" t="inlineStr"/>
      <c r="X678" s="19" t="inlineStr"/>
      <c r="Y678" s="20" t="n"/>
      <c r="Z678" s="19" t="inlineStr"/>
      <c r="AA678" s="18">
        <f>IF(OR(V678="Aprobada"),R678,IF(AND(OR(V678="Aprobada con ajuste",V678="Rechazada"),W678&lt;&gt;""),W678,""))</f>
        <v/>
      </c>
    </row>
    <row r="679">
      <c r="A679" s="18" t="inlineStr">
        <is>
          <t>C0678</t>
        </is>
      </c>
      <c r="B679" s="18" t="inlineStr">
        <is>
          <t>Certificaciones</t>
        </is>
      </c>
      <c r="C679" s="18" t="inlineStr">
        <is>
          <t>certification</t>
        </is>
      </c>
      <c r="D679" s="18" t="inlineStr">
        <is>
          <t>certificate_template_config</t>
        </is>
      </c>
      <c r="E679" s="18" t="n">
        <v>3</v>
      </c>
      <c r="F679" s="18" t="inlineStr">
        <is>
          <t>signature_size</t>
        </is>
      </c>
      <c r="G679" s="18" t="inlineStr">
        <is>
          <t>text</t>
        </is>
      </c>
      <c r="H679" s="18" t="inlineStr">
        <is>
          <t>Sí</t>
        </is>
      </c>
      <c r="I679" s="18" t="inlineStr"/>
      <c r="J679" s="18" t="inlineStr"/>
      <c r="K679" s="18" t="inlineStr"/>
      <c r="L679" s="18" t="inlineStr">
        <is>
          <t>No</t>
        </is>
      </c>
      <c r="M679" s="18" t="inlineStr">
        <is>
          <t>No</t>
        </is>
      </c>
      <c r="N679" s="18" t="inlineStr"/>
      <c r="O679" s="18" t="inlineStr"/>
      <c r="P679" s="18" t="inlineStr">
        <is>
          <t>Mapeada en certification-service/src/certificates/template-config.entity.ts:72 (TemplateConfig.signatureSize)</t>
        </is>
      </c>
      <c r="Q679" s="18" t="inlineStr">
        <is>
          <t>Propuesta semántica</t>
        </is>
      </c>
      <c r="R679" s="18" t="inlineStr">
        <is>
          <t>Tamaño de la imagen de la firma en el certificado.</t>
        </is>
      </c>
      <c r="S679" s="18" t="inlineStr">
        <is>
          <t>Baja</t>
        </is>
      </c>
      <c r="T679" s="18" t="inlineStr">
        <is>
          <t>nombre + tipo + columnas vecinas</t>
        </is>
      </c>
      <c r="U679" s="18" t="inlineStr">
        <is>
          <t>¿signature_size es el tamaño del archivo o las dimensiones de presentación?</t>
        </is>
      </c>
      <c r="V679" s="19" t="inlineStr">
        <is>
          <t>Pendiente</t>
        </is>
      </c>
      <c r="W679" s="19" t="inlineStr"/>
      <c r="X679" s="19" t="inlineStr"/>
      <c r="Y679" s="20" t="n"/>
      <c r="Z679" s="19" t="inlineStr"/>
      <c r="AA679" s="18">
        <f>IF(OR(V679="Aprobada"),R679,IF(AND(OR(V679="Aprobada con ajuste",V679="Rechazada"),W679&lt;&gt;""),W679,""))</f>
        <v/>
      </c>
    </row>
    <row r="680">
      <c r="A680" s="18" t="inlineStr">
        <is>
          <t>C0679</t>
        </is>
      </c>
      <c r="B680" s="18" t="inlineStr">
        <is>
          <t>Certificaciones</t>
        </is>
      </c>
      <c r="C680" s="18" t="inlineStr">
        <is>
          <t>certification</t>
        </is>
      </c>
      <c r="D680" s="18" t="inlineStr">
        <is>
          <t>certificate_template_config</t>
        </is>
      </c>
      <c r="E680" s="18" t="n">
        <v>3</v>
      </c>
      <c r="F680" s="18" t="inlineStr">
        <is>
          <t>signer_name_override</t>
        </is>
      </c>
      <c r="G680" s="18" t="inlineStr">
        <is>
          <t>text</t>
        </is>
      </c>
      <c r="H680" s="18" t="inlineStr">
        <is>
          <t>Sí</t>
        </is>
      </c>
      <c r="I680" s="18" t="inlineStr"/>
      <c r="J680" s="18" t="inlineStr"/>
      <c r="K680" s="18" t="inlineStr"/>
      <c r="L680" s="18" t="inlineStr">
        <is>
          <t>No</t>
        </is>
      </c>
      <c r="M680" s="18" t="inlineStr">
        <is>
          <t>No</t>
        </is>
      </c>
      <c r="N680" s="18" t="inlineStr"/>
      <c r="O680" s="18" t="inlineStr"/>
      <c r="P680" s="18" t="inlineStr">
        <is>
          <t>Mapeada en certification-service/src/certificates/template-config.entity.ts:75 (TemplateConfig.signerNameOverride)</t>
        </is>
      </c>
      <c r="Q680" s="18" t="inlineStr">
        <is>
          <t>Propuesta semántica</t>
        </is>
      </c>
      <c r="R680" s="18" t="inlineStr">
        <is>
          <t>Nombre del firmante que se muestra en el certificado en lugar del nombre registrado del firmante.</t>
        </is>
      </c>
      <c r="S680" s="18" t="inlineStr">
        <is>
          <t>Media</t>
        </is>
      </c>
      <c r="T680" s="18" t="inlineStr">
        <is>
          <t>nombre + tipo + columnas vecinas (signer_id)</t>
        </is>
      </c>
      <c r="U680" s="18" t="inlineStr">
        <is>
          <t>¿Este nombre reemplaza el del firmante asociado a signer_id?</t>
        </is>
      </c>
      <c r="V680" s="19" t="inlineStr">
        <is>
          <t>Pendiente</t>
        </is>
      </c>
      <c r="W680" s="19" t="inlineStr"/>
      <c r="X680" s="19" t="inlineStr"/>
      <c r="Y680" s="20" t="n"/>
      <c r="Z680" s="19" t="inlineStr"/>
      <c r="AA680" s="18">
        <f>IF(OR(V680="Aprobada"),R680,IF(AND(OR(V680="Aprobada con ajuste",V680="Rechazada"),W680&lt;&gt;""),W680,""))</f>
        <v/>
      </c>
    </row>
    <row r="681">
      <c r="A681" s="18" t="inlineStr">
        <is>
          <t>C0680</t>
        </is>
      </c>
      <c r="B681" s="18" t="inlineStr">
        <is>
          <t>Certificaciones</t>
        </is>
      </c>
      <c r="C681" s="18" t="inlineStr">
        <is>
          <t>certification</t>
        </is>
      </c>
      <c r="D681" s="18" t="inlineStr">
        <is>
          <t>certificate_templates</t>
        </is>
      </c>
      <c r="E681" s="18" t="n">
        <v>1</v>
      </c>
      <c r="F681" s="18" t="inlineStr">
        <is>
          <t>name</t>
        </is>
      </c>
      <c r="G681" s="18" t="inlineStr">
        <is>
          <t>character varying(255)</t>
        </is>
      </c>
      <c r="H681" s="18" t="inlineStr">
        <is>
          <t>No</t>
        </is>
      </c>
      <c r="I681" s="18" t="inlineStr"/>
      <c r="J681" s="18" t="inlineStr"/>
      <c r="K681" s="18" t="inlineStr"/>
      <c r="L681" s="18" t="inlineStr">
        <is>
          <t>No</t>
        </is>
      </c>
      <c r="M681" s="18" t="inlineStr">
        <is>
          <t>No</t>
        </is>
      </c>
      <c r="N681" s="18" t="inlineStr"/>
      <c r="O681" s="18" t="inlineStr"/>
      <c r="P681" s="18" t="inlineStr">
        <is>
          <t>Mapeada en certification-service/src/certificates/certificate-template.entity.ts:8 (CertificateTemplate.name)</t>
        </is>
      </c>
      <c r="Q681" s="18" t="inlineStr">
        <is>
          <t>Regla estructural</t>
        </is>
      </c>
      <c r="R681" s="18" t="inlineStr">
        <is>
          <t>Nombre del registro de certificate_templates.</t>
        </is>
      </c>
      <c r="S681" s="18" t="inlineStr">
        <is>
          <t>Media</t>
        </is>
      </c>
      <c r="T681" s="18" t="inlineStr">
        <is>
          <t>Convención de nombre de la columna.</t>
        </is>
      </c>
      <c r="U681" s="18" t="inlineStr"/>
      <c r="V681" s="19" t="inlineStr">
        <is>
          <t>Pendiente</t>
        </is>
      </c>
      <c r="W681" s="19" t="inlineStr"/>
      <c r="X681" s="19" t="inlineStr"/>
      <c r="Y681" s="20" t="n"/>
      <c r="Z681" s="19" t="inlineStr"/>
      <c r="AA681" s="18">
        <f>IF(OR(V681="Aprobada"),R681,IF(AND(OR(V681="Aprobada con ajuste",V681="Rechazada"),W681&lt;&gt;""),W681,""))</f>
        <v/>
      </c>
    </row>
    <row r="682">
      <c r="A682" s="18" t="inlineStr">
        <is>
          <t>C0681</t>
        </is>
      </c>
      <c r="B682" s="18" t="inlineStr">
        <is>
          <t>Certificaciones</t>
        </is>
      </c>
      <c r="C682" s="18" t="inlineStr">
        <is>
          <t>certification</t>
        </is>
      </c>
      <c r="D682" s="18" t="inlineStr">
        <is>
          <t>certificate_templates</t>
        </is>
      </c>
      <c r="E682" s="18" t="n">
        <v>1</v>
      </c>
      <c r="F682" s="18" t="inlineStr">
        <is>
          <t>description</t>
        </is>
      </c>
      <c r="G682" s="18" t="inlineStr">
        <is>
          <t>text</t>
        </is>
      </c>
      <c r="H682" s="18" t="inlineStr">
        <is>
          <t>Sí</t>
        </is>
      </c>
      <c r="I682" s="18" t="inlineStr"/>
      <c r="J682" s="18" t="inlineStr"/>
      <c r="K682" s="18" t="inlineStr"/>
      <c r="L682" s="18" t="inlineStr">
        <is>
          <t>No</t>
        </is>
      </c>
      <c r="M682" s="18" t="inlineStr">
        <is>
          <t>No</t>
        </is>
      </c>
      <c r="N682" s="18" t="inlineStr"/>
      <c r="O682" s="18" t="inlineStr"/>
      <c r="P682" s="18" t="inlineStr">
        <is>
          <t>Mapeada en certification-service/src/certificates/certificate-template.entity.ts:11 (CertificateTemplate.description)</t>
        </is>
      </c>
      <c r="Q682" s="18" t="inlineStr">
        <is>
          <t>Regla estructural</t>
        </is>
      </c>
      <c r="R682" s="18" t="inlineStr">
        <is>
          <t>Descripción del registro de certificate_templates.</t>
        </is>
      </c>
      <c r="S682" s="18" t="inlineStr">
        <is>
          <t>Media</t>
        </is>
      </c>
      <c r="T682" s="18" t="inlineStr">
        <is>
          <t>Convención de nombre de la columna.</t>
        </is>
      </c>
      <c r="U682" s="18" t="inlineStr"/>
      <c r="V682" s="19" t="inlineStr">
        <is>
          <t>Pendiente</t>
        </is>
      </c>
      <c r="W682" s="19" t="inlineStr"/>
      <c r="X682" s="19" t="inlineStr"/>
      <c r="Y682" s="20" t="n"/>
      <c r="Z682" s="19" t="inlineStr"/>
      <c r="AA682" s="18">
        <f>IF(OR(V682="Aprobada"),R682,IF(AND(OR(V682="Aprobada con ajuste",V682="Rechazada"),W682&lt;&gt;""),W682,""))</f>
        <v/>
      </c>
    </row>
    <row r="683">
      <c r="A683" s="18" t="inlineStr">
        <is>
          <t>C0682</t>
        </is>
      </c>
      <c r="B683" s="18" t="inlineStr">
        <is>
          <t>Certificaciones</t>
        </is>
      </c>
      <c r="C683" s="18" t="inlineStr">
        <is>
          <t>certification</t>
        </is>
      </c>
      <c r="D683" s="18" t="inlineStr">
        <is>
          <t>certificate_templates</t>
        </is>
      </c>
      <c r="E683" s="18" t="n">
        <v>1</v>
      </c>
      <c r="F683" s="18" t="inlineStr">
        <is>
          <t>html_content</t>
        </is>
      </c>
      <c r="G683" s="18" t="inlineStr">
        <is>
          <t>text</t>
        </is>
      </c>
      <c r="H683" s="18" t="inlineStr">
        <is>
          <t>No</t>
        </is>
      </c>
      <c r="I683" s="18" t="inlineStr"/>
      <c r="J683" s="18" t="inlineStr"/>
      <c r="K683" s="18" t="inlineStr"/>
      <c r="L683" s="18" t="inlineStr">
        <is>
          <t>No</t>
        </is>
      </c>
      <c r="M683" s="18" t="inlineStr">
        <is>
          <t>No</t>
        </is>
      </c>
      <c r="N683" s="18" t="inlineStr"/>
      <c r="O683" s="18" t="inlineStr"/>
      <c r="P683" s="18" t="inlineStr">
        <is>
          <t>db/init/old/005_schema_certification.sql:163: Template content HTML with placeholders {{NAME}}, {{ID_NUMBER}}, etc.</t>
        </is>
      </c>
      <c r="Q683" s="18" t="inlineStr">
        <is>
          <t>Código fuente</t>
        </is>
      </c>
      <c r="R683" s="18" t="inlineStr">
        <is>
          <t>Contenido HTML de la plantilla del certificado, con marcadores como {{NAME}} e {{ID_NUMBER}}.</t>
        </is>
      </c>
      <c r="S683" s="18" t="inlineStr">
        <is>
          <t>Alta</t>
        </is>
      </c>
      <c r="T683" s="18" t="inlineStr">
        <is>
          <t>código: db/init/old/005_schema_certification.sql:163</t>
        </is>
      </c>
      <c r="U683" s="18" t="inlineStr"/>
      <c r="V683" s="19" t="inlineStr">
        <is>
          <t>Pendiente</t>
        </is>
      </c>
      <c r="W683" s="19" t="inlineStr"/>
      <c r="X683" s="19" t="inlineStr"/>
      <c r="Y683" s="20" t="n"/>
      <c r="Z683" s="19" t="inlineStr"/>
      <c r="AA683" s="18">
        <f>IF(OR(V683="Aprobada"),R683,IF(AND(OR(V683="Aprobada con ajuste",V683="Rechazada"),W683&lt;&gt;""),W683,""))</f>
        <v/>
      </c>
    </row>
    <row r="684">
      <c r="A684" s="18" t="inlineStr">
        <is>
          <t>C0683</t>
        </is>
      </c>
      <c r="B684" s="18" t="inlineStr">
        <is>
          <t>Certificaciones</t>
        </is>
      </c>
      <c r="C684" s="18" t="inlineStr">
        <is>
          <t>certification</t>
        </is>
      </c>
      <c r="D684" s="18" t="inlineStr">
        <is>
          <t>certificate_templates</t>
        </is>
      </c>
      <c r="E684" s="18" t="n">
        <v>1</v>
      </c>
      <c r="F684" s="18" t="inlineStr">
        <is>
          <t>certificate_type</t>
        </is>
      </c>
      <c r="G684" s="18" t="inlineStr">
        <is>
          <t>character varying(100)</t>
        </is>
      </c>
      <c r="H684" s="18" t="inlineStr">
        <is>
          <t>Sí</t>
        </is>
      </c>
      <c r="I684" s="18" t="inlineStr"/>
      <c r="J684" s="18" t="inlineStr"/>
      <c r="K684" s="18" t="inlineStr"/>
      <c r="L684" s="18" t="inlineStr">
        <is>
          <t>No</t>
        </is>
      </c>
      <c r="M684" s="18" t="inlineStr">
        <is>
          <t>No</t>
        </is>
      </c>
      <c r="N684" s="18" t="inlineStr"/>
      <c r="O684" s="18" t="inlineStr"/>
      <c r="P684" s="18" t="inlineStr">
        <is>
          <t>db/init/old/005_schema_certification.sql:166: Type</t>
        </is>
      </c>
      <c r="Q684" s="18" t="inlineStr">
        <is>
          <t>Código fuente</t>
        </is>
      </c>
      <c r="R684" s="18" t="inlineStr">
        <is>
          <t>Tipo de certificado que genera la plantilla; por defecto LABOR_TEACHER.</t>
        </is>
      </c>
      <c r="S684" s="18" t="inlineStr">
        <is>
          <t>Media</t>
        </is>
      </c>
      <c r="T684" s="18" t="inlineStr">
        <is>
          <t>código: db/init/old/005_schema_certification.sql:166</t>
        </is>
      </c>
      <c r="U684" s="18" t="inlineStr">
        <is>
          <t>¿Qué otros valores toma certificate_type además de LABOR_TEACHER?</t>
        </is>
      </c>
      <c r="V684" s="19" t="inlineStr">
        <is>
          <t>Pendiente</t>
        </is>
      </c>
      <c r="W684" s="19" t="inlineStr"/>
      <c r="X684" s="19" t="inlineStr"/>
      <c r="Y684" s="20" t="n"/>
      <c r="Z684" s="19" t="inlineStr"/>
      <c r="AA684" s="18">
        <f>IF(OR(V684="Aprobada"),R684,IF(AND(OR(V684="Aprobada con ajuste",V684="Rechazada"),W684&lt;&gt;""),W684,""))</f>
        <v/>
      </c>
    </row>
    <row r="685">
      <c r="A685" s="18" t="inlineStr">
        <is>
          <t>C0684</t>
        </is>
      </c>
      <c r="B685" s="18" t="inlineStr">
        <is>
          <t>Certificaciones</t>
        </is>
      </c>
      <c r="C685" s="18" t="inlineStr">
        <is>
          <t>certification</t>
        </is>
      </c>
      <c r="D685" s="18" t="inlineStr">
        <is>
          <t>certificate_templates</t>
        </is>
      </c>
      <c r="E685" s="18" t="n">
        <v>1</v>
      </c>
      <c r="F685" s="18" t="inlineStr">
        <is>
          <t>is_active</t>
        </is>
      </c>
      <c r="G685" s="18" t="inlineStr">
        <is>
          <t>boolean</t>
        </is>
      </c>
      <c r="H685" s="18" t="inlineStr">
        <is>
          <t>Sí</t>
        </is>
      </c>
      <c r="I685" s="18" t="inlineStr"/>
      <c r="J685" s="18" t="inlineStr"/>
      <c r="K685" s="18" t="inlineStr"/>
      <c r="L685" s="18" t="inlineStr">
        <is>
          <t>No</t>
        </is>
      </c>
      <c r="M685" s="18" t="inlineStr">
        <is>
          <t>No</t>
        </is>
      </c>
      <c r="N685" s="18" t="inlineStr"/>
      <c r="O685" s="18" t="inlineStr"/>
      <c r="P685" s="18" t="inlineStr">
        <is>
          <t>db/init/old/005_schema_certification.sql:169: Status</t>
        </is>
      </c>
      <c r="Q685" s="18" t="inlineStr">
        <is>
          <t>Código fuente</t>
        </is>
      </c>
      <c r="R685" s="18" t="inlineStr">
        <is>
          <t>Indica si la plantilla está activa; por defecto verdadero.</t>
        </is>
      </c>
      <c r="S685" s="18" t="inlineStr">
        <is>
          <t>Alta</t>
        </is>
      </c>
      <c r="T685" s="18" t="inlineStr">
        <is>
          <t>código: db/init/old/005_schema_certification.sql:169</t>
        </is>
      </c>
      <c r="U685" s="18" t="inlineStr"/>
      <c r="V685" s="19" t="inlineStr">
        <is>
          <t>Pendiente</t>
        </is>
      </c>
      <c r="W685" s="19" t="inlineStr"/>
      <c r="X685" s="19" t="inlineStr"/>
      <c r="Y685" s="20" t="n"/>
      <c r="Z685" s="19" t="inlineStr"/>
      <c r="AA685" s="18">
        <f>IF(OR(V685="Aprobada"),R685,IF(AND(OR(V685="Aprobada con ajuste",V685="Rechazada"),W685&lt;&gt;""),W685,""))</f>
        <v/>
      </c>
    </row>
    <row r="686">
      <c r="A686" s="18" t="inlineStr">
        <is>
          <t>C0685</t>
        </is>
      </c>
      <c r="B686" s="18" t="inlineStr">
        <is>
          <t>Certificaciones</t>
        </is>
      </c>
      <c r="C686" s="18" t="inlineStr">
        <is>
          <t>certification</t>
        </is>
      </c>
      <c r="D686" s="18" t="inlineStr">
        <is>
          <t>certificate_templates</t>
        </is>
      </c>
      <c r="E686" s="18" t="n">
        <v>1</v>
      </c>
      <c r="F686" s="18" t="inlineStr">
        <is>
          <t>version</t>
        </is>
      </c>
      <c r="G686" s="18" t="inlineStr">
        <is>
          <t>integer</t>
        </is>
      </c>
      <c r="H686" s="18" t="inlineStr">
        <is>
          <t>Sí</t>
        </is>
      </c>
      <c r="I686" s="18" t="inlineStr"/>
      <c r="J686" s="18" t="inlineStr"/>
      <c r="K686" s="18" t="inlineStr"/>
      <c r="L686" s="18" t="inlineStr">
        <is>
          <t>No</t>
        </is>
      </c>
      <c r="M686" s="18" t="inlineStr">
        <is>
          <t>No</t>
        </is>
      </c>
      <c r="N686" s="18" t="inlineStr"/>
      <c r="O686" s="18" t="inlineStr"/>
      <c r="P686" s="18" t="inlineStr">
        <is>
          <t>Mapeada en certification-service/src/certificates/certificate-template.entity.ts:23 (CertificateTemplate.version)</t>
        </is>
      </c>
      <c r="Q686" s="18" t="inlineStr">
        <is>
          <t>Regla estructural</t>
        </is>
      </c>
      <c r="R686" s="18" t="inlineStr">
        <is>
          <t>Número de versión del registro.</t>
        </is>
      </c>
      <c r="S686" s="18" t="inlineStr">
        <is>
          <t>Media</t>
        </is>
      </c>
      <c r="T686" s="18" t="inlineStr">
        <is>
          <t>Convención de nombre de la columna.</t>
        </is>
      </c>
      <c r="U686" s="18" t="inlineStr"/>
      <c r="V686" s="19" t="inlineStr">
        <is>
          <t>Pendiente</t>
        </is>
      </c>
      <c r="W686" s="19" t="inlineStr"/>
      <c r="X686" s="19" t="inlineStr"/>
      <c r="Y686" s="20" t="n"/>
      <c r="Z686" s="19" t="inlineStr"/>
      <c r="AA686" s="18">
        <f>IF(OR(V686="Aprobada"),R686,IF(AND(OR(V686="Aprobada con ajuste",V686="Rechazada"),W686&lt;&gt;""),W686,""))</f>
        <v/>
      </c>
    </row>
    <row r="687">
      <c r="A687" s="18" t="inlineStr">
        <is>
          <t>C0686</t>
        </is>
      </c>
      <c r="B687" s="18" t="inlineStr">
        <is>
          <t>Certificaciones</t>
        </is>
      </c>
      <c r="C687" s="18" t="inlineStr">
        <is>
          <t>certification</t>
        </is>
      </c>
      <c r="D687" s="18" t="inlineStr">
        <is>
          <t>certificate_validations</t>
        </is>
      </c>
      <c r="E687" s="18" t="n">
        <v>42</v>
      </c>
      <c r="F687" s="18" t="inlineStr">
        <is>
          <t>validation_date</t>
        </is>
      </c>
      <c r="G687" s="18" t="inlineStr">
        <is>
          <t>timestamp without time zone</t>
        </is>
      </c>
      <c r="H687" s="18" t="inlineStr">
        <is>
          <t>No</t>
        </is>
      </c>
      <c r="I687" s="18" t="inlineStr"/>
      <c r="J687" s="18" t="inlineStr"/>
      <c r="K687" s="18" t="inlineStr"/>
      <c r="L687" s="18" t="inlineStr">
        <is>
          <t>No</t>
        </is>
      </c>
      <c r="M687" s="18" t="inlineStr">
        <is>
          <t>No</t>
        </is>
      </c>
      <c r="N687" s="18" t="inlineStr"/>
      <c r="O687" s="18" t="inlineStr">
        <is>
          <t>idx_certificate_validations_validation_date, idx_validations_date</t>
        </is>
      </c>
      <c r="P687" s="18" t="inlineStr">
        <is>
          <t>db/init/old/005_schema_certification.sql:141: Validation data</t>
        </is>
      </c>
      <c r="Q687" s="18" t="inlineStr">
        <is>
          <t>Código fuente</t>
        </is>
      </c>
      <c r="R687" s="18" t="inlineStr">
        <is>
          <t>Fecha y hora en que se validó el certificado laboral; por defecto el momento de registro.</t>
        </is>
      </c>
      <c r="S687" s="18" t="inlineStr">
        <is>
          <t>Alta</t>
        </is>
      </c>
      <c r="T687" s="18" t="inlineStr">
        <is>
          <t>código: db/init/old/005_schema_certification.sql:141</t>
        </is>
      </c>
      <c r="U687" s="18" t="inlineStr"/>
      <c r="V687" s="19" t="inlineStr">
        <is>
          <t>Pendiente</t>
        </is>
      </c>
      <c r="W687" s="19" t="inlineStr"/>
      <c r="X687" s="19" t="inlineStr"/>
      <c r="Y687" s="20" t="n"/>
      <c r="Z687" s="19" t="inlineStr"/>
      <c r="AA687" s="18">
        <f>IF(OR(V687="Aprobada"),R687,IF(AND(OR(V687="Aprobada con ajuste",V687="Rechazada"),W687&lt;&gt;""),W687,""))</f>
        <v/>
      </c>
    </row>
    <row r="688">
      <c r="A688" s="18" t="inlineStr">
        <is>
          <t>C0687</t>
        </is>
      </c>
      <c r="B688" s="18" t="inlineStr">
        <is>
          <t>Certificaciones</t>
        </is>
      </c>
      <c r="C688" s="18" t="inlineStr">
        <is>
          <t>certification</t>
        </is>
      </c>
      <c r="D688" s="18" t="inlineStr">
        <is>
          <t>certificate_validations</t>
        </is>
      </c>
      <c r="E688" s="18" t="n">
        <v>42</v>
      </c>
      <c r="F688" s="18" t="inlineStr">
        <is>
          <t>ip_address</t>
        </is>
      </c>
      <c r="G688" s="18" t="inlineStr">
        <is>
          <t>character varying(50)</t>
        </is>
      </c>
      <c r="H688" s="18" t="inlineStr">
        <is>
          <t>Sí</t>
        </is>
      </c>
      <c r="I688" s="18" t="inlineStr"/>
      <c r="J688" s="18" t="inlineStr"/>
      <c r="K688" s="18" t="inlineStr"/>
      <c r="L688" s="18" t="inlineStr">
        <is>
          <t>No</t>
        </is>
      </c>
      <c r="M688" s="18" t="inlineStr">
        <is>
          <t>No</t>
        </is>
      </c>
      <c r="N688" s="18" t="inlineStr"/>
      <c r="O688" s="18" t="inlineStr"/>
      <c r="P688" s="18" t="inlineStr">
        <is>
          <t>Mapeada en certification-service/src/certificates/certificate-validation.entity.ts:15 (CertificateValidation.ip_address)</t>
        </is>
      </c>
      <c r="Q688" s="18" t="inlineStr">
        <is>
          <t>Propuesta semántica</t>
        </is>
      </c>
      <c r="R688" s="18" t="inlineStr">
        <is>
          <t>Dirección IP desde la que se consultó la validación del certificado.</t>
        </is>
      </c>
      <c r="S688" s="18" t="inlineStr">
        <is>
          <t>Alta</t>
        </is>
      </c>
      <c r="T688" s="18" t="inlineStr">
        <is>
          <t>nombre + tipo + columnas vecinas (user_agent, country, isp) ~</t>
        </is>
      </c>
      <c r="U688" s="18" t="inlineStr"/>
      <c r="V688" s="19" t="inlineStr">
        <is>
          <t>Pendiente</t>
        </is>
      </c>
      <c r="W688" s="19" t="inlineStr"/>
      <c r="X688" s="19" t="inlineStr"/>
      <c r="Y688" s="20" t="n"/>
      <c r="Z688" s="19" t="inlineStr"/>
      <c r="AA688" s="18">
        <f>IF(OR(V688="Aprobada"),R688,IF(AND(OR(V688="Aprobada con ajuste",V688="Rechazada"),W688&lt;&gt;""),W688,""))</f>
        <v/>
      </c>
    </row>
    <row r="689">
      <c r="A689" s="18" t="inlineStr">
        <is>
          <t>C0688</t>
        </is>
      </c>
      <c r="B689" s="18" t="inlineStr">
        <is>
          <t>Certificaciones</t>
        </is>
      </c>
      <c r="C689" s="18" t="inlineStr">
        <is>
          <t>certification</t>
        </is>
      </c>
      <c r="D689" s="18" t="inlineStr">
        <is>
          <t>certificate_validations</t>
        </is>
      </c>
      <c r="E689" s="18" t="n">
        <v>42</v>
      </c>
      <c r="F689" s="18" t="inlineStr">
        <is>
          <t>user_agent</t>
        </is>
      </c>
      <c r="G689" s="18" t="inlineStr">
        <is>
          <t>text</t>
        </is>
      </c>
      <c r="H689" s="18" t="inlineStr">
        <is>
          <t>Sí</t>
        </is>
      </c>
      <c r="I689" s="18" t="inlineStr"/>
      <c r="J689" s="18" t="inlineStr"/>
      <c r="K689" s="18" t="inlineStr"/>
      <c r="L689" s="18" t="inlineStr">
        <is>
          <t>No</t>
        </is>
      </c>
      <c r="M689" s="18" t="inlineStr">
        <is>
          <t>No</t>
        </is>
      </c>
      <c r="N689" s="18" t="inlineStr"/>
      <c r="O689" s="18" t="inlineStr"/>
      <c r="P689" s="18" t="inlineStr">
        <is>
          <t>Mapeada en certification-service/src/certificates/certificate-validation.entity.ts:18 (CertificateValidation.user_agent)</t>
        </is>
      </c>
      <c r="Q689" s="18" t="inlineStr">
        <is>
          <t>Regla estructural</t>
        </is>
      </c>
      <c r="R689" s="18" t="inlineStr">
        <is>
          <t>Agente de usuario (navegador) registrado.</t>
        </is>
      </c>
      <c r="S689" s="18" t="inlineStr">
        <is>
          <t>Media</t>
        </is>
      </c>
      <c r="T689" s="18" t="inlineStr">
        <is>
          <t>Convención de nombre de la columna.</t>
        </is>
      </c>
      <c r="U689" s="18" t="inlineStr"/>
      <c r="V689" s="19" t="inlineStr">
        <is>
          <t>Pendiente</t>
        </is>
      </c>
      <c r="W689" s="19" t="inlineStr"/>
      <c r="X689" s="19" t="inlineStr"/>
      <c r="Y689" s="20" t="n"/>
      <c r="Z689" s="19" t="inlineStr"/>
      <c r="AA689" s="18">
        <f>IF(OR(V689="Aprobada"),R689,IF(AND(OR(V689="Aprobada con ajuste",V689="Rechazada"),W689&lt;&gt;""),W689,""))</f>
        <v/>
      </c>
    </row>
    <row r="690">
      <c r="A690" s="18" t="inlineStr">
        <is>
          <t>C0689</t>
        </is>
      </c>
      <c r="B690" s="18" t="inlineStr">
        <is>
          <t>Certificaciones</t>
        </is>
      </c>
      <c r="C690" s="18" t="inlineStr">
        <is>
          <t>certification</t>
        </is>
      </c>
      <c r="D690" s="18" t="inlineStr">
        <is>
          <t>certificate_validations</t>
        </is>
      </c>
      <c r="E690" s="18" t="n">
        <v>42</v>
      </c>
      <c r="F690" s="18" t="inlineStr">
        <is>
          <t>location</t>
        </is>
      </c>
      <c r="G690" s="18" t="inlineStr">
        <is>
          <t>character varying(255)</t>
        </is>
      </c>
      <c r="H690" s="18" t="inlineStr">
        <is>
          <t>Sí</t>
        </is>
      </c>
      <c r="I690" s="18" t="inlineStr"/>
      <c r="J690" s="18" t="inlineStr"/>
      <c r="K690" s="18" t="inlineStr"/>
      <c r="L690" s="18" t="inlineStr">
        <is>
          <t>No</t>
        </is>
      </c>
      <c r="M690" s="18" t="inlineStr">
        <is>
          <t>No</t>
        </is>
      </c>
      <c r="N690" s="18" t="inlineStr"/>
      <c r="O690" s="18" t="inlineStr"/>
      <c r="P690" s="18" t="inlineStr">
        <is>
          <t>db/init/old/005_schema_certification.sql:144: City/country from where it was validated</t>
        </is>
      </c>
      <c r="Q690" s="18" t="inlineStr">
        <is>
          <t>Código fuente</t>
        </is>
      </c>
      <c r="R690" s="18" t="inlineStr">
        <is>
          <t>Ciudad y país desde donde se validó el certificado.</t>
        </is>
      </c>
      <c r="S690" s="18" t="inlineStr">
        <is>
          <t>Alta</t>
        </is>
      </c>
      <c r="T690" s="18" t="inlineStr">
        <is>
          <t>código: db/init/old/005_schema_certification.sql:144</t>
        </is>
      </c>
      <c r="U690" s="18" t="inlineStr"/>
      <c r="V690" s="19" t="inlineStr">
        <is>
          <t>Pendiente</t>
        </is>
      </c>
      <c r="W690" s="19" t="inlineStr"/>
      <c r="X690" s="19" t="inlineStr"/>
      <c r="Y690" s="20" t="n"/>
      <c r="Z690" s="19" t="inlineStr"/>
      <c r="AA690" s="18">
        <f>IF(OR(V690="Aprobada"),R690,IF(AND(OR(V690="Aprobada con ajuste",V690="Rechazada"),W690&lt;&gt;""),W690,""))</f>
        <v/>
      </c>
    </row>
    <row r="691">
      <c r="A691" s="18" t="inlineStr">
        <is>
          <t>C0690</t>
        </is>
      </c>
      <c r="B691" s="18" t="inlineStr">
        <is>
          <t>Certificaciones</t>
        </is>
      </c>
      <c r="C691" s="18" t="inlineStr">
        <is>
          <t>certification</t>
        </is>
      </c>
      <c r="D691" s="18" t="inlineStr">
        <is>
          <t>certificates</t>
        </is>
      </c>
      <c r="E691" s="18" t="n">
        <v>130</v>
      </c>
      <c r="F691" s="18" t="inlineStr">
        <is>
          <t>verification_code</t>
        </is>
      </c>
      <c r="G691" s="18" t="inlineStr">
        <is>
          <t>character varying(100)</t>
        </is>
      </c>
      <c r="H691" s="18" t="inlineStr">
        <is>
          <t>No</t>
        </is>
      </c>
      <c r="I691" s="18" t="inlineStr">
        <is>
          <t>Única</t>
        </is>
      </c>
      <c r="J691" s="18" t="inlineStr"/>
      <c r="K691" s="18" t="inlineStr"/>
      <c r="L691" s="18" t="inlineStr">
        <is>
          <t>No</t>
        </is>
      </c>
      <c r="M691" s="18" t="inlineStr">
        <is>
          <t>No</t>
        </is>
      </c>
      <c r="N691" s="18" t="inlineStr"/>
      <c r="O691" s="18" t="inlineStr">
        <is>
          <t>certificates_verification_code_key, idx_certificates_code</t>
        </is>
      </c>
      <c r="P691" s="18" t="inlineStr">
        <is>
          <t>db/init/old/005_schema_certification.sql:80: Unique identifiers Unique QR code for validation</t>
        </is>
      </c>
      <c r="Q691" s="18" t="inlineStr">
        <is>
          <t>Código fuente</t>
        </is>
      </c>
      <c r="R691" s="18" t="inlineStr">
        <is>
          <t>Código QR único para validar el certificado laboral.</t>
        </is>
      </c>
      <c r="S691" s="18" t="inlineStr">
        <is>
          <t>Alta</t>
        </is>
      </c>
      <c r="T691" s="18" t="inlineStr">
        <is>
          <t>código: db/init/old/005_schema_certification.sql:80</t>
        </is>
      </c>
      <c r="U691" s="18" t="inlineStr"/>
      <c r="V691" s="19" t="inlineStr">
        <is>
          <t>Pendiente</t>
        </is>
      </c>
      <c r="W691" s="19" t="inlineStr"/>
      <c r="X691" s="19" t="inlineStr"/>
      <c r="Y691" s="20" t="n"/>
      <c r="Z691" s="19" t="inlineStr"/>
      <c r="AA691" s="18">
        <f>IF(OR(V691="Aprobada"),R691,IF(AND(OR(V691="Aprobada con ajuste",V691="Rechazada"),W691&lt;&gt;""),W691,""))</f>
        <v/>
      </c>
    </row>
    <row r="692">
      <c r="A692" s="18" t="inlineStr">
        <is>
          <t>C0691</t>
        </is>
      </c>
      <c r="B692" s="18" t="inlineStr">
        <is>
          <t>Certificaciones</t>
        </is>
      </c>
      <c r="C692" s="18" t="inlineStr">
        <is>
          <t>certification</t>
        </is>
      </c>
      <c r="D692" s="18" t="inlineStr">
        <is>
          <t>certificates</t>
        </is>
      </c>
      <c r="E692" s="18" t="n">
        <v>130</v>
      </c>
      <c r="F692" s="18" t="inlineStr">
        <is>
          <t>certificate_number</t>
        </is>
      </c>
      <c r="G692" s="18" t="inlineStr">
        <is>
          <t>character varying(50)</t>
        </is>
      </c>
      <c r="H692" s="18" t="inlineStr">
        <is>
          <t>No</t>
        </is>
      </c>
      <c r="I692" s="18" t="inlineStr">
        <is>
          <t>Única</t>
        </is>
      </c>
      <c r="J692" s="18" t="inlineStr"/>
      <c r="K692" s="18" t="inlineStr"/>
      <c r="L692" s="18" t="inlineStr">
        <is>
          <t>No</t>
        </is>
      </c>
      <c r="M692" s="18" t="inlineStr">
        <is>
          <t>No</t>
        </is>
      </c>
      <c r="N692" s="18" t="inlineStr"/>
      <c r="O692" s="18" t="inlineStr">
        <is>
          <t>certificates_certificate_number_key, idx_certificates_number</t>
        </is>
      </c>
      <c r="P692" s="18" t="inlineStr">
        <is>
          <t>db/init/old/005_schema_certification.sql:81: Official certificate number</t>
        </is>
      </c>
      <c r="Q692" s="18" t="inlineStr">
        <is>
          <t>Código fuente</t>
        </is>
      </c>
      <c r="R692" s="18" t="inlineStr">
        <is>
          <t>Número oficial único del certificado laboral.</t>
        </is>
      </c>
      <c r="S692" s="18" t="inlineStr">
        <is>
          <t>Alta</t>
        </is>
      </c>
      <c r="T692" s="18" t="inlineStr">
        <is>
          <t>código: db/init/old/005_schema_certification.sql:81</t>
        </is>
      </c>
      <c r="U692" s="18" t="inlineStr"/>
      <c r="V692" s="19" t="inlineStr">
        <is>
          <t>Pendiente</t>
        </is>
      </c>
      <c r="W692" s="19" t="inlineStr"/>
      <c r="X692" s="19" t="inlineStr"/>
      <c r="Y692" s="20" t="n"/>
      <c r="Z692" s="19" t="inlineStr"/>
      <c r="AA692" s="18">
        <f>IF(OR(V692="Aprobada"),R692,IF(AND(OR(V692="Aprobada con ajuste",V692="Rechazada"),W692&lt;&gt;""),W692,""))</f>
        <v/>
      </c>
    </row>
    <row r="693">
      <c r="A693" s="18" t="inlineStr">
        <is>
          <t>C0692</t>
        </is>
      </c>
      <c r="B693" s="18" t="inlineStr">
        <is>
          <t>Certificaciones</t>
        </is>
      </c>
      <c r="C693" s="18" t="inlineStr">
        <is>
          <t>certification</t>
        </is>
      </c>
      <c r="D693" s="18" t="inlineStr">
        <is>
          <t>certificates</t>
        </is>
      </c>
      <c r="E693" s="18" t="n">
        <v>130</v>
      </c>
      <c r="F693" s="18" t="inlineStr">
        <is>
          <t>full_name</t>
        </is>
      </c>
      <c r="G693" s="18" t="inlineStr">
        <is>
          <t>character varying(255)</t>
        </is>
      </c>
      <c r="H693" s="18" t="inlineStr">
        <is>
          <t>No</t>
        </is>
      </c>
      <c r="I693" s="18" t="inlineStr"/>
      <c r="J693" s="18" t="inlineStr"/>
      <c r="K693" s="18" t="inlineStr"/>
      <c r="L693" s="18" t="inlineStr">
        <is>
          <t>No</t>
        </is>
      </c>
      <c r="M693" s="18" t="inlineStr">
        <is>
          <t>No</t>
        </is>
      </c>
      <c r="N693" s="18" t="inlineStr"/>
      <c r="O693" s="18" t="inlineStr"/>
      <c r="P693" s="18" t="inlineStr">
        <is>
          <t>db/init/old/005_schema_certification.sql:87: Employee data (denormalized for historical purposes)</t>
        </is>
      </c>
      <c r="Q693" s="18" t="inlineStr">
        <is>
          <t>Código fuente</t>
        </is>
      </c>
      <c r="R693" s="18" t="inlineStr">
        <is>
          <t>Nombre completo del empleado, copiado en el certificado para conservar el histórico.</t>
        </is>
      </c>
      <c r="S693" s="18" t="inlineStr">
        <is>
          <t>Alta</t>
        </is>
      </c>
      <c r="T693" s="18" t="inlineStr">
        <is>
          <t>código: db/init/old/005_schema_certification.sql:87</t>
        </is>
      </c>
      <c r="U693" s="18" t="inlineStr"/>
      <c r="V693" s="19" t="inlineStr">
        <is>
          <t>Pendiente</t>
        </is>
      </c>
      <c r="W693" s="19" t="inlineStr"/>
      <c r="X693" s="19" t="inlineStr"/>
      <c r="Y693" s="20" t="n"/>
      <c r="Z693" s="19" t="inlineStr"/>
      <c r="AA693" s="18">
        <f>IF(OR(V693="Aprobada"),R693,IF(AND(OR(V693="Aprobada con ajuste",V693="Rechazada"),W693&lt;&gt;""),W693,""))</f>
        <v/>
      </c>
    </row>
    <row r="694">
      <c r="A694" s="18" t="inlineStr">
        <is>
          <t>C0693</t>
        </is>
      </c>
      <c r="B694" s="18" t="inlineStr">
        <is>
          <t>Certificaciones</t>
        </is>
      </c>
      <c r="C694" s="18" t="inlineStr">
        <is>
          <t>certification</t>
        </is>
      </c>
      <c r="D694" s="18" t="inlineStr">
        <is>
          <t>certificates</t>
        </is>
      </c>
      <c r="E694" s="18" t="n">
        <v>130</v>
      </c>
      <c r="F694" s="18" t="inlineStr">
        <is>
          <t>id_number</t>
        </is>
      </c>
      <c r="G694" s="18" t="inlineStr">
        <is>
          <t>character varying(50)</t>
        </is>
      </c>
      <c r="H694" s="18" t="inlineStr">
        <is>
          <t>No</t>
        </is>
      </c>
      <c r="I694" s="18" t="inlineStr"/>
      <c r="J694" s="18" t="inlineStr"/>
      <c r="K694" s="18" t="inlineStr"/>
      <c r="L694" s="18" t="inlineStr">
        <is>
          <t>No</t>
        </is>
      </c>
      <c r="M694" s="18" t="inlineStr">
        <is>
          <t>No</t>
        </is>
      </c>
      <c r="N694" s="18" t="inlineStr"/>
      <c r="O694" s="18" t="inlineStr">
        <is>
          <t>idx_certificates_id_number</t>
        </is>
      </c>
      <c r="P694" s="18" t="inlineStr">
        <is>
          <t>Mapeada en certification-service/src/certificates/certificate.entity.ts:23 (Certificate.id_number)</t>
        </is>
      </c>
      <c r="Q694" s="18" t="inlineStr">
        <is>
          <t>Propuesta semántica</t>
        </is>
      </c>
      <c r="R694" s="18" t="inlineStr">
        <is>
          <t>Número de identificación del empleado a quien se expide el certificado laboral.</t>
        </is>
      </c>
      <c r="S694" s="18" t="inlineStr">
        <is>
          <t>Alta</t>
        </is>
      </c>
      <c r="T694" s="18" t="inlineStr">
        <is>
          <t>nombre + tipo + columnas vecinas (full_name) + índice ~</t>
        </is>
      </c>
      <c r="U694" s="18" t="inlineStr"/>
      <c r="V694" s="19" t="inlineStr">
        <is>
          <t>Pendiente</t>
        </is>
      </c>
      <c r="W694" s="19" t="inlineStr"/>
      <c r="X694" s="19" t="inlineStr"/>
      <c r="Y694" s="20" t="n"/>
      <c r="Z694" s="19" t="inlineStr"/>
      <c r="AA694" s="18">
        <f>IF(OR(V694="Aprobada"),R694,IF(AND(OR(V694="Aprobada con ajuste",V694="Rechazada"),W694&lt;&gt;""),W694,""))</f>
        <v/>
      </c>
    </row>
    <row r="695">
      <c r="A695" s="18" t="inlineStr">
        <is>
          <t>C0694</t>
        </is>
      </c>
      <c r="B695" s="18" t="inlineStr">
        <is>
          <t>Certificaciones</t>
        </is>
      </c>
      <c r="C695" s="18" t="inlineStr">
        <is>
          <t>certification</t>
        </is>
      </c>
      <c r="D695" s="18" t="inlineStr">
        <is>
          <t>certificates</t>
        </is>
      </c>
      <c r="E695" s="18" t="n">
        <v>130</v>
      </c>
      <c r="F695" s="18" t="inlineStr">
        <is>
          <t>career_category</t>
        </is>
      </c>
      <c r="G695" s="18" t="inlineStr">
        <is>
          <t>character varying(100)</t>
        </is>
      </c>
      <c r="H695" s="18" t="inlineStr">
        <is>
          <t>No</t>
        </is>
      </c>
      <c r="I695" s="18" t="inlineStr"/>
      <c r="J695" s="18" t="inlineStr"/>
      <c r="K695" s="18" t="inlineStr"/>
      <c r="L695" s="18" t="inlineStr">
        <is>
          <t>No</t>
        </is>
      </c>
      <c r="M695" s="18" t="inlineStr">
        <is>
          <t>No</t>
        </is>
      </c>
      <c r="N695" s="18" t="inlineStr"/>
      <c r="O695" s="18" t="inlineStr"/>
      <c r="P695" s="18" t="inlineStr">
        <is>
          <t>Mapeada en certification-service/src/certificates/certificate.entity.ts:29 (Certificate.career_category)</t>
        </is>
      </c>
      <c r="Q695" s="18" t="inlineStr">
        <is>
          <t>Propuesta semántica</t>
        </is>
      </c>
      <c r="R695" s="18" t="inlineStr">
        <is>
          <t>Categoría de carrera del empleado registrada en el certificado (por ejemplo, tipo de vinculación o régimen de carrera).</t>
        </is>
      </c>
      <c r="S695" s="18" t="inlineStr">
        <is>
          <t>Media</t>
        </is>
      </c>
      <c r="T695" s="18" t="inlineStr">
        <is>
          <t>nombre + tipo + columnas vecinas</t>
        </is>
      </c>
      <c r="U695" s="18" t="inlineStr">
        <is>
          <t>¿Qué valores toma career_category y de qué fuente se obtiene (planta, carrera administrativa, provisionalidad)?</t>
        </is>
      </c>
      <c r="V695" s="19" t="inlineStr">
        <is>
          <t>Pendiente</t>
        </is>
      </c>
      <c r="W695" s="19" t="inlineStr"/>
      <c r="X695" s="19" t="inlineStr"/>
      <c r="Y695" s="20" t="n"/>
      <c r="Z695" s="19" t="inlineStr"/>
      <c r="AA695" s="18">
        <f>IF(OR(V695="Aprobada"),R695,IF(AND(OR(V695="Aprobada con ajuste",V695="Rechazada"),W695&lt;&gt;""),W695,""))</f>
        <v/>
      </c>
    </row>
    <row r="696">
      <c r="A696" s="18" t="inlineStr">
        <is>
          <t>C0695</t>
        </is>
      </c>
      <c r="B696" s="18" t="inlineStr">
        <is>
          <t>Certificaciones</t>
        </is>
      </c>
      <c r="C696" s="18" t="inlineStr">
        <is>
          <t>certification</t>
        </is>
      </c>
      <c r="D696" s="18" t="inlineStr">
        <is>
          <t>certificates</t>
        </is>
      </c>
      <c r="E696" s="18" t="n">
        <v>130</v>
      </c>
      <c r="F696" s="18" t="inlineStr">
        <is>
          <t>hiring_date</t>
        </is>
      </c>
      <c r="G696" s="18" t="inlineStr">
        <is>
          <t>date</t>
        </is>
      </c>
      <c r="H696" s="18" t="inlineStr">
        <is>
          <t>No</t>
        </is>
      </c>
      <c r="I696" s="18" t="inlineStr"/>
      <c r="J696" s="18" t="inlineStr"/>
      <c r="K696" s="18" t="inlineStr"/>
      <c r="L696" s="18" t="inlineStr">
        <is>
          <t>No</t>
        </is>
      </c>
      <c r="M696" s="18" t="inlineStr">
        <is>
          <t>No</t>
        </is>
      </c>
      <c r="N696" s="18" t="inlineStr"/>
      <c r="O696" s="18" t="inlineStr"/>
      <c r="P696" s="18" t="inlineStr">
        <is>
          <t>Mapeada en certification-service/src/certificates/certificate.entity.ts:32 (Certificate.hiring_date)</t>
        </is>
      </c>
      <c r="Q696" s="18" t="inlineStr">
        <is>
          <t>Propuesta semántica</t>
        </is>
      </c>
      <c r="R696" s="18" t="inlineStr">
        <is>
          <t>Fecha de vinculación del empleado a la entidad, informada en el certificado laboral.</t>
        </is>
      </c>
      <c r="S696" s="18" t="inlineStr">
        <is>
          <t>Alta</t>
        </is>
      </c>
      <c r="T696" s="18" t="inlineStr">
        <is>
          <t>nombre + tipo + columnas vecinas ~</t>
        </is>
      </c>
      <c r="U696" s="18" t="inlineStr"/>
      <c r="V696" s="19" t="inlineStr">
        <is>
          <t>Pendiente</t>
        </is>
      </c>
      <c r="W696" s="19" t="inlineStr"/>
      <c r="X696" s="19" t="inlineStr"/>
      <c r="Y696" s="20" t="n"/>
      <c r="Z696" s="19" t="inlineStr"/>
      <c r="AA696" s="18">
        <f>IF(OR(V696="Aprobada"),R696,IF(AND(OR(V696="Aprobada con ajuste",V696="Rechazada"),W696&lt;&gt;""),W696,""))</f>
        <v/>
      </c>
    </row>
    <row r="697">
      <c r="A697" s="18" t="inlineStr">
        <is>
          <t>C0696</t>
        </is>
      </c>
      <c r="B697" s="18" t="inlineStr">
        <is>
          <t>Certificaciones</t>
        </is>
      </c>
      <c r="C697" s="18" t="inlineStr">
        <is>
          <t>certification</t>
        </is>
      </c>
      <c r="D697" s="18" t="inlineStr">
        <is>
          <t>certificates</t>
        </is>
      </c>
      <c r="E697" s="18" t="n">
        <v>130</v>
      </c>
      <c r="F697" s="18" t="inlineStr">
        <is>
          <t>position_category</t>
        </is>
      </c>
      <c r="G697" s="18" t="inlineStr">
        <is>
          <t>character varying(100)</t>
        </is>
      </c>
      <c r="H697" s="18" t="inlineStr">
        <is>
          <t>No</t>
        </is>
      </c>
      <c r="I697" s="18" t="inlineStr"/>
      <c r="J697" s="18" t="inlineStr"/>
      <c r="K697" s="18" t="inlineStr"/>
      <c r="L697" s="18" t="inlineStr">
        <is>
          <t>No</t>
        </is>
      </c>
      <c r="M697" s="18" t="inlineStr">
        <is>
          <t>No</t>
        </is>
      </c>
      <c r="N697" s="18" t="inlineStr"/>
      <c r="O697" s="18" t="inlineStr"/>
      <c r="P697" s="18" t="inlineStr">
        <is>
          <t>Mapeada en certification-service/src/certificates/certificate.entity.ts:35 (Certificate.position_category)</t>
        </is>
      </c>
      <c r="Q697" s="18" t="inlineStr">
        <is>
          <t>Propuesta semántica</t>
        </is>
      </c>
      <c r="R697" s="18" t="inlineStr">
        <is>
          <t>Categoría o denominación del cargo del empleado registrada en el certificado.</t>
        </is>
      </c>
      <c r="S697" s="18" t="inlineStr">
        <is>
          <t>Media</t>
        </is>
      </c>
      <c r="T697" s="18" t="inlineStr">
        <is>
          <t>nombre + tipo + columnas vecinas (position_code, grade_code)</t>
        </is>
      </c>
      <c r="U697" s="18" t="inlineStr">
        <is>
          <t>¿position_category guarda la denominación del cargo o el nivel jerárquico (asistencial, profesional, etc.)?</t>
        </is>
      </c>
      <c r="V697" s="19" t="inlineStr">
        <is>
          <t>Pendiente</t>
        </is>
      </c>
      <c r="W697" s="19" t="inlineStr"/>
      <c r="X697" s="19" t="inlineStr"/>
      <c r="Y697" s="20" t="n"/>
      <c r="Z697" s="19" t="inlineStr"/>
      <c r="AA697" s="18">
        <f>IF(OR(V697="Aprobada"),R697,IF(AND(OR(V697="Aprobada con ajuste",V697="Rechazada"),W697&lt;&gt;""),W697,""))</f>
        <v/>
      </c>
    </row>
    <row r="698">
      <c r="A698" s="18" t="inlineStr">
        <is>
          <t>C0697</t>
        </is>
      </c>
      <c r="B698" s="18" t="inlineStr">
        <is>
          <t>Certificaciones</t>
        </is>
      </c>
      <c r="C698" s="18" t="inlineStr">
        <is>
          <t>certification</t>
        </is>
      </c>
      <c r="D698" s="18" t="inlineStr">
        <is>
          <t>certificates</t>
        </is>
      </c>
      <c r="E698" s="18" t="n">
        <v>130</v>
      </c>
      <c r="F698" s="18" t="inlineStr">
        <is>
          <t>position_location</t>
        </is>
      </c>
      <c r="G698" s="18" t="inlineStr">
        <is>
          <t>character varying(150)</t>
        </is>
      </c>
      <c r="H698" s="18" t="inlineStr">
        <is>
          <t>Sí</t>
        </is>
      </c>
      <c r="I698" s="18" t="inlineStr"/>
      <c r="J698" s="18" t="inlineStr"/>
      <c r="K698" s="18" t="inlineStr"/>
      <c r="L698" s="18" t="inlineStr">
        <is>
          <t>No</t>
        </is>
      </c>
      <c r="M698" s="18" t="inlineStr">
        <is>
          <t>No</t>
        </is>
      </c>
      <c r="N698" s="18" t="inlineStr"/>
      <c r="O698" s="18" t="inlineStr"/>
      <c r="P698" s="18" t="inlineStr">
        <is>
          <t>Mapeada en certification-service/src/certificates/certificate.entity.ts:38 (Certificate.position_location)</t>
        </is>
      </c>
      <c r="Q698" s="18" t="inlineStr">
        <is>
          <t>Propuesta semántica</t>
        </is>
      </c>
      <c r="R698" s="18" t="inlineStr">
        <is>
          <t>Ubicación o dependencia donde el empleado desempeña el cargo, según el certificado.</t>
        </is>
      </c>
      <c r="S698" s="18" t="inlineStr">
        <is>
          <t>Media</t>
        </is>
      </c>
      <c r="T698" s="18" t="inlineStr">
        <is>
          <t>nombre + tipo + columnas vecinas</t>
        </is>
      </c>
      <c r="U698" s="18" t="inlineStr">
        <is>
          <t>¿position_location corresponde a la dependencia, la sede o la ciudad del cargo?</t>
        </is>
      </c>
      <c r="V698" s="19" t="inlineStr">
        <is>
          <t>Pendiente</t>
        </is>
      </c>
      <c r="W698" s="19" t="inlineStr"/>
      <c r="X698" s="19" t="inlineStr"/>
      <c r="Y698" s="20" t="n"/>
      <c r="Z698" s="19" t="inlineStr"/>
      <c r="AA698" s="18">
        <f>IF(OR(V698="Aprobada"),R698,IF(AND(OR(V698="Aprobada con ajuste",V698="Rechazada"),W698&lt;&gt;""),W698,""))</f>
        <v/>
      </c>
    </row>
    <row r="699">
      <c r="A699" s="18" t="inlineStr">
        <is>
          <t>C0698</t>
        </is>
      </c>
      <c r="B699" s="18" t="inlineStr">
        <is>
          <t>Certificaciones</t>
        </is>
      </c>
      <c r="C699" s="18" t="inlineStr">
        <is>
          <t>certification</t>
        </is>
      </c>
      <c r="D699" s="18" t="inlineStr">
        <is>
          <t>certificates</t>
        </is>
      </c>
      <c r="E699" s="18" t="n">
        <v>130</v>
      </c>
      <c r="F699" s="18" t="inlineStr">
        <is>
          <t>monthly_salary</t>
        </is>
      </c>
      <c r="G699" s="18" t="inlineStr">
        <is>
          <t>numeric(12,2)</t>
        </is>
      </c>
      <c r="H699" s="18" t="inlineStr">
        <is>
          <t>No</t>
        </is>
      </c>
      <c r="I699" s="18" t="inlineStr"/>
      <c r="J699" s="18" t="inlineStr"/>
      <c r="K699" s="18" t="inlineStr"/>
      <c r="L699" s="18" t="inlineStr">
        <is>
          <t>No</t>
        </is>
      </c>
      <c r="M699" s="18" t="inlineStr">
        <is>
          <t>No</t>
        </is>
      </c>
      <c r="N699" s="18" t="inlineStr"/>
      <c r="O699" s="18" t="inlineStr"/>
      <c r="P699" s="18" t="inlineStr">
        <is>
          <t>Mapeada en certification-service/src/certificates/certificate.entity.ts:41 (Certificate.monthly_salary)</t>
        </is>
      </c>
      <c r="Q699" s="18" t="inlineStr">
        <is>
          <t>Propuesta semántica</t>
        </is>
      </c>
      <c r="R699" s="18" t="inlineStr">
        <is>
          <t>Asignación salarial mensual del empleado incluida en el certificado, en pesos colombianos.</t>
        </is>
      </c>
      <c r="S699" s="18" t="inlineStr">
        <is>
          <t>Media</t>
        </is>
      </c>
      <c r="T699" s="18" t="inlineStr">
        <is>
          <t>nombre + tipo + columnas vecinas (include_salary)</t>
        </is>
      </c>
      <c r="U699" s="18" t="inlineStr">
        <is>
          <t>¿monthly_salary es la asignación básica o incluye otros factores salariales? ¿Siempre en pesos colombianos?</t>
        </is>
      </c>
      <c r="V699" s="19" t="inlineStr">
        <is>
          <t>Pendiente</t>
        </is>
      </c>
      <c r="W699" s="19" t="inlineStr"/>
      <c r="X699" s="19" t="inlineStr"/>
      <c r="Y699" s="20" t="n"/>
      <c r="Z699" s="19" t="inlineStr"/>
      <c r="AA699" s="18">
        <f>IF(OR(V699="Aprobada"),R699,IF(AND(OR(V699="Aprobada con ajuste",V699="Rechazada"),W699&lt;&gt;""),W699,""))</f>
        <v/>
      </c>
    </row>
    <row r="700">
      <c r="A700" s="18" t="inlineStr">
        <is>
          <t>C0699</t>
        </is>
      </c>
      <c r="B700" s="18" t="inlineStr">
        <is>
          <t>Certificaciones</t>
        </is>
      </c>
      <c r="C700" s="18" t="inlineStr">
        <is>
          <t>certification</t>
        </is>
      </c>
      <c r="D700" s="18" t="inlineStr">
        <is>
          <t>certificates</t>
        </is>
      </c>
      <c r="E700" s="18" t="n">
        <v>130</v>
      </c>
      <c r="F700" s="18" t="inlineStr">
        <is>
          <t>salary_text</t>
        </is>
      </c>
      <c r="G700" s="18" t="inlineStr">
        <is>
          <t>character varying(255)</t>
        </is>
      </c>
      <c r="H700" s="18" t="inlineStr">
        <is>
          <t>Sí</t>
        </is>
      </c>
      <c r="I700" s="18" t="inlineStr"/>
      <c r="J700" s="18" t="inlineStr"/>
      <c r="K700" s="18" t="inlineStr"/>
      <c r="L700" s="18" t="inlineStr">
        <is>
          <t>No</t>
        </is>
      </c>
      <c r="M700" s="18" t="inlineStr">
        <is>
          <t>No</t>
        </is>
      </c>
      <c r="N700" s="18" t="inlineStr"/>
      <c r="O700" s="18" t="inlineStr"/>
      <c r="P700" s="18" t="inlineStr">
        <is>
          <t>Mapeada en certification-service/src/certificates/certificate.entity.ts:65 (Certificate.salary_text)</t>
        </is>
      </c>
      <c r="Q700" s="18" t="inlineStr">
        <is>
          <t>Propuesta semántica</t>
        </is>
      </c>
      <c r="R700" s="18" t="inlineStr">
        <is>
          <t>Valor del salario mensual escrito en letras, tal como aparece en el certificado.</t>
        </is>
      </c>
      <c r="S700" s="18" t="inlineStr">
        <is>
          <t>Media</t>
        </is>
      </c>
      <c r="T700" s="18" t="inlineStr">
        <is>
          <t>nombre + tipo + columnas vecinas (monthly_salary)</t>
        </is>
      </c>
      <c r="U700" s="18" t="inlineStr">
        <is>
          <t>¿salary_text contiene el valor del salario en letras para el texto del certificado?</t>
        </is>
      </c>
      <c r="V700" s="19" t="inlineStr">
        <is>
          <t>Pendiente</t>
        </is>
      </c>
      <c r="W700" s="19" t="inlineStr"/>
      <c r="X700" s="19" t="inlineStr"/>
      <c r="Y700" s="20" t="n"/>
      <c r="Z700" s="19" t="inlineStr"/>
      <c r="AA700" s="18">
        <f>IF(OR(V700="Aprobada"),R700,IF(AND(OR(V700="Aprobada con ajuste",V700="Rechazada"),W700&lt;&gt;""),W700,""))</f>
        <v/>
      </c>
    </row>
    <row r="701">
      <c r="A701" s="18" t="inlineStr">
        <is>
          <t>C0700</t>
        </is>
      </c>
      <c r="B701" s="18" t="inlineStr">
        <is>
          <t>Certificaciones</t>
        </is>
      </c>
      <c r="C701" s="18" t="inlineStr">
        <is>
          <t>certification</t>
        </is>
      </c>
      <c r="D701" s="18" t="inlineStr">
        <is>
          <t>certificates</t>
        </is>
      </c>
      <c r="E701" s="18" t="n">
        <v>130</v>
      </c>
      <c r="F701" s="18" t="inlineStr">
        <is>
          <t>department</t>
        </is>
      </c>
      <c r="G701" s="18" t="inlineStr">
        <is>
          <t>character varying(255)</t>
        </is>
      </c>
      <c r="H701" s="18" t="inlineStr">
        <is>
          <t>Sí</t>
        </is>
      </c>
      <c r="I701" s="18" t="inlineStr"/>
      <c r="J701" s="18" t="inlineStr"/>
      <c r="K701" s="18" t="inlineStr"/>
      <c r="L701" s="18" t="inlineStr">
        <is>
          <t>No</t>
        </is>
      </c>
      <c r="M701" s="18" t="inlineStr">
        <is>
          <t>No</t>
        </is>
      </c>
      <c r="N701" s="18" t="inlineStr"/>
      <c r="O701" s="18" t="inlineStr"/>
      <c r="P701" s="18" t="inlineStr">
        <is>
          <t>Mapeada en certification-service/src/certificates/certificate.entity.ts:68 (Certificate.department)</t>
        </is>
      </c>
      <c r="Q701" s="18" t="inlineStr">
        <is>
          <t>Propuesta semántica</t>
        </is>
      </c>
      <c r="R701" s="18" t="inlineStr">
        <is>
          <t>Dependencia del empleado registrada en el certificado.</t>
        </is>
      </c>
      <c r="S701" s="18" t="inlineStr">
        <is>
          <t>Media</t>
        </is>
      </c>
      <c r="T701" s="18" t="inlineStr">
        <is>
          <t>nombre + tipo + columnas vecinas</t>
        </is>
      </c>
      <c r="U701" s="18" t="inlineStr">
        <is>
          <t>¿department es la dependencia organizacional del empleado o el departamento geográfico?</t>
        </is>
      </c>
      <c r="V701" s="19" t="inlineStr">
        <is>
          <t>Pendiente</t>
        </is>
      </c>
      <c r="W701" s="19" t="inlineStr"/>
      <c r="X701" s="19" t="inlineStr"/>
      <c r="Y701" s="20" t="n"/>
      <c r="Z701" s="19" t="inlineStr"/>
      <c r="AA701" s="18">
        <f>IF(OR(V701="Aprobada"),R701,IF(AND(OR(V701="Aprobada con ajuste",V701="Rechazada"),W701&lt;&gt;""),W701,""))</f>
        <v/>
      </c>
    </row>
    <row r="702">
      <c r="A702" s="18" t="inlineStr">
        <is>
          <t>C0701</t>
        </is>
      </c>
      <c r="B702" s="18" t="inlineStr">
        <is>
          <t>Certificaciones</t>
        </is>
      </c>
      <c r="C702" s="18" t="inlineStr">
        <is>
          <t>certification</t>
        </is>
      </c>
      <c r="D702" s="18" t="inlineStr">
        <is>
          <t>certificates</t>
        </is>
      </c>
      <c r="E702" s="18" t="n">
        <v>130</v>
      </c>
      <c r="F702" s="18" t="inlineStr">
        <is>
          <t>campus</t>
        </is>
      </c>
      <c r="G702" s="18" t="inlineStr">
        <is>
          <t>character varying(100)</t>
        </is>
      </c>
      <c r="H702" s="18" t="inlineStr">
        <is>
          <t>Sí</t>
        </is>
      </c>
      <c r="I702" s="18" t="inlineStr"/>
      <c r="J702" s="18" t="inlineStr"/>
      <c r="K702" s="18" t="inlineStr"/>
      <c r="L702" s="18" t="inlineStr">
        <is>
          <t>No</t>
        </is>
      </c>
      <c r="M702" s="18" t="inlineStr">
        <is>
          <t>No</t>
        </is>
      </c>
      <c r="N702" s="18" t="inlineStr"/>
      <c r="O702" s="18" t="inlineStr"/>
      <c r="P702" s="18" t="inlineStr">
        <is>
          <t>Mapeada en certification-service/src/certificates/certificate.entity.ts:84 (Certificate.campus)</t>
        </is>
      </c>
      <c r="Q702" s="18" t="inlineStr">
        <is>
          <t>Propuesta semántica</t>
        </is>
      </c>
      <c r="R702" s="18" t="inlineStr">
        <is>
          <t>Sede de la ESAP a la que pertenece el empleado, según el certificado.</t>
        </is>
      </c>
      <c r="S702" s="18" t="inlineStr">
        <is>
          <t>Media</t>
        </is>
      </c>
      <c r="T702" s="18" t="inlineStr">
        <is>
          <t>nombre + tipo + columnas vecinas</t>
        </is>
      </c>
      <c r="U702" s="18" t="inlineStr">
        <is>
          <t>¿campus se toma de un catálogo de sedes o es texto libre?</t>
        </is>
      </c>
      <c r="V702" s="19" t="inlineStr">
        <is>
          <t>Pendiente</t>
        </is>
      </c>
      <c r="W702" s="19" t="inlineStr"/>
      <c r="X702" s="19" t="inlineStr"/>
      <c r="Y702" s="20" t="n"/>
      <c r="Z702" s="19" t="inlineStr"/>
      <c r="AA702" s="18">
        <f>IF(OR(V702="Aprobada"),R702,IF(AND(OR(V702="Aprobada con ajuste",V702="Rechazada"),W702&lt;&gt;""),W702,""))</f>
        <v/>
      </c>
    </row>
    <row r="703">
      <c r="A703" s="18" t="inlineStr">
        <is>
          <t>C0702</t>
        </is>
      </c>
      <c r="B703" s="18" t="inlineStr">
        <is>
          <t>Certificaciones</t>
        </is>
      </c>
      <c r="C703" s="18" t="inlineStr">
        <is>
          <t>certification</t>
        </is>
      </c>
      <c r="D703" s="18" t="inlineStr">
        <is>
          <t>certificates</t>
        </is>
      </c>
      <c r="E703" s="18" t="n">
        <v>130</v>
      </c>
      <c r="F703" s="18" t="inlineStr">
        <is>
          <t>issue_date</t>
        </is>
      </c>
      <c r="G703" s="18" t="inlineStr">
        <is>
          <t>date</t>
        </is>
      </c>
      <c r="H703" s="18" t="inlineStr">
        <is>
          <t>No</t>
        </is>
      </c>
      <c r="I703" s="18" t="inlineStr"/>
      <c r="J703" s="18" t="inlineStr"/>
      <c r="K703" s="18" t="inlineStr"/>
      <c r="L703" s="18" t="inlineStr">
        <is>
          <t>No</t>
        </is>
      </c>
      <c r="M703" s="18" t="inlineStr">
        <is>
          <t>No</t>
        </is>
      </c>
      <c r="N703" s="18" t="inlineStr"/>
      <c r="O703" s="18" t="inlineStr"/>
      <c r="P703" s="18" t="inlineStr">
        <is>
          <t>db/init/old/005_schema_certification.sql:104: Certificate dates Date when the certificate is issued</t>
        </is>
      </c>
      <c r="Q703" s="18" t="inlineStr">
        <is>
          <t>Código fuente</t>
        </is>
      </c>
      <c r="R703" s="18" t="inlineStr">
        <is>
          <t>Fecha de expedición del certificado.</t>
        </is>
      </c>
      <c r="S703" s="18" t="inlineStr">
        <is>
          <t>Alta</t>
        </is>
      </c>
      <c r="T703" s="18" t="inlineStr">
        <is>
          <t>código: db/init/old/005_schema_certification.sql:104</t>
        </is>
      </c>
      <c r="U703" s="18" t="inlineStr"/>
      <c r="V703" s="19" t="inlineStr">
        <is>
          <t>Pendiente</t>
        </is>
      </c>
      <c r="W703" s="19" t="inlineStr"/>
      <c r="X703" s="19" t="inlineStr"/>
      <c r="Y703" s="20" t="n"/>
      <c r="Z703" s="19" t="inlineStr"/>
      <c r="AA703" s="18">
        <f>IF(OR(V703="Aprobada"),R703,IF(AND(OR(V703="Aprobada con ajuste",V703="Rechazada"),W703&lt;&gt;""),W703,""))</f>
        <v/>
      </c>
    </row>
    <row r="704">
      <c r="A704" s="18" t="inlineStr">
        <is>
          <t>C0703</t>
        </is>
      </c>
      <c r="B704" s="18" t="inlineStr">
        <is>
          <t>Certificaciones</t>
        </is>
      </c>
      <c r="C704" s="18" t="inlineStr">
        <is>
          <t>certification</t>
        </is>
      </c>
      <c r="D704" s="18" t="inlineStr">
        <is>
          <t>certificates</t>
        </is>
      </c>
      <c r="E704" s="18" t="n">
        <v>130</v>
      </c>
      <c r="F704" s="18" t="inlineStr">
        <is>
          <t>issuance_timestamp</t>
        </is>
      </c>
      <c r="G704" s="18" t="inlineStr">
        <is>
          <t>timestamp without time zone</t>
        </is>
      </c>
      <c r="H704" s="18" t="inlineStr">
        <is>
          <t>No</t>
        </is>
      </c>
      <c r="I704" s="18" t="inlineStr"/>
      <c r="J704" s="18" t="inlineStr"/>
      <c r="K704" s="18" t="inlineStr"/>
      <c r="L704" s="18" t="inlineStr">
        <is>
          <t>No</t>
        </is>
      </c>
      <c r="M704" s="18" t="inlineStr">
        <is>
          <t>No</t>
        </is>
      </c>
      <c r="N704" s="18" t="inlineStr"/>
      <c r="O704" s="18" t="inlineStr"/>
      <c r="P704" s="18" t="inlineStr">
        <is>
          <t>Mapeada en certification-service/src/certificates/certificate.entity.ts:90 (Certificate.issuance_timestamp)</t>
        </is>
      </c>
      <c r="Q704" s="18" t="inlineStr">
        <is>
          <t>Propuesta semántica</t>
        </is>
      </c>
      <c r="R704" s="18" t="inlineStr">
        <is>
          <t>Fecha y hora en que se generó el certificado.</t>
        </is>
      </c>
      <c r="S704" s="18" t="inlineStr">
        <is>
          <t>Alta</t>
        </is>
      </c>
      <c r="T704" s="18" t="inlineStr">
        <is>
          <t>nombre + tipo + defecto now() ~</t>
        </is>
      </c>
      <c r="U704" s="18" t="inlineStr"/>
      <c r="V704" s="19" t="inlineStr">
        <is>
          <t>Pendiente</t>
        </is>
      </c>
      <c r="W704" s="19" t="inlineStr"/>
      <c r="X704" s="19" t="inlineStr"/>
      <c r="Y704" s="20" t="n"/>
      <c r="Z704" s="19" t="inlineStr"/>
      <c r="AA704" s="18">
        <f>IF(OR(V704="Aprobada"),R704,IF(AND(OR(V704="Aprobada con ajuste",V704="Rechazada"),W704&lt;&gt;""),W704,""))</f>
        <v/>
      </c>
    </row>
    <row r="705">
      <c r="A705" s="18" t="inlineStr">
        <is>
          <t>C0704</t>
        </is>
      </c>
      <c r="B705" s="18" t="inlineStr">
        <is>
          <t>Certificaciones</t>
        </is>
      </c>
      <c r="C705" s="18" t="inlineStr">
        <is>
          <t>certification</t>
        </is>
      </c>
      <c r="D705" s="18" t="inlineStr">
        <is>
          <t>certificates</t>
        </is>
      </c>
      <c r="E705" s="18" t="n">
        <v>130</v>
      </c>
      <c r="F705" s="18" t="inlineStr">
        <is>
          <t>signer_name</t>
        </is>
      </c>
      <c r="G705" s="18" t="inlineStr">
        <is>
          <t>character varying(255)</t>
        </is>
      </c>
      <c r="H705" s="18" t="inlineStr">
        <is>
          <t>Sí</t>
        </is>
      </c>
      <c r="I705" s="18" t="inlineStr"/>
      <c r="J705" s="18" t="inlineStr"/>
      <c r="K705" s="18" t="inlineStr"/>
      <c r="L705" s="18" t="inlineStr">
        <is>
          <t>No</t>
        </is>
      </c>
      <c r="M705" s="18" t="inlineStr">
        <is>
          <t>No</t>
        </is>
      </c>
      <c r="N705" s="18" t="inlineStr"/>
      <c r="O705" s="18" t="inlineStr"/>
      <c r="P705" s="18" t="inlineStr">
        <is>
          <t>db/init/old/005_schema_certification.sql:109: Certificate signer ALBA LUCÍA MARÍN ZULUAGA</t>
        </is>
      </c>
      <c r="Q705" s="18" t="inlineStr">
        <is>
          <t>Código fuente</t>
        </is>
      </c>
      <c r="R705" s="18" t="inlineStr">
        <is>
          <t>Nombre del firmante del certificado.</t>
        </is>
      </c>
      <c r="S705" s="18" t="inlineStr">
        <is>
          <t>Alta</t>
        </is>
      </c>
      <c r="T705" s="18" t="inlineStr">
        <is>
          <t>código: db/init/old/005_schema_certification.sql:109</t>
        </is>
      </c>
      <c r="U705" s="18" t="inlineStr"/>
      <c r="V705" s="19" t="inlineStr">
        <is>
          <t>Pendiente</t>
        </is>
      </c>
      <c r="W705" s="19" t="inlineStr"/>
      <c r="X705" s="19" t="inlineStr"/>
      <c r="Y705" s="20" t="n"/>
      <c r="Z705" s="19" t="inlineStr"/>
      <c r="AA705" s="18">
        <f>IF(OR(V705="Aprobada"),R705,IF(AND(OR(V705="Aprobada con ajuste",V705="Rechazada"),W705&lt;&gt;""),W705,""))</f>
        <v/>
      </c>
    </row>
    <row r="706">
      <c r="A706" s="18" t="inlineStr">
        <is>
          <t>C0705</t>
        </is>
      </c>
      <c r="B706" s="18" t="inlineStr">
        <is>
          <t>Certificaciones</t>
        </is>
      </c>
      <c r="C706" s="18" t="inlineStr">
        <is>
          <t>certification</t>
        </is>
      </c>
      <c r="D706" s="18" t="inlineStr">
        <is>
          <t>certificates</t>
        </is>
      </c>
      <c r="E706" s="18" t="n">
        <v>130</v>
      </c>
      <c r="F706" s="18" t="inlineStr">
        <is>
          <t>signer_position</t>
        </is>
      </c>
      <c r="G706" s="18" t="inlineStr">
        <is>
          <t>character varying(255)</t>
        </is>
      </c>
      <c r="H706" s="18" t="inlineStr">
        <is>
          <t>Sí</t>
        </is>
      </c>
      <c r="I706" s="18" t="inlineStr"/>
      <c r="J706" s="18" t="inlineStr"/>
      <c r="K706" s="18" t="inlineStr"/>
      <c r="L706" s="18" t="inlineStr">
        <is>
          <t>No</t>
        </is>
      </c>
      <c r="M706" s="18" t="inlineStr">
        <is>
          <t>No</t>
        </is>
      </c>
      <c r="N706" s="18" t="inlineStr"/>
      <c r="O706" s="18" t="inlineStr"/>
      <c r="P706" s="18" t="inlineStr">
        <is>
          <t>db/init/old/005_schema_certification.sql:110: TECHNICAL DIRECTOR OF HUMAN TALENT</t>
        </is>
      </c>
      <c r="Q706" s="18" t="inlineStr">
        <is>
          <t>Código fuente</t>
        </is>
      </c>
      <c r="R706" s="18" t="inlineStr">
        <is>
          <t>Cargo del firmante del certificado (por ejemplo, Director Técnico de Talento Humano).</t>
        </is>
      </c>
      <c r="S706" s="18" t="inlineStr">
        <is>
          <t>Alta</t>
        </is>
      </c>
      <c r="T706" s="18" t="inlineStr">
        <is>
          <t>código: db/init/old/005_schema_certification.sql:110</t>
        </is>
      </c>
      <c r="U706" s="18" t="inlineStr"/>
      <c r="V706" s="19" t="inlineStr">
        <is>
          <t>Pendiente</t>
        </is>
      </c>
      <c r="W706" s="19" t="inlineStr"/>
      <c r="X706" s="19" t="inlineStr"/>
      <c r="Y706" s="20" t="n"/>
      <c r="Z706" s="19" t="inlineStr"/>
      <c r="AA706" s="18">
        <f>IF(OR(V706="Aprobada"),R706,IF(AND(OR(V706="Aprobada con ajuste",V706="Rechazada"),W706&lt;&gt;""),W706,""))</f>
        <v/>
      </c>
    </row>
    <row r="707">
      <c r="A707" s="18" t="inlineStr">
        <is>
          <t>C0706</t>
        </is>
      </c>
      <c r="B707" s="18" t="inlineStr">
        <is>
          <t>Certificaciones</t>
        </is>
      </c>
      <c r="C707" s="18" t="inlineStr">
        <is>
          <t>certification</t>
        </is>
      </c>
      <c r="D707" s="18" t="inlineStr">
        <is>
          <t>certificates</t>
        </is>
      </c>
      <c r="E707" s="18" t="n">
        <v>130</v>
      </c>
      <c r="F707" s="18" t="inlineStr">
        <is>
          <t>signer_department</t>
        </is>
      </c>
      <c r="G707" s="18" t="inlineStr">
        <is>
          <t>character varying(255)</t>
        </is>
      </c>
      <c r="H707" s="18" t="inlineStr">
        <is>
          <t>Sí</t>
        </is>
      </c>
      <c r="I707" s="18" t="inlineStr"/>
      <c r="J707" s="18" t="inlineStr"/>
      <c r="K707" s="18" t="inlineStr"/>
      <c r="L707" s="18" t="inlineStr">
        <is>
          <t>No</t>
        </is>
      </c>
      <c r="M707" s="18" t="inlineStr">
        <is>
          <t>No</t>
        </is>
      </c>
      <c r="N707" s="18" t="inlineStr"/>
      <c r="O707" s="18" t="inlineStr"/>
      <c r="P707" s="18" t="inlineStr">
        <is>
          <t>Mapeada en certification-service/src/certificates/certificate.entity.ts:99 (Certificate.signer_department)</t>
        </is>
      </c>
      <c r="Q707" s="18" t="inlineStr">
        <is>
          <t>Propuesta semántica</t>
        </is>
      </c>
      <c r="R707" s="18" t="inlineStr">
        <is>
          <t>Dependencia del firmante del certificado, copiada al momento de la expedición.</t>
        </is>
      </c>
      <c r="S707" s="18" t="inlineStr">
        <is>
          <t>Alta</t>
        </is>
      </c>
      <c r="T707" s="18" t="inlineStr">
        <is>
          <t>nombre + columnas vecinas (signer_name, signer_position) ~</t>
        </is>
      </c>
      <c r="U707" s="18" t="inlineStr"/>
      <c r="V707" s="19" t="inlineStr">
        <is>
          <t>Pendiente</t>
        </is>
      </c>
      <c r="W707" s="19" t="inlineStr"/>
      <c r="X707" s="19" t="inlineStr"/>
      <c r="Y707" s="20" t="n"/>
      <c r="Z707" s="19" t="inlineStr"/>
      <c r="AA707" s="18">
        <f>IF(OR(V707="Aprobada"),R707,IF(AND(OR(V707="Aprobada con ajuste",V707="Rechazada"),W707&lt;&gt;""),W707,""))</f>
        <v/>
      </c>
    </row>
    <row r="708">
      <c r="A708" s="18" t="inlineStr">
        <is>
          <t>C0707</t>
        </is>
      </c>
      <c r="B708" s="18" t="inlineStr">
        <is>
          <t>Certificaciones</t>
        </is>
      </c>
      <c r="C708" s="18" t="inlineStr">
        <is>
          <t>certification</t>
        </is>
      </c>
      <c r="D708" s="18" t="inlineStr">
        <is>
          <t>certificates</t>
        </is>
      </c>
      <c r="E708" s="18" t="n">
        <v>130</v>
      </c>
      <c r="F708" s="18" t="inlineStr">
        <is>
          <t>pdf_url</t>
        </is>
      </c>
      <c r="G708" s="18" t="inlineStr">
        <is>
          <t>character varying(500)</t>
        </is>
      </c>
      <c r="H708" s="18" t="inlineStr">
        <is>
          <t>Sí</t>
        </is>
      </c>
      <c r="I708" s="18" t="inlineStr"/>
      <c r="J708" s="18" t="inlineStr"/>
      <c r="K708" s="18" t="inlineStr"/>
      <c r="L708" s="18" t="inlineStr">
        <is>
          <t>No</t>
        </is>
      </c>
      <c r="M708" s="18" t="inlineStr">
        <is>
          <t>No</t>
        </is>
      </c>
      <c r="N708" s="18" t="inlineStr"/>
      <c r="O708" s="18" t="inlineStr"/>
      <c r="P708" s="18" t="inlineStr">
        <is>
          <t>db/init/old/005_schema_certification.sql:114: PDF file Path or URL of the generated PDF</t>
        </is>
      </c>
      <c r="Q708" s="18" t="inlineStr">
        <is>
          <t>Código fuente</t>
        </is>
      </c>
      <c r="R708" s="18" t="inlineStr">
        <is>
          <t>Ruta o URL del archivo PDF generado del certificado.</t>
        </is>
      </c>
      <c r="S708" s="18" t="inlineStr">
        <is>
          <t>Alta</t>
        </is>
      </c>
      <c r="T708" s="18" t="inlineStr">
        <is>
          <t>código: db/init/old/005_schema_certification.sql:114</t>
        </is>
      </c>
      <c r="U708" s="18" t="inlineStr"/>
      <c r="V708" s="19" t="inlineStr">
        <is>
          <t>Pendiente</t>
        </is>
      </c>
      <c r="W708" s="19" t="inlineStr"/>
      <c r="X708" s="19" t="inlineStr"/>
      <c r="Y708" s="20" t="n"/>
      <c r="Z708" s="19" t="inlineStr"/>
      <c r="AA708" s="18">
        <f>IF(OR(V708="Aprobada"),R708,IF(AND(OR(V708="Aprobada con ajuste",V708="Rechazada"),W708&lt;&gt;""),W708,""))</f>
        <v/>
      </c>
    </row>
    <row r="709">
      <c r="A709" s="18" t="inlineStr">
        <is>
          <t>C0708</t>
        </is>
      </c>
      <c r="B709" s="18" t="inlineStr">
        <is>
          <t>Certificaciones</t>
        </is>
      </c>
      <c r="C709" s="18" t="inlineStr">
        <is>
          <t>certification</t>
        </is>
      </c>
      <c r="D709" s="18" t="inlineStr">
        <is>
          <t>certificates</t>
        </is>
      </c>
      <c r="E709" s="18" t="n">
        <v>130</v>
      </c>
      <c r="F709" s="18" t="inlineStr">
        <is>
          <t>status</t>
        </is>
      </c>
      <c r="G709" s="18" t="inlineStr">
        <is>
          <t>character varying(50)</t>
        </is>
      </c>
      <c r="H709" s="18" t="inlineStr">
        <is>
          <t>No</t>
        </is>
      </c>
      <c r="I709" s="18" t="inlineStr"/>
      <c r="J709" s="18" t="inlineStr"/>
      <c r="K709" s="18" t="inlineStr"/>
      <c r="L709" s="18" t="inlineStr">
        <is>
          <t>No</t>
        </is>
      </c>
      <c r="M709" s="18" t="inlineStr">
        <is>
          <t>No</t>
        </is>
      </c>
      <c r="N709" s="18" t="inlineStr"/>
      <c r="O709" s="18" t="inlineStr">
        <is>
          <t>idx_certificates_status</t>
        </is>
      </c>
      <c r="P709" s="18" t="inlineStr">
        <is>
          <t>db/init/old/005_schema_certification.sql:118: Status VALID, REVOKED, EXPIRED</t>
        </is>
      </c>
      <c r="Q709" s="18" t="inlineStr">
        <is>
          <t>Código fuente</t>
        </is>
      </c>
      <c r="R709" s="18" t="inlineStr">
        <is>
          <t>Estado del certificado laboral. Valores previstos: VALID, REVOKED, EXPIRED; por defecto VALID.</t>
        </is>
      </c>
      <c r="S709" s="18" t="inlineStr">
        <is>
          <t>Alta</t>
        </is>
      </c>
      <c r="T709" s="18" t="inlineStr">
        <is>
          <t>código: db/init/old/005_schema_certification.sql:118</t>
        </is>
      </c>
      <c r="U709" s="18" t="inlineStr"/>
      <c r="V709" s="19" t="inlineStr">
        <is>
          <t>Pendiente</t>
        </is>
      </c>
      <c r="W709" s="19" t="inlineStr"/>
      <c r="X709" s="19" t="inlineStr"/>
      <c r="Y709" s="20" t="n"/>
      <c r="Z709" s="19" t="inlineStr"/>
      <c r="AA709" s="18">
        <f>IF(OR(V709="Aprobada"),R709,IF(AND(OR(V709="Aprobada con ajuste",V709="Rechazada"),W709&lt;&gt;""),W709,""))</f>
        <v/>
      </c>
    </row>
    <row r="710">
      <c r="A710" s="18" t="inlineStr">
        <is>
          <t>C0709</t>
        </is>
      </c>
      <c r="B710" s="18" t="inlineStr">
        <is>
          <t>Certificaciones</t>
        </is>
      </c>
      <c r="C710" s="18" t="inlineStr">
        <is>
          <t>certification</t>
        </is>
      </c>
      <c r="D710" s="18" t="inlineStr">
        <is>
          <t>certificates</t>
        </is>
      </c>
      <c r="E710" s="18" t="n">
        <v>130</v>
      </c>
      <c r="F710" s="18" t="inlineStr">
        <is>
          <t>validation_count</t>
        </is>
      </c>
      <c r="G710" s="18" t="inlineStr">
        <is>
          <t>integer</t>
        </is>
      </c>
      <c r="H710" s="18" t="inlineStr">
        <is>
          <t>Sí</t>
        </is>
      </c>
      <c r="I710" s="18" t="inlineStr"/>
      <c r="J710" s="18" t="inlineStr"/>
      <c r="K710" s="18" t="inlineStr"/>
      <c r="L710" s="18" t="inlineStr">
        <is>
          <t>No</t>
        </is>
      </c>
      <c r="M710" s="18" t="inlineStr">
        <is>
          <t>No</t>
        </is>
      </c>
      <c r="N710" s="18" t="inlineStr"/>
      <c r="O710" s="18" t="inlineStr"/>
      <c r="P710" s="18" t="inlineStr">
        <is>
          <t>db/init/old/005_schema_certification.sql:124: Validations</t>
        </is>
      </c>
      <c r="Q710" s="18" t="inlineStr">
        <is>
          <t>Código fuente</t>
        </is>
      </c>
      <c r="R710" s="18" t="inlineStr">
        <is>
          <t>Número de veces que se ha validado el certificado; por defecto 0.</t>
        </is>
      </c>
      <c r="S710" s="18" t="inlineStr">
        <is>
          <t>Alta</t>
        </is>
      </c>
      <c r="T710" s="18" t="inlineStr">
        <is>
          <t>nombre + tipo + defecto + tabla certificate_validations</t>
        </is>
      </c>
      <c r="U710" s="18" t="inlineStr"/>
      <c r="V710" s="19" t="inlineStr">
        <is>
          <t>Pendiente</t>
        </is>
      </c>
      <c r="W710" s="19" t="inlineStr"/>
      <c r="X710" s="19" t="inlineStr"/>
      <c r="Y710" s="20" t="n"/>
      <c r="Z710" s="19" t="inlineStr"/>
      <c r="AA710" s="18">
        <f>IF(OR(V710="Aprobada"),R710,IF(AND(OR(V710="Aprobada con ajuste",V710="Rechazada"),W710&lt;&gt;""),W710,""))</f>
        <v/>
      </c>
    </row>
    <row r="711">
      <c r="A711" s="18" t="inlineStr">
        <is>
          <t>C0710</t>
        </is>
      </c>
      <c r="B711" s="18" t="inlineStr">
        <is>
          <t>Certificaciones</t>
        </is>
      </c>
      <c r="C711" s="18" t="inlineStr">
        <is>
          <t>certification</t>
        </is>
      </c>
      <c r="D711" s="18" t="inlineStr">
        <is>
          <t>certificates</t>
        </is>
      </c>
      <c r="E711" s="18" t="n">
        <v>130</v>
      </c>
      <c r="F711" s="18" t="inlineStr">
        <is>
          <t>technical_bonus</t>
        </is>
      </c>
      <c r="G711" s="18" t="inlineStr">
        <is>
          <t>numeric(12,2)</t>
        </is>
      </c>
      <c r="H711" s="18" t="inlineStr">
        <is>
          <t>Sí</t>
        </is>
      </c>
      <c r="I711" s="18" t="inlineStr"/>
      <c r="J711" s="18" t="inlineStr"/>
      <c r="K711" s="18" t="inlineStr"/>
      <c r="L711" s="18" t="inlineStr">
        <is>
          <t>No</t>
        </is>
      </c>
      <c r="M711" s="18" t="inlineStr">
        <is>
          <t>No</t>
        </is>
      </c>
      <c r="N711" s="18" t="inlineStr"/>
      <c r="O711" s="18" t="inlineStr"/>
      <c r="P711" s="18" t="inlineStr">
        <is>
          <t>Mapeada en certification-service/src/certificates/certificate.entity.ts:44 (Certificate.technical_bonus)</t>
        </is>
      </c>
      <c r="Q711" s="18" t="inlineStr">
        <is>
          <t>Propuesta semántica</t>
        </is>
      </c>
      <c r="R711" s="18" t="inlineStr">
        <is>
          <t>Valor de la bonificación técnica del empleado incluido en el certificado; 0 si no aplica.</t>
        </is>
      </c>
      <c r="S711" s="18" t="inlineStr">
        <is>
          <t>Media</t>
        </is>
      </c>
      <c r="T711" s="18" t="inlineStr">
        <is>
          <t>nombre + tipo + defecto 0 + columnas vecinas (include_technical_bonus, technical_bonuses)</t>
        </is>
      </c>
      <c r="U711" s="18" t="inlineStr">
        <is>
          <t>¿technical_bonus es un valor en pesos o un porcentaje? ¿Qué relación tiene con technical_bonuses?</t>
        </is>
      </c>
      <c r="V711" s="19" t="inlineStr">
        <is>
          <t>Pendiente</t>
        </is>
      </c>
      <c r="W711" s="19" t="inlineStr"/>
      <c r="X711" s="19" t="inlineStr"/>
      <c r="Y711" s="20" t="n"/>
      <c r="Z711" s="19" t="inlineStr"/>
      <c r="AA711" s="18">
        <f>IF(OR(V711="Aprobada"),R711,IF(AND(OR(V711="Aprobada con ajuste",V711="Rechazada"),W711&lt;&gt;""),W711,""))</f>
        <v/>
      </c>
    </row>
    <row r="712">
      <c r="A712" s="18" t="inlineStr">
        <is>
          <t>C0711</t>
        </is>
      </c>
      <c r="B712" s="18" t="inlineStr">
        <is>
          <t>Certificaciones</t>
        </is>
      </c>
      <c r="C712" s="18" t="inlineStr">
        <is>
          <t>certification</t>
        </is>
      </c>
      <c r="D712" s="18" t="inlineStr">
        <is>
          <t>certificates</t>
        </is>
      </c>
      <c r="E712" s="18" t="n">
        <v>130</v>
      </c>
      <c r="F712" s="18" t="inlineStr">
        <is>
          <t>last_corrected_at</t>
        </is>
      </c>
      <c r="G712" s="18" t="inlineStr">
        <is>
          <t>timestamp without time zone</t>
        </is>
      </c>
      <c r="H712" s="18" t="inlineStr">
        <is>
          <t>Sí</t>
        </is>
      </c>
      <c r="I712" s="18" t="inlineStr"/>
      <c r="J712" s="18" t="inlineStr"/>
      <c r="K712" s="18" t="inlineStr"/>
      <c r="L712" s="18" t="inlineStr">
        <is>
          <t>No</t>
        </is>
      </c>
      <c r="M712" s="18" t="inlineStr">
        <is>
          <t>No</t>
        </is>
      </c>
      <c r="N712" s="18" t="inlineStr"/>
      <c r="O712" s="18" t="inlineStr"/>
      <c r="P712" s="18" t="inlineStr">
        <is>
          <t>Mapeada en certification-service/src/certificates/certificate.entity.ts:120 (Certificate.last_corrected_at)</t>
        </is>
      </c>
      <c r="Q712" s="18" t="inlineStr">
        <is>
          <t>Propuesta semántica</t>
        </is>
      </c>
      <c r="R712" s="18" t="inlineStr">
        <is>
          <t>Fecha y hora de la última corrección del certificado.</t>
        </is>
      </c>
      <c r="S712" s="18" t="inlineStr">
        <is>
          <t>Alta</t>
        </is>
      </c>
      <c r="T712" s="18" t="inlineStr">
        <is>
          <t>nombre + tipo + columnas vecinas (is_corrected) ~</t>
        </is>
      </c>
      <c r="U712" s="18" t="inlineStr"/>
      <c r="V712" s="19" t="inlineStr">
        <is>
          <t>Pendiente</t>
        </is>
      </c>
      <c r="W712" s="19" t="inlineStr"/>
      <c r="X712" s="19" t="inlineStr"/>
      <c r="Y712" s="20" t="n"/>
      <c r="Z712" s="19" t="inlineStr"/>
      <c r="AA712" s="18">
        <f>IF(OR(V712="Aprobada"),R712,IF(AND(OR(V712="Aprobada con ajuste",V712="Rechazada"),W712&lt;&gt;""),W712,""))</f>
        <v/>
      </c>
    </row>
    <row r="713">
      <c r="A713" s="18" t="inlineStr">
        <is>
          <t>C0712</t>
        </is>
      </c>
      <c r="B713" s="18" t="inlineStr">
        <is>
          <t>Certificaciones</t>
        </is>
      </c>
      <c r="C713" s="18" t="inlineStr">
        <is>
          <t>certification</t>
        </is>
      </c>
      <c r="D713" s="18" t="inlineStr">
        <is>
          <t>labor_function_profiles</t>
        </is>
      </c>
      <c r="E713" s="18" t="n">
        <v>19</v>
      </c>
      <c r="F713" s="18" t="inlineStr">
        <is>
          <t>position_code</t>
        </is>
      </c>
      <c r="G713" s="18" t="inlineStr">
        <is>
          <t>character varying(20)</t>
        </is>
      </c>
      <c r="H713" s="18" t="inlineStr">
        <is>
          <t>Sí</t>
        </is>
      </c>
      <c r="I713" s="18" t="inlineStr"/>
      <c r="J713" s="18" t="inlineStr"/>
      <c r="K713" s="18" t="inlineStr"/>
      <c r="L713" s="18" t="inlineStr">
        <is>
          <t>No</t>
        </is>
      </c>
      <c r="M713" s="18" t="inlineStr">
        <is>
          <t>No</t>
        </is>
      </c>
      <c r="N713" s="18" t="inlineStr"/>
      <c r="O713" s="18" t="inlineStr">
        <is>
          <t>idx_labor_function_profiles_position_grade</t>
        </is>
      </c>
      <c r="P713" s="18" t="inlineStr">
        <is>
          <t>certification-service/src/certificates/labor-function-profile.entity.ts:24: Legacy context is retained for recovery, never used to associate functions.</t>
        </is>
      </c>
      <c r="Q713" s="18" t="inlineStr">
        <is>
          <t>Código fuente</t>
        </is>
      </c>
      <c r="R713" s="18" t="inlineStr">
        <is>
          <t>Código del cargo del perfil de funciones, tomado de la Matriz de Funciones ESAP.</t>
        </is>
      </c>
      <c r="S713" s="18" t="inlineStr">
        <is>
          <t>Media</t>
        </is>
      </c>
      <c r="T713" s="18" t="inlineStr">
        <is>
          <t>código: certification-service/src/certificates/labor-function-profile.entity.ts:24</t>
        </is>
      </c>
      <c r="U713" s="18" t="inlineStr">
        <is>
          <t>El código indica que el contexto heredado se conserva solo para recuperación y no se usa para asociar funciones: ¿aplica a position_code? ¿La asociación usa combined_code o match_key?</t>
        </is>
      </c>
      <c r="V713" s="19" t="inlineStr">
        <is>
          <t>Pendiente</t>
        </is>
      </c>
      <c r="W713" s="19" t="inlineStr"/>
      <c r="X713" s="19" t="inlineStr"/>
      <c r="Y713" s="20" t="n"/>
      <c r="Z713" s="19" t="inlineStr"/>
      <c r="AA713" s="18">
        <f>IF(OR(V713="Aprobada"),R713,IF(AND(OR(V713="Aprobada con ajuste",V713="Rechazada"),W713&lt;&gt;""),W713,""))</f>
        <v/>
      </c>
    </row>
    <row r="714">
      <c r="A714" s="18" t="inlineStr">
        <is>
          <t>C0713</t>
        </is>
      </c>
      <c r="B714" s="18" t="inlineStr">
        <is>
          <t>Certificaciones</t>
        </is>
      </c>
      <c r="C714" s="18" t="inlineStr">
        <is>
          <t>certification</t>
        </is>
      </c>
      <c r="D714" s="18" t="inlineStr">
        <is>
          <t>labor_function_profiles</t>
        </is>
      </c>
      <c r="E714" s="18" t="n">
        <v>19</v>
      </c>
      <c r="F714" s="18" t="inlineStr">
        <is>
          <t>grade_code</t>
        </is>
      </c>
      <c r="G714" s="18" t="inlineStr">
        <is>
          <t>character varying(20)</t>
        </is>
      </c>
      <c r="H714" s="18" t="inlineStr">
        <is>
          <t>Sí</t>
        </is>
      </c>
      <c r="I714" s="18" t="inlineStr"/>
      <c r="J714" s="18" t="inlineStr"/>
      <c r="K714" s="18" t="inlineStr"/>
      <c r="L714" s="18" t="inlineStr">
        <is>
          <t>No</t>
        </is>
      </c>
      <c r="M714" s="18" t="inlineStr">
        <is>
          <t>No</t>
        </is>
      </c>
      <c r="N714" s="18" t="inlineStr"/>
      <c r="O714" s="18" t="inlineStr">
        <is>
          <t>idx_labor_function_profiles_position_grade</t>
        </is>
      </c>
      <c r="P714" s="18" t="inlineStr">
        <is>
          <t>Mapeada en certification-service/src/certificates/labor-function-profile.entity.ts:27 (LaborFunctionProfile.grade_code)</t>
        </is>
      </c>
      <c r="Q714" s="18" t="inlineStr">
        <is>
          <t>Propuesta semántica</t>
        </is>
      </c>
      <c r="R714" s="18" t="inlineStr">
        <is>
          <t>Código del grado del cargo en el perfil de funciones, según la Matriz de Funciones ESAP.</t>
        </is>
      </c>
      <c r="S714" s="18" t="inlineStr">
        <is>
          <t>Alta</t>
        </is>
      </c>
      <c r="T714" s="18" t="inlineStr">
        <is>
          <t>nombre + descripción de la tabla + índice con position_code ~</t>
        </is>
      </c>
      <c r="U714" s="18" t="inlineStr"/>
      <c r="V714" s="19" t="inlineStr">
        <is>
          <t>Pendiente</t>
        </is>
      </c>
      <c r="W714" s="19" t="inlineStr"/>
      <c r="X714" s="19" t="inlineStr"/>
      <c r="Y714" s="20" t="n"/>
      <c r="Z714" s="19" t="inlineStr"/>
      <c r="AA714" s="18">
        <f>IF(OR(V714="Aprobada"),R714,IF(AND(OR(V714="Aprobada con ajuste",V714="Rechazada"),W714&lt;&gt;""),W714,""))</f>
        <v/>
      </c>
    </row>
    <row r="715">
      <c r="A715" s="18" t="inlineStr">
        <is>
          <t>C0714</t>
        </is>
      </c>
      <c r="B715" s="18" t="inlineStr">
        <is>
          <t>Certificaciones</t>
        </is>
      </c>
      <c r="C715" s="18" t="inlineStr">
        <is>
          <t>certification</t>
        </is>
      </c>
      <c r="D715" s="18" t="inlineStr">
        <is>
          <t>labor_function_profiles</t>
        </is>
      </c>
      <c r="E715" s="18" t="n">
        <v>19</v>
      </c>
      <c r="F715" s="18" t="inlineStr">
        <is>
          <t>hierarchical_level</t>
        </is>
      </c>
      <c r="G715" s="18" t="inlineStr">
        <is>
          <t>character varying(100)</t>
        </is>
      </c>
      <c r="H715" s="18" t="inlineStr">
        <is>
          <t>Sí</t>
        </is>
      </c>
      <c r="I715" s="18" t="inlineStr"/>
      <c r="J715" s="18" t="inlineStr"/>
      <c r="K715" s="18" t="inlineStr"/>
      <c r="L715" s="18" t="inlineStr">
        <is>
          <t>No</t>
        </is>
      </c>
      <c r="M715" s="18" t="inlineStr">
        <is>
          <t>No</t>
        </is>
      </c>
      <c r="N715" s="18" t="inlineStr"/>
      <c r="O715" s="18" t="inlineStr"/>
      <c r="P715" s="18" t="inlineStr">
        <is>
          <t>Mapeada en certification-service/src/certificates/labor-function-profile.entity.ts:36 (LaborFunctionProfile.hierarchical_level)</t>
        </is>
      </c>
      <c r="Q715" s="18" t="inlineStr">
        <is>
          <t>Propuesta semántica</t>
        </is>
      </c>
      <c r="R715" s="18" t="inlineStr">
        <is>
          <t>Nivel jerárquico del cargo (por ejemplo, directivo, asesor, profesional, técnico o asistencial).</t>
        </is>
      </c>
      <c r="S715" s="18" t="inlineStr">
        <is>
          <t>Media</t>
        </is>
      </c>
      <c r="T715" s="18" t="inlineStr">
        <is>
          <t>nombre + tipo + descripción de la tabla</t>
        </is>
      </c>
      <c r="U715" s="18" t="inlineStr">
        <is>
          <t>¿hierarchical_level usa los niveles jerárquicos del Decreto 785 de 2005 o otra clasificación?</t>
        </is>
      </c>
      <c r="V715" s="19" t="inlineStr">
        <is>
          <t>Pendiente</t>
        </is>
      </c>
      <c r="W715" s="19" t="inlineStr"/>
      <c r="X715" s="19" t="inlineStr"/>
      <c r="Y715" s="20" t="n"/>
      <c r="Z715" s="19" t="inlineStr"/>
      <c r="AA715" s="18">
        <f>IF(OR(V715="Aprobada"),R715,IF(AND(OR(V715="Aprobada con ajuste",V715="Rechazada"),W715&lt;&gt;""),W715,""))</f>
        <v/>
      </c>
    </row>
    <row r="716">
      <c r="A716" s="18" t="inlineStr">
        <is>
          <t>C0715</t>
        </is>
      </c>
      <c r="B716" s="18" t="inlineStr">
        <is>
          <t>Certificaciones</t>
        </is>
      </c>
      <c r="C716" s="18" t="inlineStr">
        <is>
          <t>certification</t>
        </is>
      </c>
      <c r="D716" s="18" t="inlineStr">
        <is>
          <t>labor_function_profiles</t>
        </is>
      </c>
      <c r="E716" s="18" t="n">
        <v>19</v>
      </c>
      <c r="F716" s="18" t="inlineStr">
        <is>
          <t>position_name</t>
        </is>
      </c>
      <c r="G716" s="18" t="inlineStr">
        <is>
          <t>character varying(255)</t>
        </is>
      </c>
      <c r="H716" s="18" t="inlineStr">
        <is>
          <t>Sí</t>
        </is>
      </c>
      <c r="I716" s="18" t="inlineStr"/>
      <c r="J716" s="18" t="inlineStr"/>
      <c r="K716" s="18" t="inlineStr"/>
      <c r="L716" s="18" t="inlineStr">
        <is>
          <t>No</t>
        </is>
      </c>
      <c r="M716" s="18" t="inlineStr">
        <is>
          <t>No</t>
        </is>
      </c>
      <c r="N716" s="18" t="inlineStr"/>
      <c r="O716" s="18" t="inlineStr"/>
      <c r="P716" s="18" t="inlineStr">
        <is>
          <t>Mapeada en certification-service/src/certificates/labor-function-profile.entity.ts:39 (LaborFunctionProfile.position_name)</t>
        </is>
      </c>
      <c r="Q716" s="18" t="inlineStr">
        <is>
          <t>Propuesta semántica</t>
        </is>
      </c>
      <c r="R716" s="18" t="inlineStr">
        <is>
          <t>Denominación del cargo del perfil de funciones.</t>
        </is>
      </c>
      <c r="S716" s="18" t="inlineStr">
        <is>
          <t>Alta</t>
        </is>
      </c>
      <c r="T716" s="18" t="inlineStr">
        <is>
          <t>nombre + tipo + descripción de la tabla ~</t>
        </is>
      </c>
      <c r="U716" s="18" t="inlineStr"/>
      <c r="V716" s="19" t="inlineStr">
        <is>
          <t>Pendiente</t>
        </is>
      </c>
      <c r="W716" s="19" t="inlineStr"/>
      <c r="X716" s="19" t="inlineStr"/>
      <c r="Y716" s="20" t="n"/>
      <c r="Z716" s="19" t="inlineStr"/>
      <c r="AA716" s="18">
        <f>IF(OR(V716="Aprobada"),R716,IF(AND(OR(V716="Aprobada con ajuste",V716="Rechazada"),W716&lt;&gt;""),W716,""))</f>
        <v/>
      </c>
    </row>
    <row r="717">
      <c r="A717" s="18" t="inlineStr">
        <is>
          <t>C0716</t>
        </is>
      </c>
      <c r="B717" s="18" t="inlineStr">
        <is>
          <t>Certificaciones</t>
        </is>
      </c>
      <c r="C717" s="18" t="inlineStr">
        <is>
          <t>certification</t>
        </is>
      </c>
      <c r="D717" s="18" t="inlineStr">
        <is>
          <t>labor_function_profiles</t>
        </is>
      </c>
      <c r="E717" s="18" t="n">
        <v>19</v>
      </c>
      <c r="F717" s="18" t="inlineStr">
        <is>
          <t>department_name</t>
        </is>
      </c>
      <c r="G717" s="18" t="inlineStr">
        <is>
          <t>character varying(500)</t>
        </is>
      </c>
      <c r="H717" s="18" t="inlineStr">
        <is>
          <t>Sí</t>
        </is>
      </c>
      <c r="I717" s="18" t="inlineStr"/>
      <c r="J717" s="18" t="inlineStr"/>
      <c r="K717" s="18" t="inlineStr"/>
      <c r="L717" s="18" t="inlineStr">
        <is>
          <t>No</t>
        </is>
      </c>
      <c r="M717" s="18" t="inlineStr">
        <is>
          <t>No</t>
        </is>
      </c>
      <c r="N717" s="18" t="inlineStr"/>
      <c r="O717" s="18" t="inlineStr"/>
      <c r="P717" s="18" t="inlineStr">
        <is>
          <t>Mapeada en certification-service/src/certificates/labor-function-profile.entity.ts:42 (LaborFunctionProfile.department_name)</t>
        </is>
      </c>
      <c r="Q717" s="18" t="inlineStr">
        <is>
          <t>Propuesta semántica</t>
        </is>
      </c>
      <c r="R717" s="18" t="inlineStr">
        <is>
          <t>Nombre de la dependencia a la que pertenece el cargo, según la Matriz de Funciones ESAP.</t>
        </is>
      </c>
      <c r="S717" s="18" t="inlineStr">
        <is>
          <t>Alta</t>
        </is>
      </c>
      <c r="T717" s="18" t="inlineStr">
        <is>
          <t>nombre + tipo + descripción de la tabla ~</t>
        </is>
      </c>
      <c r="U717" s="18" t="inlineStr"/>
      <c r="V717" s="19" t="inlineStr">
        <is>
          <t>Pendiente</t>
        </is>
      </c>
      <c r="W717" s="19" t="inlineStr"/>
      <c r="X717" s="19" t="inlineStr"/>
      <c r="Y717" s="20" t="n"/>
      <c r="Z717" s="19" t="inlineStr"/>
      <c r="AA717" s="18">
        <f>IF(OR(V717="Aprobada"),R717,IF(AND(OR(V717="Aprobada con ajuste",V717="Rechazada"),W717&lt;&gt;""),W717,""))</f>
        <v/>
      </c>
    </row>
    <row r="718">
      <c r="A718" s="18" t="inlineStr">
        <is>
          <t>C0717</t>
        </is>
      </c>
      <c r="B718" s="18" t="inlineStr">
        <is>
          <t>Certificaciones</t>
        </is>
      </c>
      <c r="C718" s="18" t="inlineStr">
        <is>
          <t>certification</t>
        </is>
      </c>
      <c r="D718" s="18" t="inlineStr">
        <is>
          <t>labor_function_profiles</t>
        </is>
      </c>
      <c r="E718" s="18" t="n">
        <v>19</v>
      </c>
      <c r="F718" s="18" t="inlineStr">
        <is>
          <t>department_key</t>
        </is>
      </c>
      <c r="G718" s="18" t="inlineStr">
        <is>
          <t>character varying(500)</t>
        </is>
      </c>
      <c r="H718" s="18" t="inlineStr">
        <is>
          <t>Sí</t>
        </is>
      </c>
      <c r="I718" s="18" t="inlineStr"/>
      <c r="J718" s="18" t="inlineStr"/>
      <c r="K718" s="18" t="inlineStr"/>
      <c r="L718" s="18" t="inlineStr">
        <is>
          <t>No</t>
        </is>
      </c>
      <c r="M718" s="18" t="inlineStr">
        <is>
          <t>No</t>
        </is>
      </c>
      <c r="N718" s="18" t="inlineStr"/>
      <c r="O718" s="18" t="inlineStr"/>
      <c r="P718" s="18" t="inlineStr">
        <is>
          <t>Mapeada en certification-service/src/certificates/labor-function-profile.entity.ts:45 (LaborFunctionProfile.department_key)</t>
        </is>
      </c>
      <c r="Q718" s="18" t="inlineStr">
        <is>
          <t>Propuesta semántica</t>
        </is>
      </c>
      <c r="R718" s="18" t="inlineStr">
        <is>
          <t>Clave normalizada del nombre de la dependencia, usada para asociar empleados con el perfil.</t>
        </is>
      </c>
      <c r="S718" s="18" t="inlineStr">
        <is>
          <t>Media</t>
        </is>
      </c>
      <c r="T718" s="18" t="inlineStr">
        <is>
          <t>nombre + descripción de la tabla (códigos normalizados)</t>
        </is>
      </c>
      <c r="U718" s="18" t="inlineStr">
        <is>
          <t>¿Cómo se normaliza department_key (mayúsculas, sin tildes, sin espacios)?</t>
        </is>
      </c>
      <c r="V718" s="19" t="inlineStr">
        <is>
          <t>Pendiente</t>
        </is>
      </c>
      <c r="W718" s="19" t="inlineStr"/>
      <c r="X718" s="19" t="inlineStr"/>
      <c r="Y718" s="20" t="n"/>
      <c r="Z718" s="19" t="inlineStr"/>
      <c r="AA718" s="18">
        <f>IF(OR(V718="Aprobada"),R718,IF(AND(OR(V718="Aprobada con ajuste",V718="Rechazada"),W718&lt;&gt;""),W718,""))</f>
        <v/>
      </c>
    </row>
    <row r="719">
      <c r="A719" s="18" t="inlineStr">
        <is>
          <t>C0718</t>
        </is>
      </c>
      <c r="B719" s="18" t="inlineStr">
        <is>
          <t>Certificaciones</t>
        </is>
      </c>
      <c r="C719" s="18" t="inlineStr">
        <is>
          <t>certification</t>
        </is>
      </c>
      <c r="D719" s="18" t="inlineStr">
        <is>
          <t>labor_function_profiles</t>
        </is>
      </c>
      <c r="E719" s="18" t="n">
        <v>19</v>
      </c>
      <c r="F719" s="18" t="inlineStr">
        <is>
          <t>internal_group</t>
        </is>
      </c>
      <c r="G719" s="18" t="inlineStr">
        <is>
          <t>character varying(500)</t>
        </is>
      </c>
      <c r="H719" s="18" t="inlineStr">
        <is>
          <t>Sí</t>
        </is>
      </c>
      <c r="I719" s="18" t="inlineStr"/>
      <c r="J719" s="18" t="inlineStr"/>
      <c r="K719" s="18" t="inlineStr"/>
      <c r="L719" s="18" t="inlineStr">
        <is>
          <t>No</t>
        </is>
      </c>
      <c r="M719" s="18" t="inlineStr">
        <is>
          <t>No</t>
        </is>
      </c>
      <c r="N719" s="18" t="inlineStr"/>
      <c r="O719" s="18" t="inlineStr"/>
      <c r="P719" s="18" t="inlineStr">
        <is>
          <t>Mapeada en certification-service/src/certificates/labor-function-profile.entity.ts:48 (LaborFunctionProfile.internal_group)</t>
        </is>
      </c>
      <c r="Q719" s="18" t="inlineStr">
        <is>
          <t>Propuesta semántica</t>
        </is>
      </c>
      <c r="R719" s="18" t="inlineStr">
        <is>
          <t>Nombre del grupo interno de trabajo al que pertenece el cargo.</t>
        </is>
      </c>
      <c r="S719" s="18" t="inlineStr">
        <is>
          <t>Alta</t>
        </is>
      </c>
      <c r="T719" s="18" t="inlineStr">
        <is>
          <t>nombre + tipo + descripción de la tabla ~</t>
        </is>
      </c>
      <c r="U719" s="18" t="inlineStr"/>
      <c r="V719" s="19" t="inlineStr">
        <is>
          <t>Pendiente</t>
        </is>
      </c>
      <c r="W719" s="19" t="inlineStr"/>
      <c r="X719" s="19" t="inlineStr"/>
      <c r="Y719" s="20" t="n"/>
      <c r="Z719" s="19" t="inlineStr"/>
      <c r="AA719" s="18">
        <f>IF(OR(V719="Aprobada"),R719,IF(AND(OR(V719="Aprobada con ajuste",V719="Rechazada"),W719&lt;&gt;""),W719,""))</f>
        <v/>
      </c>
    </row>
    <row r="720">
      <c r="A720" s="18" t="inlineStr">
        <is>
          <t>C0719</t>
        </is>
      </c>
      <c r="B720" s="18" t="inlineStr">
        <is>
          <t>Certificaciones</t>
        </is>
      </c>
      <c r="C720" s="18" t="inlineStr">
        <is>
          <t>certification</t>
        </is>
      </c>
      <c r="D720" s="18" t="inlineStr">
        <is>
          <t>labor_function_profiles</t>
        </is>
      </c>
      <c r="E720" s="18" t="n">
        <v>19</v>
      </c>
      <c r="F720" s="18" t="inlineStr">
        <is>
          <t>internal_group_key</t>
        </is>
      </c>
      <c r="G720" s="18" t="inlineStr">
        <is>
          <t>character varying(500)</t>
        </is>
      </c>
      <c r="H720" s="18" t="inlineStr">
        <is>
          <t>Sí</t>
        </is>
      </c>
      <c r="I720" s="18" t="inlineStr"/>
      <c r="J720" s="18" t="inlineStr"/>
      <c r="K720" s="18" t="inlineStr"/>
      <c r="L720" s="18" t="inlineStr">
        <is>
          <t>No</t>
        </is>
      </c>
      <c r="M720" s="18" t="inlineStr">
        <is>
          <t>No</t>
        </is>
      </c>
      <c r="N720" s="18" t="inlineStr"/>
      <c r="O720" s="18" t="inlineStr"/>
      <c r="P720" s="18" t="inlineStr">
        <is>
          <t>Mapeada en certification-service/src/certificates/labor-function-profile.entity.ts:51 (LaborFunctionProfile.internal_group_key)</t>
        </is>
      </c>
      <c r="Q720" s="18" t="inlineStr">
        <is>
          <t>Propuesta semántica</t>
        </is>
      </c>
      <c r="R720" s="18" t="inlineStr">
        <is>
          <t>Clave normalizada del grupo interno de trabajo, usada para asociar empleados con el perfil.</t>
        </is>
      </c>
      <c r="S720" s="18" t="inlineStr">
        <is>
          <t>Media</t>
        </is>
      </c>
      <c r="T720" s="18" t="inlineStr">
        <is>
          <t>nombre + descripción de la tabla (códigos normalizados)</t>
        </is>
      </c>
      <c r="U720" s="18" t="inlineStr">
        <is>
          <t>¿Cómo se normaliza internal_group_key?</t>
        </is>
      </c>
      <c r="V720" s="19" t="inlineStr">
        <is>
          <t>Pendiente</t>
        </is>
      </c>
      <c r="W720" s="19" t="inlineStr"/>
      <c r="X720" s="19" t="inlineStr"/>
      <c r="Y720" s="20" t="n"/>
      <c r="Z720" s="19" t="inlineStr"/>
      <c r="AA720" s="18">
        <f>IF(OR(V720="Aprobada"),R720,IF(AND(OR(V720="Aprobada con ajuste",V720="Rechazada"),W720&lt;&gt;""),W720,""))</f>
        <v/>
      </c>
    </row>
    <row r="721">
      <c r="A721" s="18" t="inlineStr">
        <is>
          <t>C0720</t>
        </is>
      </c>
      <c r="B721" s="18" t="inlineStr">
        <is>
          <t>Certificaciones</t>
        </is>
      </c>
      <c r="C721" s="18" t="inlineStr">
        <is>
          <t>certification</t>
        </is>
      </c>
      <c r="D721" s="18" t="inlineStr">
        <is>
          <t>labor_function_profiles</t>
        </is>
      </c>
      <c r="E721" s="18" t="n">
        <v>19</v>
      </c>
      <c r="F721" s="18" t="inlineStr">
        <is>
          <t>cost_center</t>
        </is>
      </c>
      <c r="G721" s="18" t="inlineStr">
        <is>
          <t>character varying(255)</t>
        </is>
      </c>
      <c r="H721" s="18" t="inlineStr">
        <is>
          <t>Sí</t>
        </is>
      </c>
      <c r="I721" s="18" t="inlineStr"/>
      <c r="J721" s="18" t="inlineStr"/>
      <c r="K721" s="18" t="inlineStr"/>
      <c r="L721" s="18" t="inlineStr">
        <is>
          <t>No</t>
        </is>
      </c>
      <c r="M721" s="18" t="inlineStr">
        <is>
          <t>No</t>
        </is>
      </c>
      <c r="N721" s="18" t="inlineStr"/>
      <c r="O721" s="18" t="inlineStr"/>
      <c r="P721" s="18" t="inlineStr">
        <is>
          <t>Mapeada en certification-service/src/certificates/labor-function-profile.entity.ts:54 (LaborFunctionProfile.cost_center)</t>
        </is>
      </c>
      <c r="Q721" s="18" t="inlineStr">
        <is>
          <t>Propuesta semántica</t>
        </is>
      </c>
      <c r="R721" s="18" t="inlineStr">
        <is>
          <t>Centro de costo asociado al cargo en la Matriz de Funciones ESAP.</t>
        </is>
      </c>
      <c r="S721" s="18" t="inlineStr">
        <is>
          <t>Media</t>
        </is>
      </c>
      <c r="T721" s="18" t="inlineStr">
        <is>
          <t>nombre + tipo + descripción de la tabla</t>
        </is>
      </c>
      <c r="U721" s="18" t="inlineStr">
        <is>
          <t>¿cost_center guarda el código o el nombre del centro de costo?</t>
        </is>
      </c>
      <c r="V721" s="19" t="inlineStr">
        <is>
          <t>Pendiente</t>
        </is>
      </c>
      <c r="W721" s="19" t="inlineStr"/>
      <c r="X721" s="19" t="inlineStr"/>
      <c r="Y721" s="20" t="n"/>
      <c r="Z721" s="19" t="inlineStr"/>
      <c r="AA721" s="18">
        <f>IF(OR(V721="Aprobada"),R721,IF(AND(OR(V721="Aprobada con ajuste",V721="Rechazada"),W721&lt;&gt;""),W721,""))</f>
        <v/>
      </c>
    </row>
    <row r="722">
      <c r="A722" s="18" t="inlineStr">
        <is>
          <t>C0721</t>
        </is>
      </c>
      <c r="B722" s="18" t="inlineStr">
        <is>
          <t>Certificaciones</t>
        </is>
      </c>
      <c r="C722" s="18" t="inlineStr">
        <is>
          <t>certification</t>
        </is>
      </c>
      <c r="D722" s="18" t="inlineStr">
        <is>
          <t>labor_function_profiles</t>
        </is>
      </c>
      <c r="E722" s="18" t="n">
        <v>19</v>
      </c>
      <c r="F722" s="18" t="inlineStr">
        <is>
          <t>source_sheet</t>
        </is>
      </c>
      <c r="G722" s="18" t="inlineStr">
        <is>
          <t>character varying(255)</t>
        </is>
      </c>
      <c r="H722" s="18" t="inlineStr">
        <is>
          <t>Sí</t>
        </is>
      </c>
      <c r="I722" s="18" t="inlineStr"/>
      <c r="J722" s="18" t="inlineStr"/>
      <c r="K722" s="18" t="inlineStr"/>
      <c r="L722" s="18" t="inlineStr">
        <is>
          <t>No</t>
        </is>
      </c>
      <c r="M722" s="18" t="inlineStr">
        <is>
          <t>No</t>
        </is>
      </c>
      <c r="N722" s="18" t="inlineStr"/>
      <c r="O722" s="18" t="inlineStr"/>
      <c r="P722" s="18" t="inlineStr">
        <is>
          <t>Mapeada en certification-service/src/certificates/labor-function-profile.entity.ts:57 (LaborFunctionProfile.source_sheet)</t>
        </is>
      </c>
      <c r="Q722" s="18" t="inlineStr">
        <is>
          <t>Propuesta semántica</t>
        </is>
      </c>
      <c r="R722" s="18" t="inlineStr">
        <is>
          <t>Nombre de la hoja de la Matriz de Funciones ESAP de la que se importó el perfil.</t>
        </is>
      </c>
      <c r="S722" s="18" t="inlineStr">
        <is>
          <t>Alta</t>
        </is>
      </c>
      <c r="T722" s="18" t="inlineStr">
        <is>
          <t>nombre + descripción de la tabla (importación de la matriz) ~</t>
        </is>
      </c>
      <c r="U722" s="18" t="inlineStr"/>
      <c r="V722" s="19" t="inlineStr">
        <is>
          <t>Pendiente</t>
        </is>
      </c>
      <c r="W722" s="19" t="inlineStr"/>
      <c r="X722" s="19" t="inlineStr"/>
      <c r="Y722" s="20" t="n"/>
      <c r="Z722" s="19" t="inlineStr"/>
      <c r="AA722" s="18">
        <f>IF(OR(V722="Aprobada"),R722,IF(AND(OR(V722="Aprobada con ajuste",V722="Rechazada"),W722&lt;&gt;""),W722,""))</f>
        <v/>
      </c>
    </row>
    <row r="723">
      <c r="A723" s="18" t="inlineStr">
        <is>
          <t>C0722</t>
        </is>
      </c>
      <c r="B723" s="18" t="inlineStr">
        <is>
          <t>Certificaciones</t>
        </is>
      </c>
      <c r="C723" s="18" t="inlineStr">
        <is>
          <t>certification</t>
        </is>
      </c>
      <c r="D723" s="18" t="inlineStr">
        <is>
          <t>labor_function_profiles</t>
        </is>
      </c>
      <c r="E723" s="18" t="n">
        <v>19</v>
      </c>
      <c r="F723" s="18" t="inlineStr">
        <is>
          <t>is_active</t>
        </is>
      </c>
      <c r="G723" s="18" t="inlineStr">
        <is>
          <t>boolean</t>
        </is>
      </c>
      <c r="H723" s="18" t="inlineStr">
        <is>
          <t>No</t>
        </is>
      </c>
      <c r="I723" s="18" t="inlineStr"/>
      <c r="J723" s="18" t="inlineStr"/>
      <c r="K723" s="18" t="inlineStr"/>
      <c r="L723" s="18" t="inlineStr">
        <is>
          <t>No</t>
        </is>
      </c>
      <c r="M723" s="18" t="inlineStr">
        <is>
          <t>No</t>
        </is>
      </c>
      <c r="N723" s="18" t="inlineStr"/>
      <c r="O723" s="18" t="inlineStr"/>
      <c r="P723" s="18" t="inlineStr">
        <is>
          <t>Mapeada en certification-service/src/certificates/labor-function-profile.entity.ts:60 (LaborFunctionProfile.is_active)</t>
        </is>
      </c>
      <c r="Q723" s="18" t="inlineStr">
        <is>
          <t>Regla estructural</t>
        </is>
      </c>
      <c r="R723" s="18" t="inlineStr">
        <is>
          <t>Indica si el registro está activo.</t>
        </is>
      </c>
      <c r="S723" s="18" t="inlineStr">
        <is>
          <t>Media</t>
        </is>
      </c>
      <c r="T723" s="18" t="inlineStr">
        <is>
          <t>Convención de nombre de la columna.</t>
        </is>
      </c>
      <c r="U723" s="18" t="inlineStr"/>
      <c r="V723" s="19" t="inlineStr">
        <is>
          <t>Pendiente</t>
        </is>
      </c>
      <c r="W723" s="19" t="inlineStr"/>
      <c r="X723" s="19" t="inlineStr"/>
      <c r="Y723" s="20" t="n"/>
      <c r="Z723" s="19" t="inlineStr"/>
      <c r="AA723" s="18">
        <f>IF(OR(V723="Aprobada"),R723,IF(AND(OR(V723="Aprobada con ajuste",V723="Rechazada"),W723&lt;&gt;""),W723,""))</f>
        <v/>
      </c>
    </row>
    <row r="724">
      <c r="A724" s="18" t="inlineStr">
        <is>
          <t>C0723</t>
        </is>
      </c>
      <c r="B724" s="18" t="inlineStr">
        <is>
          <t>Certificaciones</t>
        </is>
      </c>
      <c r="C724" s="18" t="inlineStr">
        <is>
          <t>certification</t>
        </is>
      </c>
      <c r="D724" s="18" t="inlineStr">
        <is>
          <t>labor_function_profiles</t>
        </is>
      </c>
      <c r="E724" s="18" t="n">
        <v>19</v>
      </c>
      <c r="F724" s="18" t="inlineStr">
        <is>
          <t>id_number</t>
        </is>
      </c>
      <c r="G724" s="18" t="inlineStr">
        <is>
          <t>character varying(50)</t>
        </is>
      </c>
      <c r="H724" s="18" t="inlineStr">
        <is>
          <t>Sí</t>
        </is>
      </c>
      <c r="I724" s="18" t="inlineStr">
        <is>
          <t>CHECK</t>
        </is>
      </c>
      <c r="J724" s="18" t="inlineStr"/>
      <c r="K724" s="18" t="inlineStr"/>
      <c r="L724" s="18" t="inlineStr">
        <is>
          <t>No</t>
        </is>
      </c>
      <c r="M724" s="18" t="inlineStr">
        <is>
          <t>No</t>
        </is>
      </c>
      <c r="N724" s="18" t="inlineStr"/>
      <c r="O724" s="18" t="inlineStr">
        <is>
          <t>ux_labor_function_profiles_id_number</t>
        </is>
      </c>
      <c r="P724" s="18" t="inlineStr">
        <is>
          <t>Mapeada en certification-service/src/certificates/labor-function-profile.entity.ts:20 (LaborFunctionProfile.id_number)</t>
        </is>
      </c>
      <c r="Q724" s="18" t="inlineStr">
        <is>
          <t>Propuesta semántica</t>
        </is>
      </c>
      <c r="R724" s="18" t="inlineStr">
        <is>
          <t>Número de identificación del empleado asociado al perfil de funciones; único por perfil.</t>
        </is>
      </c>
      <c r="S724" s="18" t="inlineStr">
        <is>
          <t>Media</t>
        </is>
      </c>
      <c r="T724" s="18" t="inlineStr">
        <is>
          <t>nombre + tipo + índice único</t>
        </is>
      </c>
      <c r="U724" s="18" t="inlineStr">
        <is>
          <t>¿id_number asocia un empleado específico al perfil? ¿Cuándo queda vacío?</t>
        </is>
      </c>
      <c r="V724" s="19" t="inlineStr">
        <is>
          <t>Pendiente</t>
        </is>
      </c>
      <c r="W724" s="19" t="inlineStr"/>
      <c r="X724" s="19" t="inlineStr"/>
      <c r="Y724" s="20" t="n"/>
      <c r="Z724" s="19" t="inlineStr"/>
      <c r="AA724" s="18">
        <f>IF(OR(V724="Aprobada"),R724,IF(AND(OR(V724="Aprobada con ajuste",V724="Rechazada"),W724&lt;&gt;""),W724,""))</f>
        <v/>
      </c>
    </row>
    <row r="725">
      <c r="A725" s="18" t="inlineStr">
        <is>
          <t>C0724</t>
        </is>
      </c>
      <c r="B725" s="18" t="inlineStr">
        <is>
          <t>Certificaciones</t>
        </is>
      </c>
      <c r="C725" s="18" t="inlineStr">
        <is>
          <t>certification</t>
        </is>
      </c>
      <c r="D725" s="18" t="inlineStr">
        <is>
          <t>labor_functions</t>
        </is>
      </c>
      <c r="E725" s="18" t="n">
        <v>190</v>
      </c>
      <c r="F725" s="18" t="inlineStr">
        <is>
          <t>ordinal</t>
        </is>
      </c>
      <c r="G725" s="18" t="inlineStr">
        <is>
          <t>integer</t>
        </is>
      </c>
      <c r="H725" s="18" t="inlineStr">
        <is>
          <t>No</t>
        </is>
      </c>
      <c r="I725" s="18" t="inlineStr">
        <is>
          <t>CHECK</t>
        </is>
      </c>
      <c r="J725" s="18" t="inlineStr"/>
      <c r="K725" s="18" t="inlineStr"/>
      <c r="L725" s="18" t="inlineStr">
        <is>
          <t>No</t>
        </is>
      </c>
      <c r="M725" s="18" t="inlineStr">
        <is>
          <t>No</t>
        </is>
      </c>
      <c r="N725" s="18" t="inlineStr"/>
      <c r="O725" s="18" t="inlineStr">
        <is>
          <t>ux_labor_functions_profile_ordinal</t>
        </is>
      </c>
      <c r="P725" s="18" t="inlineStr">
        <is>
          <t>Mapeada en certification-service/src/certificates/labor-function.entity.ts:24 (LaborFunction.ordinal)</t>
        </is>
      </c>
      <c r="Q725" s="18" t="inlineStr">
        <is>
          <t>Propuesta semántica</t>
        </is>
      </c>
      <c r="R725" s="18" t="inlineStr">
        <is>
          <t>Número de orden de la función dentro del perfil del cargo; único por perfil.</t>
        </is>
      </c>
      <c r="S725" s="18" t="inlineStr">
        <is>
          <t>Alta</t>
        </is>
      </c>
      <c r="T725" s="18" t="inlineStr">
        <is>
          <t>nombre + índice único (profile_id, ordinal) + descripción de la tabla ~</t>
        </is>
      </c>
      <c r="U725" s="18" t="inlineStr"/>
      <c r="V725" s="19" t="inlineStr">
        <is>
          <t>Pendiente</t>
        </is>
      </c>
      <c r="W725" s="19" t="inlineStr"/>
      <c r="X725" s="19" t="inlineStr"/>
      <c r="Y725" s="20" t="n"/>
      <c r="Z725" s="19" t="inlineStr"/>
      <c r="AA725" s="18">
        <f>IF(OR(V725="Aprobada"),R725,IF(AND(OR(V725="Aprobada con ajuste",V725="Rechazada"),W725&lt;&gt;""),W725,""))</f>
        <v/>
      </c>
    </row>
    <row r="726">
      <c r="A726" s="18" t="inlineStr">
        <is>
          <t>C0725</t>
        </is>
      </c>
      <c r="B726" s="18" t="inlineStr">
        <is>
          <t>Certificaciones</t>
        </is>
      </c>
      <c r="C726" s="18" t="inlineStr">
        <is>
          <t>certification</t>
        </is>
      </c>
      <c r="D726" s="18" t="inlineStr">
        <is>
          <t>labor_functions</t>
        </is>
      </c>
      <c r="E726" s="18" t="n">
        <v>190</v>
      </c>
      <c r="F726" s="18" t="inlineStr">
        <is>
          <t>description</t>
        </is>
      </c>
      <c r="G726" s="18" t="inlineStr">
        <is>
          <t>text</t>
        </is>
      </c>
      <c r="H726" s="18" t="inlineStr">
        <is>
          <t>No</t>
        </is>
      </c>
      <c r="I726" s="18" t="inlineStr">
        <is>
          <t>CHECK</t>
        </is>
      </c>
      <c r="J726" s="18" t="inlineStr"/>
      <c r="K726" s="18" t="inlineStr"/>
      <c r="L726" s="18" t="inlineStr">
        <is>
          <t>No</t>
        </is>
      </c>
      <c r="M726" s="18" t="inlineStr">
        <is>
          <t>No</t>
        </is>
      </c>
      <c r="N726" s="18" t="inlineStr"/>
      <c r="O726" s="18" t="inlineStr"/>
      <c r="P726" s="18" t="inlineStr">
        <is>
          <t>Mapeada en certification-service/src/certificates/labor-function.entity.ts:27 (LaborFunction.description)</t>
        </is>
      </c>
      <c r="Q726" s="18" t="inlineStr">
        <is>
          <t>Regla estructural</t>
        </is>
      </c>
      <c r="R726" s="18" t="inlineStr">
        <is>
          <t>Descripción del registro de labor_functions.</t>
        </is>
      </c>
      <c r="S726" s="18" t="inlineStr">
        <is>
          <t>Media</t>
        </is>
      </c>
      <c r="T726" s="18" t="inlineStr">
        <is>
          <t>Convención de nombre de la columna.</t>
        </is>
      </c>
      <c r="U726" s="18" t="inlineStr"/>
      <c r="V726" s="19" t="inlineStr">
        <is>
          <t>Pendiente</t>
        </is>
      </c>
      <c r="W726" s="19" t="inlineStr"/>
      <c r="X726" s="19" t="inlineStr"/>
      <c r="Y726" s="20" t="n"/>
      <c r="Z726" s="19" t="inlineStr"/>
      <c r="AA726" s="18">
        <f>IF(OR(V726="Aprobada"),R726,IF(AND(OR(V726="Aprobada con ajuste",V726="Rechazada"),W726&lt;&gt;""),W726,""))</f>
        <v/>
      </c>
    </row>
    <row r="727">
      <c r="A727" s="18" t="inlineStr">
        <is>
          <t>C0726</t>
        </is>
      </c>
      <c r="B727" s="18" t="inlineStr">
        <is>
          <t>Certificaciones</t>
        </is>
      </c>
      <c r="C727" s="18" t="inlineStr">
        <is>
          <t>certification</t>
        </is>
      </c>
      <c r="D727" s="18" t="inlineStr">
        <is>
          <t>signers</t>
        </is>
      </c>
      <c r="E727" s="18" t="n">
        <v>1</v>
      </c>
      <c r="F727" s="18" t="inlineStr">
        <is>
          <t>full_name</t>
        </is>
      </c>
      <c r="G727" s="18" t="inlineStr">
        <is>
          <t>character varying(255)</t>
        </is>
      </c>
      <c r="H727" s="18" t="inlineStr">
        <is>
          <t>No</t>
        </is>
      </c>
      <c r="I727" s="18" t="inlineStr"/>
      <c r="J727" s="18" t="inlineStr"/>
      <c r="K727" s="18" t="inlineStr"/>
      <c r="L727" s="18" t="inlineStr">
        <is>
          <t>No</t>
        </is>
      </c>
      <c r="M727" s="18" t="inlineStr">
        <is>
          <t>No</t>
        </is>
      </c>
      <c r="N727" s="18" t="inlineStr"/>
      <c r="O727" s="18" t="inlineStr"/>
      <c r="P727" s="18" t="inlineStr">
        <is>
          <t>db/init/old/005_schema_certification.sql:185: Signer data</t>
        </is>
      </c>
      <c r="Q727" s="18" t="inlineStr">
        <is>
          <t>Código fuente</t>
        </is>
      </c>
      <c r="R727" s="18" t="inlineStr">
        <is>
          <t>Nombre completo del firmante autorizado de certificados laborales.</t>
        </is>
      </c>
      <c r="S727" s="18" t="inlineStr">
        <is>
          <t>Alta</t>
        </is>
      </c>
      <c r="T727" s="18" t="inlineStr">
        <is>
          <t>código: db/init/old/005_schema_certification.sql:185</t>
        </is>
      </c>
      <c r="U727" s="18" t="inlineStr"/>
      <c r="V727" s="19" t="inlineStr">
        <is>
          <t>Pendiente</t>
        </is>
      </c>
      <c r="W727" s="19" t="inlineStr"/>
      <c r="X727" s="19" t="inlineStr"/>
      <c r="Y727" s="20" t="n"/>
      <c r="Z727" s="19" t="inlineStr"/>
      <c r="AA727" s="18">
        <f>IF(OR(V727="Aprobada"),R727,IF(AND(OR(V727="Aprobada con ajuste",V727="Rechazada"),W727&lt;&gt;""),W727,""))</f>
        <v/>
      </c>
    </row>
    <row r="728">
      <c r="A728" s="18" t="inlineStr">
        <is>
          <t>C0727</t>
        </is>
      </c>
      <c r="B728" s="18" t="inlineStr">
        <is>
          <t>Certificaciones</t>
        </is>
      </c>
      <c r="C728" s="18" t="inlineStr">
        <is>
          <t>certification</t>
        </is>
      </c>
      <c r="D728" s="18" t="inlineStr">
        <is>
          <t>signers</t>
        </is>
      </c>
      <c r="E728" s="18" t="n">
        <v>1</v>
      </c>
      <c r="F728" s="18" t="inlineStr">
        <is>
          <t>position</t>
        </is>
      </c>
      <c r="G728" s="18" t="inlineStr">
        <is>
          <t>character varying(255)</t>
        </is>
      </c>
      <c r="H728" s="18" t="inlineStr">
        <is>
          <t>No</t>
        </is>
      </c>
      <c r="I728" s="18" t="inlineStr"/>
      <c r="J728" s="18" t="inlineStr"/>
      <c r="K728" s="18" t="inlineStr"/>
      <c r="L728" s="18" t="inlineStr">
        <is>
          <t>No</t>
        </is>
      </c>
      <c r="M728" s="18" t="inlineStr">
        <is>
          <t>No</t>
        </is>
      </c>
      <c r="N728" s="18" t="inlineStr"/>
      <c r="O728" s="18" t="inlineStr"/>
      <c r="P728" s="18" t="inlineStr">
        <is>
          <t>Mapeada en certification-service/src/certificates/signer.entity.ts:11 (Signer.position)</t>
        </is>
      </c>
      <c r="Q728" s="18" t="inlineStr">
        <is>
          <t>Propuesta semántica</t>
        </is>
      </c>
      <c r="R728" s="18" t="inlineStr">
        <is>
          <t>Cargo del firmante autorizado.</t>
        </is>
      </c>
      <c r="S728" s="18" t="inlineStr">
        <is>
          <t>Alta</t>
        </is>
      </c>
      <c r="T728" s="18" t="inlineStr">
        <is>
          <t>nombre + tipo + columnas vecinas (full_name, department) ~</t>
        </is>
      </c>
      <c r="U728" s="18" t="inlineStr"/>
      <c r="V728" s="19" t="inlineStr">
        <is>
          <t>Pendiente</t>
        </is>
      </c>
      <c r="W728" s="19" t="inlineStr"/>
      <c r="X728" s="19" t="inlineStr"/>
      <c r="Y728" s="20" t="n"/>
      <c r="Z728" s="19" t="inlineStr"/>
      <c r="AA728" s="18">
        <f>IF(OR(V728="Aprobada"),R728,IF(AND(OR(V728="Aprobada con ajuste",V728="Rechazada"),W728&lt;&gt;""),W728,""))</f>
        <v/>
      </c>
    </row>
    <row r="729">
      <c r="A729" s="18" t="inlineStr">
        <is>
          <t>C0728</t>
        </is>
      </c>
      <c r="B729" s="18" t="inlineStr">
        <is>
          <t>Certificaciones</t>
        </is>
      </c>
      <c r="C729" s="18" t="inlineStr">
        <is>
          <t>certification</t>
        </is>
      </c>
      <c r="D729" s="18" t="inlineStr">
        <is>
          <t>signers</t>
        </is>
      </c>
      <c r="E729" s="18" t="n">
        <v>1</v>
      </c>
      <c r="F729" s="18" t="inlineStr">
        <is>
          <t>department</t>
        </is>
      </c>
      <c r="G729" s="18" t="inlineStr">
        <is>
          <t>character varying(255)</t>
        </is>
      </c>
      <c r="H729" s="18" t="inlineStr">
        <is>
          <t>Sí</t>
        </is>
      </c>
      <c r="I729" s="18" t="inlineStr"/>
      <c r="J729" s="18" t="inlineStr"/>
      <c r="K729" s="18" t="inlineStr"/>
      <c r="L729" s="18" t="inlineStr">
        <is>
          <t>No</t>
        </is>
      </c>
      <c r="M729" s="18" t="inlineStr">
        <is>
          <t>No</t>
        </is>
      </c>
      <c r="N729" s="18" t="inlineStr"/>
      <c r="O729" s="18" t="inlineStr"/>
      <c r="P729" s="18" t="inlineStr">
        <is>
          <t>Mapeada en certification-service/src/certificates/signer.entity.ts:14 (Signer.department)</t>
        </is>
      </c>
      <c r="Q729" s="18" t="inlineStr">
        <is>
          <t>Propuesta semántica</t>
        </is>
      </c>
      <c r="R729" s="18" t="inlineStr">
        <is>
          <t>Dependencia a la que pertenece el firmante autorizado.</t>
        </is>
      </c>
      <c r="S729" s="18" t="inlineStr">
        <is>
          <t>Alta</t>
        </is>
      </c>
      <c r="T729" s="18" t="inlineStr">
        <is>
          <t>nombre + tipo + columnas vecinas ~</t>
        </is>
      </c>
      <c r="U729" s="18" t="inlineStr"/>
      <c r="V729" s="19" t="inlineStr">
        <is>
          <t>Pendiente</t>
        </is>
      </c>
      <c r="W729" s="19" t="inlineStr"/>
      <c r="X729" s="19" t="inlineStr"/>
      <c r="Y729" s="20" t="n"/>
      <c r="Z729" s="19" t="inlineStr"/>
      <c r="AA729" s="18">
        <f>IF(OR(V729="Aprobada"),R729,IF(AND(OR(V729="Aprobada con ajuste",V729="Rechazada"),W729&lt;&gt;""),W729,""))</f>
        <v/>
      </c>
    </row>
    <row r="730">
      <c r="A730" s="18" t="inlineStr">
        <is>
          <t>C0729</t>
        </is>
      </c>
      <c r="B730" s="18" t="inlineStr">
        <is>
          <t>Certificaciones</t>
        </is>
      </c>
      <c r="C730" s="18" t="inlineStr">
        <is>
          <t>certification</t>
        </is>
      </c>
      <c r="D730" s="18" t="inlineStr">
        <is>
          <t>signers</t>
        </is>
      </c>
      <c r="E730" s="18" t="n">
        <v>1</v>
      </c>
      <c r="F730" s="18" t="inlineStr">
        <is>
          <t>signature_url</t>
        </is>
      </c>
      <c r="G730" s="18" t="inlineStr">
        <is>
          <t>character varying(500)</t>
        </is>
      </c>
      <c r="H730" s="18" t="inlineStr">
        <is>
          <t>Sí</t>
        </is>
      </c>
      <c r="I730" s="18" t="inlineStr"/>
      <c r="J730" s="18" t="inlineStr"/>
      <c r="K730" s="18" t="inlineStr"/>
      <c r="L730" s="18" t="inlineStr">
        <is>
          <t>No</t>
        </is>
      </c>
      <c r="M730" s="18" t="inlineStr">
        <is>
          <t>No</t>
        </is>
      </c>
      <c r="N730" s="18" t="inlineStr"/>
      <c r="O730" s="18" t="inlineStr"/>
      <c r="P730" s="18" t="inlineStr">
        <is>
          <t>db/init/old/005_schema_certification.sql:190: Digital signature (image)</t>
        </is>
      </c>
      <c r="Q730" s="18" t="inlineStr">
        <is>
          <t>Código fuente</t>
        </is>
      </c>
      <c r="R730" s="18" t="inlineStr">
        <is>
          <t>Ruta o URL de la imagen de la firma digital del firmante.</t>
        </is>
      </c>
      <c r="S730" s="18" t="inlineStr">
        <is>
          <t>Alta</t>
        </is>
      </c>
      <c r="T730" s="18" t="inlineStr">
        <is>
          <t>código: db/init/old/005_schema_certification.sql:190</t>
        </is>
      </c>
      <c r="U730" s="18" t="inlineStr"/>
      <c r="V730" s="19" t="inlineStr">
        <is>
          <t>Pendiente</t>
        </is>
      </c>
      <c r="W730" s="19" t="inlineStr"/>
      <c r="X730" s="19" t="inlineStr"/>
      <c r="Y730" s="20" t="n"/>
      <c r="Z730" s="19" t="inlineStr"/>
      <c r="AA730" s="18">
        <f>IF(OR(V730="Aprobada"),R730,IF(AND(OR(V730="Aprobada con ajuste",V730="Rechazada"),W730&lt;&gt;""),W730,""))</f>
        <v/>
      </c>
    </row>
    <row r="731">
      <c r="A731" s="18" t="inlineStr">
        <is>
          <t>C0730</t>
        </is>
      </c>
      <c r="B731" s="18" t="inlineStr">
        <is>
          <t>Certificaciones</t>
        </is>
      </c>
      <c r="C731" s="18" t="inlineStr">
        <is>
          <t>certification</t>
        </is>
      </c>
      <c r="D731" s="18" t="inlineStr">
        <is>
          <t>signers</t>
        </is>
      </c>
      <c r="E731" s="18" t="n">
        <v>1</v>
      </c>
      <c r="F731" s="18" t="inlineStr">
        <is>
          <t>is_active</t>
        </is>
      </c>
      <c r="G731" s="18" t="inlineStr">
        <is>
          <t>boolean</t>
        </is>
      </c>
      <c r="H731" s="18" t="inlineStr">
        <is>
          <t>Sí</t>
        </is>
      </c>
      <c r="I731" s="18" t="inlineStr"/>
      <c r="J731" s="18" t="inlineStr"/>
      <c r="K731" s="18" t="inlineStr"/>
      <c r="L731" s="18" t="inlineStr">
        <is>
          <t>No</t>
        </is>
      </c>
      <c r="M731" s="18" t="inlineStr">
        <is>
          <t>No</t>
        </is>
      </c>
      <c r="N731" s="18" t="inlineStr"/>
      <c r="O731" s="18" t="inlineStr"/>
      <c r="P731" s="18" t="inlineStr">
        <is>
          <t>db/init/old/005_schema_certification.sql:194: Status</t>
        </is>
      </c>
      <c r="Q731" s="18" t="inlineStr">
        <is>
          <t>Código fuente</t>
        </is>
      </c>
      <c r="R731" s="18" t="inlineStr">
        <is>
          <t>Indica si el firmante está activo; por defecto verdadero.</t>
        </is>
      </c>
      <c r="S731" s="18" t="inlineStr">
        <is>
          <t>Alta</t>
        </is>
      </c>
      <c r="T731" s="18" t="inlineStr">
        <is>
          <t>código: db/init/old/005_schema_certification.sql:194</t>
        </is>
      </c>
      <c r="U731" s="18" t="inlineStr"/>
      <c r="V731" s="19" t="inlineStr">
        <is>
          <t>Pendiente</t>
        </is>
      </c>
      <c r="W731" s="19" t="inlineStr"/>
      <c r="X731" s="19" t="inlineStr"/>
      <c r="Y731" s="20" t="n"/>
      <c r="Z731" s="19" t="inlineStr"/>
      <c r="AA731" s="18">
        <f>IF(OR(V731="Aprobada"),R731,IF(AND(OR(V731="Aprobada con ajuste",V731="Rechazada"),W731&lt;&gt;""),W731,""))</f>
        <v/>
      </c>
    </row>
    <row r="732">
      <c r="A732" s="18" t="inlineStr">
        <is>
          <t>C0731</t>
        </is>
      </c>
      <c r="B732" s="18" t="inlineStr">
        <is>
          <t>Certificaciones</t>
        </is>
      </c>
      <c r="C732" s="18" t="inlineStr">
        <is>
          <t>certification</t>
        </is>
      </c>
      <c r="D732" s="18" t="inlineStr">
        <is>
          <t>signers</t>
        </is>
      </c>
      <c r="E732" s="18" t="n">
        <v>1</v>
      </c>
      <c r="F732" s="18" t="inlineStr">
        <is>
          <t>is_primary</t>
        </is>
      </c>
      <c r="G732" s="18" t="inlineStr">
        <is>
          <t>boolean</t>
        </is>
      </c>
      <c r="H732" s="18" t="inlineStr">
        <is>
          <t>Sí</t>
        </is>
      </c>
      <c r="I732" s="18" t="inlineStr"/>
      <c r="J732" s="18" t="inlineStr"/>
      <c r="K732" s="18" t="inlineStr"/>
      <c r="L732" s="18" t="inlineStr">
        <is>
          <t>No</t>
        </is>
      </c>
      <c r="M732" s="18" t="inlineStr">
        <is>
          <t>No</t>
        </is>
      </c>
      <c r="N732" s="18" t="inlineStr"/>
      <c r="O732" s="18" t="inlineStr"/>
      <c r="P732" s="18" t="inlineStr">
        <is>
          <t>db/init/old/005_schema_certification.sql:195: Primary/default signer</t>
        </is>
      </c>
      <c r="Q732" s="18" t="inlineStr">
        <is>
          <t>Código fuente</t>
        </is>
      </c>
      <c r="R732" s="18" t="inlineStr">
        <is>
          <t>Indica si es el firmante principal, usado por defecto; por defecto falso.</t>
        </is>
      </c>
      <c r="S732" s="18" t="inlineStr">
        <is>
          <t>Alta</t>
        </is>
      </c>
      <c r="T732" s="18" t="inlineStr">
        <is>
          <t>código: db/init/old/005_schema_certification.sql:195</t>
        </is>
      </c>
      <c r="U732" s="18" t="inlineStr"/>
      <c r="V732" s="19" t="inlineStr">
        <is>
          <t>Pendiente</t>
        </is>
      </c>
      <c r="W732" s="19" t="inlineStr"/>
      <c r="X732" s="19" t="inlineStr"/>
      <c r="Y732" s="20" t="n"/>
      <c r="Z732" s="19" t="inlineStr"/>
      <c r="AA732" s="18">
        <f>IF(OR(V732="Aprobada"),R732,IF(AND(OR(V732="Aprobada con ajuste",V732="Rechazada"),W732&lt;&gt;""),W732,""))</f>
        <v/>
      </c>
    </row>
    <row r="733">
      <c r="A733" s="18" t="inlineStr">
        <is>
          <t>C0732</t>
        </is>
      </c>
      <c r="B733" s="18" t="inlineStr">
        <is>
          <t>Certificaciones</t>
        </is>
      </c>
      <c r="C733" s="18" t="inlineStr">
        <is>
          <t>certification</t>
        </is>
      </c>
      <c r="D733" s="18" t="inlineStr">
        <is>
          <t>technical_bonus_assignments</t>
        </is>
      </c>
      <c r="E733" s="18" t="n">
        <v>53</v>
      </c>
      <c r="F733" s="18" t="inlineStr">
        <is>
          <t>full_name</t>
        </is>
      </c>
      <c r="G733" s="18" t="inlineStr">
        <is>
          <t>character varying(255)</t>
        </is>
      </c>
      <c r="H733" s="18" t="inlineStr">
        <is>
          <t>No</t>
        </is>
      </c>
      <c r="I733" s="18" t="inlineStr"/>
      <c r="J733" s="18" t="inlineStr"/>
      <c r="K733" s="18" t="inlineStr"/>
      <c r="L733" s="18" t="inlineStr">
        <is>
          <t>No</t>
        </is>
      </c>
      <c r="M733" s="18" t="inlineStr">
        <is>
          <t>No</t>
        </is>
      </c>
      <c r="N733" s="18" t="inlineStr"/>
      <c r="O733" s="18" t="inlineStr"/>
      <c r="P733" s="18" t="inlineStr">
        <is>
          <t>Mapeada en certification-service/src/certificates/technical-bonus-assignment.entity.ts:26 (TechnicalBonusAssignment.full_name)</t>
        </is>
      </c>
      <c r="Q733" s="18" t="inlineStr">
        <is>
          <t>Propuesta semántica</t>
        </is>
      </c>
      <c r="R733" s="18" t="inlineStr">
        <is>
          <t>Nombre completo del empleado al que se asigna el porcentaje de bonificación técnica.</t>
        </is>
      </c>
      <c r="S733" s="18" t="inlineStr">
        <is>
          <t>Alta</t>
        </is>
      </c>
      <c r="T733" s="18" t="inlineStr">
        <is>
          <t>nombre + tipo + columnas vecinas (id_number, percentage) ~</t>
        </is>
      </c>
      <c r="U733" s="18" t="inlineStr"/>
      <c r="V733" s="19" t="inlineStr">
        <is>
          <t>Pendiente</t>
        </is>
      </c>
      <c r="W733" s="19" t="inlineStr"/>
      <c r="X733" s="19" t="inlineStr"/>
      <c r="Y733" s="20" t="n"/>
      <c r="Z733" s="19" t="inlineStr"/>
      <c r="AA733" s="18">
        <f>IF(OR(V733="Aprobada"),R733,IF(AND(OR(V733="Aprobada con ajuste",V733="Rechazada"),W733&lt;&gt;""),W733,""))</f>
        <v/>
      </c>
    </row>
    <row r="734">
      <c r="A734" s="18" t="inlineStr">
        <is>
          <t>C0733</t>
        </is>
      </c>
      <c r="B734" s="18" t="inlineStr">
        <is>
          <t>Certificaciones</t>
        </is>
      </c>
      <c r="C734" s="18" t="inlineStr">
        <is>
          <t>certification</t>
        </is>
      </c>
      <c r="D734" s="18" t="inlineStr">
        <is>
          <t>technical_bonus_templates</t>
        </is>
      </c>
      <c r="E734" s="18" t="n">
        <v>3</v>
      </c>
      <c r="F734" s="18" t="inlineStr">
        <is>
          <t>label</t>
        </is>
      </c>
      <c r="G734" s="18" t="inlineStr">
        <is>
          <t>character varying(120)</t>
        </is>
      </c>
      <c r="H734" s="18" t="inlineStr">
        <is>
          <t>Sí</t>
        </is>
      </c>
      <c r="I734" s="18" t="inlineStr"/>
      <c r="J734" s="18" t="inlineStr"/>
      <c r="K734" s="18" t="inlineStr"/>
      <c r="L734" s="18" t="inlineStr">
        <is>
          <t>No</t>
        </is>
      </c>
      <c r="M734" s="18" t="inlineStr">
        <is>
          <t>No</t>
        </is>
      </c>
      <c r="N734" s="18" t="inlineStr"/>
      <c r="O734" s="18" t="inlineStr"/>
      <c r="P734" s="18" t="inlineStr">
        <is>
          <t>Mapeada en certification-service/src/certificates/technical-bonus-template.entity.ts:34 (TechnicalBonusTemplate.label)</t>
        </is>
      </c>
      <c r="Q734" s="18" t="inlineStr">
        <is>
          <t>Propuesta semántica</t>
        </is>
      </c>
      <c r="R734" s="18" t="inlineStr">
        <is>
          <t>Etiqueta visible de la plantilla de bonificación técnica.</t>
        </is>
      </c>
      <c r="S734" s="18" t="inlineStr">
        <is>
          <t>Media</t>
        </is>
      </c>
      <c r="T734" s="18" t="inlineStr">
        <is>
          <t>nombre + tipo + columnas vecinas (category, description)</t>
        </is>
      </c>
      <c r="U734" s="18" t="inlineStr">
        <is>
          <t>¿label es el nombre que se muestra al usuario para elegir la plantilla?</t>
        </is>
      </c>
      <c r="V734" s="19" t="inlineStr">
        <is>
          <t>Pendiente</t>
        </is>
      </c>
      <c r="W734" s="19" t="inlineStr"/>
      <c r="X734" s="19" t="inlineStr"/>
      <c r="Y734" s="20" t="n"/>
      <c r="Z734" s="19" t="inlineStr"/>
      <c r="AA734" s="18">
        <f>IF(OR(V734="Aprobada"),R734,IF(AND(OR(V734="Aprobada con ajuste",V734="Rechazada"),W734&lt;&gt;""),W734,""))</f>
        <v/>
      </c>
    </row>
    <row r="735">
      <c r="A735" s="18" t="inlineStr">
        <is>
          <t>C0734</t>
        </is>
      </c>
      <c r="B735" s="18" t="inlineStr">
        <is>
          <t>Certificaciones</t>
        </is>
      </c>
      <c r="C735" s="18" t="inlineStr">
        <is>
          <t>certification</t>
        </is>
      </c>
      <c r="D735" s="18" t="inlineStr">
        <is>
          <t>technical_bonus_templates</t>
        </is>
      </c>
      <c r="E735" s="18" t="n">
        <v>3</v>
      </c>
      <c r="F735" s="18" t="inlineStr">
        <is>
          <t>description</t>
        </is>
      </c>
      <c r="G735" s="18" t="inlineStr">
        <is>
          <t>character varying(255)</t>
        </is>
      </c>
      <c r="H735" s="18" t="inlineStr">
        <is>
          <t>Sí</t>
        </is>
      </c>
      <c r="I735" s="18" t="inlineStr"/>
      <c r="J735" s="18" t="inlineStr"/>
      <c r="K735" s="18" t="inlineStr"/>
      <c r="L735" s="18" t="inlineStr">
        <is>
          <t>No</t>
        </is>
      </c>
      <c r="M735" s="18" t="inlineStr">
        <is>
          <t>No</t>
        </is>
      </c>
      <c r="N735" s="18" t="inlineStr"/>
      <c r="O735" s="18" t="inlineStr"/>
      <c r="P735" s="18" t="inlineStr">
        <is>
          <t>Mapeada en certification-service/src/certificates/technical-bonus-template.entity.ts:37 (TechnicalBonusTemplate.description)</t>
        </is>
      </c>
      <c r="Q735" s="18" t="inlineStr">
        <is>
          <t>Regla estructural</t>
        </is>
      </c>
      <c r="R735" s="18" t="inlineStr">
        <is>
          <t>Descripción del registro de technical_bonus_templates.</t>
        </is>
      </c>
      <c r="S735" s="18" t="inlineStr">
        <is>
          <t>Media</t>
        </is>
      </c>
      <c r="T735" s="18" t="inlineStr">
        <is>
          <t>Convención de nombre de la columna.</t>
        </is>
      </c>
      <c r="U735" s="18" t="inlineStr"/>
      <c r="V735" s="19" t="inlineStr">
        <is>
          <t>Pendiente</t>
        </is>
      </c>
      <c r="W735" s="19" t="inlineStr"/>
      <c r="X735" s="19" t="inlineStr"/>
      <c r="Y735" s="20" t="n"/>
      <c r="Z735" s="19" t="inlineStr"/>
      <c r="AA735" s="18">
        <f>IF(OR(V735="Aprobada"),R735,IF(AND(OR(V735="Aprobada con ajuste",V735="Rechazada"),W735&lt;&gt;""),W735,""))</f>
        <v/>
      </c>
    </row>
    <row r="736">
      <c r="A736" s="18" t="inlineStr">
        <is>
          <t>C0735</t>
        </is>
      </c>
      <c r="B736" s="18" t="inlineStr">
        <is>
          <t>Certificaciones</t>
        </is>
      </c>
      <c r="C736" s="18" t="inlineStr">
        <is>
          <t>certification</t>
        </is>
      </c>
      <c r="D736" s="18" t="inlineStr">
        <is>
          <t>technical_bonus_templates</t>
        </is>
      </c>
      <c r="E736" s="18" t="n">
        <v>3</v>
      </c>
      <c r="F736" s="18" t="inlineStr">
        <is>
          <t>display_order</t>
        </is>
      </c>
      <c r="G736" s="18" t="inlineStr">
        <is>
          <t>integer</t>
        </is>
      </c>
      <c r="H736" s="18" t="inlineStr">
        <is>
          <t>No</t>
        </is>
      </c>
      <c r="I736" s="18" t="inlineStr"/>
      <c r="J736" s="18" t="inlineStr"/>
      <c r="K736" s="18" t="inlineStr"/>
      <c r="L736" s="18" t="inlineStr">
        <is>
          <t>No</t>
        </is>
      </c>
      <c r="M736" s="18" t="inlineStr">
        <is>
          <t>No</t>
        </is>
      </c>
      <c r="N736" s="18" t="inlineStr"/>
      <c r="O736" s="18" t="inlineStr"/>
      <c r="P736" s="18" t="inlineStr">
        <is>
          <t>Mapeada en certification-service/src/certificates/technical-bonus-template.entity.ts:43 (TechnicalBonusTemplate.display_order)</t>
        </is>
      </c>
      <c r="Q736" s="18" t="inlineStr">
        <is>
          <t>Propuesta semántica</t>
        </is>
      </c>
      <c r="R736" s="18" t="inlineStr">
        <is>
          <t>Orden de presentación de la plantilla en las listas; 0 por defecto.</t>
        </is>
      </c>
      <c r="S736" s="18" t="inlineStr">
        <is>
          <t>Alta</t>
        </is>
      </c>
      <c r="T736" s="18" t="inlineStr">
        <is>
          <t>nombre + tipo + defecto 0 ~</t>
        </is>
      </c>
      <c r="U736" s="18" t="inlineStr"/>
      <c r="V736" s="19" t="inlineStr">
        <is>
          <t>Pendiente</t>
        </is>
      </c>
      <c r="W736" s="19" t="inlineStr"/>
      <c r="X736" s="19" t="inlineStr"/>
      <c r="Y736" s="20" t="n"/>
      <c r="Z736" s="19" t="inlineStr"/>
      <c r="AA736" s="18">
        <f>IF(OR(V736="Aprobada"),R736,IF(AND(OR(V736="Aprobada con ajuste",V736="Rechazada"),W736&lt;&gt;""),W736,""))</f>
        <v/>
      </c>
    </row>
    <row r="737">
      <c r="A737" s="18" t="inlineStr">
        <is>
          <t>C0736</t>
        </is>
      </c>
      <c r="B737" s="18" t="inlineStr">
        <is>
          <t>Certificaciones</t>
        </is>
      </c>
      <c r="C737" s="18" t="inlineStr">
        <is>
          <t>certification</t>
        </is>
      </c>
      <c r="D737" s="18" t="inlineStr">
        <is>
          <t>technical_bonus_templates</t>
        </is>
      </c>
      <c r="E737" s="18" t="n">
        <v>3</v>
      </c>
      <c r="F737" s="18" t="inlineStr">
        <is>
          <t>is_system</t>
        </is>
      </c>
      <c r="G737" s="18" t="inlineStr">
        <is>
          <t>boolean</t>
        </is>
      </c>
      <c r="H737" s="18" t="inlineStr">
        <is>
          <t>No</t>
        </is>
      </c>
      <c r="I737" s="18" t="inlineStr"/>
      <c r="J737" s="18" t="inlineStr"/>
      <c r="K737" s="18" t="inlineStr"/>
      <c r="L737" s="18" t="inlineStr">
        <is>
          <t>No</t>
        </is>
      </c>
      <c r="M737" s="18" t="inlineStr">
        <is>
          <t>No</t>
        </is>
      </c>
      <c r="N737" s="18" t="inlineStr"/>
      <c r="O737" s="18" t="inlineStr"/>
      <c r="P737" s="18" t="inlineStr">
        <is>
          <t>Mapeada en certification-service/src/certificates/technical-bonus-template.entity.ts:46 (TechnicalBonusTemplate.is_system)</t>
        </is>
      </c>
      <c r="Q737" s="18" t="inlineStr">
        <is>
          <t>Regla estructural</t>
        </is>
      </c>
      <c r="R737" s="18" t="inlineStr">
        <is>
          <t>Indica si aplica: system.</t>
        </is>
      </c>
      <c r="S737" s="18" t="inlineStr">
        <is>
          <t>Media</t>
        </is>
      </c>
      <c r="T737" s="18" t="inlineStr">
        <is>
          <t>Convención de nombre de la columna.</t>
        </is>
      </c>
      <c r="U737" s="18" t="inlineStr"/>
      <c r="V737" s="19" t="inlineStr">
        <is>
          <t>Pendiente</t>
        </is>
      </c>
      <c r="W737" s="19" t="inlineStr"/>
      <c r="X737" s="19" t="inlineStr"/>
      <c r="Y737" s="20" t="n"/>
      <c r="Z737" s="19" t="inlineStr"/>
      <c r="AA737" s="18">
        <f>IF(OR(V737="Aprobada"),R737,IF(AND(OR(V737="Aprobada con ajuste",V737="Rechazada"),W737&lt;&gt;""),W737,""))</f>
        <v/>
      </c>
    </row>
    <row r="738">
      <c r="A738" s="18" t="inlineStr">
        <is>
          <t>C0737</t>
        </is>
      </c>
      <c r="B738" s="18" t="inlineStr">
        <is>
          <t>Certificaciones</t>
        </is>
      </c>
      <c r="C738" s="18" t="inlineStr">
        <is>
          <t>certification</t>
        </is>
      </c>
      <c r="D738" s="18" t="inlineStr">
        <is>
          <t>technical_bonus_templates</t>
        </is>
      </c>
      <c r="E738" s="18" t="n">
        <v>3</v>
      </c>
      <c r="F738" s="18" t="inlineStr">
        <is>
          <t>is_active</t>
        </is>
      </c>
      <c r="G738" s="18" t="inlineStr">
        <is>
          <t>boolean</t>
        </is>
      </c>
      <c r="H738" s="18" t="inlineStr">
        <is>
          <t>No</t>
        </is>
      </c>
      <c r="I738" s="18" t="inlineStr"/>
      <c r="J738" s="18" t="inlineStr"/>
      <c r="K738" s="18" t="inlineStr"/>
      <c r="L738" s="18" t="inlineStr">
        <is>
          <t>No</t>
        </is>
      </c>
      <c r="M738" s="18" t="inlineStr">
        <is>
          <t>No</t>
        </is>
      </c>
      <c r="N738" s="18" t="inlineStr"/>
      <c r="O738" s="18" t="inlineStr"/>
      <c r="P738" s="18" t="inlineStr">
        <is>
          <t>Mapeada en certification-service/src/certificates/technical-bonus-template.entity.ts:49 (TechnicalBonusTemplate.is_active)</t>
        </is>
      </c>
      <c r="Q738" s="18" t="inlineStr">
        <is>
          <t>Regla estructural</t>
        </is>
      </c>
      <c r="R738" s="18" t="inlineStr">
        <is>
          <t>Indica si el registro está activo.</t>
        </is>
      </c>
      <c r="S738" s="18" t="inlineStr">
        <is>
          <t>Media</t>
        </is>
      </c>
      <c r="T738" s="18" t="inlineStr">
        <is>
          <t>Convención de nombre de la columna.</t>
        </is>
      </c>
      <c r="U738" s="18" t="inlineStr"/>
      <c r="V738" s="19" t="inlineStr">
        <is>
          <t>Pendiente</t>
        </is>
      </c>
      <c r="W738" s="19" t="inlineStr"/>
      <c r="X738" s="19" t="inlineStr"/>
      <c r="Y738" s="20" t="n"/>
      <c r="Z738" s="19" t="inlineStr"/>
      <c r="AA738" s="18">
        <f>IF(OR(V738="Aprobada"),R738,IF(AND(OR(V738="Aprobada con ajuste",V738="Rechazada"),W738&lt;&gt;""),W738,""))</f>
        <v/>
      </c>
    </row>
    <row r="739">
      <c r="A739" s="18" t="inlineStr">
        <is>
          <t>C0738</t>
        </is>
      </c>
      <c r="B739" s="18" t="inlineStr">
        <is>
          <t>Certificaciones</t>
        </is>
      </c>
      <c r="C739" s="18" t="inlineStr">
        <is>
          <t>certification</t>
        </is>
      </c>
      <c r="D739" s="18" t="inlineStr">
        <is>
          <t>template_config_changes</t>
        </is>
      </c>
      <c r="E739" s="18" t="n">
        <v>206</v>
      </c>
      <c r="F739" s="18" t="inlineStr">
        <is>
          <t>changed_at</t>
        </is>
      </c>
      <c r="G739" s="18" t="inlineStr">
        <is>
          <t>timestamp without time zone</t>
        </is>
      </c>
      <c r="H739" s="18" t="inlineStr">
        <is>
          <t>Sí</t>
        </is>
      </c>
      <c r="I739" s="18" t="inlineStr"/>
      <c r="J739" s="18" t="inlineStr"/>
      <c r="K739" s="18" t="inlineStr"/>
      <c r="L739" s="18" t="inlineStr">
        <is>
          <t>No</t>
        </is>
      </c>
      <c r="M739" s="18" t="inlineStr">
        <is>
          <t>No</t>
        </is>
      </c>
      <c r="N739" s="18" t="inlineStr"/>
      <c r="O739" s="18" t="inlineStr">
        <is>
          <t>idx_template_config_changes_date</t>
        </is>
      </c>
      <c r="P739" s="18" t="inlineStr">
        <is>
          <t>Mapeada en certification-service/src/certificates/template-config-change.entity.ts:38 (TemplateConfigChange.changedAt)</t>
        </is>
      </c>
      <c r="Q739" s="18" t="inlineStr">
        <is>
          <t>Propuesta semántica</t>
        </is>
      </c>
      <c r="R739" s="18" t="inlineStr">
        <is>
          <t>Fecha y hora en que se registró el cambio de configuración de la plantilla.</t>
        </is>
      </c>
      <c r="S739" s="18" t="inlineStr">
        <is>
          <t>Alta</t>
        </is>
      </c>
      <c r="T739" s="18" t="inlineStr">
        <is>
          <t>nombre + tipo + defecto CURRENT_TIMESTAMP ~</t>
        </is>
      </c>
      <c r="U739" s="18" t="inlineStr"/>
      <c r="V739" s="19" t="inlineStr">
        <is>
          <t>Pendiente</t>
        </is>
      </c>
      <c r="W739" s="19" t="inlineStr"/>
      <c r="X739" s="19" t="inlineStr"/>
      <c r="Y739" s="20" t="n"/>
      <c r="Z739" s="19" t="inlineStr"/>
      <c r="AA739" s="18">
        <f>IF(OR(V739="Aprobada"),R739,IF(AND(OR(V739="Aprobada con ajuste",V739="Rechazada"),W739&lt;&gt;""),W739,""))</f>
        <v/>
      </c>
    </row>
    <row r="740">
      <c r="A740" s="18" t="inlineStr">
        <is>
          <t>C0739</t>
        </is>
      </c>
      <c r="B740" s="18" t="inlineStr">
        <is>
          <t>Certificaciones</t>
        </is>
      </c>
      <c r="C740" s="18" t="inlineStr">
        <is>
          <t>certification</t>
        </is>
      </c>
      <c r="D740" s="18" t="inlineStr">
        <is>
          <t>template_config_changes</t>
        </is>
      </c>
      <c r="E740" s="18" t="n">
        <v>206</v>
      </c>
      <c r="F740" s="18" t="inlineStr">
        <is>
          <t>changed_by</t>
        </is>
      </c>
      <c r="G740" s="18" t="inlineStr">
        <is>
          <t>character varying(255)</t>
        </is>
      </c>
      <c r="H740" s="18" t="inlineStr">
        <is>
          <t>Sí</t>
        </is>
      </c>
      <c r="I740" s="18" t="inlineStr"/>
      <c r="J740" s="18" t="inlineStr"/>
      <c r="K740" s="18" t="inlineStr"/>
      <c r="L740" s="18" t="inlineStr">
        <is>
          <t>No</t>
        </is>
      </c>
      <c r="M740" s="18" t="inlineStr">
        <is>
          <t>No</t>
        </is>
      </c>
      <c r="N740" s="18" t="inlineStr"/>
      <c r="O740" s="18" t="inlineStr"/>
      <c r="P740" s="18" t="inlineStr">
        <is>
          <t>Mapeada en certification-service/src/certificates/template-config-change.entity.ts:41 (TemplateConfigChange.changedBy)</t>
        </is>
      </c>
      <c r="Q740" s="18" t="inlineStr">
        <is>
          <t>Propuesta semántica</t>
        </is>
      </c>
      <c r="R740" s="18" t="inlineStr">
        <is>
          <t>Usuario que realizó el cambio de configuración de la plantilla.</t>
        </is>
      </c>
      <c r="S740" s="18" t="inlineStr">
        <is>
          <t>Media</t>
        </is>
      </c>
      <c r="T740" s="18" t="inlineStr">
        <is>
          <t>nombre + tipo</t>
        </is>
      </c>
      <c r="U740" s="18" t="inlineStr">
        <is>
          <t>¿changed_by guarda el nombre, el correo o el identificador del usuario?</t>
        </is>
      </c>
      <c r="V740" s="19" t="inlineStr">
        <is>
          <t>Pendiente</t>
        </is>
      </c>
      <c r="W740" s="19" t="inlineStr"/>
      <c r="X740" s="19" t="inlineStr"/>
      <c r="Y740" s="20" t="n"/>
      <c r="Z740" s="19" t="inlineStr"/>
      <c r="AA740" s="18">
        <f>IF(OR(V740="Aprobada"),R740,IF(AND(OR(V740="Aprobada con ajuste",V740="Rechazada"),W740&lt;&gt;""),W740,""))</f>
        <v/>
      </c>
    </row>
    <row r="741">
      <c r="A741" s="18" t="inlineStr">
        <is>
          <t>C0740</t>
        </is>
      </c>
      <c r="B741" s="18" t="inlineStr">
        <is>
          <t>Certificaciones</t>
        </is>
      </c>
      <c r="C741" s="18" t="inlineStr">
        <is>
          <t>certification</t>
        </is>
      </c>
      <c r="D741" s="18" t="inlineStr">
        <is>
          <t>template_signers</t>
        </is>
      </c>
      <c r="E741" s="18" t="n">
        <v>1</v>
      </c>
      <c r="F741" s="18" t="inlineStr">
        <is>
          <t>full_name</t>
        </is>
      </c>
      <c r="G741" s="18" t="inlineStr">
        <is>
          <t>character varying(255)</t>
        </is>
      </c>
      <c r="H741" s="18" t="inlineStr">
        <is>
          <t>No</t>
        </is>
      </c>
      <c r="I741" s="18" t="inlineStr"/>
      <c r="J741" s="18" t="inlineStr"/>
      <c r="K741" s="18" t="inlineStr"/>
      <c r="L741" s="18" t="inlineStr">
        <is>
          <t>No</t>
        </is>
      </c>
      <c r="M741" s="18" t="inlineStr">
        <is>
          <t>No</t>
        </is>
      </c>
      <c r="N741" s="18" t="inlineStr"/>
      <c r="O741" s="18" t="inlineStr"/>
      <c r="P741" s="18" t="inlineStr">
        <is>
          <t>Mapeada en certification-service/src/certificates/template-signer.entity.ts:14 (TemplateSigner.full_name)</t>
        </is>
      </c>
      <c r="Q741" s="18" t="inlineStr">
        <is>
          <t>Propuesta semántica</t>
        </is>
      </c>
      <c r="R741" s="18" t="inlineStr">
        <is>
          <t>Nombre completo del firmante disponible para las plantillas de certificado laboral.</t>
        </is>
      </c>
      <c r="S741" s="18" t="inlineStr">
        <is>
          <t>Alta</t>
        </is>
      </c>
      <c r="T741" s="18" t="inlineStr">
        <is>
          <t>nombre + tipo + descripción de la tabla ~</t>
        </is>
      </c>
      <c r="U741" s="18" t="inlineStr"/>
      <c r="V741" s="19" t="inlineStr">
        <is>
          <t>Pendiente</t>
        </is>
      </c>
      <c r="W741" s="19" t="inlineStr"/>
      <c r="X741" s="19" t="inlineStr"/>
      <c r="Y741" s="20" t="n"/>
      <c r="Z741" s="19" t="inlineStr"/>
      <c r="AA741" s="18">
        <f>IF(OR(V741="Aprobada"),R741,IF(AND(OR(V741="Aprobada con ajuste",V741="Rechazada"),W741&lt;&gt;""),W741,""))</f>
        <v/>
      </c>
    </row>
    <row r="742">
      <c r="A742" s="18" t="inlineStr">
        <is>
          <t>C0741</t>
        </is>
      </c>
      <c r="B742" s="18" t="inlineStr">
        <is>
          <t>Certificaciones</t>
        </is>
      </c>
      <c r="C742" s="18" t="inlineStr">
        <is>
          <t>certification</t>
        </is>
      </c>
      <c r="D742" s="18" t="inlineStr">
        <is>
          <t>template_signers</t>
        </is>
      </c>
      <c r="E742" s="18" t="n">
        <v>1</v>
      </c>
      <c r="F742" s="18" t="inlineStr">
        <is>
          <t>position</t>
        </is>
      </c>
      <c r="G742" s="18" t="inlineStr">
        <is>
          <t>character varying(150)</t>
        </is>
      </c>
      <c r="H742" s="18" t="inlineStr">
        <is>
          <t>No</t>
        </is>
      </c>
      <c r="I742" s="18" t="inlineStr"/>
      <c r="J742" s="18" t="inlineStr"/>
      <c r="K742" s="18" t="inlineStr"/>
      <c r="L742" s="18" t="inlineStr">
        <is>
          <t>No</t>
        </is>
      </c>
      <c r="M742" s="18" t="inlineStr">
        <is>
          <t>No</t>
        </is>
      </c>
      <c r="N742" s="18" t="inlineStr"/>
      <c r="O742" s="18" t="inlineStr"/>
      <c r="P742" s="18" t="inlineStr">
        <is>
          <t>Mapeada en certification-service/src/certificates/template-signer.entity.ts:17 (TemplateSigner.position)</t>
        </is>
      </c>
      <c r="Q742" s="18" t="inlineStr">
        <is>
          <t>Propuesta semántica</t>
        </is>
      </c>
      <c r="R742" s="18" t="inlineStr">
        <is>
          <t>Cargo del firmante.</t>
        </is>
      </c>
      <c r="S742" s="18" t="inlineStr">
        <is>
          <t>Alta</t>
        </is>
      </c>
      <c r="T742" s="18" t="inlineStr">
        <is>
          <t>nombre + tipo + columnas vecinas ~</t>
        </is>
      </c>
      <c r="U742" s="18" t="inlineStr"/>
      <c r="V742" s="19" t="inlineStr">
        <is>
          <t>Pendiente</t>
        </is>
      </c>
      <c r="W742" s="19" t="inlineStr"/>
      <c r="X742" s="19" t="inlineStr"/>
      <c r="Y742" s="20" t="n"/>
      <c r="Z742" s="19" t="inlineStr"/>
      <c r="AA742" s="18">
        <f>IF(OR(V742="Aprobada"),R742,IF(AND(OR(V742="Aprobada con ajuste",V742="Rechazada"),W742&lt;&gt;""),W742,""))</f>
        <v/>
      </c>
    </row>
    <row r="743">
      <c r="A743" s="18" t="inlineStr">
        <is>
          <t>C0742</t>
        </is>
      </c>
      <c r="B743" s="18" t="inlineStr">
        <is>
          <t>Certificaciones</t>
        </is>
      </c>
      <c r="C743" s="18" t="inlineStr">
        <is>
          <t>certification</t>
        </is>
      </c>
      <c r="D743" s="18" t="inlineStr">
        <is>
          <t>template_signers</t>
        </is>
      </c>
      <c r="E743" s="18" t="n">
        <v>1</v>
      </c>
      <c r="F743" s="18" t="inlineStr">
        <is>
          <t>department</t>
        </is>
      </c>
      <c r="G743" s="18" t="inlineStr">
        <is>
          <t>character varying(255)</t>
        </is>
      </c>
      <c r="H743" s="18" t="inlineStr">
        <is>
          <t>No</t>
        </is>
      </c>
      <c r="I743" s="18" t="inlineStr"/>
      <c r="J743" s="18" t="inlineStr"/>
      <c r="K743" s="18" t="inlineStr"/>
      <c r="L743" s="18" t="inlineStr">
        <is>
          <t>No</t>
        </is>
      </c>
      <c r="M743" s="18" t="inlineStr">
        <is>
          <t>No</t>
        </is>
      </c>
      <c r="N743" s="18" t="inlineStr"/>
      <c r="O743" s="18" t="inlineStr"/>
      <c r="P743" s="18" t="inlineStr">
        <is>
          <t>Mapeada en certification-service/src/certificates/template-signer.entity.ts:20 (TemplateSigner.department)</t>
        </is>
      </c>
      <c r="Q743" s="18" t="inlineStr">
        <is>
          <t>Propuesta semántica</t>
        </is>
      </c>
      <c r="R743" s="18" t="inlineStr">
        <is>
          <t>Dependencia a la que pertenece el firmante.</t>
        </is>
      </c>
      <c r="S743" s="18" t="inlineStr">
        <is>
          <t>Alta</t>
        </is>
      </c>
      <c r="T743" s="18" t="inlineStr">
        <is>
          <t>nombre + tipo + columnas vecinas ~</t>
        </is>
      </c>
      <c r="U743" s="18" t="inlineStr"/>
      <c r="V743" s="19" t="inlineStr">
        <is>
          <t>Pendiente</t>
        </is>
      </c>
      <c r="W743" s="19" t="inlineStr"/>
      <c r="X743" s="19" t="inlineStr"/>
      <c r="Y743" s="20" t="n"/>
      <c r="Z743" s="19" t="inlineStr"/>
      <c r="AA743" s="18">
        <f>IF(OR(V743="Aprobada"),R743,IF(AND(OR(V743="Aprobada con ajuste",V743="Rechazada"),W743&lt;&gt;""),W743,""))</f>
        <v/>
      </c>
    </row>
    <row r="744">
      <c r="A744" s="18" t="inlineStr">
        <is>
          <t>C0743</t>
        </is>
      </c>
      <c r="B744" s="18" t="inlineStr">
        <is>
          <t>Certificaciones</t>
        </is>
      </c>
      <c r="C744" s="18" t="inlineStr">
        <is>
          <t>certification</t>
        </is>
      </c>
      <c r="D744" s="18" t="inlineStr">
        <is>
          <t>template_signers</t>
        </is>
      </c>
      <c r="E744" s="18" t="n">
        <v>1</v>
      </c>
      <c r="F744" s="18" t="inlineStr">
        <is>
          <t>is_active</t>
        </is>
      </c>
      <c r="G744" s="18" t="inlineStr">
        <is>
          <t>boolean</t>
        </is>
      </c>
      <c r="H744" s="18" t="inlineStr">
        <is>
          <t>Sí</t>
        </is>
      </c>
      <c r="I744" s="18" t="inlineStr"/>
      <c r="J744" s="18" t="inlineStr"/>
      <c r="K744" s="18" t="inlineStr"/>
      <c r="L744" s="18" t="inlineStr">
        <is>
          <t>No</t>
        </is>
      </c>
      <c r="M744" s="18" t="inlineStr">
        <is>
          <t>No</t>
        </is>
      </c>
      <c r="N744" s="18" t="inlineStr"/>
      <c r="O744" s="18" t="inlineStr"/>
      <c r="P744" s="18" t="inlineStr">
        <is>
          <t>Mapeada en certification-service/src/certificates/template-signer.entity.ts:23 (TemplateSigner.is_active)</t>
        </is>
      </c>
      <c r="Q744" s="18" t="inlineStr">
        <is>
          <t>Regla estructural</t>
        </is>
      </c>
      <c r="R744" s="18" t="inlineStr">
        <is>
          <t>Indica si el registro está activo.</t>
        </is>
      </c>
      <c r="S744" s="18" t="inlineStr">
        <is>
          <t>Media</t>
        </is>
      </c>
      <c r="T744" s="18" t="inlineStr">
        <is>
          <t>Convención de nombre de la columna.</t>
        </is>
      </c>
      <c r="U744" s="18" t="inlineStr"/>
      <c r="V744" s="19" t="inlineStr">
        <is>
          <t>Pendiente</t>
        </is>
      </c>
      <c r="W744" s="19" t="inlineStr"/>
      <c r="X744" s="19" t="inlineStr"/>
      <c r="Y744" s="20" t="n"/>
      <c r="Z744" s="19" t="inlineStr"/>
      <c r="AA744" s="18">
        <f>IF(OR(V744="Aprobada"),R744,IF(AND(OR(V744="Aprobada con ajuste",V744="Rechazada"),W744&lt;&gt;""),W744,""))</f>
        <v/>
      </c>
    </row>
    <row r="745">
      <c r="A745" s="18" t="inlineStr">
        <is>
          <t>C0744</t>
        </is>
      </c>
      <c r="B745" s="18" t="inlineStr">
        <is>
          <t>Gestión jurídica</t>
        </is>
      </c>
      <c r="C745" s="18" t="inlineStr">
        <is>
          <t>legal_management</t>
        </is>
      </c>
      <c r="D745" s="18" t="inlineStr">
        <is>
          <t>actas</t>
        </is>
      </c>
      <c r="E745" s="18" t="n">
        <v>0</v>
      </c>
      <c r="F745" s="18" t="inlineStr">
        <is>
          <t>numero_acta</t>
        </is>
      </c>
      <c r="G745" s="18" t="inlineStr">
        <is>
          <t>character varying(100)</t>
        </is>
      </c>
      <c r="H745" s="18" t="inlineStr">
        <is>
          <t>Sí</t>
        </is>
      </c>
      <c r="I745" s="18" t="inlineStr"/>
      <c r="J745" s="18" t="inlineStr"/>
      <c r="K745" s="18" t="inlineStr"/>
      <c r="L745" s="18" t="inlineStr">
        <is>
          <t>No</t>
        </is>
      </c>
      <c r="M745" s="18" t="inlineStr">
        <is>
          <t>No</t>
        </is>
      </c>
      <c r="N745" s="18" t="inlineStr"/>
      <c r="O745" s="18" t="inlineStr"/>
      <c r="P745" s="18" t="inlineStr">
        <is>
          <t>Mapeada en legal-management-service/src/entities/acta.entity.ts:16 (Acta.numeroActa)</t>
        </is>
      </c>
      <c r="Q745" s="18" t="inlineStr">
        <is>
          <t>Propuesta semántica</t>
        </is>
      </c>
      <c r="R745" s="18" t="inlineStr">
        <is>
          <t>Número del acta.</t>
        </is>
      </c>
      <c r="S745" s="18" t="inlineStr">
        <is>
          <t>Alta</t>
        </is>
      </c>
      <c r="T745" s="18" t="inlineStr">
        <is>
          <t>nombre + tipo + columnas vecinas</t>
        </is>
      </c>
      <c r="U745" s="18" t="inlineStr"/>
      <c r="V745" s="19" t="inlineStr">
        <is>
          <t>Pendiente</t>
        </is>
      </c>
      <c r="W745" s="19" t="inlineStr"/>
      <c r="X745" s="19" t="inlineStr"/>
      <c r="Y745" s="20" t="n"/>
      <c r="Z745" s="19" t="inlineStr"/>
      <c r="AA745" s="18">
        <f>IF(OR(V745="Aprobada"),R745,IF(AND(OR(V745="Aprobada con ajuste",V745="Rechazada"),W745&lt;&gt;""),W745,""))</f>
        <v/>
      </c>
    </row>
    <row r="746">
      <c r="A746" s="18" t="inlineStr">
        <is>
          <t>C0745</t>
        </is>
      </c>
      <c r="B746" s="18" t="inlineStr">
        <is>
          <t>Gestión jurídica</t>
        </is>
      </c>
      <c r="C746" s="18" t="inlineStr">
        <is>
          <t>legal_management</t>
        </is>
      </c>
      <c r="D746" s="18" t="inlineStr">
        <is>
          <t>actas</t>
        </is>
      </c>
      <c r="E746" s="18" t="n">
        <v>0</v>
      </c>
      <c r="F746" s="18" t="inlineStr">
        <is>
          <t>fecha</t>
        </is>
      </c>
      <c r="G746" s="18" t="inlineStr">
        <is>
          <t>date</t>
        </is>
      </c>
      <c r="H746" s="18" t="inlineStr">
        <is>
          <t>Sí</t>
        </is>
      </c>
      <c r="I746" s="18" t="inlineStr"/>
      <c r="J746" s="18" t="inlineStr"/>
      <c r="K746" s="18" t="inlineStr"/>
      <c r="L746" s="18" t="inlineStr">
        <is>
          <t>No</t>
        </is>
      </c>
      <c r="M746" s="18" t="inlineStr">
        <is>
          <t>No</t>
        </is>
      </c>
      <c r="N746" s="18" t="inlineStr"/>
      <c r="O746" s="18" t="inlineStr"/>
      <c r="P746" s="18" t="inlineStr">
        <is>
          <t>Mapeada en legal-management-service/src/entities/acta.entity.ts:19 (Acta.fecha)</t>
        </is>
      </c>
      <c r="Q746" s="18" t="inlineStr">
        <is>
          <t>Propuesta semántica</t>
        </is>
      </c>
      <c r="R746" s="18" t="inlineStr">
        <is>
          <t>Fecha de la reunión o sesión que consta en el acta.</t>
        </is>
      </c>
      <c r="S746" s="18" t="inlineStr">
        <is>
          <t>Alta</t>
        </is>
      </c>
      <c r="T746" s="18" t="inlineStr">
        <is>
          <t>nombre + tipo + columnas vecinas</t>
        </is>
      </c>
      <c r="U746" s="18" t="inlineStr"/>
      <c r="V746" s="19" t="inlineStr">
        <is>
          <t>Pendiente</t>
        </is>
      </c>
      <c r="W746" s="19" t="inlineStr"/>
      <c r="X746" s="19" t="inlineStr"/>
      <c r="Y746" s="20" t="n"/>
      <c r="Z746" s="19" t="inlineStr"/>
      <c r="AA746" s="18">
        <f>IF(OR(V746="Aprobada"),R746,IF(AND(OR(V746="Aprobada con ajuste",V746="Rechazada"),W746&lt;&gt;""),W746,""))</f>
        <v/>
      </c>
    </row>
    <row r="747">
      <c r="A747" s="18" t="inlineStr">
        <is>
          <t>C0746</t>
        </is>
      </c>
      <c r="B747" s="18" t="inlineStr">
        <is>
          <t>Gestión jurídica</t>
        </is>
      </c>
      <c r="C747" s="18" t="inlineStr">
        <is>
          <t>legal_management</t>
        </is>
      </c>
      <c r="D747" s="18" t="inlineStr">
        <is>
          <t>actas</t>
        </is>
      </c>
      <c r="E747" s="18" t="n">
        <v>0</v>
      </c>
      <c r="F747" s="18" t="inlineStr">
        <is>
          <t>horario</t>
        </is>
      </c>
      <c r="G747" s="18" t="inlineStr">
        <is>
          <t>character varying(50)</t>
        </is>
      </c>
      <c r="H747" s="18" t="inlineStr">
        <is>
          <t>Sí</t>
        </is>
      </c>
      <c r="I747" s="18" t="inlineStr"/>
      <c r="J747" s="18" t="inlineStr"/>
      <c r="K747" s="18" t="inlineStr"/>
      <c r="L747" s="18" t="inlineStr">
        <is>
          <t>No</t>
        </is>
      </c>
      <c r="M747" s="18" t="inlineStr">
        <is>
          <t>No</t>
        </is>
      </c>
      <c r="N747" s="18" t="inlineStr"/>
      <c r="O747" s="18" t="inlineStr"/>
      <c r="P747" s="18" t="inlineStr">
        <is>
          <t>Mapeada en legal-management-service/src/entities/acta.entity.ts:22 (Acta.horario)</t>
        </is>
      </c>
      <c r="Q747" s="18" t="inlineStr">
        <is>
          <t>Propuesta semántica</t>
        </is>
      </c>
      <c r="R747" s="18" t="inlineStr">
        <is>
          <t>Horario de la reunión registrada en el acta.</t>
        </is>
      </c>
      <c r="S747" s="18" t="inlineStr">
        <is>
          <t>Media</t>
        </is>
      </c>
      <c r="T747" s="18" t="inlineStr">
        <is>
          <t>nombre + tipo + columnas vecinas</t>
        </is>
      </c>
      <c r="U747" s="18" t="inlineStr">
        <is>
          <t>¿Qué formato tiene horario (hora inicio–fin)?</t>
        </is>
      </c>
      <c r="V747" s="19" t="inlineStr">
        <is>
          <t>Pendiente</t>
        </is>
      </c>
      <c r="W747" s="19" t="inlineStr"/>
      <c r="X747" s="19" t="inlineStr"/>
      <c r="Y747" s="20" t="n"/>
      <c r="Z747" s="19" t="inlineStr"/>
      <c r="AA747" s="18">
        <f>IF(OR(V747="Aprobada"),R747,IF(AND(OR(V747="Aprobada con ajuste",V747="Rechazada"),W747&lt;&gt;""),W747,""))</f>
        <v/>
      </c>
    </row>
    <row r="748">
      <c r="A748" s="18" t="inlineStr">
        <is>
          <t>C0747</t>
        </is>
      </c>
      <c r="B748" s="18" t="inlineStr">
        <is>
          <t>Gestión jurídica</t>
        </is>
      </c>
      <c r="C748" s="18" t="inlineStr">
        <is>
          <t>legal_management</t>
        </is>
      </c>
      <c r="D748" s="18" t="inlineStr">
        <is>
          <t>actas</t>
        </is>
      </c>
      <c r="E748" s="18" t="n">
        <v>0</v>
      </c>
      <c r="F748" s="18" t="inlineStr">
        <is>
          <t>duracion</t>
        </is>
      </c>
      <c r="G748" s="18" t="inlineStr">
        <is>
          <t>character varying(50)</t>
        </is>
      </c>
      <c r="H748" s="18" t="inlineStr">
        <is>
          <t>Sí</t>
        </is>
      </c>
      <c r="I748" s="18" t="inlineStr"/>
      <c r="J748" s="18" t="inlineStr"/>
      <c r="K748" s="18" t="inlineStr"/>
      <c r="L748" s="18" t="inlineStr">
        <is>
          <t>No</t>
        </is>
      </c>
      <c r="M748" s="18" t="inlineStr">
        <is>
          <t>No</t>
        </is>
      </c>
      <c r="N748" s="18" t="inlineStr"/>
      <c r="O748" s="18" t="inlineStr"/>
      <c r="P748" s="18" t="inlineStr">
        <is>
          <t>Mapeada en legal-management-service/src/entities/acta.entity.ts:25 (Acta.duracion)</t>
        </is>
      </c>
      <c r="Q748" s="18" t="inlineStr">
        <is>
          <t>Propuesta semántica</t>
        </is>
      </c>
      <c r="R748" s="18" t="inlineStr">
        <is>
          <t>Duración de la reunión registrada en el acta.</t>
        </is>
      </c>
      <c r="S748" s="18" t="inlineStr">
        <is>
          <t>Media</t>
        </is>
      </c>
      <c r="T748" s="18" t="inlineStr">
        <is>
          <t>nombre + tipo + columnas vecinas</t>
        </is>
      </c>
      <c r="U748" s="18" t="inlineStr">
        <is>
          <t>¿En qué unidad o formato se registra la duración?</t>
        </is>
      </c>
      <c r="V748" s="19" t="inlineStr">
        <is>
          <t>Pendiente</t>
        </is>
      </c>
      <c r="W748" s="19" t="inlineStr"/>
      <c r="X748" s="19" t="inlineStr"/>
      <c r="Y748" s="20" t="n"/>
      <c r="Z748" s="19" t="inlineStr"/>
      <c r="AA748" s="18">
        <f>IF(OR(V748="Aprobada"),R748,IF(AND(OR(V748="Aprobada con ajuste",V748="Rechazada"),W748&lt;&gt;""),W748,""))</f>
        <v/>
      </c>
    </row>
    <row r="749">
      <c r="A749" s="18" t="inlineStr">
        <is>
          <t>C0748</t>
        </is>
      </c>
      <c r="B749" s="18" t="inlineStr">
        <is>
          <t>Gestión jurídica</t>
        </is>
      </c>
      <c r="C749" s="18" t="inlineStr">
        <is>
          <t>legal_management</t>
        </is>
      </c>
      <c r="D749" s="18" t="inlineStr">
        <is>
          <t>actas</t>
        </is>
      </c>
      <c r="E749" s="18" t="n">
        <v>0</v>
      </c>
      <c r="F749" s="18" t="inlineStr">
        <is>
          <t>lugar</t>
        </is>
      </c>
      <c r="G749" s="18" t="inlineStr">
        <is>
          <t>character varying(255)</t>
        </is>
      </c>
      <c r="H749" s="18" t="inlineStr">
        <is>
          <t>Sí</t>
        </is>
      </c>
      <c r="I749" s="18" t="inlineStr"/>
      <c r="J749" s="18" t="inlineStr"/>
      <c r="K749" s="18" t="inlineStr"/>
      <c r="L749" s="18" t="inlineStr">
        <is>
          <t>No</t>
        </is>
      </c>
      <c r="M749" s="18" t="inlineStr">
        <is>
          <t>No</t>
        </is>
      </c>
      <c r="N749" s="18" t="inlineStr"/>
      <c r="O749" s="18" t="inlineStr"/>
      <c r="P749" s="18" t="inlineStr">
        <is>
          <t>Mapeada en legal-management-service/src/entities/acta.entity.ts:28 (Acta.lugar)</t>
        </is>
      </c>
      <c r="Q749" s="18" t="inlineStr">
        <is>
          <t>Propuesta semántica</t>
        </is>
      </c>
      <c r="R749" s="18" t="inlineStr">
        <is>
          <t>Lugar donde se realizó la reunión.</t>
        </is>
      </c>
      <c r="S749" s="18" t="inlineStr">
        <is>
          <t>Alta</t>
        </is>
      </c>
      <c r="T749" s="18" t="inlineStr">
        <is>
          <t>nombre + tipo + columnas vecinas</t>
        </is>
      </c>
      <c r="U749" s="18" t="inlineStr"/>
      <c r="V749" s="19" t="inlineStr">
        <is>
          <t>Pendiente</t>
        </is>
      </c>
      <c r="W749" s="19" t="inlineStr"/>
      <c r="X749" s="19" t="inlineStr"/>
      <c r="Y749" s="20" t="n"/>
      <c r="Z749" s="19" t="inlineStr"/>
      <c r="AA749" s="18">
        <f>IF(OR(V749="Aprobada"),R749,IF(AND(OR(V749="Aprobada con ajuste",V749="Rechazada"),W749&lt;&gt;""),W749,""))</f>
        <v/>
      </c>
    </row>
    <row r="750">
      <c r="A750" s="18" t="inlineStr">
        <is>
          <t>C0749</t>
        </is>
      </c>
      <c r="B750" s="18" t="inlineStr">
        <is>
          <t>Gestión jurídica</t>
        </is>
      </c>
      <c r="C750" s="18" t="inlineStr">
        <is>
          <t>legal_management</t>
        </is>
      </c>
      <c r="D750" s="18" t="inlineStr">
        <is>
          <t>actas</t>
        </is>
      </c>
      <c r="E750" s="18" t="n">
        <v>0</v>
      </c>
      <c r="F750" s="18" t="inlineStr">
        <is>
          <t>presidente</t>
        </is>
      </c>
      <c r="G750" s="18" t="inlineStr">
        <is>
          <t>character varying(255)</t>
        </is>
      </c>
      <c r="H750" s="18" t="inlineStr">
        <is>
          <t>Sí</t>
        </is>
      </c>
      <c r="I750" s="18" t="inlineStr"/>
      <c r="J750" s="18" t="inlineStr"/>
      <c r="K750" s="18" t="inlineStr"/>
      <c r="L750" s="18" t="inlineStr">
        <is>
          <t>No</t>
        </is>
      </c>
      <c r="M750" s="18" t="inlineStr">
        <is>
          <t>No</t>
        </is>
      </c>
      <c r="N750" s="18" t="inlineStr"/>
      <c r="O750" s="18" t="inlineStr"/>
      <c r="P750" s="18" t="inlineStr">
        <is>
          <t>Mapeada en legal-management-service/src/entities/acta.entity.ts:31 (Acta.presidente)</t>
        </is>
      </c>
      <c r="Q750" s="18" t="inlineStr">
        <is>
          <t>Propuesta semántica</t>
        </is>
      </c>
      <c r="R750" s="18" t="inlineStr">
        <is>
          <t>Nombre de quien presidió la reunión.</t>
        </is>
      </c>
      <c r="S750" s="18" t="inlineStr">
        <is>
          <t>Alta</t>
        </is>
      </c>
      <c r="T750" s="18" t="inlineStr">
        <is>
          <t>nombre + tipo + columnas vecinas</t>
        </is>
      </c>
      <c r="U750" s="18" t="inlineStr"/>
      <c r="V750" s="19" t="inlineStr">
        <is>
          <t>Pendiente</t>
        </is>
      </c>
      <c r="W750" s="19" t="inlineStr"/>
      <c r="X750" s="19" t="inlineStr"/>
      <c r="Y750" s="20" t="n"/>
      <c r="Z750" s="19" t="inlineStr"/>
      <c r="AA750" s="18">
        <f>IF(OR(V750="Aprobada"),R750,IF(AND(OR(V750="Aprobada con ajuste",V750="Rechazada"),W750&lt;&gt;""),W750,""))</f>
        <v/>
      </c>
    </row>
    <row r="751">
      <c r="A751" s="18" t="inlineStr">
        <is>
          <t>C0750</t>
        </is>
      </c>
      <c r="B751" s="18" t="inlineStr">
        <is>
          <t>Gestión jurídica</t>
        </is>
      </c>
      <c r="C751" s="18" t="inlineStr">
        <is>
          <t>legal_management</t>
        </is>
      </c>
      <c r="D751" s="18" t="inlineStr">
        <is>
          <t>actas</t>
        </is>
      </c>
      <c r="E751" s="18" t="n">
        <v>0</v>
      </c>
      <c r="F751" s="18" t="inlineStr">
        <is>
          <t>participantes</t>
        </is>
      </c>
      <c r="G751" s="18" t="inlineStr">
        <is>
          <t>text</t>
        </is>
      </c>
      <c r="H751" s="18" t="inlineStr">
        <is>
          <t>Sí</t>
        </is>
      </c>
      <c r="I751" s="18" t="inlineStr"/>
      <c r="J751" s="18" t="inlineStr"/>
      <c r="K751" s="18" t="inlineStr"/>
      <c r="L751" s="18" t="inlineStr">
        <is>
          <t>No</t>
        </is>
      </c>
      <c r="M751" s="18" t="inlineStr">
        <is>
          <t>No</t>
        </is>
      </c>
      <c r="N751" s="18" t="inlineStr"/>
      <c r="O751" s="18" t="inlineStr"/>
      <c r="P751" s="18" t="inlineStr">
        <is>
          <t>db/migrations/old/047_create_evidencias_actas.sql:28: Can store JSON or comma-separated list</t>
        </is>
      </c>
      <c r="Q751" s="18" t="inlineStr">
        <is>
          <t>Código fuente</t>
        </is>
      </c>
      <c r="R751" s="18" t="inlineStr">
        <is>
          <t>Participantes del acta, guardados como JSON o como lista separada por comas.</t>
        </is>
      </c>
      <c r="S751" s="18" t="inlineStr">
        <is>
          <t>Media</t>
        </is>
      </c>
      <c r="T751" s="18" t="inlineStr">
        <is>
          <t>código: db/migrations/old/047_create_evidencias_actas.sql:28</t>
        </is>
      </c>
      <c r="U751" s="18" t="inlineStr">
        <is>
          <t>¿Qué formato se usa hoy al guardar los participantes: JSON o lista separada por comas?</t>
        </is>
      </c>
      <c r="V751" s="19" t="inlineStr">
        <is>
          <t>Pendiente</t>
        </is>
      </c>
      <c r="W751" s="19" t="inlineStr"/>
      <c r="X751" s="19" t="inlineStr"/>
      <c r="Y751" s="20" t="n"/>
      <c r="Z751" s="19" t="inlineStr"/>
      <c r="AA751" s="18">
        <f>IF(OR(V751="Aprobada"),R751,IF(AND(OR(V751="Aprobada con ajuste",V751="Rechazada"),W751&lt;&gt;""),W751,""))</f>
        <v/>
      </c>
    </row>
    <row r="752">
      <c r="A752" s="18" t="inlineStr">
        <is>
          <t>C0751</t>
        </is>
      </c>
      <c r="B752" s="18" t="inlineStr">
        <is>
          <t>Gestión jurídica</t>
        </is>
      </c>
      <c r="C752" s="18" t="inlineStr">
        <is>
          <t>legal_management</t>
        </is>
      </c>
      <c r="D752" s="18" t="inlineStr">
        <is>
          <t>actas</t>
        </is>
      </c>
      <c r="E752" s="18" t="n">
        <v>0</v>
      </c>
      <c r="F752" s="18" t="inlineStr">
        <is>
          <t>resumen</t>
        </is>
      </c>
      <c r="G752" s="18" t="inlineStr">
        <is>
          <t>text</t>
        </is>
      </c>
      <c r="H752" s="18" t="inlineStr">
        <is>
          <t>Sí</t>
        </is>
      </c>
      <c r="I752" s="18" t="inlineStr"/>
      <c r="J752" s="18" t="inlineStr"/>
      <c r="K752" s="18" t="inlineStr"/>
      <c r="L752" s="18" t="inlineStr">
        <is>
          <t>No</t>
        </is>
      </c>
      <c r="M752" s="18" t="inlineStr">
        <is>
          <t>No</t>
        </is>
      </c>
      <c r="N752" s="18" t="inlineStr"/>
      <c r="O752" s="18" t="inlineStr"/>
      <c r="P752" s="18" t="inlineStr">
        <is>
          <t>Mapeada en legal-management-service/src/entities/acta.entity.ts:37 (Acta.resumen)</t>
        </is>
      </c>
      <c r="Q752" s="18" t="inlineStr">
        <is>
          <t>Propuesta semántica</t>
        </is>
      </c>
      <c r="R752" s="18" t="inlineStr">
        <is>
          <t>Resumen del contenido del acta.</t>
        </is>
      </c>
      <c r="S752" s="18" t="inlineStr">
        <is>
          <t>Alta</t>
        </is>
      </c>
      <c r="T752" s="18" t="inlineStr">
        <is>
          <t>nombre + tipo + columnas vecinas</t>
        </is>
      </c>
      <c r="U752" s="18" t="inlineStr"/>
      <c r="V752" s="19" t="inlineStr">
        <is>
          <t>Pendiente</t>
        </is>
      </c>
      <c r="W752" s="19" t="inlineStr"/>
      <c r="X752" s="19" t="inlineStr"/>
      <c r="Y752" s="20" t="n"/>
      <c r="Z752" s="19" t="inlineStr"/>
      <c r="AA752" s="18">
        <f>IF(OR(V752="Aprobada"),R752,IF(AND(OR(V752="Aprobada con ajuste",V752="Rechazada"),W752&lt;&gt;""),W752,""))</f>
        <v/>
      </c>
    </row>
    <row r="753">
      <c r="A753" s="18" t="inlineStr">
        <is>
          <t>C0752</t>
        </is>
      </c>
      <c r="B753" s="18" t="inlineStr">
        <is>
          <t>Gestión jurídica</t>
        </is>
      </c>
      <c r="C753" s="18" t="inlineStr">
        <is>
          <t>legal_management</t>
        </is>
      </c>
      <c r="D753" s="18" t="inlineStr">
        <is>
          <t>actas</t>
        </is>
      </c>
      <c r="E753" s="18" t="n">
        <v>0</v>
      </c>
      <c r="F753" s="18" t="inlineStr">
        <is>
          <t>decisiones_tomadas</t>
        </is>
      </c>
      <c r="G753" s="18" t="inlineStr">
        <is>
          <t>text</t>
        </is>
      </c>
      <c r="H753" s="18" t="inlineStr">
        <is>
          <t>Sí</t>
        </is>
      </c>
      <c r="I753" s="18" t="inlineStr"/>
      <c r="J753" s="18" t="inlineStr"/>
      <c r="K753" s="18" t="inlineStr"/>
      <c r="L753" s="18" t="inlineStr">
        <is>
          <t>No</t>
        </is>
      </c>
      <c r="M753" s="18" t="inlineStr">
        <is>
          <t>No</t>
        </is>
      </c>
      <c r="N753" s="18" t="inlineStr"/>
      <c r="O753" s="18" t="inlineStr"/>
      <c r="P753" s="18" t="inlineStr">
        <is>
          <t>Mapeada en legal-management-service/src/entities/acta.entity.ts:40 (Acta.decisionesTomadas)</t>
        </is>
      </c>
      <c r="Q753" s="18" t="inlineStr">
        <is>
          <t>Propuesta semántica</t>
        </is>
      </c>
      <c r="R753" s="18" t="inlineStr">
        <is>
          <t>Decisiones tomadas en la reunión.</t>
        </is>
      </c>
      <c r="S753" s="18" t="inlineStr">
        <is>
          <t>Alta</t>
        </is>
      </c>
      <c r="T753" s="18" t="inlineStr">
        <is>
          <t>nombre + tipo + columnas vecinas</t>
        </is>
      </c>
      <c r="U753" s="18" t="inlineStr"/>
      <c r="V753" s="19" t="inlineStr">
        <is>
          <t>Pendiente</t>
        </is>
      </c>
      <c r="W753" s="19" t="inlineStr"/>
      <c r="X753" s="19" t="inlineStr"/>
      <c r="Y753" s="20" t="n"/>
      <c r="Z753" s="19" t="inlineStr"/>
      <c r="AA753" s="18">
        <f>IF(OR(V753="Aprobada"),R753,IF(AND(OR(V753="Aprobada con ajuste",V753="Rechazada"),W753&lt;&gt;""),W753,""))</f>
        <v/>
      </c>
    </row>
    <row r="754">
      <c r="A754" s="18" t="inlineStr">
        <is>
          <t>C0753</t>
        </is>
      </c>
      <c r="B754" s="18" t="inlineStr">
        <is>
          <t>Gestión jurídica</t>
        </is>
      </c>
      <c r="C754" s="18" t="inlineStr">
        <is>
          <t>legal_management</t>
        </is>
      </c>
      <c r="D754" s="18" t="inlineStr">
        <is>
          <t>actas</t>
        </is>
      </c>
      <c r="E754" s="18" t="n">
        <v>0</v>
      </c>
      <c r="F754" s="18" t="inlineStr">
        <is>
          <t>estado</t>
        </is>
      </c>
      <c r="G754" s="18" t="inlineStr">
        <is>
          <t>character varying(50)</t>
        </is>
      </c>
      <c r="H754" s="18" t="inlineStr">
        <is>
          <t>Sí</t>
        </is>
      </c>
      <c r="I754" s="18" t="inlineStr">
        <is>
          <t>CHECK</t>
        </is>
      </c>
      <c r="J754" s="18" t="inlineStr">
        <is>
          <t>Firmada, Programada</t>
        </is>
      </c>
      <c r="K754" s="18" t="inlineStr"/>
      <c r="L754" s="18" t="inlineStr">
        <is>
          <t>Sí</t>
        </is>
      </c>
      <c r="M754" s="18" t="inlineStr">
        <is>
          <t>No</t>
        </is>
      </c>
      <c r="N754" s="18" t="inlineStr"/>
      <c r="O754" s="18" t="inlineStr"/>
      <c r="P754" s="18" t="inlineStr">
        <is>
          <t>Mapeada en legal-management-service/src/entities/acta.entity.ts:43 (Acta.estado)</t>
        </is>
      </c>
      <c r="Q754" s="18" t="inlineStr">
        <is>
          <t>Regla estructural</t>
        </is>
      </c>
      <c r="R754" s="18" t="inlineStr">
        <is>
          <t>Estado del registro de actas.</t>
        </is>
      </c>
      <c r="S754" s="18" t="inlineStr">
        <is>
          <t>Media</t>
        </is>
      </c>
      <c r="T754" s="18" t="inlineStr">
        <is>
          <t>Convención de nombre de la columna.</t>
        </is>
      </c>
      <c r="U754" s="18" t="inlineStr"/>
      <c r="V754" s="19" t="inlineStr">
        <is>
          <t>Pendiente</t>
        </is>
      </c>
      <c r="W754" s="19" t="inlineStr"/>
      <c r="X754" s="19" t="inlineStr"/>
      <c r="Y754" s="20" t="n"/>
      <c r="Z754" s="19" t="inlineStr"/>
      <c r="AA754" s="18">
        <f>IF(OR(V754="Aprobada"),R754,IF(AND(OR(V754="Aprobada con ajuste",V754="Rechazada"),W754&lt;&gt;""),W754,""))</f>
        <v/>
      </c>
    </row>
    <row r="755">
      <c r="A755" s="18" t="inlineStr">
        <is>
          <t>C0754</t>
        </is>
      </c>
      <c r="B755" s="18" t="inlineStr">
        <is>
          <t>Gestión jurídica</t>
        </is>
      </c>
      <c r="C755" s="18" t="inlineStr">
        <is>
          <t>legal_management</t>
        </is>
      </c>
      <c r="D755" s="18" t="inlineStr">
        <is>
          <t>actas</t>
        </is>
      </c>
      <c r="E755" s="18" t="n">
        <v>0</v>
      </c>
      <c r="F755" s="18" t="inlineStr">
        <is>
          <t>archivo_nombre</t>
        </is>
      </c>
      <c r="G755" s="18" t="inlineStr">
        <is>
          <t>character varying(255)</t>
        </is>
      </c>
      <c r="H755" s="18" t="inlineStr">
        <is>
          <t>Sí</t>
        </is>
      </c>
      <c r="I755" s="18" t="inlineStr"/>
      <c r="J755" s="18" t="inlineStr"/>
      <c r="K755" s="18" t="inlineStr"/>
      <c r="L755" s="18" t="inlineStr">
        <is>
          <t>No</t>
        </is>
      </c>
      <c r="M755" s="18" t="inlineStr">
        <is>
          <t>No</t>
        </is>
      </c>
      <c r="N755" s="18" t="inlineStr"/>
      <c r="O755" s="18" t="inlineStr"/>
      <c r="P755" s="18" t="inlineStr">
        <is>
          <t>Mapeada en legal-management-service/src/entities/acta.entity.ts:46 (Acta.archivoNombre)</t>
        </is>
      </c>
      <c r="Q755" s="18" t="inlineStr">
        <is>
          <t>Propuesta semántica</t>
        </is>
      </c>
      <c r="R755" s="18" t="inlineStr">
        <is>
          <t>Nombre del archivo del acta.</t>
        </is>
      </c>
      <c r="S755" s="18" t="inlineStr">
        <is>
          <t>Alta</t>
        </is>
      </c>
      <c r="T755" s="18" t="inlineStr">
        <is>
          <t>nombre + tipo + columnas vecinas (archivo_url)</t>
        </is>
      </c>
      <c r="U755" s="18" t="inlineStr"/>
      <c r="V755" s="19" t="inlineStr">
        <is>
          <t>Pendiente</t>
        </is>
      </c>
      <c r="W755" s="19" t="inlineStr"/>
      <c r="X755" s="19" t="inlineStr"/>
      <c r="Y755" s="20" t="n"/>
      <c r="Z755" s="19" t="inlineStr"/>
      <c r="AA755" s="18">
        <f>IF(OR(V755="Aprobada"),R755,IF(AND(OR(V755="Aprobada con ajuste",V755="Rechazada"),W755&lt;&gt;""),W755,""))</f>
        <v/>
      </c>
    </row>
    <row r="756">
      <c r="A756" s="18" t="inlineStr">
        <is>
          <t>C0755</t>
        </is>
      </c>
      <c r="B756" s="18" t="inlineStr">
        <is>
          <t>Gestión jurídica</t>
        </is>
      </c>
      <c r="C756" s="18" t="inlineStr">
        <is>
          <t>legal_management</t>
        </is>
      </c>
      <c r="D756" s="18" t="inlineStr">
        <is>
          <t>actas</t>
        </is>
      </c>
      <c r="E756" s="18" t="n">
        <v>0</v>
      </c>
      <c r="F756" s="18" t="inlineStr">
        <is>
          <t>archivo_url</t>
        </is>
      </c>
      <c r="G756" s="18" t="inlineStr">
        <is>
          <t>text</t>
        </is>
      </c>
      <c r="H756" s="18" t="inlineStr">
        <is>
          <t>Sí</t>
        </is>
      </c>
      <c r="I756" s="18" t="inlineStr"/>
      <c r="J756" s="18" t="inlineStr"/>
      <c r="K756" s="18" t="inlineStr"/>
      <c r="L756" s="18" t="inlineStr">
        <is>
          <t>No</t>
        </is>
      </c>
      <c r="M756" s="18" t="inlineStr">
        <is>
          <t>No</t>
        </is>
      </c>
      <c r="N756" s="18" t="inlineStr"/>
      <c r="O756" s="18" t="inlineStr"/>
      <c r="P756" s="18" t="inlineStr">
        <is>
          <t>Mapeada en legal-management-service/src/entities/acta.entity.ts:49 (Acta.archivoUrl)</t>
        </is>
      </c>
      <c r="Q756" s="18" t="inlineStr">
        <is>
          <t>Propuesta semántica</t>
        </is>
      </c>
      <c r="R756" s="18" t="inlineStr">
        <is>
          <t>URL del archivo del acta.</t>
        </is>
      </c>
      <c r="S756" s="18" t="inlineStr">
        <is>
          <t>Alta</t>
        </is>
      </c>
      <c r="T756" s="18" t="inlineStr">
        <is>
          <t>nombre + tipo + columnas vecinas</t>
        </is>
      </c>
      <c r="U756" s="18" t="inlineStr"/>
      <c r="V756" s="19" t="inlineStr">
        <is>
          <t>Pendiente</t>
        </is>
      </c>
      <c r="W756" s="19" t="inlineStr"/>
      <c r="X756" s="19" t="inlineStr"/>
      <c r="Y756" s="20" t="n"/>
      <c r="Z756" s="19" t="inlineStr"/>
      <c r="AA756" s="18">
        <f>IF(OR(V756="Aprobada"),R756,IF(AND(OR(V756="Aprobada con ajuste",V756="Rechazada"),W756&lt;&gt;""),W756,""))</f>
        <v/>
      </c>
    </row>
    <row r="757">
      <c r="A757" s="18" t="inlineStr">
        <is>
          <t>C0756</t>
        </is>
      </c>
      <c r="B757" s="18" t="inlineStr">
        <is>
          <t>Gestión jurídica</t>
        </is>
      </c>
      <c r="C757" s="18" t="inlineStr">
        <is>
          <t>legal_management</t>
        </is>
      </c>
      <c r="D757" s="18" t="inlineStr">
        <is>
          <t>actas</t>
        </is>
      </c>
      <c r="E757" s="18" t="n">
        <v>0</v>
      </c>
      <c r="F757" s="18" t="inlineStr">
        <is>
          <t>archivo_tamano</t>
        </is>
      </c>
      <c r="G757" s="18" t="inlineStr">
        <is>
          <t>integer</t>
        </is>
      </c>
      <c r="H757" s="18" t="inlineStr">
        <is>
          <t>Sí</t>
        </is>
      </c>
      <c r="I757" s="18" t="inlineStr"/>
      <c r="J757" s="18" t="inlineStr"/>
      <c r="K757" s="18" t="inlineStr"/>
      <c r="L757" s="18" t="inlineStr">
        <is>
          <t>No</t>
        </is>
      </c>
      <c r="M757" s="18" t="inlineStr">
        <is>
          <t>No</t>
        </is>
      </c>
      <c r="N757" s="18" t="inlineStr"/>
      <c r="O757" s="18" t="inlineStr"/>
      <c r="P757" s="18" t="inlineStr">
        <is>
          <t>Mapeada en legal-management-service/src/entities/acta.entity.ts:52 (Acta.archivoTamano)</t>
        </is>
      </c>
      <c r="Q757" s="18" t="inlineStr">
        <is>
          <t>Propuesta semántica</t>
        </is>
      </c>
      <c r="R757" s="18" t="inlineStr">
        <is>
          <t>Tamaño del archivo del acta.</t>
        </is>
      </c>
      <c r="S757" s="18" t="inlineStr">
        <is>
          <t>Media</t>
        </is>
      </c>
      <c r="T757" s="18" t="inlineStr">
        <is>
          <t>nombre + tipo + columnas vecinas</t>
        </is>
      </c>
      <c r="U757" s="18" t="inlineStr">
        <is>
          <t>¿La unidad del tamaño es bytes?</t>
        </is>
      </c>
      <c r="V757" s="19" t="inlineStr">
        <is>
          <t>Pendiente</t>
        </is>
      </c>
      <c r="W757" s="19" t="inlineStr"/>
      <c r="X757" s="19" t="inlineStr"/>
      <c r="Y757" s="20" t="n"/>
      <c r="Z757" s="19" t="inlineStr"/>
      <c r="AA757" s="18">
        <f>IF(OR(V757="Aprobada"),R757,IF(AND(OR(V757="Aprobada con ajuste",V757="Rechazada"),W757&lt;&gt;""),W757,""))</f>
        <v/>
      </c>
    </row>
    <row r="758">
      <c r="A758" s="18" t="inlineStr">
        <is>
          <t>C0757</t>
        </is>
      </c>
      <c r="B758" s="18" t="inlineStr">
        <is>
          <t>Gestión jurídica</t>
        </is>
      </c>
      <c r="C758" s="18" t="inlineStr">
        <is>
          <t>legal_management</t>
        </is>
      </c>
      <c r="D758" s="18" t="inlineStr">
        <is>
          <t>actas</t>
        </is>
      </c>
      <c r="E758" s="18" t="n">
        <v>0</v>
      </c>
      <c r="F758" s="18" t="inlineStr">
        <is>
          <t>tipo</t>
        </is>
      </c>
      <c r="G758" s="18" t="inlineStr">
        <is>
          <t>character varying(100)</t>
        </is>
      </c>
      <c r="H758" s="18" t="inlineStr">
        <is>
          <t>Sí</t>
        </is>
      </c>
      <c r="I758" s="18" t="inlineStr"/>
      <c r="J758" s="18" t="inlineStr"/>
      <c r="K758" s="18" t="inlineStr"/>
      <c r="L758" s="18" t="inlineStr">
        <is>
          <t>No</t>
        </is>
      </c>
      <c r="M758" s="18" t="inlineStr">
        <is>
          <t>No</t>
        </is>
      </c>
      <c r="N758" s="18" t="inlineStr"/>
      <c r="O758" s="18" t="inlineStr"/>
      <c r="P758" s="18" t="inlineStr">
        <is>
          <t>Mapeada en legal-management-service/src/entities/acta.entity.ts:55 (Acta.tipo)</t>
        </is>
      </c>
      <c r="Q758" s="18" t="inlineStr">
        <is>
          <t>Regla estructural</t>
        </is>
      </c>
      <c r="R758" s="18" t="inlineStr">
        <is>
          <t>Tipo del registro de actas.</t>
        </is>
      </c>
      <c r="S758" s="18" t="inlineStr">
        <is>
          <t>Media</t>
        </is>
      </c>
      <c r="T758" s="18" t="inlineStr">
        <is>
          <t>Convención de nombre de la columna.</t>
        </is>
      </c>
      <c r="U758" s="18" t="inlineStr"/>
      <c r="V758" s="19" t="inlineStr">
        <is>
          <t>Pendiente</t>
        </is>
      </c>
      <c r="W758" s="19" t="inlineStr"/>
      <c r="X758" s="19" t="inlineStr"/>
      <c r="Y758" s="20" t="n"/>
      <c r="Z758" s="19" t="inlineStr"/>
      <c r="AA758" s="18">
        <f>IF(OR(V758="Aprobada"),R758,IF(AND(OR(V758="Aprobada con ajuste",V758="Rechazada"),W758&lt;&gt;""),W758,""))</f>
        <v/>
      </c>
    </row>
    <row r="759">
      <c r="A759" s="18" t="inlineStr">
        <is>
          <t>C0758</t>
        </is>
      </c>
      <c r="B759" s="18" t="inlineStr">
        <is>
          <t>Gestión jurídica</t>
        </is>
      </c>
      <c r="C759" s="18" t="inlineStr">
        <is>
          <t>legal_management</t>
        </is>
      </c>
      <c r="D759" s="18" t="inlineStr">
        <is>
          <t>actors</t>
        </is>
      </c>
      <c r="E759" s="18" t="n">
        <v>168</v>
      </c>
      <c r="F759" s="18" t="inlineStr">
        <is>
          <t>nombre</t>
        </is>
      </c>
      <c r="G759" s="18" t="inlineStr">
        <is>
          <t>character varying(255)</t>
        </is>
      </c>
      <c r="H759" s="18" t="inlineStr">
        <is>
          <t>No</t>
        </is>
      </c>
      <c r="I759" s="18" t="inlineStr"/>
      <c r="J759" s="18" t="inlineStr"/>
      <c r="K759" s="18" t="inlineStr"/>
      <c r="L759" s="18" t="inlineStr">
        <is>
          <t>No</t>
        </is>
      </c>
      <c r="M759" s="18" t="inlineStr">
        <is>
          <t>No</t>
        </is>
      </c>
      <c r="N759" s="18" t="inlineStr"/>
      <c r="O759" s="18" t="inlineStr"/>
      <c r="P759" s="18" t="inlineStr">
        <is>
          <t>Mapeada en legal-management-service/src/entities/actor.entity.ts:17 (Actor.nombre)</t>
        </is>
      </c>
      <c r="Q759" s="18" t="inlineStr">
        <is>
          <t>Regla estructural</t>
        </is>
      </c>
      <c r="R759" s="18" t="inlineStr">
        <is>
          <t>Nombre del registro de actors.</t>
        </is>
      </c>
      <c r="S759" s="18" t="inlineStr">
        <is>
          <t>Media</t>
        </is>
      </c>
      <c r="T759" s="18" t="inlineStr">
        <is>
          <t>Convención de nombre de la columna.</t>
        </is>
      </c>
      <c r="U759" s="18" t="inlineStr"/>
      <c r="V759" s="19" t="inlineStr">
        <is>
          <t>Pendiente</t>
        </is>
      </c>
      <c r="W759" s="19" t="inlineStr"/>
      <c r="X759" s="19" t="inlineStr"/>
      <c r="Y759" s="20" t="n"/>
      <c r="Z759" s="19" t="inlineStr"/>
      <c r="AA759" s="18">
        <f>IF(OR(V759="Aprobada"),R759,IF(AND(OR(V759="Aprobada con ajuste",V759="Rechazada"),W759&lt;&gt;""),W759,""))</f>
        <v/>
      </c>
    </row>
    <row r="760">
      <c r="A760" s="18" t="inlineStr">
        <is>
          <t>C0759</t>
        </is>
      </c>
      <c r="B760" s="18" t="inlineStr">
        <is>
          <t>Gestión jurídica</t>
        </is>
      </c>
      <c r="C760" s="18" t="inlineStr">
        <is>
          <t>legal_management</t>
        </is>
      </c>
      <c r="D760" s="18" t="inlineStr">
        <is>
          <t>actors</t>
        </is>
      </c>
      <c r="E760" s="18" t="n">
        <v>168</v>
      </c>
      <c r="F760" s="18" t="inlineStr">
        <is>
          <t>tipo_persona</t>
        </is>
      </c>
      <c r="G760" s="18" t="inlineStr">
        <is>
          <t>character varying(50)</t>
        </is>
      </c>
      <c r="H760" s="18" t="inlineStr">
        <is>
          <t>No</t>
        </is>
      </c>
      <c r="I760" s="18" t="inlineStr"/>
      <c r="J760" s="18" t="inlineStr"/>
      <c r="K760" s="18" t="inlineStr"/>
      <c r="L760" s="18" t="inlineStr">
        <is>
          <t>No</t>
        </is>
      </c>
      <c r="M760" s="18" t="inlineStr">
        <is>
          <t>No</t>
        </is>
      </c>
      <c r="N760" s="18" t="inlineStr"/>
      <c r="O760" s="18" t="inlineStr"/>
      <c r="P760" s="18" t="inlineStr">
        <is>
          <t>legal-management-service/src/entities/actor.entity.ts:20: NATURAL, JURIDICA | db/migrations/110_add_actors_table.sql:9: NATURAL, JURIDICA</t>
        </is>
      </c>
      <c r="Q760" s="18" t="inlineStr">
        <is>
          <t>Código fuente</t>
        </is>
      </c>
      <c r="R760" s="18" t="inlineStr">
        <is>
          <t>Tipo de persona del actor. Valores: NATURAL, JURIDICA.</t>
        </is>
      </c>
      <c r="S760" s="18" t="inlineStr">
        <is>
          <t>Alta</t>
        </is>
      </c>
      <c r="T760" s="18" t="inlineStr">
        <is>
          <t>código: actor.entity.ts:20</t>
        </is>
      </c>
      <c r="U760" s="18" t="inlineStr"/>
      <c r="V760" s="19" t="inlineStr">
        <is>
          <t>Pendiente</t>
        </is>
      </c>
      <c r="W760" s="19" t="inlineStr"/>
      <c r="X760" s="19" t="inlineStr"/>
      <c r="Y760" s="20" t="n"/>
      <c r="Z760" s="19" t="inlineStr"/>
      <c r="AA760" s="18">
        <f>IF(OR(V760="Aprobada"),R760,IF(AND(OR(V760="Aprobada con ajuste",V760="Rechazada"),W760&lt;&gt;""),W760,""))</f>
        <v/>
      </c>
    </row>
    <row r="761">
      <c r="A761" s="18" t="inlineStr">
        <is>
          <t>C0760</t>
        </is>
      </c>
      <c r="B761" s="18" t="inlineStr">
        <is>
          <t>Gestión jurídica</t>
        </is>
      </c>
      <c r="C761" s="18" t="inlineStr">
        <is>
          <t>legal_management</t>
        </is>
      </c>
      <c r="D761" s="18" t="inlineStr">
        <is>
          <t>actors</t>
        </is>
      </c>
      <c r="E761" s="18" t="n">
        <v>168</v>
      </c>
      <c r="F761" s="18" t="inlineStr">
        <is>
          <t>identificacion</t>
        </is>
      </c>
      <c r="G761" s="18" t="inlineStr">
        <is>
          <t>character varying(50)</t>
        </is>
      </c>
      <c r="H761" s="18" t="inlineStr">
        <is>
          <t>Sí</t>
        </is>
      </c>
      <c r="I761" s="18" t="inlineStr"/>
      <c r="J761" s="18" t="inlineStr"/>
      <c r="K761" s="18" t="inlineStr"/>
      <c r="L761" s="18" t="inlineStr">
        <is>
          <t>No</t>
        </is>
      </c>
      <c r="M761" s="18" t="inlineStr">
        <is>
          <t>No</t>
        </is>
      </c>
      <c r="N761" s="18" t="inlineStr"/>
      <c r="O761" s="18" t="inlineStr"/>
      <c r="P761" s="18" t="inlineStr">
        <is>
          <t>Mapeada en legal-management-service/src/entities/actor.entity.ts:23 (Actor.identificacion)</t>
        </is>
      </c>
      <c r="Q761" s="18" t="inlineStr">
        <is>
          <t>Regla estructural</t>
        </is>
      </c>
      <c r="R761" s="18" t="inlineStr">
        <is>
          <t>Número de identificación.</t>
        </is>
      </c>
      <c r="S761" s="18" t="inlineStr">
        <is>
          <t>Media</t>
        </is>
      </c>
      <c r="T761" s="18" t="inlineStr">
        <is>
          <t>Convención de nombre de la columna.</t>
        </is>
      </c>
      <c r="U761" s="18" t="inlineStr"/>
      <c r="V761" s="19" t="inlineStr">
        <is>
          <t>Pendiente</t>
        </is>
      </c>
      <c r="W761" s="19" t="inlineStr"/>
      <c r="X761" s="19" t="inlineStr"/>
      <c r="Y761" s="20" t="n"/>
      <c r="Z761" s="19" t="inlineStr"/>
      <c r="AA761" s="18">
        <f>IF(OR(V761="Aprobada"),R761,IF(AND(OR(V761="Aprobada con ajuste",V761="Rechazada"),W761&lt;&gt;""),W761,""))</f>
        <v/>
      </c>
    </row>
    <row r="762">
      <c r="A762" s="18" t="inlineStr">
        <is>
          <t>C0761</t>
        </is>
      </c>
      <c r="B762" s="18" t="inlineStr">
        <is>
          <t>Gestión jurídica</t>
        </is>
      </c>
      <c r="C762" s="18" t="inlineStr">
        <is>
          <t>legal_management</t>
        </is>
      </c>
      <c r="D762" s="18" t="inlineStr">
        <is>
          <t>actors</t>
        </is>
      </c>
      <c r="E762" s="18" t="n">
        <v>168</v>
      </c>
      <c r="F762" s="18" t="inlineStr">
        <is>
          <t>rol</t>
        </is>
      </c>
      <c r="G762" s="18" t="inlineStr">
        <is>
          <t>character varying(50)</t>
        </is>
      </c>
      <c r="H762" s="18" t="inlineStr">
        <is>
          <t>No</t>
        </is>
      </c>
      <c r="I762" s="18" t="inlineStr"/>
      <c r="J762" s="18" t="inlineStr"/>
      <c r="K762" s="18" t="inlineStr"/>
      <c r="L762" s="18" t="inlineStr">
        <is>
          <t>No</t>
        </is>
      </c>
      <c r="M762" s="18" t="inlineStr">
        <is>
          <t>No</t>
        </is>
      </c>
      <c r="N762" s="18" t="inlineStr"/>
      <c r="O762" s="18" t="inlineStr">
        <is>
          <t>idx_actors_rol</t>
        </is>
      </c>
      <c r="P762" s="18" t="inlineStr">
        <is>
          <t>legal-management-service/src/entities/actor.entity.ts:26: DEMANDANTE, DEMANDADO, OTRO | db/migrations/110_add_actors_table.sql:11: DEMANDANTE, DEMANDADO, OTRO</t>
        </is>
      </c>
      <c r="Q762" s="18" t="inlineStr">
        <is>
          <t>Código fuente</t>
        </is>
      </c>
      <c r="R762" s="18" t="inlineStr">
        <is>
          <t>Rol del actor en el expediente. Valores: DEMANDANTE, DEMANDADO, OTRO.</t>
        </is>
      </c>
      <c r="S762" s="18" t="inlineStr">
        <is>
          <t>Alta</t>
        </is>
      </c>
      <c r="T762" s="18" t="inlineStr">
        <is>
          <t>código: actor.entity.ts:26</t>
        </is>
      </c>
      <c r="U762" s="18" t="inlineStr"/>
      <c r="V762" s="19" t="inlineStr">
        <is>
          <t>Pendiente</t>
        </is>
      </c>
      <c r="W762" s="19" t="inlineStr"/>
      <c r="X762" s="19" t="inlineStr"/>
      <c r="Y762" s="20" t="n"/>
      <c r="Z762" s="19" t="inlineStr"/>
      <c r="AA762" s="18">
        <f>IF(OR(V762="Aprobada"),R762,IF(AND(OR(V762="Aprobada con ajuste",V762="Rechazada"),W762&lt;&gt;""),W762,""))</f>
        <v/>
      </c>
    </row>
    <row r="763">
      <c r="A763" s="18" t="inlineStr">
        <is>
          <t>C0762</t>
        </is>
      </c>
      <c r="B763" s="18" t="inlineStr">
        <is>
          <t>Gestión jurídica</t>
        </is>
      </c>
      <c r="C763" s="18" t="inlineStr">
        <is>
          <t>legal_management</t>
        </is>
      </c>
      <c r="D763" s="18" t="inlineStr">
        <is>
          <t>actors</t>
        </is>
      </c>
      <c r="E763" s="18" t="n">
        <v>168</v>
      </c>
      <c r="F763" s="18" t="inlineStr">
        <is>
          <t>cargo</t>
        </is>
      </c>
      <c r="G763" s="18" t="inlineStr">
        <is>
          <t>character varying(100)</t>
        </is>
      </c>
      <c r="H763" s="18" t="inlineStr">
        <is>
          <t>Sí</t>
        </is>
      </c>
      <c r="I763" s="18" t="inlineStr"/>
      <c r="J763" s="18" t="inlineStr"/>
      <c r="K763" s="18" t="inlineStr"/>
      <c r="L763" s="18" t="inlineStr">
        <is>
          <t>No</t>
        </is>
      </c>
      <c r="M763" s="18" t="inlineStr">
        <is>
          <t>No</t>
        </is>
      </c>
      <c r="N763" s="18" t="inlineStr"/>
      <c r="O763" s="18" t="inlineStr"/>
      <c r="P763" s="18" t="inlineStr">
        <is>
          <t>db/migrations/110_add_actors_table.sql:12: Opcional, para demandados/otros</t>
        </is>
      </c>
      <c r="Q763" s="18" t="inlineStr">
        <is>
          <t>Código fuente</t>
        </is>
      </c>
      <c r="R763" s="18" t="inlineStr">
        <is>
          <t>Cargo del actor; opcional, para demandados y otros.</t>
        </is>
      </c>
      <c r="S763" s="18" t="inlineStr">
        <is>
          <t>Alta</t>
        </is>
      </c>
      <c r="T763" s="18" t="inlineStr">
        <is>
          <t>código: db/migrations/110_add_actors_table.sql:12</t>
        </is>
      </c>
      <c r="U763" s="18" t="inlineStr"/>
      <c r="V763" s="19" t="inlineStr">
        <is>
          <t>Pendiente</t>
        </is>
      </c>
      <c r="W763" s="19" t="inlineStr"/>
      <c r="X763" s="19" t="inlineStr"/>
      <c r="Y763" s="20" t="n"/>
      <c r="Z763" s="19" t="inlineStr"/>
      <c r="AA763" s="18">
        <f>IF(OR(V763="Aprobada"),R763,IF(AND(OR(V763="Aprobada con ajuste",V763="Rechazada"),W763&lt;&gt;""),W763,""))</f>
        <v/>
      </c>
    </row>
    <row r="764">
      <c r="A764" s="18" t="inlineStr">
        <is>
          <t>C0763</t>
        </is>
      </c>
      <c r="B764" s="18" t="inlineStr">
        <is>
          <t>Gestión jurídica</t>
        </is>
      </c>
      <c r="C764" s="18" t="inlineStr">
        <is>
          <t>legal_management</t>
        </is>
      </c>
      <c r="D764" s="18" t="inlineStr">
        <is>
          <t>actors</t>
        </is>
      </c>
      <c r="E764" s="18" t="n">
        <v>168</v>
      </c>
      <c r="F764" s="18" t="inlineStr">
        <is>
          <t>email</t>
        </is>
      </c>
      <c r="G764" s="18" t="inlineStr">
        <is>
          <t>character varying(255)</t>
        </is>
      </c>
      <c r="H764" s="18" t="inlineStr">
        <is>
          <t>Sí</t>
        </is>
      </c>
      <c r="I764" s="18" t="inlineStr"/>
      <c r="J764" s="18" t="inlineStr"/>
      <c r="K764" s="18" t="inlineStr"/>
      <c r="L764" s="18" t="inlineStr">
        <is>
          <t>No</t>
        </is>
      </c>
      <c r="M764" s="18" t="inlineStr">
        <is>
          <t>No</t>
        </is>
      </c>
      <c r="N764" s="18" t="inlineStr"/>
      <c r="O764" s="18" t="inlineStr"/>
      <c r="P764" s="18" t="inlineStr">
        <is>
          <t>Mapeada en legal-management-service/src/entities/actor.entity.ts:35 (Actor.email)</t>
        </is>
      </c>
      <c r="Q764" s="18" t="inlineStr">
        <is>
          <t>Regla estructural</t>
        </is>
      </c>
      <c r="R764" s="18" t="inlineStr">
        <is>
          <t>Correo electrónico.</t>
        </is>
      </c>
      <c r="S764" s="18" t="inlineStr">
        <is>
          <t>Media</t>
        </is>
      </c>
      <c r="T764" s="18" t="inlineStr">
        <is>
          <t>Convención de nombre de la columna.</t>
        </is>
      </c>
      <c r="U764" s="18" t="inlineStr"/>
      <c r="V764" s="19" t="inlineStr">
        <is>
          <t>Pendiente</t>
        </is>
      </c>
      <c r="W764" s="19" t="inlineStr"/>
      <c r="X764" s="19" t="inlineStr"/>
      <c r="Y764" s="20" t="n"/>
      <c r="Z764" s="19" t="inlineStr"/>
      <c r="AA764" s="18">
        <f>IF(OR(V764="Aprobada"),R764,IF(AND(OR(V764="Aprobada con ajuste",V764="Rechazada"),W764&lt;&gt;""),W764,""))</f>
        <v/>
      </c>
    </row>
    <row r="765">
      <c r="A765" s="18" t="inlineStr">
        <is>
          <t>C0764</t>
        </is>
      </c>
      <c r="B765" s="18" t="inlineStr">
        <is>
          <t>Gestión jurídica</t>
        </is>
      </c>
      <c r="C765" s="18" t="inlineStr">
        <is>
          <t>legal_management</t>
        </is>
      </c>
      <c r="D765" s="18" t="inlineStr">
        <is>
          <t>actors</t>
        </is>
      </c>
      <c r="E765" s="18" t="n">
        <v>168</v>
      </c>
      <c r="F765" s="18" t="inlineStr">
        <is>
          <t>telefono</t>
        </is>
      </c>
      <c r="G765" s="18" t="inlineStr">
        <is>
          <t>character varying(50)</t>
        </is>
      </c>
      <c r="H765" s="18" t="inlineStr">
        <is>
          <t>Sí</t>
        </is>
      </c>
      <c r="I765" s="18" t="inlineStr"/>
      <c r="J765" s="18" t="inlineStr"/>
      <c r="K765" s="18" t="inlineStr"/>
      <c r="L765" s="18" t="inlineStr">
        <is>
          <t>No</t>
        </is>
      </c>
      <c r="M765" s="18" t="inlineStr">
        <is>
          <t>No</t>
        </is>
      </c>
      <c r="N765" s="18" t="inlineStr"/>
      <c r="O765" s="18" t="inlineStr"/>
      <c r="P765" s="18" t="inlineStr">
        <is>
          <t>Mapeada en legal-management-service/src/entities/actor.entity.ts:38 (Actor.telefono)</t>
        </is>
      </c>
      <c r="Q765" s="18" t="inlineStr">
        <is>
          <t>Regla estructural</t>
        </is>
      </c>
      <c r="R765" s="18" t="inlineStr">
        <is>
          <t>Número de teléfono.</t>
        </is>
      </c>
      <c r="S765" s="18" t="inlineStr">
        <is>
          <t>Media</t>
        </is>
      </c>
      <c r="T765" s="18" t="inlineStr">
        <is>
          <t>Convención de nombre de la columna.</t>
        </is>
      </c>
      <c r="U765" s="18" t="inlineStr"/>
      <c r="V765" s="19" t="inlineStr">
        <is>
          <t>Pendiente</t>
        </is>
      </c>
      <c r="W765" s="19" t="inlineStr"/>
      <c r="X765" s="19" t="inlineStr"/>
      <c r="Y765" s="20" t="n"/>
      <c r="Z765" s="19" t="inlineStr"/>
      <c r="AA765" s="18">
        <f>IF(OR(V765="Aprobada"),R765,IF(AND(OR(V765="Aprobada con ajuste",V765="Rechazada"),W765&lt;&gt;""),W765,""))</f>
        <v/>
      </c>
    </row>
    <row r="766">
      <c r="A766" s="18" t="inlineStr">
        <is>
          <t>C0765</t>
        </is>
      </c>
      <c r="B766" s="18" t="inlineStr">
        <is>
          <t>Gestión jurídica</t>
        </is>
      </c>
      <c r="C766" s="18" t="inlineStr">
        <is>
          <t>legal_management</t>
        </is>
      </c>
      <c r="D766" s="18" t="inlineStr">
        <is>
          <t>actors</t>
        </is>
      </c>
      <c r="E766" s="18" t="n">
        <v>168</v>
      </c>
      <c r="F766" s="18" t="inlineStr">
        <is>
          <t>direccion</t>
        </is>
      </c>
      <c r="G766" s="18" t="inlineStr">
        <is>
          <t>character varying(255)</t>
        </is>
      </c>
      <c r="H766" s="18" t="inlineStr">
        <is>
          <t>Sí</t>
        </is>
      </c>
      <c r="I766" s="18" t="inlineStr"/>
      <c r="J766" s="18" t="inlineStr"/>
      <c r="K766" s="18" t="inlineStr"/>
      <c r="L766" s="18" t="inlineStr">
        <is>
          <t>No</t>
        </is>
      </c>
      <c r="M766" s="18" t="inlineStr">
        <is>
          <t>No</t>
        </is>
      </c>
      <c r="N766" s="18" t="inlineStr"/>
      <c r="O766" s="18" t="inlineStr"/>
      <c r="P766" s="18" t="inlineStr">
        <is>
          <t>Mapeada en legal-management-service/src/entities/actor.entity.ts:41 (Actor.direccion)</t>
        </is>
      </c>
      <c r="Q766" s="18" t="inlineStr">
        <is>
          <t>Propuesta semántica</t>
        </is>
      </c>
      <c r="R766" s="18" t="inlineStr">
        <is>
          <t>Dirección del actor del expediente.</t>
        </is>
      </c>
      <c r="S766" s="18" t="inlineStr">
        <is>
          <t>Alta</t>
        </is>
      </c>
      <c r="T766" s="18" t="inlineStr">
        <is>
          <t>nombre + tipo + columnas vecinas</t>
        </is>
      </c>
      <c r="U766" s="18" t="inlineStr"/>
      <c r="V766" s="19" t="inlineStr">
        <is>
          <t>Pendiente</t>
        </is>
      </c>
      <c r="W766" s="19" t="inlineStr"/>
      <c r="X766" s="19" t="inlineStr"/>
      <c r="Y766" s="20" t="n"/>
      <c r="Z766" s="19" t="inlineStr"/>
      <c r="AA766" s="18">
        <f>IF(OR(V766="Aprobada"),R766,IF(AND(OR(V766="Aprobada con ajuste",V766="Rechazada"),W766&lt;&gt;""),W766,""))</f>
        <v/>
      </c>
    </row>
    <row r="767">
      <c r="A767" s="18" t="inlineStr">
        <is>
          <t>C0766</t>
        </is>
      </c>
      <c r="B767" s="18" t="inlineStr">
        <is>
          <t>Gestión jurídica</t>
        </is>
      </c>
      <c r="C767" s="18" t="inlineStr">
        <is>
          <t>legal_management</t>
        </is>
      </c>
      <c r="D767" s="18" t="inlineStr">
        <is>
          <t>actors</t>
        </is>
      </c>
      <c r="E767" s="18" t="n">
        <v>168</v>
      </c>
      <c r="F767" s="18" t="inlineStr">
        <is>
          <t>apoderado</t>
        </is>
      </c>
      <c r="G767" s="18" t="inlineStr">
        <is>
          <t>character varying(255)</t>
        </is>
      </c>
      <c r="H767" s="18" t="inlineStr">
        <is>
          <t>Sí</t>
        </is>
      </c>
      <c r="I767" s="18" t="inlineStr"/>
      <c r="J767" s="18" t="inlineStr"/>
      <c r="K767" s="18" t="inlineStr"/>
      <c r="L767" s="18" t="inlineStr">
        <is>
          <t>No</t>
        </is>
      </c>
      <c r="M767" s="18" t="inlineStr">
        <is>
          <t>No</t>
        </is>
      </c>
      <c r="N767" s="18" t="inlineStr"/>
      <c r="O767" s="18" t="inlineStr"/>
      <c r="P767" s="18" t="inlineStr">
        <is>
          <t>Mapeada en legal-management-service/src/entities/actor.entity.ts:44 (Actor.apoderado)</t>
        </is>
      </c>
      <c r="Q767" s="18" t="inlineStr">
        <is>
          <t>Propuesta semántica</t>
        </is>
      </c>
      <c r="R767" s="18" t="inlineStr">
        <is>
          <t>Nombre del apoderado del actor.</t>
        </is>
      </c>
      <c r="S767" s="18" t="inlineStr">
        <is>
          <t>Alta</t>
        </is>
      </c>
      <c r="T767" s="18" t="inlineStr">
        <is>
          <t>nombre + tipo + columnas vecinas</t>
        </is>
      </c>
      <c r="U767" s="18" t="inlineStr"/>
      <c r="V767" s="19" t="inlineStr">
        <is>
          <t>Pendiente</t>
        </is>
      </c>
      <c r="W767" s="19" t="inlineStr"/>
      <c r="X767" s="19" t="inlineStr"/>
      <c r="Y767" s="20" t="n"/>
      <c r="Z767" s="19" t="inlineStr"/>
      <c r="AA767" s="18">
        <f>IF(OR(V767="Aprobada"),R767,IF(AND(OR(V767="Aprobada con ajuste",V767="Rechazada"),W767&lt;&gt;""),W767,""))</f>
        <v/>
      </c>
    </row>
    <row r="768">
      <c r="A768" s="18" t="inlineStr">
        <is>
          <t>C0767</t>
        </is>
      </c>
      <c r="B768" s="18" t="inlineStr">
        <is>
          <t>Gestión jurídica</t>
        </is>
      </c>
      <c r="C768" s="18" t="inlineStr">
        <is>
          <t>legal_management</t>
        </is>
      </c>
      <c r="D768" s="18" t="inlineStr">
        <is>
          <t>actors</t>
        </is>
      </c>
      <c r="E768" s="18" t="n">
        <v>168</v>
      </c>
      <c r="F768" s="18" t="inlineStr">
        <is>
          <t>dependencia</t>
        </is>
      </c>
      <c r="G768" s="18" t="inlineStr">
        <is>
          <t>character varying(150)</t>
        </is>
      </c>
      <c r="H768" s="18" t="inlineStr">
        <is>
          <t>Sí</t>
        </is>
      </c>
      <c r="I768" s="18" t="inlineStr"/>
      <c r="J768" s="18" t="inlineStr"/>
      <c r="K768" s="18" t="inlineStr"/>
      <c r="L768" s="18" t="inlineStr">
        <is>
          <t>No</t>
        </is>
      </c>
      <c r="M768" s="18" t="inlineStr">
        <is>
          <t>No</t>
        </is>
      </c>
      <c r="N768" s="18" t="inlineStr"/>
      <c r="O768" s="18" t="inlineStr"/>
      <c r="P768" s="18" t="inlineStr">
        <is>
          <t>Mapeada en legal-management-service/src/entities/actor.entity.ts:32 (Actor.dependencia)</t>
        </is>
      </c>
      <c r="Q768" s="18" t="inlineStr">
        <is>
          <t>Propuesta semántica</t>
        </is>
      </c>
      <c r="R768" s="18" t="inlineStr">
        <is>
          <t>Dependencia a la que pertenece el actor.</t>
        </is>
      </c>
      <c r="S768" s="18" t="inlineStr">
        <is>
          <t>Media</t>
        </is>
      </c>
      <c r="T768" s="18" t="inlineStr">
        <is>
          <t>nombre + tipo + columnas vecinas</t>
        </is>
      </c>
      <c r="U768" s="18" t="inlineStr">
        <is>
          <t>¿Aplica solo a actores internos de la ESAP?</t>
        </is>
      </c>
      <c r="V768" s="19" t="inlineStr">
        <is>
          <t>Pendiente</t>
        </is>
      </c>
      <c r="W768" s="19" t="inlineStr"/>
      <c r="X768" s="19" t="inlineStr"/>
      <c r="Y768" s="20" t="n"/>
      <c r="Z768" s="19" t="inlineStr"/>
      <c r="AA768" s="18">
        <f>IF(OR(V768="Aprobada"),R768,IF(AND(OR(V768="Aprobada con ajuste",V768="Rechazada"),W768&lt;&gt;""),W768,""))</f>
        <v/>
      </c>
    </row>
    <row r="769">
      <c r="A769" s="18" t="inlineStr">
        <is>
          <t>C0768</t>
        </is>
      </c>
      <c r="B769" s="18" t="inlineStr">
        <is>
          <t>Gestión jurídica</t>
        </is>
      </c>
      <c r="C769" s="18" t="inlineStr">
        <is>
          <t>legal_management</t>
        </is>
      </c>
      <c r="D769" s="18" t="inlineStr">
        <is>
          <t>actuaciones</t>
        </is>
      </c>
      <c r="E769" s="18" t="n">
        <v>427</v>
      </c>
      <c r="F769" s="18" t="inlineStr">
        <is>
          <t>expediente_id</t>
        </is>
      </c>
      <c r="G769" s="18" t="inlineStr">
        <is>
          <t>character varying(255)</t>
        </is>
      </c>
      <c r="H769" s="18" t="inlineStr">
        <is>
          <t>No</t>
        </is>
      </c>
      <c r="I769" s="18" t="inlineStr"/>
      <c r="J769" s="18" t="inlineStr"/>
      <c r="K769" s="18" t="inlineStr"/>
      <c r="L769" s="18" t="inlineStr">
        <is>
          <t>No</t>
        </is>
      </c>
      <c r="M769" s="18" t="inlineStr">
        <is>
          <t>No</t>
        </is>
      </c>
      <c r="N769" s="18" t="inlineStr"/>
      <c r="O769" s="18" t="inlineStr">
        <is>
          <t>idx_actuaciones_expediente</t>
        </is>
      </c>
      <c r="P769" s="18" t="inlineStr">
        <is>
          <t>legal-management-service/src/entities/actuacion.entity.ts:11: Changed to simple string column to support both GUIDs (Judicial) and Radicados (Disciplinario) FK constraint was removed in DB to allow this polymorphism</t>
        </is>
      </c>
      <c r="Q769" s="18" t="inlineStr">
        <is>
          <t>Código fuente</t>
        </is>
      </c>
      <c r="R769" s="18" t="inlineStr">
        <is>
          <t>Identificador del expediente o proceso al que pertenece la actuación: GUID en procesos judiciales o radicado en procesos disciplinarios. No tiene clave foránea.</t>
        </is>
      </c>
      <c r="S769" s="18" t="inlineStr">
        <is>
          <t>Alta</t>
        </is>
      </c>
      <c r="T769" s="18" t="inlineStr">
        <is>
          <t>código: legal-management-service/src/entities/actuacion.entity.ts:11</t>
        </is>
      </c>
      <c r="U769" s="18" t="inlineStr"/>
      <c r="V769" s="19" t="inlineStr">
        <is>
          <t>Pendiente</t>
        </is>
      </c>
      <c r="W769" s="19" t="inlineStr"/>
      <c r="X769" s="19" t="inlineStr"/>
      <c r="Y769" s="20" t="n"/>
      <c r="Z769" s="19" t="inlineStr"/>
      <c r="AA769" s="18">
        <f>IF(OR(V769="Aprobada"),R769,IF(AND(OR(V769="Aprobada con ajuste",V769="Rechazada"),W769&lt;&gt;""),W769,""))</f>
        <v/>
      </c>
    </row>
    <row r="770">
      <c r="A770" s="18" t="inlineStr">
        <is>
          <t>C0769</t>
        </is>
      </c>
      <c r="B770" s="18" t="inlineStr">
        <is>
          <t>Gestión jurídica</t>
        </is>
      </c>
      <c r="C770" s="18" t="inlineStr">
        <is>
          <t>legal_management</t>
        </is>
      </c>
      <c r="D770" s="18" t="inlineStr">
        <is>
          <t>actuaciones</t>
        </is>
      </c>
      <c r="E770" s="18" t="n">
        <v>427</v>
      </c>
      <c r="F770" s="18" t="inlineStr">
        <is>
          <t>tipo_actuacion</t>
        </is>
      </c>
      <c r="G770" s="18" t="inlineStr">
        <is>
          <t>character varying(100)</t>
        </is>
      </c>
      <c r="H770" s="18" t="inlineStr">
        <is>
          <t>No</t>
        </is>
      </c>
      <c r="I770" s="18" t="inlineStr"/>
      <c r="J770" s="18" t="inlineStr"/>
      <c r="K770" s="18" t="inlineStr"/>
      <c r="L770" s="18" t="inlineStr">
        <is>
          <t>No</t>
        </is>
      </c>
      <c r="M770" s="18" t="inlineStr">
        <is>
          <t>No</t>
        </is>
      </c>
      <c r="N770" s="18" t="inlineStr"/>
      <c r="O770" s="18" t="inlineStr"/>
      <c r="P770" s="18" t="inlineStr">
        <is>
          <t>db/init/old/02_actuaciones_schema.sql:7: AUTO_ADMISORIO, PRUEBAS, FALLO, etc.</t>
        </is>
      </c>
      <c r="Q770" s="18" t="inlineStr">
        <is>
          <t>Código fuente</t>
        </is>
      </c>
      <c r="R770" s="18" t="inlineStr">
        <is>
          <t>Tipo de actuación (por ejemplo, AUTO_ADMISORIO, PRUEBAS, FALLO).</t>
        </is>
      </c>
      <c r="S770" s="18" t="inlineStr">
        <is>
          <t>Media</t>
        </is>
      </c>
      <c r="T770" s="18" t="inlineStr">
        <is>
          <t>código: db/init/old/02_actuaciones_schema.sql:7</t>
        </is>
      </c>
      <c r="U770" s="18" t="inlineStr">
        <is>
          <t>¿Cuál es la lista completa de tipos de actuación?</t>
        </is>
      </c>
      <c r="V770" s="19" t="inlineStr">
        <is>
          <t>Pendiente</t>
        </is>
      </c>
      <c r="W770" s="19" t="inlineStr"/>
      <c r="X770" s="19" t="inlineStr"/>
      <c r="Y770" s="20" t="n"/>
      <c r="Z770" s="19" t="inlineStr"/>
      <c r="AA770" s="18">
        <f>IF(OR(V770="Aprobada"),R770,IF(AND(OR(V770="Aprobada con ajuste",V770="Rechazada"),W770&lt;&gt;""),W770,""))</f>
        <v/>
      </c>
    </row>
    <row r="771">
      <c r="A771" s="18" t="inlineStr">
        <is>
          <t>C0770</t>
        </is>
      </c>
      <c r="B771" s="18" t="inlineStr">
        <is>
          <t>Gestión jurídica</t>
        </is>
      </c>
      <c r="C771" s="18" t="inlineStr">
        <is>
          <t>legal_management</t>
        </is>
      </c>
      <c r="D771" s="18" t="inlineStr">
        <is>
          <t>actuaciones</t>
        </is>
      </c>
      <c r="E771" s="18" t="n">
        <v>427</v>
      </c>
      <c r="F771" s="18" t="inlineStr">
        <is>
          <t>descripcion</t>
        </is>
      </c>
      <c r="G771" s="18" t="inlineStr">
        <is>
          <t>text</t>
        </is>
      </c>
      <c r="H771" s="18" t="inlineStr">
        <is>
          <t>Sí</t>
        </is>
      </c>
      <c r="I771" s="18" t="inlineStr"/>
      <c r="J771" s="18" t="inlineStr"/>
      <c r="K771" s="18" t="inlineStr"/>
      <c r="L771" s="18" t="inlineStr">
        <is>
          <t>No</t>
        </is>
      </c>
      <c r="M771" s="18" t="inlineStr">
        <is>
          <t>No</t>
        </is>
      </c>
      <c r="N771" s="18" t="inlineStr"/>
      <c r="O771" s="18" t="inlineStr"/>
      <c r="P771" s="18" t="inlineStr">
        <is>
          <t>Mapeada en legal-management-service/src/entities/actuacion.entity.ts:20 (Actuacion.descripcion)</t>
        </is>
      </c>
      <c r="Q771" s="18" t="inlineStr">
        <is>
          <t>Regla estructural</t>
        </is>
      </c>
      <c r="R771" s="18" t="inlineStr">
        <is>
          <t>Descripción del registro de actuaciones.</t>
        </is>
      </c>
      <c r="S771" s="18" t="inlineStr">
        <is>
          <t>Media</t>
        </is>
      </c>
      <c r="T771" s="18" t="inlineStr">
        <is>
          <t>Convención de nombre de la columna.</t>
        </is>
      </c>
      <c r="U771" s="18" t="inlineStr"/>
      <c r="V771" s="19" t="inlineStr">
        <is>
          <t>Pendiente</t>
        </is>
      </c>
      <c r="W771" s="19" t="inlineStr"/>
      <c r="X771" s="19" t="inlineStr"/>
      <c r="Y771" s="20" t="n"/>
      <c r="Z771" s="19" t="inlineStr"/>
      <c r="AA771" s="18">
        <f>IF(OR(V771="Aprobada"),R771,IF(AND(OR(V771="Aprobada con ajuste",V771="Rechazada"),W771&lt;&gt;""),W771,""))</f>
        <v/>
      </c>
    </row>
    <row r="772">
      <c r="A772" s="18" t="inlineStr">
        <is>
          <t>C0771</t>
        </is>
      </c>
      <c r="B772" s="18" t="inlineStr">
        <is>
          <t>Gestión jurídica</t>
        </is>
      </c>
      <c r="C772" s="18" t="inlineStr">
        <is>
          <t>legal_management</t>
        </is>
      </c>
      <c r="D772" s="18" t="inlineStr">
        <is>
          <t>actuaciones</t>
        </is>
      </c>
      <c r="E772" s="18" t="n">
        <v>427</v>
      </c>
      <c r="F772" s="18" t="inlineStr">
        <is>
          <t>fecha_actuacion</t>
        </is>
      </c>
      <c r="G772" s="18" t="inlineStr">
        <is>
          <t>timestamp without time zone</t>
        </is>
      </c>
      <c r="H772" s="18" t="inlineStr">
        <is>
          <t>No</t>
        </is>
      </c>
      <c r="I772" s="18" t="inlineStr"/>
      <c r="J772" s="18" t="inlineStr"/>
      <c r="K772" s="18" t="inlineStr"/>
      <c r="L772" s="18" t="inlineStr">
        <is>
          <t>No</t>
        </is>
      </c>
      <c r="M772" s="18" t="inlineStr">
        <is>
          <t>No</t>
        </is>
      </c>
      <c r="N772" s="18" t="inlineStr"/>
      <c r="O772" s="18" t="inlineStr"/>
      <c r="P772" s="18" t="inlineStr">
        <is>
          <t>Mapeada en legal-management-service/src/entities/actuacion.entity.ts:23 (Actuacion.fechaActuacion)</t>
        </is>
      </c>
      <c r="Q772" s="18" t="inlineStr">
        <is>
          <t>Regla estructural</t>
        </is>
      </c>
      <c r="R772" s="18" t="inlineStr">
        <is>
          <t>Fecha de actuación.</t>
        </is>
      </c>
      <c r="S772" s="18" t="inlineStr">
        <is>
          <t>Media</t>
        </is>
      </c>
      <c r="T772" s="18" t="inlineStr">
        <is>
          <t>Convención de nombre de la columna.</t>
        </is>
      </c>
      <c r="U772" s="18" t="inlineStr"/>
      <c r="V772" s="19" t="inlineStr">
        <is>
          <t>Pendiente</t>
        </is>
      </c>
      <c r="W772" s="19" t="inlineStr"/>
      <c r="X772" s="19" t="inlineStr"/>
      <c r="Y772" s="20" t="n"/>
      <c r="Z772" s="19" t="inlineStr"/>
      <c r="AA772" s="18">
        <f>IF(OR(V772="Aprobada"),R772,IF(AND(OR(V772="Aprobada con ajuste",V772="Rechazada"),W772&lt;&gt;""),W772,""))</f>
        <v/>
      </c>
    </row>
    <row r="773">
      <c r="A773" s="18" t="inlineStr">
        <is>
          <t>C0772</t>
        </is>
      </c>
      <c r="B773" s="18" t="inlineStr">
        <is>
          <t>Gestión jurídica</t>
        </is>
      </c>
      <c r="C773" s="18" t="inlineStr">
        <is>
          <t>legal_management</t>
        </is>
      </c>
      <c r="D773" s="18" t="inlineStr">
        <is>
          <t>actuaciones</t>
        </is>
      </c>
      <c r="E773" s="18" t="n">
        <v>427</v>
      </c>
      <c r="F773" s="18" t="inlineStr">
        <is>
          <t>documento_url</t>
        </is>
      </c>
      <c r="G773" s="18" t="inlineStr">
        <is>
          <t>character varying(255)</t>
        </is>
      </c>
      <c r="H773" s="18" t="inlineStr">
        <is>
          <t>Sí</t>
        </is>
      </c>
      <c r="I773" s="18" t="inlineStr"/>
      <c r="J773" s="18" t="inlineStr"/>
      <c r="K773" s="18" t="inlineStr"/>
      <c r="L773" s="18" t="inlineStr">
        <is>
          <t>No</t>
        </is>
      </c>
      <c r="M773" s="18" t="inlineStr">
        <is>
          <t>No</t>
        </is>
      </c>
      <c r="N773" s="18" t="inlineStr"/>
      <c r="O773" s="18" t="inlineStr"/>
      <c r="P773" s="18" t="inlineStr">
        <is>
          <t>Mapeada en legal-management-service/src/entities/actuacion.entity.ts:26 (Actuacion.documentoUrl)</t>
        </is>
      </c>
      <c r="Q773" s="18" t="inlineStr">
        <is>
          <t>Propuesta semántica</t>
        </is>
      </c>
      <c r="R773" s="18" t="inlineStr">
        <is>
          <t>URL del documento soporte de la actuación.</t>
        </is>
      </c>
      <c r="S773" s="18" t="inlineStr">
        <is>
          <t>Alta</t>
        </is>
      </c>
      <c r="T773" s="18" t="inlineStr">
        <is>
          <t>nombre + tipo + columnas vecinas</t>
        </is>
      </c>
      <c r="U773" s="18" t="inlineStr"/>
      <c r="V773" s="19" t="inlineStr">
        <is>
          <t>Pendiente</t>
        </is>
      </c>
      <c r="W773" s="19" t="inlineStr"/>
      <c r="X773" s="19" t="inlineStr"/>
      <c r="Y773" s="20" t="n"/>
      <c r="Z773" s="19" t="inlineStr"/>
      <c r="AA773" s="18">
        <f>IF(OR(V773="Aprobada"),R773,IF(AND(OR(V773="Aprobada con ajuste",V773="Rechazada"),W773&lt;&gt;""),W773,""))</f>
        <v/>
      </c>
    </row>
    <row r="774">
      <c r="A774" s="18" t="inlineStr">
        <is>
          <t>C0773</t>
        </is>
      </c>
      <c r="B774" s="18" t="inlineStr">
        <is>
          <t>Gestión jurídica</t>
        </is>
      </c>
      <c r="C774" s="18" t="inlineStr">
        <is>
          <t>legal_management</t>
        </is>
      </c>
      <c r="D774" s="18" t="inlineStr">
        <is>
          <t>actuaciones</t>
        </is>
      </c>
      <c r="E774" s="18" t="n">
        <v>427</v>
      </c>
      <c r="F774" s="18" t="inlineStr">
        <is>
          <t>documento_nombre</t>
        </is>
      </c>
      <c r="G774" s="18" t="inlineStr">
        <is>
          <t>character varying(255)</t>
        </is>
      </c>
      <c r="H774" s="18" t="inlineStr">
        <is>
          <t>Sí</t>
        </is>
      </c>
      <c r="I774" s="18" t="inlineStr"/>
      <c r="J774" s="18" t="inlineStr"/>
      <c r="K774" s="18" t="inlineStr"/>
      <c r="L774" s="18" t="inlineStr">
        <is>
          <t>No</t>
        </is>
      </c>
      <c r="M774" s="18" t="inlineStr">
        <is>
          <t>No</t>
        </is>
      </c>
      <c r="N774" s="18" t="inlineStr"/>
      <c r="O774" s="18" t="inlineStr"/>
      <c r="P774" s="18" t="inlineStr">
        <is>
          <t>Mapeada en legal-management-service/src/entities/actuacion.entity.ts:29 (Actuacion.documentoNombre)</t>
        </is>
      </c>
      <c r="Q774" s="18" t="inlineStr">
        <is>
          <t>Propuesta semántica</t>
        </is>
      </c>
      <c r="R774" s="18" t="inlineStr">
        <is>
          <t>Nombre del documento soporte de la actuación.</t>
        </is>
      </c>
      <c r="S774" s="18" t="inlineStr">
        <is>
          <t>Alta</t>
        </is>
      </c>
      <c r="T774" s="18" t="inlineStr">
        <is>
          <t>nombre + tipo + columnas vecinas</t>
        </is>
      </c>
      <c r="U774" s="18" t="inlineStr"/>
      <c r="V774" s="19" t="inlineStr">
        <is>
          <t>Pendiente</t>
        </is>
      </c>
      <c r="W774" s="19" t="inlineStr"/>
      <c r="X774" s="19" t="inlineStr"/>
      <c r="Y774" s="20" t="n"/>
      <c r="Z774" s="19" t="inlineStr"/>
      <c r="AA774" s="18">
        <f>IF(OR(V774="Aprobada"),R774,IF(AND(OR(V774="Aprobada con ajuste",V774="Rechazada"),W774&lt;&gt;""),W774,""))</f>
        <v/>
      </c>
    </row>
    <row r="775">
      <c r="A775" s="18" t="inlineStr">
        <is>
          <t>C0774</t>
        </is>
      </c>
      <c r="B775" s="18" t="inlineStr">
        <is>
          <t>Gestión jurídica</t>
        </is>
      </c>
      <c r="C775" s="18" t="inlineStr">
        <is>
          <t>legal_management</t>
        </is>
      </c>
      <c r="D775" s="18" t="inlineStr">
        <is>
          <t>actuaciones</t>
        </is>
      </c>
      <c r="E775" s="18" t="n">
        <v>427</v>
      </c>
      <c r="F775" s="18" t="inlineStr">
        <is>
          <t>usuario_responsable</t>
        </is>
      </c>
      <c r="G775" s="18" t="inlineStr">
        <is>
          <t>character varying(100)</t>
        </is>
      </c>
      <c r="H775" s="18" t="inlineStr">
        <is>
          <t>Sí</t>
        </is>
      </c>
      <c r="I775" s="18" t="inlineStr"/>
      <c r="J775" s="18" t="inlineStr"/>
      <c r="K775" s="18" t="inlineStr"/>
      <c r="L775" s="18" t="inlineStr">
        <is>
          <t>No</t>
        </is>
      </c>
      <c r="M775" s="18" t="inlineStr">
        <is>
          <t>No</t>
        </is>
      </c>
      <c r="N775" s="18" t="inlineStr"/>
      <c r="O775" s="18" t="inlineStr"/>
      <c r="P775" s="18" t="inlineStr">
        <is>
          <t>Mapeada en legal-management-service/src/entities/actuacion.entity.ts:32 (Actuacion.usuarioResponsable)</t>
        </is>
      </c>
      <c r="Q775" s="18" t="inlineStr">
        <is>
          <t>Propuesta semántica</t>
        </is>
      </c>
      <c r="R775" s="18" t="inlineStr">
        <is>
          <t>Nombre del usuario responsable de la actuación. Valor por defecto: Sistema.</t>
        </is>
      </c>
      <c r="S775" s="18" t="inlineStr">
        <is>
          <t>Media</t>
        </is>
      </c>
      <c r="T775" s="18" t="inlineStr">
        <is>
          <t>nombre + tipo + columnas vecinas + defecto</t>
        </is>
      </c>
      <c r="U775" s="18" t="inlineStr">
        <is>
          <t>¿Qué diferencia hay entre usuario_responsable y responsable_id?</t>
        </is>
      </c>
      <c r="V775" s="19" t="inlineStr">
        <is>
          <t>Pendiente</t>
        </is>
      </c>
      <c r="W775" s="19" t="inlineStr"/>
      <c r="X775" s="19" t="inlineStr"/>
      <c r="Y775" s="20" t="n"/>
      <c r="Z775" s="19" t="inlineStr"/>
      <c r="AA775" s="18">
        <f>IF(OR(V775="Aprobada"),R775,IF(AND(OR(V775="Aprobada con ajuste",V775="Rechazada"),W775&lt;&gt;""),W775,""))</f>
        <v/>
      </c>
    </row>
    <row r="776">
      <c r="A776" s="18" t="inlineStr">
        <is>
          <t>C0775</t>
        </is>
      </c>
      <c r="B776" s="18" t="inlineStr">
        <is>
          <t>Gestión jurídica</t>
        </is>
      </c>
      <c r="C776" s="18" t="inlineStr">
        <is>
          <t>legal_management</t>
        </is>
      </c>
      <c r="D776" s="18" t="inlineStr">
        <is>
          <t>actuaciones</t>
        </is>
      </c>
      <c r="E776" s="18" t="n">
        <v>427</v>
      </c>
      <c r="F776" s="18" t="inlineStr">
        <is>
          <t>origen</t>
        </is>
      </c>
      <c r="G776" s="18" t="inlineStr">
        <is>
          <t>character varying(50)</t>
        </is>
      </c>
      <c r="H776" s="18" t="inlineStr">
        <is>
          <t>Sí</t>
        </is>
      </c>
      <c r="I776" s="18" t="inlineStr"/>
      <c r="J776" s="18" t="inlineStr"/>
      <c r="K776" s="18" t="inlineStr"/>
      <c r="L776" s="18" t="inlineStr">
        <is>
          <t>No</t>
        </is>
      </c>
      <c r="M776" s="18" t="inlineStr">
        <is>
          <t>No</t>
        </is>
      </c>
      <c r="N776" s="18" t="inlineStr"/>
      <c r="O776" s="18" t="inlineStr"/>
      <c r="P776" s="18" t="inlineStr">
        <is>
          <t>legal-management-service/src/entities/actuacion.entity.ts:41: 'MANUAL', 'AUDIENCIA', 'AUTO', 'ACTA', 'EVIDENCIA', 'OFICIO' | db/migrations/old/094_add_unified_history_columns.sql:5: 'MANUAL', 'AUDIENCIA', 'AUTO', 'ACTA', 'EVIDENCIA', 'OFICIO'</t>
        </is>
      </c>
      <c r="Q776" s="18" t="inlineStr">
        <is>
          <t>Código fuente</t>
        </is>
      </c>
      <c r="R776" s="18" t="inlineStr">
        <is>
          <t>Origen de la actuación en el historial unificado. Valores: MANUAL, AUDIENCIA, AUTO, ACTA, EVIDENCIA, OFICIO. Por defecto, MANUAL.</t>
        </is>
      </c>
      <c r="S776" s="18" t="inlineStr">
        <is>
          <t>Alta</t>
        </is>
      </c>
      <c r="T776" s="18" t="inlineStr">
        <is>
          <t>código: actuacion.entity.ts:41</t>
        </is>
      </c>
      <c r="U776" s="18" t="inlineStr"/>
      <c r="V776" s="19" t="inlineStr">
        <is>
          <t>Pendiente</t>
        </is>
      </c>
      <c r="W776" s="19" t="inlineStr"/>
      <c r="X776" s="19" t="inlineStr"/>
      <c r="Y776" s="20" t="n"/>
      <c r="Z776" s="19" t="inlineStr"/>
      <c r="AA776" s="18">
        <f>IF(OR(V776="Aprobada"),R776,IF(AND(OR(V776="Aprobada con ajuste",V776="Rechazada"),W776&lt;&gt;""),W776,""))</f>
        <v/>
      </c>
    </row>
    <row r="777">
      <c r="A777" s="18" t="inlineStr">
        <is>
          <t>C0776</t>
        </is>
      </c>
      <c r="B777" s="18" t="inlineStr">
        <is>
          <t>Gestión jurídica</t>
        </is>
      </c>
      <c r="C777" s="18" t="inlineStr">
        <is>
          <t>legal_management</t>
        </is>
      </c>
      <c r="D777" s="18" t="inlineStr">
        <is>
          <t>actuaciones</t>
        </is>
      </c>
      <c r="E777" s="18" t="n">
        <v>427</v>
      </c>
      <c r="F777" s="18" t="inlineStr">
        <is>
          <t>referencia_id</t>
        </is>
      </c>
      <c r="G777" s="18" t="inlineStr">
        <is>
          <t>uuid</t>
        </is>
      </c>
      <c r="H777" s="18" t="inlineStr">
        <is>
          <t>Sí</t>
        </is>
      </c>
      <c r="I777" s="18" t="inlineStr"/>
      <c r="J777" s="18" t="inlineStr"/>
      <c r="K777" s="18" t="inlineStr"/>
      <c r="L777" s="18" t="inlineStr">
        <is>
          <t>No</t>
        </is>
      </c>
      <c r="M777" s="18" t="inlineStr">
        <is>
          <t>No</t>
        </is>
      </c>
      <c r="N777" s="18" t="inlineStr"/>
      <c r="O777" s="18" t="inlineStr">
        <is>
          <t>idx_actuaciones_referencia</t>
        </is>
      </c>
      <c r="P777" s="18" t="inlineStr">
        <is>
          <t>db/migrations/old/094_add_unified_history_columns.sql:6: ID del registro original (Auto, Audiencia, etc.)</t>
        </is>
      </c>
      <c r="Q777" s="18" t="inlineStr">
        <is>
          <t>Código fuente</t>
        </is>
      </c>
      <c r="R777" s="18" t="inlineStr">
        <is>
          <t>Identificador del registro original que generó la actuación (auto, audiencia, etc.).</t>
        </is>
      </c>
      <c r="S777" s="18" t="inlineStr">
        <is>
          <t>Alta</t>
        </is>
      </c>
      <c r="T777" s="18" t="inlineStr">
        <is>
          <t>código: db/migrations/old/094_add_unified_history_columns.sql:6</t>
        </is>
      </c>
      <c r="U777" s="18" t="inlineStr"/>
      <c r="V777" s="19" t="inlineStr">
        <is>
          <t>Pendiente</t>
        </is>
      </c>
      <c r="W777" s="19" t="inlineStr"/>
      <c r="X777" s="19" t="inlineStr"/>
      <c r="Y777" s="20" t="n"/>
      <c r="Z777" s="19" t="inlineStr"/>
      <c r="AA777" s="18">
        <f>IF(OR(V777="Aprobada"),R777,IF(AND(OR(V777="Aprobada con ajuste",V777="Rechazada"),W777&lt;&gt;""),W777,""))</f>
        <v/>
      </c>
    </row>
    <row r="778">
      <c r="A778" s="18" t="inlineStr">
        <is>
          <t>C0777</t>
        </is>
      </c>
      <c r="B778" s="18" t="inlineStr">
        <is>
          <t>Gestión jurídica</t>
        </is>
      </c>
      <c r="C778" s="18" t="inlineStr">
        <is>
          <t>legal_management</t>
        </is>
      </c>
      <c r="D778" s="18" t="inlineStr">
        <is>
          <t>actuaciones</t>
        </is>
      </c>
      <c r="E778" s="18" t="n">
        <v>427</v>
      </c>
      <c r="F778" s="18" t="inlineStr">
        <is>
          <t>metadata</t>
        </is>
      </c>
      <c r="G778" s="18" t="inlineStr">
        <is>
          <t>jsonb</t>
        </is>
      </c>
      <c r="H778" s="18" t="inlineStr">
        <is>
          <t>Sí</t>
        </is>
      </c>
      <c r="I778" s="18" t="inlineStr"/>
      <c r="J778" s="18" t="inlineStr"/>
      <c r="K778" s="18" t="inlineStr"/>
      <c r="L778" s="18" t="inlineStr">
        <is>
          <t>No</t>
        </is>
      </c>
      <c r="M778" s="18" t="inlineStr">
        <is>
          <t>No</t>
        </is>
      </c>
      <c r="N778" s="18" t="inlineStr"/>
      <c r="O778" s="18" t="inlineStr"/>
      <c r="P778" s="18" t="inlineStr">
        <is>
          <t>db/migrations/old/094_add_unified_history_columns.sql:7: Para guardar datos extra si se requiere</t>
        </is>
      </c>
      <c r="Q778" s="18" t="inlineStr">
        <is>
          <t>Código fuente</t>
        </is>
      </c>
      <c r="R778" s="18" t="inlineStr">
        <is>
          <t>Datos adicionales de la actuación, en formato JSON.</t>
        </is>
      </c>
      <c r="S778" s="18" t="inlineStr">
        <is>
          <t>Alta</t>
        </is>
      </c>
      <c r="T778" s="18" t="inlineStr">
        <is>
          <t>código: db/migrations/old/094_add_unified_history_columns.sql:7</t>
        </is>
      </c>
      <c r="U778" s="18" t="inlineStr"/>
      <c r="V778" s="19" t="inlineStr">
        <is>
          <t>Pendiente</t>
        </is>
      </c>
      <c r="W778" s="19" t="inlineStr"/>
      <c r="X778" s="19" t="inlineStr"/>
      <c r="Y778" s="20" t="n"/>
      <c r="Z778" s="19" t="inlineStr"/>
      <c r="AA778" s="18">
        <f>IF(OR(V778="Aprobada"),R778,IF(AND(OR(V778="Aprobada con ajuste",V778="Rechazada"),W778&lt;&gt;""),W778,""))</f>
        <v/>
      </c>
    </row>
    <row r="779">
      <c r="A779" s="18" t="inlineStr">
        <is>
          <t>C0778</t>
        </is>
      </c>
      <c r="B779" s="18" t="inlineStr">
        <is>
          <t>Gestión jurídica</t>
        </is>
      </c>
      <c r="C779" s="18" t="inlineStr">
        <is>
          <t>legal_management</t>
        </is>
      </c>
      <c r="D779" s="18" t="inlineStr">
        <is>
          <t>actuaciones</t>
        </is>
      </c>
      <c r="E779" s="18" t="n">
        <v>427</v>
      </c>
      <c r="F779" s="18" t="inlineStr">
        <is>
          <t>responsable_id</t>
        </is>
      </c>
      <c r="G779" s="18" t="inlineStr">
        <is>
          <t>character varying(255)</t>
        </is>
      </c>
      <c r="H779" s="18" t="inlineStr">
        <is>
          <t>Sí</t>
        </is>
      </c>
      <c r="I779" s="18" t="inlineStr"/>
      <c r="J779" s="18" t="inlineStr"/>
      <c r="K779" s="18" t="inlineStr"/>
      <c r="L779" s="18" t="inlineStr">
        <is>
          <t>No</t>
        </is>
      </c>
      <c r="M779" s="18" t="inlineStr">
        <is>
          <t>No</t>
        </is>
      </c>
      <c r="N779" s="18" t="inlineStr"/>
      <c r="O779" s="18" t="inlineStr"/>
      <c r="P779" s="18" t="inlineStr">
        <is>
          <t>legal-management-service/src/entities/actuacion.entity.ts:38: Id del usuario (auth."user") asignado como responsable de la actuación, usado para notificarle que tiene una nueva actividad pendiente. `usuarioResponsable` arriba solo guarda el nombre para mostrar y no basta para resolver a quién notificar.</t>
        </is>
      </c>
      <c r="Q779" s="18" t="inlineStr">
        <is>
          <t>Código fuente</t>
        </is>
      </c>
      <c r="R779" s="18" t="inlineStr">
        <is>
          <t>Identificador del usuario (auth."user") asignado como responsable de la actuación; se usa para notificarle la nueva actividad pendiente.</t>
        </is>
      </c>
      <c r="S779" s="18" t="inlineStr">
        <is>
          <t>Alta</t>
        </is>
      </c>
      <c r="T779" s="18" t="inlineStr">
        <is>
          <t>código: legal-management-service/src/entities/actuacion.entity.ts:38</t>
        </is>
      </c>
      <c r="U779" s="18" t="inlineStr"/>
      <c r="V779" s="19" t="inlineStr">
        <is>
          <t>Pendiente</t>
        </is>
      </c>
      <c r="W779" s="19" t="inlineStr"/>
      <c r="X779" s="19" t="inlineStr"/>
      <c r="Y779" s="20" t="n"/>
      <c r="Z779" s="19" t="inlineStr"/>
      <c r="AA779" s="18">
        <f>IF(OR(V779="Aprobada"),R779,IF(AND(OR(V779="Aprobada con ajuste",V779="Rechazada"),W779&lt;&gt;""),W779,""))</f>
        <v/>
      </c>
    </row>
    <row r="780">
      <c r="A780" s="18" t="inlineStr">
        <is>
          <t>C0779</t>
        </is>
      </c>
      <c r="B780" s="18" t="inlineStr">
        <is>
          <t>Gestión jurídica</t>
        </is>
      </c>
      <c r="C780" s="18" t="inlineStr">
        <is>
          <t>legal_management</t>
        </is>
      </c>
      <c r="D780" s="18" t="inlineStr">
        <is>
          <t>adjuntos_correo</t>
        </is>
      </c>
      <c r="E780" s="18" t="n">
        <v>2554</v>
      </c>
      <c r="F780" s="18" t="inlineStr">
        <is>
          <t>graph_message_id</t>
        </is>
      </c>
      <c r="G780" s="18" t="inlineStr">
        <is>
          <t>character varying(500)</t>
        </is>
      </c>
      <c r="H780" s="18" t="inlineStr">
        <is>
          <t>No</t>
        </is>
      </c>
      <c r="I780" s="18" t="inlineStr"/>
      <c r="J780" s="18" t="inlineStr"/>
      <c r="K780" s="18" t="inlineStr"/>
      <c r="L780" s="18" t="inlineStr">
        <is>
          <t>No</t>
        </is>
      </c>
      <c r="M780" s="18" t="inlineStr">
        <is>
          <t>No</t>
        </is>
      </c>
      <c r="N780" s="18" t="inlineStr"/>
      <c r="O780" s="18" t="inlineStr">
        <is>
          <t>idx_adjuntos_graph_message</t>
        </is>
      </c>
      <c r="P780" s="18" t="inlineStr">
        <is>
          <t>Mapeada en legal-management-service/src/entities/adjunto-correo.entity.ts:16 (AdjuntoCorreo.graphMessageId)</t>
        </is>
      </c>
      <c r="Q780" s="18" t="inlineStr">
        <is>
          <t>Propuesta semántica</t>
        </is>
      </c>
      <c r="R780" s="18" t="inlineStr">
        <is>
          <t>Identificador del mensaje en Microsoft Graph al que pertenece el adjunto.</t>
        </is>
      </c>
      <c r="S780" s="18" t="inlineStr">
        <is>
          <t>Alta</t>
        </is>
      </c>
      <c r="T780" s="18" t="inlineStr">
        <is>
          <t>nombre + tipo + columnas vecinas + descripción de la tabla</t>
        </is>
      </c>
      <c r="U780" s="18" t="inlineStr"/>
      <c r="V780" s="19" t="inlineStr">
        <is>
          <t>Pendiente</t>
        </is>
      </c>
      <c r="W780" s="19" t="inlineStr"/>
      <c r="X780" s="19" t="inlineStr"/>
      <c r="Y780" s="20" t="n"/>
      <c r="Z780" s="19" t="inlineStr"/>
      <c r="AA780" s="18">
        <f>IF(OR(V780="Aprobada"),R780,IF(AND(OR(V780="Aprobada con ajuste",V780="Rechazada"),W780&lt;&gt;""),W780,""))</f>
        <v/>
      </c>
    </row>
    <row r="781">
      <c r="A781" s="18" t="inlineStr">
        <is>
          <t>C0780</t>
        </is>
      </c>
      <c r="B781" s="18" t="inlineStr">
        <is>
          <t>Gestión jurídica</t>
        </is>
      </c>
      <c r="C781" s="18" t="inlineStr">
        <is>
          <t>legal_management</t>
        </is>
      </c>
      <c r="D781" s="18" t="inlineStr">
        <is>
          <t>adjuntos_correo</t>
        </is>
      </c>
      <c r="E781" s="18" t="n">
        <v>2554</v>
      </c>
      <c r="F781" s="18" t="inlineStr">
        <is>
          <t>nombre</t>
        </is>
      </c>
      <c r="G781" s="18" t="inlineStr">
        <is>
          <t>character varying(500)</t>
        </is>
      </c>
      <c r="H781" s="18" t="inlineStr">
        <is>
          <t>No</t>
        </is>
      </c>
      <c r="I781" s="18" t="inlineStr"/>
      <c r="J781" s="18" t="inlineStr"/>
      <c r="K781" s="18" t="inlineStr"/>
      <c r="L781" s="18" t="inlineStr">
        <is>
          <t>No</t>
        </is>
      </c>
      <c r="M781" s="18" t="inlineStr">
        <is>
          <t>No</t>
        </is>
      </c>
      <c r="N781" s="18" t="inlineStr"/>
      <c r="O781" s="18" t="inlineStr"/>
      <c r="P781" s="18" t="inlineStr">
        <is>
          <t>Mapeada en legal-management-service/src/entities/adjunto-correo.entity.ts:22 (AdjuntoCorreo.nombre)</t>
        </is>
      </c>
      <c r="Q781" s="18" t="inlineStr">
        <is>
          <t>Regla estructural</t>
        </is>
      </c>
      <c r="R781" s="18" t="inlineStr">
        <is>
          <t>Nombre del registro de adjuntos_correo.</t>
        </is>
      </c>
      <c r="S781" s="18" t="inlineStr">
        <is>
          <t>Media</t>
        </is>
      </c>
      <c r="T781" s="18" t="inlineStr">
        <is>
          <t>Convención de nombre de la columna.</t>
        </is>
      </c>
      <c r="U781" s="18" t="inlineStr"/>
      <c r="V781" s="19" t="inlineStr">
        <is>
          <t>Pendiente</t>
        </is>
      </c>
      <c r="W781" s="19" t="inlineStr"/>
      <c r="X781" s="19" t="inlineStr"/>
      <c r="Y781" s="20" t="n"/>
      <c r="Z781" s="19" t="inlineStr"/>
      <c r="AA781" s="18">
        <f>IF(OR(V781="Aprobada"),R781,IF(AND(OR(V781="Aprobada con ajuste",V781="Rechazada"),W781&lt;&gt;""),W781,""))</f>
        <v/>
      </c>
    </row>
    <row r="782">
      <c r="A782" s="18" t="inlineStr">
        <is>
          <t>C0781</t>
        </is>
      </c>
      <c r="B782" s="18" t="inlineStr">
        <is>
          <t>Gestión jurídica</t>
        </is>
      </c>
      <c r="C782" s="18" t="inlineStr">
        <is>
          <t>legal_management</t>
        </is>
      </c>
      <c r="D782" s="18" t="inlineStr">
        <is>
          <t>adjuntos_correo</t>
        </is>
      </c>
      <c r="E782" s="18" t="n">
        <v>2554</v>
      </c>
      <c r="F782" s="18" t="inlineStr">
        <is>
          <t>content_type</t>
        </is>
      </c>
      <c r="G782" s="18" t="inlineStr">
        <is>
          <t>character varying(255)</t>
        </is>
      </c>
      <c r="H782" s="18" t="inlineStr">
        <is>
          <t>Sí</t>
        </is>
      </c>
      <c r="I782" s="18" t="inlineStr"/>
      <c r="J782" s="18" t="inlineStr"/>
      <c r="K782" s="18" t="inlineStr"/>
      <c r="L782" s="18" t="inlineStr">
        <is>
          <t>No</t>
        </is>
      </c>
      <c r="M782" s="18" t="inlineStr">
        <is>
          <t>No</t>
        </is>
      </c>
      <c r="N782" s="18" t="inlineStr"/>
      <c r="O782" s="18" t="inlineStr"/>
      <c r="P782" s="18" t="inlineStr">
        <is>
          <t>Mapeada en legal-management-service/src/entities/adjunto-correo.entity.ts:25 (AdjuntoCorreo.contentType)</t>
        </is>
      </c>
      <c r="Q782" s="18" t="inlineStr">
        <is>
          <t>Propuesta semántica</t>
        </is>
      </c>
      <c r="R782" s="18" t="inlineStr">
        <is>
          <t>Tipo de contenido (MIME) del adjunto.</t>
        </is>
      </c>
      <c r="S782" s="18" t="inlineStr">
        <is>
          <t>Alta</t>
        </is>
      </c>
      <c r="T782" s="18" t="inlineStr">
        <is>
          <t>nombre + tipo + columnas vecinas</t>
        </is>
      </c>
      <c r="U782" s="18" t="inlineStr"/>
      <c r="V782" s="19" t="inlineStr">
        <is>
          <t>Pendiente</t>
        </is>
      </c>
      <c r="W782" s="19" t="inlineStr"/>
      <c r="X782" s="19" t="inlineStr"/>
      <c r="Y782" s="20" t="n"/>
      <c r="Z782" s="19" t="inlineStr"/>
      <c r="AA782" s="18">
        <f>IF(OR(V782="Aprobada"),R782,IF(AND(OR(V782="Aprobada con ajuste",V782="Rechazada"),W782&lt;&gt;""),W782,""))</f>
        <v/>
      </c>
    </row>
    <row r="783">
      <c r="A783" s="18" t="inlineStr">
        <is>
          <t>C0782</t>
        </is>
      </c>
      <c r="B783" s="18" t="inlineStr">
        <is>
          <t>Gestión jurídica</t>
        </is>
      </c>
      <c r="C783" s="18" t="inlineStr">
        <is>
          <t>legal_management</t>
        </is>
      </c>
      <c r="D783" s="18" t="inlineStr">
        <is>
          <t>adjuntos_correo</t>
        </is>
      </c>
      <c r="E783" s="18" t="n">
        <v>2554</v>
      </c>
      <c r="F783" s="18" t="inlineStr">
        <is>
          <t>tamanio</t>
        </is>
      </c>
      <c r="G783" s="18" t="inlineStr">
        <is>
          <t>integer</t>
        </is>
      </c>
      <c r="H783" s="18" t="inlineStr">
        <is>
          <t>Sí</t>
        </is>
      </c>
      <c r="I783" s="18" t="inlineStr"/>
      <c r="J783" s="18" t="inlineStr"/>
      <c r="K783" s="18" t="inlineStr"/>
      <c r="L783" s="18" t="inlineStr">
        <is>
          <t>No</t>
        </is>
      </c>
      <c r="M783" s="18" t="inlineStr">
        <is>
          <t>No</t>
        </is>
      </c>
      <c r="N783" s="18" t="inlineStr"/>
      <c r="O783" s="18" t="inlineStr"/>
      <c r="P783" s="18" t="inlineStr">
        <is>
          <t>Mapeada en legal-management-service/src/entities/adjunto-correo.entity.ts:28 (AdjuntoCorreo.tamanio)</t>
        </is>
      </c>
      <c r="Q783" s="18" t="inlineStr">
        <is>
          <t>Propuesta semántica</t>
        </is>
      </c>
      <c r="R783" s="18" t="inlineStr">
        <is>
          <t>Tamaño del adjunto. Valor por defecto: 0.</t>
        </is>
      </c>
      <c r="S783" s="18" t="inlineStr">
        <is>
          <t>Media</t>
        </is>
      </c>
      <c r="T783" s="18" t="inlineStr">
        <is>
          <t>nombre + tipo + columnas vecinas</t>
        </is>
      </c>
      <c r="U783" s="18" t="inlineStr">
        <is>
          <t>¿La unidad del tamaño es bytes?</t>
        </is>
      </c>
      <c r="V783" s="19" t="inlineStr">
        <is>
          <t>Pendiente</t>
        </is>
      </c>
      <c r="W783" s="19" t="inlineStr"/>
      <c r="X783" s="19" t="inlineStr"/>
      <c r="Y783" s="20" t="n"/>
      <c r="Z783" s="19" t="inlineStr"/>
      <c r="AA783" s="18">
        <f>IF(OR(V783="Aprobada"),R783,IF(AND(OR(V783="Aprobada con ajuste",V783="Rechazada"),W783&lt;&gt;""),W783,""))</f>
        <v/>
      </c>
    </row>
    <row r="784">
      <c r="A784" s="18" t="inlineStr">
        <is>
          <t>C0783</t>
        </is>
      </c>
      <c r="B784" s="18" t="inlineStr">
        <is>
          <t>Gestión jurídica</t>
        </is>
      </c>
      <c r="C784" s="18" t="inlineStr">
        <is>
          <t>legal_management</t>
        </is>
      </c>
      <c r="D784" s="18" t="inlineStr">
        <is>
          <t>adjuntos_correo</t>
        </is>
      </c>
      <c r="E784" s="18" t="n">
        <v>2554</v>
      </c>
      <c r="F784" s="18" t="inlineStr">
        <is>
          <t>descargado</t>
        </is>
      </c>
      <c r="G784" s="18" t="inlineStr">
        <is>
          <t>boolean</t>
        </is>
      </c>
      <c r="H784" s="18" t="inlineStr">
        <is>
          <t>Sí</t>
        </is>
      </c>
      <c r="I784" s="18" t="inlineStr"/>
      <c r="J784" s="18" t="inlineStr"/>
      <c r="K784" s="18" t="inlineStr"/>
      <c r="L784" s="18" t="inlineStr">
        <is>
          <t>No</t>
        </is>
      </c>
      <c r="M784" s="18" t="inlineStr">
        <is>
          <t>No</t>
        </is>
      </c>
      <c r="N784" s="18" t="inlineStr"/>
      <c r="O784" s="18" t="inlineStr"/>
      <c r="P784" s="18" t="inlineStr">
        <is>
          <t>Mapeada en legal-management-service/src/entities/adjunto-correo.entity.ts:34 (AdjuntoCorreo.descargado)</t>
        </is>
      </c>
      <c r="Q784" s="18" t="inlineStr">
        <is>
          <t>Regla estructural</t>
        </is>
      </c>
      <c r="R784" s="18" t="inlineStr">
        <is>
          <t>Indica si el registro está descargado.</t>
        </is>
      </c>
      <c r="S784" s="18" t="inlineStr">
        <is>
          <t>Media</t>
        </is>
      </c>
      <c r="T784" s="18" t="inlineStr">
        <is>
          <t>Convención de nombre de la columna.</t>
        </is>
      </c>
      <c r="U784" s="18" t="inlineStr"/>
      <c r="V784" s="19" t="inlineStr">
        <is>
          <t>Pendiente</t>
        </is>
      </c>
      <c r="W784" s="19" t="inlineStr"/>
      <c r="X784" s="19" t="inlineStr"/>
      <c r="Y784" s="20" t="n"/>
      <c r="Z784" s="19" t="inlineStr"/>
      <c r="AA784" s="18">
        <f>IF(OR(V784="Aprobada"),R784,IF(AND(OR(V784="Aprobada con ajuste",V784="Rechazada"),W784&lt;&gt;""),W784,""))</f>
        <v/>
      </c>
    </row>
    <row r="785">
      <c r="A785" s="18" t="inlineStr">
        <is>
          <t>C0784</t>
        </is>
      </c>
      <c r="B785" s="18" t="inlineStr">
        <is>
          <t>Gestión jurídica</t>
        </is>
      </c>
      <c r="C785" s="18" t="inlineStr">
        <is>
          <t>legal_management</t>
        </is>
      </c>
      <c r="D785" s="18" t="inlineStr">
        <is>
          <t>audiencias</t>
        </is>
      </c>
      <c r="E785" s="18" t="n">
        <v>18</v>
      </c>
      <c r="F785" s="18" t="inlineStr">
        <is>
          <t>abogado_id</t>
        </is>
      </c>
      <c r="G785" s="18" t="inlineStr">
        <is>
          <t>uuid</t>
        </is>
      </c>
      <c r="H785" s="18" t="inlineStr">
        <is>
          <t>No</t>
        </is>
      </c>
      <c r="I785" s="18" t="inlineStr"/>
      <c r="J785" s="18" t="inlineStr"/>
      <c r="K785" s="18" t="inlineStr"/>
      <c r="L785" s="18" t="inlineStr">
        <is>
          <t>No</t>
        </is>
      </c>
      <c r="M785" s="18" t="inlineStr">
        <is>
          <t>No</t>
        </is>
      </c>
      <c r="N785" s="18" t="inlineStr"/>
      <c r="O785" s="18" t="inlineStr"/>
      <c r="P785" s="18" t="inlineStr">
        <is>
          <t>Mapeada en legal-management-service/src/entities/audiencia.entity.ts:16 (Audiencia.abogadoId)</t>
        </is>
      </c>
      <c r="Q785" s="18" t="inlineStr">
        <is>
          <t>Propuesta semántica</t>
        </is>
      </c>
      <c r="R785" s="18" t="inlineStr">
        <is>
          <t>Identificador del abogado responsable de la audiencia.</t>
        </is>
      </c>
      <c r="S785" s="18" t="inlineStr">
        <is>
          <t>Media</t>
        </is>
      </c>
      <c r="T785" s="18" t="inlineStr">
        <is>
          <t>nombre + tipo + columnas vecinas</t>
        </is>
      </c>
      <c r="U785" s="18" t="inlineStr">
        <is>
          <t>¿Referencia a qué tabla de abogados? No tiene FK declarada.</t>
        </is>
      </c>
      <c r="V785" s="19" t="inlineStr">
        <is>
          <t>Pendiente</t>
        </is>
      </c>
      <c r="W785" s="19" t="inlineStr"/>
      <c r="X785" s="19" t="inlineStr"/>
      <c r="Y785" s="20" t="n"/>
      <c r="Z785" s="19" t="inlineStr"/>
      <c r="AA785" s="18">
        <f>IF(OR(V785="Aprobada"),R785,IF(AND(OR(V785="Aprobada con ajuste",V785="Rechazada"),W785&lt;&gt;""),W785,""))</f>
        <v/>
      </c>
    </row>
    <row r="786">
      <c r="A786" s="18" t="inlineStr">
        <is>
          <t>C0785</t>
        </is>
      </c>
      <c r="B786" s="18" t="inlineStr">
        <is>
          <t>Gestión jurídica</t>
        </is>
      </c>
      <c r="C786" s="18" t="inlineStr">
        <is>
          <t>legal_management</t>
        </is>
      </c>
      <c r="D786" s="18" t="inlineStr">
        <is>
          <t>audiencias</t>
        </is>
      </c>
      <c r="E786" s="18" t="n">
        <v>18</v>
      </c>
      <c r="F786" s="18" t="inlineStr">
        <is>
          <t>titulo</t>
        </is>
      </c>
      <c r="G786" s="18" t="inlineStr">
        <is>
          <t>character varying(255)</t>
        </is>
      </c>
      <c r="H786" s="18" t="inlineStr">
        <is>
          <t>No</t>
        </is>
      </c>
      <c r="I786" s="18" t="inlineStr"/>
      <c r="J786" s="18" t="inlineStr"/>
      <c r="K786" s="18" t="inlineStr"/>
      <c r="L786" s="18" t="inlineStr">
        <is>
          <t>No</t>
        </is>
      </c>
      <c r="M786" s="18" t="inlineStr">
        <is>
          <t>No</t>
        </is>
      </c>
      <c r="N786" s="18" t="inlineStr"/>
      <c r="O786" s="18" t="inlineStr"/>
      <c r="P786" s="18" t="inlineStr">
        <is>
          <t>Mapeada en legal-management-service/src/entities/audiencia.entity.ts:25 (Audiencia.titulo)</t>
        </is>
      </c>
      <c r="Q786" s="18" t="inlineStr">
        <is>
          <t>Propuesta semántica</t>
        </is>
      </c>
      <c r="R786" s="18" t="inlineStr">
        <is>
          <t>Título de la audiencia.</t>
        </is>
      </c>
      <c r="S786" s="18" t="inlineStr">
        <is>
          <t>Alta</t>
        </is>
      </c>
      <c r="T786" s="18" t="inlineStr">
        <is>
          <t>nombre + tipo + columnas vecinas</t>
        </is>
      </c>
      <c r="U786" s="18" t="inlineStr"/>
      <c r="V786" s="19" t="inlineStr">
        <is>
          <t>Pendiente</t>
        </is>
      </c>
      <c r="W786" s="19" t="inlineStr"/>
      <c r="X786" s="19" t="inlineStr"/>
      <c r="Y786" s="20" t="n"/>
      <c r="Z786" s="19" t="inlineStr"/>
      <c r="AA786" s="18">
        <f>IF(OR(V786="Aprobada"),R786,IF(AND(OR(V786="Aprobada con ajuste",V786="Rechazada"),W786&lt;&gt;""),W786,""))</f>
        <v/>
      </c>
    </row>
    <row r="787">
      <c r="A787" s="18" t="inlineStr">
        <is>
          <t>C0786</t>
        </is>
      </c>
      <c r="B787" s="18" t="inlineStr">
        <is>
          <t>Gestión jurídica</t>
        </is>
      </c>
      <c r="C787" s="18" t="inlineStr">
        <is>
          <t>legal_management</t>
        </is>
      </c>
      <c r="D787" s="18" t="inlineStr">
        <is>
          <t>audiencias</t>
        </is>
      </c>
      <c r="E787" s="18" t="n">
        <v>18</v>
      </c>
      <c r="F787" s="18" t="inlineStr">
        <is>
          <t>fecha_hora_inicio</t>
        </is>
      </c>
      <c r="G787" s="18" t="inlineStr">
        <is>
          <t>timestamp without time zone</t>
        </is>
      </c>
      <c r="H787" s="18" t="inlineStr">
        <is>
          <t>No</t>
        </is>
      </c>
      <c r="I787" s="18" t="inlineStr"/>
      <c r="J787" s="18" t="inlineStr"/>
      <c r="K787" s="18" t="inlineStr"/>
      <c r="L787" s="18" t="inlineStr">
        <is>
          <t>No</t>
        </is>
      </c>
      <c r="M787" s="18" t="inlineStr">
        <is>
          <t>No</t>
        </is>
      </c>
      <c r="N787" s="18" t="inlineStr"/>
      <c r="O787" s="18" t="inlineStr"/>
      <c r="P787" s="18" t="inlineStr">
        <is>
          <t>Mapeada en legal-management-service/src/entities/audiencia.entity.ts:28 (Audiencia.fechaHoraInicio)</t>
        </is>
      </c>
      <c r="Q787" s="18" t="inlineStr">
        <is>
          <t>Regla estructural</t>
        </is>
      </c>
      <c r="R787" s="18" t="inlineStr">
        <is>
          <t>Fecha de hora inicio.</t>
        </is>
      </c>
      <c r="S787" s="18" t="inlineStr">
        <is>
          <t>Media</t>
        </is>
      </c>
      <c r="T787" s="18" t="inlineStr">
        <is>
          <t>Convención de nombre de la columna.</t>
        </is>
      </c>
      <c r="U787" s="18" t="inlineStr"/>
      <c r="V787" s="19" t="inlineStr">
        <is>
          <t>Pendiente</t>
        </is>
      </c>
      <c r="W787" s="19" t="inlineStr"/>
      <c r="X787" s="19" t="inlineStr"/>
      <c r="Y787" s="20" t="n"/>
      <c r="Z787" s="19" t="inlineStr"/>
      <c r="AA787" s="18">
        <f>IF(OR(V787="Aprobada"),R787,IF(AND(OR(V787="Aprobada con ajuste",V787="Rechazada"),W787&lt;&gt;""),W787,""))</f>
        <v/>
      </c>
    </row>
    <row r="788">
      <c r="A788" s="18" t="inlineStr">
        <is>
          <t>C0787</t>
        </is>
      </c>
      <c r="B788" s="18" t="inlineStr">
        <is>
          <t>Gestión jurídica</t>
        </is>
      </c>
      <c r="C788" s="18" t="inlineStr">
        <is>
          <t>legal_management</t>
        </is>
      </c>
      <c r="D788" s="18" t="inlineStr">
        <is>
          <t>audiencias</t>
        </is>
      </c>
      <c r="E788" s="18" t="n">
        <v>18</v>
      </c>
      <c r="F788" s="18" t="inlineStr">
        <is>
          <t>duracion_minutos</t>
        </is>
      </c>
      <c r="G788" s="18" t="inlineStr">
        <is>
          <t>integer</t>
        </is>
      </c>
      <c r="H788" s="18" t="inlineStr">
        <is>
          <t>No</t>
        </is>
      </c>
      <c r="I788" s="18" t="inlineStr"/>
      <c r="J788" s="18" t="inlineStr"/>
      <c r="K788" s="18" t="inlineStr"/>
      <c r="L788" s="18" t="inlineStr">
        <is>
          <t>No</t>
        </is>
      </c>
      <c r="M788" s="18" t="inlineStr">
        <is>
          <t>No</t>
        </is>
      </c>
      <c r="N788" s="18" t="inlineStr"/>
      <c r="O788" s="18" t="inlineStr"/>
      <c r="P788" s="18" t="inlineStr">
        <is>
          <t>Mapeada en legal-management-service/src/entities/audiencia.entity.ts:31 (Audiencia.duracionMinutos)</t>
        </is>
      </c>
      <c r="Q788" s="18" t="inlineStr">
        <is>
          <t>Propuesta semántica</t>
        </is>
      </c>
      <c r="R788" s="18" t="inlineStr">
        <is>
          <t>Duración de la audiencia, en minutos.</t>
        </is>
      </c>
      <c r="S788" s="18" t="inlineStr">
        <is>
          <t>Alta</t>
        </is>
      </c>
      <c r="T788" s="18" t="inlineStr">
        <is>
          <t>nombre + tipo + columnas vecinas</t>
        </is>
      </c>
      <c r="U788" s="18" t="inlineStr"/>
      <c r="V788" s="19" t="inlineStr">
        <is>
          <t>Pendiente</t>
        </is>
      </c>
      <c r="W788" s="19" t="inlineStr"/>
      <c r="X788" s="19" t="inlineStr"/>
      <c r="Y788" s="20" t="n"/>
      <c r="Z788" s="19" t="inlineStr"/>
      <c r="AA788" s="18">
        <f>IF(OR(V788="Aprobada"),R788,IF(AND(OR(V788="Aprobada con ajuste",V788="Rechazada"),W788&lt;&gt;""),W788,""))</f>
        <v/>
      </c>
    </row>
    <row r="789">
      <c r="A789" s="18" t="inlineStr">
        <is>
          <t>C0788</t>
        </is>
      </c>
      <c r="B789" s="18" t="inlineStr">
        <is>
          <t>Gestión jurídica</t>
        </is>
      </c>
      <c r="C789" s="18" t="inlineStr">
        <is>
          <t>legal_management</t>
        </is>
      </c>
      <c r="D789" s="18" t="inlineStr">
        <is>
          <t>audiencias</t>
        </is>
      </c>
      <c r="E789" s="18" t="n">
        <v>18</v>
      </c>
      <c r="F789" s="18" t="inlineStr">
        <is>
          <t>modalidad</t>
        </is>
      </c>
      <c r="G789" s="18" t="inlineStr">
        <is>
          <t>character varying(50)</t>
        </is>
      </c>
      <c r="H789" s="18" t="inlineStr">
        <is>
          <t>No</t>
        </is>
      </c>
      <c r="I789" s="18" t="inlineStr"/>
      <c r="J789" s="18" t="inlineStr"/>
      <c r="K789" s="18" t="inlineStr"/>
      <c r="L789" s="18" t="inlineStr">
        <is>
          <t>No</t>
        </is>
      </c>
      <c r="M789" s="18" t="inlineStr">
        <is>
          <t>No</t>
        </is>
      </c>
      <c r="N789" s="18" t="inlineStr"/>
      <c r="O789" s="18" t="inlineStr"/>
      <c r="P789" s="18" t="inlineStr">
        <is>
          <t>legal-management-service/src/entities/audiencia.entity.ts:34: 'VIRTUAL' | 'PRESENCIAL' | db/migrations/old/034_complete_abogados_data.sql:36: 'VIRTUAL', 'PRESENCIAL' | db/init/old/04_abogados_calendario_schema.sql:25: 'VIRTUAL', 'PRESENCIAL'</t>
        </is>
      </c>
      <c r="Q789" s="18" t="inlineStr">
        <is>
          <t>Código fuente</t>
        </is>
      </c>
      <c r="R789" s="18" t="inlineStr">
        <is>
          <t>Modalidad de la audiencia. Valores: VIRTUAL, PRESENCIAL.</t>
        </is>
      </c>
      <c r="S789" s="18" t="inlineStr">
        <is>
          <t>Alta</t>
        </is>
      </c>
      <c r="T789" s="18" t="inlineStr">
        <is>
          <t>código: audiencia.entity.ts:34</t>
        </is>
      </c>
      <c r="U789" s="18" t="inlineStr"/>
      <c r="V789" s="19" t="inlineStr">
        <is>
          <t>Pendiente</t>
        </is>
      </c>
      <c r="W789" s="19" t="inlineStr"/>
      <c r="X789" s="19" t="inlineStr"/>
      <c r="Y789" s="20" t="n"/>
      <c r="Z789" s="19" t="inlineStr"/>
      <c r="AA789" s="18">
        <f>IF(OR(V789="Aprobada"),R789,IF(AND(OR(V789="Aprobada con ajuste",V789="Rechazada"),W789&lt;&gt;""),W789,""))</f>
        <v/>
      </c>
    </row>
    <row r="790">
      <c r="A790" s="18" t="inlineStr">
        <is>
          <t>C0789</t>
        </is>
      </c>
      <c r="B790" s="18" t="inlineStr">
        <is>
          <t>Gestión jurídica</t>
        </is>
      </c>
      <c r="C790" s="18" t="inlineStr">
        <is>
          <t>legal_management</t>
        </is>
      </c>
      <c r="D790" s="18" t="inlineStr">
        <is>
          <t>audiencias</t>
        </is>
      </c>
      <c r="E790" s="18" t="n">
        <v>18</v>
      </c>
      <c r="F790" s="18" t="inlineStr">
        <is>
          <t>ubicacion</t>
        </is>
      </c>
      <c r="G790" s="18" t="inlineStr">
        <is>
          <t>character varying(255)</t>
        </is>
      </c>
      <c r="H790" s="18" t="inlineStr">
        <is>
          <t>Sí</t>
        </is>
      </c>
      <c r="I790" s="18" t="inlineStr"/>
      <c r="J790" s="18" t="inlineStr"/>
      <c r="K790" s="18" t="inlineStr"/>
      <c r="L790" s="18" t="inlineStr">
        <is>
          <t>No</t>
        </is>
      </c>
      <c r="M790" s="18" t="inlineStr">
        <is>
          <t>No</t>
        </is>
      </c>
      <c r="N790" s="18" t="inlineStr"/>
      <c r="O790" s="18" t="inlineStr"/>
      <c r="P790" s="18" t="inlineStr">
        <is>
          <t>Mapeada en legal-management-service/src/entities/audiencia.entity.ts:37 (Audiencia.ubicacion)</t>
        </is>
      </c>
      <c r="Q790" s="18" t="inlineStr">
        <is>
          <t>Propuesta semántica</t>
        </is>
      </c>
      <c r="R790" s="18" t="inlineStr">
        <is>
          <t>Lugar de realización de la audiencia.</t>
        </is>
      </c>
      <c r="S790" s="18" t="inlineStr">
        <is>
          <t>Media</t>
        </is>
      </c>
      <c r="T790" s="18" t="inlineStr">
        <is>
          <t>nombre + tipo + columnas vecinas</t>
        </is>
      </c>
      <c r="U790" s="18" t="inlineStr">
        <is>
          <t>¿Se llena solo cuando la modalidad es PRESENCIAL?</t>
        </is>
      </c>
      <c r="V790" s="19" t="inlineStr">
        <is>
          <t>Pendiente</t>
        </is>
      </c>
      <c r="W790" s="19" t="inlineStr"/>
      <c r="X790" s="19" t="inlineStr"/>
      <c r="Y790" s="20" t="n"/>
      <c r="Z790" s="19" t="inlineStr"/>
      <c r="AA790" s="18">
        <f>IF(OR(V790="Aprobada"),R790,IF(AND(OR(V790="Aprobada con ajuste",V790="Rechazada"),W790&lt;&gt;""),W790,""))</f>
        <v/>
      </c>
    </row>
    <row r="791">
      <c r="A791" s="18" t="inlineStr">
        <is>
          <t>C0790</t>
        </is>
      </c>
      <c r="B791" s="18" t="inlineStr">
        <is>
          <t>Gestión jurídica</t>
        </is>
      </c>
      <c r="C791" s="18" t="inlineStr">
        <is>
          <t>legal_management</t>
        </is>
      </c>
      <c r="D791" s="18" t="inlineStr">
        <is>
          <t>audiencias</t>
        </is>
      </c>
      <c r="E791" s="18" t="n">
        <v>18</v>
      </c>
      <c r="F791" s="18" t="inlineStr">
        <is>
          <t>link_reunion</t>
        </is>
      </c>
      <c r="G791" s="18" t="inlineStr">
        <is>
          <t>text</t>
        </is>
      </c>
      <c r="H791" s="18" t="inlineStr">
        <is>
          <t>Sí</t>
        </is>
      </c>
      <c r="I791" s="18" t="inlineStr"/>
      <c r="J791" s="18" t="inlineStr"/>
      <c r="K791" s="18" t="inlineStr"/>
      <c r="L791" s="18" t="inlineStr">
        <is>
          <t>No</t>
        </is>
      </c>
      <c r="M791" s="18" t="inlineStr">
        <is>
          <t>No</t>
        </is>
      </c>
      <c r="N791" s="18" t="inlineStr"/>
      <c r="O791" s="18" t="inlineStr"/>
      <c r="P791" s="18" t="inlineStr">
        <is>
          <t>Mapeada en legal-management-service/src/entities/audiencia.entity.ts:40 (Audiencia.linkReunion)</t>
        </is>
      </c>
      <c r="Q791" s="18" t="inlineStr">
        <is>
          <t>Propuesta semántica</t>
        </is>
      </c>
      <c r="R791" s="18" t="inlineStr">
        <is>
          <t>Enlace de la reunión virtual de la audiencia.</t>
        </is>
      </c>
      <c r="S791" s="18" t="inlineStr">
        <is>
          <t>Alta</t>
        </is>
      </c>
      <c r="T791" s="18" t="inlineStr">
        <is>
          <t>nombre + tipo + columnas vecinas (modalidad)</t>
        </is>
      </c>
      <c r="U791" s="18" t="inlineStr"/>
      <c r="V791" s="19" t="inlineStr">
        <is>
          <t>Pendiente</t>
        </is>
      </c>
      <c r="W791" s="19" t="inlineStr"/>
      <c r="X791" s="19" t="inlineStr"/>
      <c r="Y791" s="20" t="n"/>
      <c r="Z791" s="19" t="inlineStr"/>
      <c r="AA791" s="18">
        <f>IF(OR(V791="Aprobada"),R791,IF(AND(OR(V791="Aprobada con ajuste",V791="Rechazada"),W791&lt;&gt;""),W791,""))</f>
        <v/>
      </c>
    </row>
    <row r="792">
      <c r="A792" s="18" t="inlineStr">
        <is>
          <t>C0791</t>
        </is>
      </c>
      <c r="B792" s="18" t="inlineStr">
        <is>
          <t>Gestión jurídica</t>
        </is>
      </c>
      <c r="C792" s="18" t="inlineStr">
        <is>
          <t>legal_management</t>
        </is>
      </c>
      <c r="D792" s="18" t="inlineStr">
        <is>
          <t>audiencias</t>
        </is>
      </c>
      <c r="E792" s="18" t="n">
        <v>18</v>
      </c>
      <c r="F792" s="18" t="inlineStr">
        <is>
          <t>estado</t>
        </is>
      </c>
      <c r="G792" s="18" t="inlineStr">
        <is>
          <t>character varying(50)</t>
        </is>
      </c>
      <c r="H792" s="18" t="inlineStr">
        <is>
          <t>Sí</t>
        </is>
      </c>
      <c r="I792" s="18" t="inlineStr"/>
      <c r="J792" s="18" t="inlineStr"/>
      <c r="K792" s="18" t="inlineStr"/>
      <c r="L792" s="18" t="inlineStr">
        <is>
          <t>No</t>
        </is>
      </c>
      <c r="M792" s="18" t="inlineStr">
        <is>
          <t>No</t>
        </is>
      </c>
      <c r="N792" s="18" t="inlineStr"/>
      <c r="O792" s="18" t="inlineStr"/>
      <c r="P792" s="18" t="inlineStr">
        <is>
          <t>legal-management-service/src/entities/audiencia.entity.ts:43: 'PROGRAMADA', 'REALIZADA', 'CANCELADA', 'APLAZADA' | db/migrations/old/034_complete_abogados_data.sql:39: 'PROGRAMADA', 'REALIZADA', 'CANCELADA', 'APLAZADA' | db/init/old/04_abogados_calendario_schema.sql:28: 'PROGRAMADA', 'REALIZADA', 'CANCELADA', 'APLAZADA'</t>
        </is>
      </c>
      <c r="Q792" s="18" t="inlineStr">
        <is>
          <t>Código fuente</t>
        </is>
      </c>
      <c r="R792" s="18" t="inlineStr">
        <is>
          <t>Estado de la audiencia. Valores: PROGRAMADA, REALIZADA, CANCELADA, APLAZADA. Por defecto, PROGRAMADA.</t>
        </is>
      </c>
      <c r="S792" s="18" t="inlineStr">
        <is>
          <t>Alta</t>
        </is>
      </c>
      <c r="T792" s="18" t="inlineStr">
        <is>
          <t>código: audiencia.entity.ts:43</t>
        </is>
      </c>
      <c r="U792" s="18" t="inlineStr"/>
      <c r="V792" s="19" t="inlineStr">
        <is>
          <t>Pendiente</t>
        </is>
      </c>
      <c r="W792" s="19" t="inlineStr"/>
      <c r="X792" s="19" t="inlineStr"/>
      <c r="Y792" s="20" t="n"/>
      <c r="Z792" s="19" t="inlineStr"/>
      <c r="AA792" s="18">
        <f>IF(OR(V792="Aprobada"),R792,IF(AND(OR(V792="Aprobada con ajuste",V792="Rechazada"),W792&lt;&gt;""),W792,""))</f>
        <v/>
      </c>
    </row>
    <row r="793">
      <c r="A793" s="18" t="inlineStr">
        <is>
          <t>C0792</t>
        </is>
      </c>
      <c r="B793" s="18" t="inlineStr">
        <is>
          <t>Gestión jurídica</t>
        </is>
      </c>
      <c r="C793" s="18" t="inlineStr">
        <is>
          <t>legal_management</t>
        </is>
      </c>
      <c r="D793" s="18" t="inlineStr">
        <is>
          <t>audiencias</t>
        </is>
      </c>
      <c r="E793" s="18" t="n">
        <v>18</v>
      </c>
      <c r="F793" s="18" t="inlineStr">
        <is>
          <t>notas_preparacion</t>
        </is>
      </c>
      <c r="G793" s="18" t="inlineStr">
        <is>
          <t>text</t>
        </is>
      </c>
      <c r="H793" s="18" t="inlineStr">
        <is>
          <t>Sí</t>
        </is>
      </c>
      <c r="I793" s="18" t="inlineStr"/>
      <c r="J793" s="18" t="inlineStr"/>
      <c r="K793" s="18" t="inlineStr"/>
      <c r="L793" s="18" t="inlineStr">
        <is>
          <t>No</t>
        </is>
      </c>
      <c r="M793" s="18" t="inlineStr">
        <is>
          <t>No</t>
        </is>
      </c>
      <c r="N793" s="18" t="inlineStr"/>
      <c r="O793" s="18" t="inlineStr"/>
      <c r="P793" s="18" t="inlineStr">
        <is>
          <t>Mapeada en legal-management-service/src/entities/audiencia.entity.ts:46 (Audiencia.notasPreparacion)</t>
        </is>
      </c>
      <c r="Q793" s="18" t="inlineStr">
        <is>
          <t>Propuesta semántica</t>
        </is>
      </c>
      <c r="R793" s="18" t="inlineStr">
        <is>
          <t>Notas de preparación de la audiencia.</t>
        </is>
      </c>
      <c r="S793" s="18" t="inlineStr">
        <is>
          <t>Media</t>
        </is>
      </c>
      <c r="T793" s="18" t="inlineStr">
        <is>
          <t>nombre + tipo + columnas vecinas</t>
        </is>
      </c>
      <c r="U793" s="18" t="inlineStr">
        <is>
          <t>¿Quién registra las notas de preparación (el abogado asignado)?</t>
        </is>
      </c>
      <c r="V793" s="19" t="inlineStr">
        <is>
          <t>Pendiente</t>
        </is>
      </c>
      <c r="W793" s="19" t="inlineStr"/>
      <c r="X793" s="19" t="inlineStr"/>
      <c r="Y793" s="20" t="n"/>
      <c r="Z793" s="19" t="inlineStr"/>
      <c r="AA793" s="18">
        <f>IF(OR(V793="Aprobada"),R793,IF(AND(OR(V793="Aprobada con ajuste",V793="Rechazada"),W793&lt;&gt;""),W793,""))</f>
        <v/>
      </c>
    </row>
    <row r="794">
      <c r="A794" s="18" t="inlineStr">
        <is>
          <t>C0793</t>
        </is>
      </c>
      <c r="B794" s="18" t="inlineStr">
        <is>
          <t>Gestión jurídica</t>
        </is>
      </c>
      <c r="C794" s="18" t="inlineStr">
        <is>
          <t>legal_management</t>
        </is>
      </c>
      <c r="D794" s="18" t="inlineStr">
        <is>
          <t>audiencias</t>
        </is>
      </c>
      <c r="E794" s="18" t="n">
        <v>18</v>
      </c>
      <c r="F794" s="18" t="inlineStr">
        <is>
          <t>historial</t>
        </is>
      </c>
      <c r="G794" s="18" t="inlineStr">
        <is>
          <t>jsonb</t>
        </is>
      </c>
      <c r="H794" s="18" t="inlineStr">
        <is>
          <t>Sí</t>
        </is>
      </c>
      <c r="I794" s="18" t="inlineStr"/>
      <c r="J794" s="18" t="inlineStr"/>
      <c r="K794" s="18" t="inlineStr"/>
      <c r="L794" s="18" t="inlineStr">
        <is>
          <t>No</t>
        </is>
      </c>
      <c r="M794" s="18" t="inlineStr">
        <is>
          <t>No</t>
        </is>
      </c>
      <c r="N794" s="18" t="inlineStr"/>
      <c r="O794" s="18" t="inlineStr"/>
      <c r="P794" s="18" t="inlineStr">
        <is>
          <t>Mapeada en legal-management-service/src/entities/audiencia.entity.ts:49 (Audiencia.historial)</t>
        </is>
      </c>
      <c r="Q794" s="18" t="inlineStr">
        <is>
          <t>Propuesta semántica</t>
        </is>
      </c>
      <c r="R794" s="18" t="inlineStr">
        <is>
          <t>Historial de cambios de la audiencia, en formato JSON. Valor por defecto: arreglo vacío.</t>
        </is>
      </c>
      <c r="S794" s="18" t="inlineStr">
        <is>
          <t>Media</t>
        </is>
      </c>
      <c r="T794" s="18" t="inlineStr">
        <is>
          <t>nombre + tipo + columnas vecinas + defecto</t>
        </is>
      </c>
      <c r="U794" s="18" t="inlineStr">
        <is>
          <t>¿Qué estructura tiene cada elemento del historial?</t>
        </is>
      </c>
      <c r="V794" s="19" t="inlineStr">
        <is>
          <t>Pendiente</t>
        </is>
      </c>
      <c r="W794" s="19" t="inlineStr"/>
      <c r="X794" s="19" t="inlineStr"/>
      <c r="Y794" s="20" t="n"/>
      <c r="Z794" s="19" t="inlineStr"/>
      <c r="AA794" s="18">
        <f>IF(OR(V794="Aprobada"),R794,IF(AND(OR(V794="Aprobada con ajuste",V794="Rechazada"),W794&lt;&gt;""),W794,""))</f>
        <v/>
      </c>
    </row>
    <row r="795">
      <c r="A795" s="18" t="inlineStr">
        <is>
          <t>C0794</t>
        </is>
      </c>
      <c r="B795" s="18" t="inlineStr">
        <is>
          <t>Gestión jurídica</t>
        </is>
      </c>
      <c r="C795" s="18" t="inlineStr">
        <is>
          <t>legal_management</t>
        </is>
      </c>
      <c r="D795" s="18" t="inlineStr">
        <is>
          <t>audiencias</t>
        </is>
      </c>
      <c r="E795" s="18" t="n">
        <v>18</v>
      </c>
      <c r="F795" s="18" t="inlineStr">
        <is>
          <t>abogado_nombre</t>
        </is>
      </c>
      <c r="G795" s="18" t="inlineStr">
        <is>
          <t>character varying(255)</t>
        </is>
      </c>
      <c r="H795" s="18" t="inlineStr">
        <is>
          <t>Sí</t>
        </is>
      </c>
      <c r="I795" s="18" t="inlineStr"/>
      <c r="J795" s="18" t="inlineStr"/>
      <c r="K795" s="18" t="inlineStr"/>
      <c r="L795" s="18" t="inlineStr">
        <is>
          <t>No</t>
        </is>
      </c>
      <c r="M795" s="18" t="inlineStr">
        <is>
          <t>No</t>
        </is>
      </c>
      <c r="N795" s="18" t="inlineStr"/>
      <c r="O795" s="18" t="inlineStr"/>
      <c r="P795" s="18" t="inlineStr">
        <is>
          <t>Mapeada en legal-management-service/src/entities/audiencia.entity.ts:19 (Audiencia.abogadoNombre)</t>
        </is>
      </c>
      <c r="Q795" s="18" t="inlineStr">
        <is>
          <t>Propuesta semántica</t>
        </is>
      </c>
      <c r="R795" s="18" t="inlineStr">
        <is>
          <t>Nombre del abogado responsable de la audiencia.</t>
        </is>
      </c>
      <c r="S795" s="18" t="inlineStr">
        <is>
          <t>Alta</t>
        </is>
      </c>
      <c r="T795" s="18" t="inlineStr">
        <is>
          <t>nombre + tipo + columnas vecinas</t>
        </is>
      </c>
      <c r="U795" s="18" t="inlineStr"/>
      <c r="V795" s="19" t="inlineStr">
        <is>
          <t>Pendiente</t>
        </is>
      </c>
      <c r="W795" s="19" t="inlineStr"/>
      <c r="X795" s="19" t="inlineStr"/>
      <c r="Y795" s="20" t="n"/>
      <c r="Z795" s="19" t="inlineStr"/>
      <c r="AA795" s="18">
        <f>IF(OR(V795="Aprobada"),R795,IF(AND(OR(V795="Aprobada con ajuste",V795="Rechazada"),W795&lt;&gt;""),W795,""))</f>
        <v/>
      </c>
    </row>
    <row r="796">
      <c r="A796" s="18" t="inlineStr">
        <is>
          <t>C0795</t>
        </is>
      </c>
      <c r="B796" s="18" t="inlineStr">
        <is>
          <t>Gestión jurídica</t>
        </is>
      </c>
      <c r="C796" s="18" t="inlineStr">
        <is>
          <t>legal_management</t>
        </is>
      </c>
      <c r="D796" s="18" t="inlineStr">
        <is>
          <t>audiencias</t>
        </is>
      </c>
      <c r="E796" s="18" t="n">
        <v>18</v>
      </c>
      <c r="F796" s="18" t="inlineStr">
        <is>
          <t>abogado_email</t>
        </is>
      </c>
      <c r="G796" s="18" t="inlineStr">
        <is>
          <t>character varying(255)</t>
        </is>
      </c>
      <c r="H796" s="18" t="inlineStr">
        <is>
          <t>Sí</t>
        </is>
      </c>
      <c r="I796" s="18" t="inlineStr"/>
      <c r="J796" s="18" t="inlineStr"/>
      <c r="K796" s="18" t="inlineStr"/>
      <c r="L796" s="18" t="inlineStr">
        <is>
          <t>No</t>
        </is>
      </c>
      <c r="M796" s="18" t="inlineStr">
        <is>
          <t>No</t>
        </is>
      </c>
      <c r="N796" s="18" t="inlineStr"/>
      <c r="O796" s="18" t="inlineStr"/>
      <c r="P796" s="18" t="inlineStr">
        <is>
          <t>Mapeada en legal-management-service/src/entities/audiencia.entity.ts:22 (Audiencia.abogadoEmail)</t>
        </is>
      </c>
      <c r="Q796" s="18" t="inlineStr">
        <is>
          <t>Propuesta semántica</t>
        </is>
      </c>
      <c r="R796" s="18" t="inlineStr">
        <is>
          <t>Correo electrónico del abogado responsable de la audiencia.</t>
        </is>
      </c>
      <c r="S796" s="18" t="inlineStr">
        <is>
          <t>Alta</t>
        </is>
      </c>
      <c r="T796" s="18" t="inlineStr">
        <is>
          <t>nombre + tipo + columnas vecinas</t>
        </is>
      </c>
      <c r="U796" s="18" t="inlineStr"/>
      <c r="V796" s="19" t="inlineStr">
        <is>
          <t>Pendiente</t>
        </is>
      </c>
      <c r="W796" s="19" t="inlineStr"/>
      <c r="X796" s="19" t="inlineStr"/>
      <c r="Y796" s="20" t="n"/>
      <c r="Z796" s="19" t="inlineStr"/>
      <c r="AA796" s="18">
        <f>IF(OR(V796="Aprobada"),R796,IF(AND(OR(V796="Aprobada con ajuste",V796="Rechazada"),W796&lt;&gt;""),W796,""))</f>
        <v/>
      </c>
    </row>
    <row r="797">
      <c r="A797" s="18" t="inlineStr">
        <is>
          <t>C0796</t>
        </is>
      </c>
      <c r="B797" s="18" t="inlineStr">
        <is>
          <t>Gestión jurídica</t>
        </is>
      </c>
      <c r="C797" s="18" t="inlineStr">
        <is>
          <t>legal_management</t>
        </is>
      </c>
      <c r="D797" s="18" t="inlineStr">
        <is>
          <t>autos</t>
        </is>
      </c>
      <c r="E797" s="18" t="n">
        <v>4</v>
      </c>
      <c r="F797" s="18" t="inlineStr">
        <is>
          <t>numero</t>
        </is>
      </c>
      <c r="G797" s="18" t="inlineStr">
        <is>
          <t>character varying</t>
        </is>
      </c>
      <c r="H797" s="18" t="inlineStr">
        <is>
          <t>No</t>
        </is>
      </c>
      <c r="I797" s="18" t="inlineStr"/>
      <c r="J797" s="18" t="inlineStr"/>
      <c r="K797" s="18" t="inlineStr"/>
      <c r="L797" s="18" t="inlineStr">
        <is>
          <t>No</t>
        </is>
      </c>
      <c r="M797" s="18" t="inlineStr">
        <is>
          <t>No</t>
        </is>
      </c>
      <c r="N797" s="18" t="inlineStr"/>
      <c r="O797" s="18" t="inlineStr"/>
      <c r="P797" s="18" t="inlineStr">
        <is>
          <t>db/migrations/old/046_create_autos_juzgamiento.sql:7: e.g. AUTO-001-2024</t>
        </is>
      </c>
      <c r="Q797" s="18" t="inlineStr">
        <is>
          <t>Código fuente</t>
        </is>
      </c>
      <c r="R797" s="18" t="inlineStr">
        <is>
          <t>Número del auto (por ejemplo, AUTO-001-2024).</t>
        </is>
      </c>
      <c r="S797" s="18" t="inlineStr">
        <is>
          <t>Alta</t>
        </is>
      </c>
      <c r="T797" s="18" t="inlineStr">
        <is>
          <t>código: db/migrations/old/046_create_autos_juzgamiento.sql:7</t>
        </is>
      </c>
      <c r="U797" s="18" t="inlineStr"/>
      <c r="V797" s="19" t="inlineStr">
        <is>
          <t>Pendiente</t>
        </is>
      </c>
      <c r="W797" s="19" t="inlineStr"/>
      <c r="X797" s="19" t="inlineStr"/>
      <c r="Y797" s="20" t="n"/>
      <c r="Z797" s="19" t="inlineStr"/>
      <c r="AA797" s="18">
        <f>IF(OR(V797="Aprobada"),R797,IF(AND(OR(V797="Aprobada con ajuste",V797="Rechazada"),W797&lt;&gt;""),W797,""))</f>
        <v/>
      </c>
    </row>
    <row r="798">
      <c r="A798" s="18" t="inlineStr">
        <is>
          <t>C0797</t>
        </is>
      </c>
      <c r="B798" s="18" t="inlineStr">
        <is>
          <t>Gestión jurídica</t>
        </is>
      </c>
      <c r="C798" s="18" t="inlineStr">
        <is>
          <t>legal_management</t>
        </is>
      </c>
      <c r="D798" s="18" t="inlineStr">
        <is>
          <t>autos</t>
        </is>
      </c>
      <c r="E798" s="18" t="n">
        <v>4</v>
      </c>
      <c r="F798" s="18" t="inlineStr">
        <is>
          <t>tipo</t>
        </is>
      </c>
      <c r="G798" s="18" t="inlineStr">
        <is>
          <t>character varying</t>
        </is>
      </c>
      <c r="H798" s="18" t="inlineStr">
        <is>
          <t>No</t>
        </is>
      </c>
      <c r="I798" s="18" t="inlineStr"/>
      <c r="J798" s="18" t="inlineStr"/>
      <c r="K798" s="18" t="inlineStr"/>
      <c r="L798" s="18" t="inlineStr">
        <is>
          <t>No</t>
        </is>
      </c>
      <c r="M798" s="18" t="inlineStr">
        <is>
          <t>No</t>
        </is>
      </c>
      <c r="N798" s="18" t="inlineStr"/>
      <c r="O798" s="18" t="inlineStr"/>
      <c r="P798" s="18" t="inlineStr">
        <is>
          <t>db/migrations/old/046_create_autos_juzgamiento.sql:8: e.g. Auto Admisorio</t>
        </is>
      </c>
      <c r="Q798" s="18" t="inlineStr">
        <is>
          <t>Código fuente</t>
        </is>
      </c>
      <c r="R798" s="18" t="inlineStr">
        <is>
          <t>Tipo de auto (por ejemplo, Auto Admisorio).</t>
        </is>
      </c>
      <c r="S798" s="18" t="inlineStr">
        <is>
          <t>Media</t>
        </is>
      </c>
      <c r="T798" s="18" t="inlineStr">
        <is>
          <t>código: db/migrations/old/046_create_autos_juzgamiento.sql:8</t>
        </is>
      </c>
      <c r="U798" s="18" t="inlineStr">
        <is>
          <t>¿Hay un catálogo cerrado de tipos de auto?</t>
        </is>
      </c>
      <c r="V798" s="19" t="inlineStr">
        <is>
          <t>Pendiente</t>
        </is>
      </c>
      <c r="W798" s="19" t="inlineStr"/>
      <c r="X798" s="19" t="inlineStr"/>
      <c r="Y798" s="20" t="n"/>
      <c r="Z798" s="19" t="inlineStr"/>
      <c r="AA798" s="18">
        <f>IF(OR(V798="Aprobada"),R798,IF(AND(OR(V798="Aprobada con ajuste",V798="Rechazada"),W798&lt;&gt;""),W798,""))</f>
        <v/>
      </c>
    </row>
    <row r="799">
      <c r="A799" s="18" t="inlineStr">
        <is>
          <t>C0798</t>
        </is>
      </c>
      <c r="B799" s="18" t="inlineStr">
        <is>
          <t>Gestión jurídica</t>
        </is>
      </c>
      <c r="C799" s="18" t="inlineStr">
        <is>
          <t>legal_management</t>
        </is>
      </c>
      <c r="D799" s="18" t="inlineStr">
        <is>
          <t>autos</t>
        </is>
      </c>
      <c r="E799" s="18" t="n">
        <v>4</v>
      </c>
      <c r="F799" s="18" t="inlineStr">
        <is>
          <t>fecha_auto</t>
        </is>
      </c>
      <c r="G799" s="18" t="inlineStr">
        <is>
          <t>timestamp without time zone</t>
        </is>
      </c>
      <c r="H799" s="18" t="inlineStr">
        <is>
          <t>No</t>
        </is>
      </c>
      <c r="I799" s="18" t="inlineStr"/>
      <c r="J799" s="18" t="inlineStr"/>
      <c r="K799" s="18" t="inlineStr"/>
      <c r="L799" s="18" t="inlineStr">
        <is>
          <t>No</t>
        </is>
      </c>
      <c r="M799" s="18" t="inlineStr">
        <is>
          <t>No</t>
        </is>
      </c>
      <c r="N799" s="18" t="inlineStr"/>
      <c r="O799" s="18" t="inlineStr"/>
      <c r="P799" s="18" t="inlineStr">
        <is>
          <t>Mapeada en legal-management-service/src/entities/auto.entity.ts:22 (Auto.fechaAuto)</t>
        </is>
      </c>
      <c r="Q799" s="18" t="inlineStr">
        <is>
          <t>Regla estructural</t>
        </is>
      </c>
      <c r="R799" s="18" t="inlineStr">
        <is>
          <t>Fecha de auto.</t>
        </is>
      </c>
      <c r="S799" s="18" t="inlineStr">
        <is>
          <t>Media</t>
        </is>
      </c>
      <c r="T799" s="18" t="inlineStr">
        <is>
          <t>Convención de nombre de la columna.</t>
        </is>
      </c>
      <c r="U799" s="18" t="inlineStr"/>
      <c r="V799" s="19" t="inlineStr">
        <is>
          <t>Pendiente</t>
        </is>
      </c>
      <c r="W799" s="19" t="inlineStr"/>
      <c r="X799" s="19" t="inlineStr"/>
      <c r="Y799" s="20" t="n"/>
      <c r="Z799" s="19" t="inlineStr"/>
      <c r="AA799" s="18">
        <f>IF(OR(V799="Aprobada"),R799,IF(AND(OR(V799="Aprobada con ajuste",V799="Rechazada"),W799&lt;&gt;""),W799,""))</f>
        <v/>
      </c>
    </row>
    <row r="800">
      <c r="A800" s="18" t="inlineStr">
        <is>
          <t>C0799</t>
        </is>
      </c>
      <c r="B800" s="18" t="inlineStr">
        <is>
          <t>Gestión jurídica</t>
        </is>
      </c>
      <c r="C800" s="18" t="inlineStr">
        <is>
          <t>legal_management</t>
        </is>
      </c>
      <c r="D800" s="18" t="inlineStr">
        <is>
          <t>autos</t>
        </is>
      </c>
      <c r="E800" s="18" t="n">
        <v>4</v>
      </c>
      <c r="F800" s="18" t="inlineStr">
        <is>
          <t>juzgado</t>
        </is>
      </c>
      <c r="G800" s="18" t="inlineStr">
        <is>
          <t>character varying</t>
        </is>
      </c>
      <c r="H800" s="18" t="inlineStr">
        <is>
          <t>No</t>
        </is>
      </c>
      <c r="I800" s="18" t="inlineStr"/>
      <c r="J800" s="18" t="inlineStr"/>
      <c r="K800" s="18" t="inlineStr"/>
      <c r="L800" s="18" t="inlineStr">
        <is>
          <t>No</t>
        </is>
      </c>
      <c r="M800" s="18" t="inlineStr">
        <is>
          <t>No</t>
        </is>
      </c>
      <c r="N800" s="18" t="inlineStr"/>
      <c r="O800" s="18" t="inlineStr"/>
      <c r="P800" s="18" t="inlineStr">
        <is>
          <t>Mapeada en legal-management-service/src/entities/auto.entity.ts:25 (Auto.juzgado)</t>
        </is>
      </c>
      <c r="Q800" s="18" t="inlineStr">
        <is>
          <t>Propuesta semántica</t>
        </is>
      </c>
      <c r="R800" s="18" t="inlineStr">
        <is>
          <t>Juzgado que emite el auto. Valor por defecto: Juzgado Interno Disciplinario.</t>
        </is>
      </c>
      <c r="S800" s="18" t="inlineStr">
        <is>
          <t>Alta</t>
        </is>
      </c>
      <c r="T800" s="18" t="inlineStr">
        <is>
          <t>nombre + tipo + columnas vecinas + defecto</t>
        </is>
      </c>
      <c r="U800" s="18" t="inlineStr"/>
      <c r="V800" s="19" t="inlineStr">
        <is>
          <t>Pendiente</t>
        </is>
      </c>
      <c r="W800" s="19" t="inlineStr"/>
      <c r="X800" s="19" t="inlineStr"/>
      <c r="Y800" s="20" t="n"/>
      <c r="Z800" s="19" t="inlineStr"/>
      <c r="AA800" s="18">
        <f>IF(OR(V800="Aprobada"),R800,IF(AND(OR(V800="Aprobada con ajuste",V800="Rechazada"),W800&lt;&gt;""),W800,""))</f>
        <v/>
      </c>
    </row>
    <row r="801">
      <c r="A801" s="18" t="inlineStr">
        <is>
          <t>C0800</t>
        </is>
      </c>
      <c r="B801" s="18" t="inlineStr">
        <is>
          <t>Gestión jurídica</t>
        </is>
      </c>
      <c r="C801" s="18" t="inlineStr">
        <is>
          <t>legal_management</t>
        </is>
      </c>
      <c r="D801" s="18" t="inlineStr">
        <is>
          <t>autos</t>
        </is>
      </c>
      <c r="E801" s="18" t="n">
        <v>4</v>
      </c>
      <c r="F801" s="18" t="inlineStr">
        <is>
          <t>resumen</t>
        </is>
      </c>
      <c r="G801" s="18" t="inlineStr">
        <is>
          <t>text</t>
        </is>
      </c>
      <c r="H801" s="18" t="inlineStr">
        <is>
          <t>Sí</t>
        </is>
      </c>
      <c r="I801" s="18" t="inlineStr"/>
      <c r="J801" s="18" t="inlineStr"/>
      <c r="K801" s="18" t="inlineStr"/>
      <c r="L801" s="18" t="inlineStr">
        <is>
          <t>No</t>
        </is>
      </c>
      <c r="M801" s="18" t="inlineStr">
        <is>
          <t>No</t>
        </is>
      </c>
      <c r="N801" s="18" t="inlineStr"/>
      <c r="O801" s="18" t="inlineStr"/>
      <c r="P801" s="18" t="inlineStr">
        <is>
          <t>Mapeada en legal-management-service/src/entities/auto.entity.ts:28 (Auto.resumen)</t>
        </is>
      </c>
      <c r="Q801" s="18" t="inlineStr">
        <is>
          <t>Propuesta semántica</t>
        </is>
      </c>
      <c r="R801" s="18" t="inlineStr">
        <is>
          <t>Resumen del contenido del auto.</t>
        </is>
      </c>
      <c r="S801" s="18" t="inlineStr">
        <is>
          <t>Alta</t>
        </is>
      </c>
      <c r="T801" s="18" t="inlineStr">
        <is>
          <t>nombre + tipo + columnas vecinas</t>
        </is>
      </c>
      <c r="U801" s="18" t="inlineStr"/>
      <c r="V801" s="19" t="inlineStr">
        <is>
          <t>Pendiente</t>
        </is>
      </c>
      <c r="W801" s="19" t="inlineStr"/>
      <c r="X801" s="19" t="inlineStr"/>
      <c r="Y801" s="20" t="n"/>
      <c r="Z801" s="19" t="inlineStr"/>
      <c r="AA801" s="18">
        <f>IF(OR(V801="Aprobada"),R801,IF(AND(OR(V801="Aprobada con ajuste",V801="Rechazada"),W801&lt;&gt;""),W801,""))</f>
        <v/>
      </c>
    </row>
    <row r="802">
      <c r="A802" s="18" t="inlineStr">
        <is>
          <t>C0801</t>
        </is>
      </c>
      <c r="B802" s="18" t="inlineStr">
        <is>
          <t>Gestión jurídica</t>
        </is>
      </c>
      <c r="C802" s="18" t="inlineStr">
        <is>
          <t>legal_management</t>
        </is>
      </c>
      <c r="D802" s="18" t="inlineStr">
        <is>
          <t>autos</t>
        </is>
      </c>
      <c r="E802" s="18" t="n">
        <v>4</v>
      </c>
      <c r="F802" s="18" t="inlineStr">
        <is>
          <t>estado</t>
        </is>
      </c>
      <c r="G802" s="18" t="inlineStr">
        <is>
          <t>character varying</t>
        </is>
      </c>
      <c r="H802" s="18" t="inlineStr">
        <is>
          <t>No</t>
        </is>
      </c>
      <c r="I802" s="18" t="inlineStr"/>
      <c r="J802" s="18" t="inlineStr"/>
      <c r="K802" s="18" t="inlineStr"/>
      <c r="L802" s="18" t="inlineStr">
        <is>
          <t>No</t>
        </is>
      </c>
      <c r="M802" s="18" t="inlineStr">
        <is>
          <t>No</t>
        </is>
      </c>
      <c r="N802" s="18" t="inlineStr"/>
      <c r="O802" s="18" t="inlineStr"/>
      <c r="P802" s="18" t="inlineStr">
        <is>
          <t>legal-management-service/src/entities/auto.entity.ts:31: Pendiente, Notificado, Archivado | db/migrations/old/046_create_autos_juzgamiento.sql:12: Pendiente, Notificado, Archivado</t>
        </is>
      </c>
      <c r="Q802" s="18" t="inlineStr">
        <is>
          <t>Código fuente</t>
        </is>
      </c>
      <c r="R802" s="18" t="inlineStr">
        <is>
          <t>Estado del auto. Valores: Pendiente, Notificado, Archivado. Por defecto, Pendiente.</t>
        </is>
      </c>
      <c r="S802" s="18" t="inlineStr">
        <is>
          <t>Alta</t>
        </is>
      </c>
      <c r="T802" s="18" t="inlineStr">
        <is>
          <t>código: auto.entity.ts:31</t>
        </is>
      </c>
      <c r="U802" s="18" t="inlineStr"/>
      <c r="V802" s="19" t="inlineStr">
        <is>
          <t>Pendiente</t>
        </is>
      </c>
      <c r="W802" s="19" t="inlineStr"/>
      <c r="X802" s="19" t="inlineStr"/>
      <c r="Y802" s="20" t="n"/>
      <c r="Z802" s="19" t="inlineStr"/>
      <c r="AA802" s="18">
        <f>IF(OR(V802="Aprobada"),R802,IF(AND(OR(V802="Aprobada con ajuste",V802="Rechazada"),W802&lt;&gt;""),W802,""))</f>
        <v/>
      </c>
    </row>
    <row r="803">
      <c r="A803" s="18" t="inlineStr">
        <is>
          <t>C0802</t>
        </is>
      </c>
      <c r="B803" s="18" t="inlineStr">
        <is>
          <t>Gestión jurídica</t>
        </is>
      </c>
      <c r="C803" s="18" t="inlineStr">
        <is>
          <t>legal_management</t>
        </is>
      </c>
      <c r="D803" s="18" t="inlineStr">
        <is>
          <t>autos</t>
        </is>
      </c>
      <c r="E803" s="18" t="n">
        <v>4</v>
      </c>
      <c r="F803" s="18" t="inlineStr">
        <is>
          <t>fecha_notificacion</t>
        </is>
      </c>
      <c r="G803" s="18" t="inlineStr">
        <is>
          <t>timestamp without time zone</t>
        </is>
      </c>
      <c r="H803" s="18" t="inlineStr">
        <is>
          <t>Sí</t>
        </is>
      </c>
      <c r="I803" s="18" t="inlineStr"/>
      <c r="J803" s="18" t="inlineStr"/>
      <c r="K803" s="18" t="inlineStr"/>
      <c r="L803" s="18" t="inlineStr">
        <is>
          <t>No</t>
        </is>
      </c>
      <c r="M803" s="18" t="inlineStr">
        <is>
          <t>No</t>
        </is>
      </c>
      <c r="N803" s="18" t="inlineStr"/>
      <c r="O803" s="18" t="inlineStr"/>
      <c r="P803" s="18" t="inlineStr">
        <is>
          <t>Mapeada en legal-management-service/src/entities/auto.entity.ts:34 (Auto.fechaNotificacion) | Validación: IsDateString</t>
        </is>
      </c>
      <c r="Q803" s="18" t="inlineStr">
        <is>
          <t>Regla estructural</t>
        </is>
      </c>
      <c r="R803" s="18" t="inlineStr">
        <is>
          <t>Fecha de notificación.</t>
        </is>
      </c>
      <c r="S803" s="18" t="inlineStr">
        <is>
          <t>Media</t>
        </is>
      </c>
      <c r="T803" s="18" t="inlineStr">
        <is>
          <t>Convención de nombre de la columna.</t>
        </is>
      </c>
      <c r="U803" s="18" t="inlineStr"/>
      <c r="V803" s="19" t="inlineStr">
        <is>
          <t>Pendiente</t>
        </is>
      </c>
      <c r="W803" s="19" t="inlineStr"/>
      <c r="X803" s="19" t="inlineStr"/>
      <c r="Y803" s="20" t="n"/>
      <c r="Z803" s="19" t="inlineStr"/>
      <c r="AA803" s="18">
        <f>IF(OR(V803="Aprobada"),R803,IF(AND(OR(V803="Aprobada con ajuste",V803="Rechazada"),W803&lt;&gt;""),W803,""))</f>
        <v/>
      </c>
    </row>
    <row r="804">
      <c r="A804" s="18" t="inlineStr">
        <is>
          <t>C0803</t>
        </is>
      </c>
      <c r="B804" s="18" t="inlineStr">
        <is>
          <t>Gestión jurídica</t>
        </is>
      </c>
      <c r="C804" s="18" t="inlineStr">
        <is>
          <t>legal_management</t>
        </is>
      </c>
      <c r="D804" s="18" t="inlineStr">
        <is>
          <t>autos</t>
        </is>
      </c>
      <c r="E804" s="18" t="n">
        <v>4</v>
      </c>
      <c r="F804" s="18" t="inlineStr">
        <is>
          <t>archivo_url</t>
        </is>
      </c>
      <c r="G804" s="18" t="inlineStr">
        <is>
          <t>character varying</t>
        </is>
      </c>
      <c r="H804" s="18" t="inlineStr">
        <is>
          <t>No</t>
        </is>
      </c>
      <c r="I804" s="18" t="inlineStr"/>
      <c r="J804" s="18" t="inlineStr"/>
      <c r="K804" s="18" t="inlineStr"/>
      <c r="L804" s="18" t="inlineStr">
        <is>
          <t>No</t>
        </is>
      </c>
      <c r="M804" s="18" t="inlineStr">
        <is>
          <t>No</t>
        </is>
      </c>
      <c r="N804" s="18" t="inlineStr"/>
      <c r="O804" s="18" t="inlineStr"/>
      <c r="P804" s="18" t="inlineStr">
        <is>
          <t>db/migrations/old/046_create_autos_juzgamiento.sql:14: Essential: the auto IS the file</t>
        </is>
      </c>
      <c r="Q804" s="18" t="inlineStr">
        <is>
          <t>Código fuente</t>
        </is>
      </c>
      <c r="R804" s="18" t="inlineStr">
        <is>
          <t>URL del archivo del auto. Obligatoria.</t>
        </is>
      </c>
      <c r="S804" s="18" t="inlineStr">
        <is>
          <t>Alta</t>
        </is>
      </c>
      <c r="T804" s="18" t="inlineStr">
        <is>
          <t>código: db/migrations/old/046_create_autos_juzgamiento.sql:14</t>
        </is>
      </c>
      <c r="U804" s="18" t="inlineStr"/>
      <c r="V804" s="19" t="inlineStr">
        <is>
          <t>Pendiente</t>
        </is>
      </c>
      <c r="W804" s="19" t="inlineStr"/>
      <c r="X804" s="19" t="inlineStr"/>
      <c r="Y804" s="20" t="n"/>
      <c r="Z804" s="19" t="inlineStr"/>
      <c r="AA804" s="18">
        <f>IF(OR(V804="Aprobada"),R804,IF(AND(OR(V804="Aprobada con ajuste",V804="Rechazada"),W804&lt;&gt;""),W804,""))</f>
        <v/>
      </c>
    </row>
    <row r="805">
      <c r="A805" s="18" t="inlineStr">
        <is>
          <t>C0804</t>
        </is>
      </c>
      <c r="B805" s="18" t="inlineStr">
        <is>
          <t>Gestión jurídica</t>
        </is>
      </c>
      <c r="C805" s="18" t="inlineStr">
        <is>
          <t>legal_management</t>
        </is>
      </c>
      <c r="D805" s="18" t="inlineStr">
        <is>
          <t>autos</t>
        </is>
      </c>
      <c r="E805" s="18" t="n">
        <v>4</v>
      </c>
      <c r="F805" s="18" t="inlineStr">
        <is>
          <t>archivo_nombre</t>
        </is>
      </c>
      <c r="G805" s="18" t="inlineStr">
        <is>
          <t>character varying</t>
        </is>
      </c>
      <c r="H805" s="18" t="inlineStr">
        <is>
          <t>No</t>
        </is>
      </c>
      <c r="I805" s="18" t="inlineStr"/>
      <c r="J805" s="18" t="inlineStr"/>
      <c r="K805" s="18" t="inlineStr"/>
      <c r="L805" s="18" t="inlineStr">
        <is>
          <t>No</t>
        </is>
      </c>
      <c r="M805" s="18" t="inlineStr">
        <is>
          <t>No</t>
        </is>
      </c>
      <c r="N805" s="18" t="inlineStr"/>
      <c r="O805" s="18" t="inlineStr"/>
      <c r="P805" s="18" t="inlineStr">
        <is>
          <t>Mapeada en legal-management-service/src/entities/auto.entity.ts:40 (Auto.archivoNombre)</t>
        </is>
      </c>
      <c r="Q805" s="18" t="inlineStr">
        <is>
          <t>Propuesta semántica</t>
        </is>
      </c>
      <c r="R805" s="18" t="inlineStr">
        <is>
          <t>Nombre del archivo del auto.</t>
        </is>
      </c>
      <c r="S805" s="18" t="inlineStr">
        <is>
          <t>Alta</t>
        </is>
      </c>
      <c r="T805" s="18" t="inlineStr">
        <is>
          <t>nombre + tipo + columnas vecinas (archivo_url)</t>
        </is>
      </c>
      <c r="U805" s="18" t="inlineStr"/>
      <c r="V805" s="19" t="inlineStr">
        <is>
          <t>Pendiente</t>
        </is>
      </c>
      <c r="W805" s="19" t="inlineStr"/>
      <c r="X805" s="19" t="inlineStr"/>
      <c r="Y805" s="20" t="n"/>
      <c r="Z805" s="19" t="inlineStr"/>
      <c r="AA805" s="18">
        <f>IF(OR(V805="Aprobada"),R805,IF(AND(OR(V805="Aprobada con ajuste",V805="Rechazada"),W805&lt;&gt;""),W805,""))</f>
        <v/>
      </c>
    </row>
    <row r="806">
      <c r="A806" s="18" t="inlineStr">
        <is>
          <t>C0805</t>
        </is>
      </c>
      <c r="B806" s="18" t="inlineStr">
        <is>
          <t>Gestión jurídica</t>
        </is>
      </c>
      <c r="C806" s="18" t="inlineStr">
        <is>
          <t>legal_management</t>
        </is>
      </c>
      <c r="D806" s="18" t="inlineStr">
        <is>
          <t>borradores_correos</t>
        </is>
      </c>
      <c r="E806" s="18" t="n">
        <v>2</v>
      </c>
      <c r="F806" s="18" t="inlineStr">
        <is>
          <t>usuario_id</t>
        </is>
      </c>
      <c r="G806" s="18" t="inlineStr">
        <is>
          <t>character varying(100)</t>
        </is>
      </c>
      <c r="H806" s="18" t="inlineStr">
        <is>
          <t>No</t>
        </is>
      </c>
      <c r="I806" s="18" t="inlineStr"/>
      <c r="J806" s="18" t="inlineStr"/>
      <c r="K806" s="18" t="inlineStr"/>
      <c r="L806" s="18" t="inlineStr">
        <is>
          <t>No</t>
        </is>
      </c>
      <c r="M806" s="18" t="inlineStr">
        <is>
          <t>No</t>
        </is>
      </c>
      <c r="N806" s="18" t="inlineStr"/>
      <c r="O806" s="18" t="inlineStr">
        <is>
          <t>idx_borradores_correos_usuario</t>
        </is>
      </c>
      <c r="P806" s="18" t="inlineStr">
        <is>
          <t>legal-management-service/src/entities/borrador-correo.entity.ts:27: Propietario del borrador (privado por usuario). | db/migrations/382_create_borradores_correos.sql:19: Propietario del borrador. Los borradores son PRIVADOS: cada usuario solo ve los suyos. Se guarda el id (y el nombre para trazabilidad/UI). | Validación: IsOptional, IsString</t>
        </is>
      </c>
      <c r="Q806" s="18" t="inlineStr">
        <is>
          <t>Código fuente</t>
        </is>
      </c>
      <c r="R806" s="18" t="inlineStr">
        <is>
          <t>Identificador del usuario propietario del borrador; cada usuario solo ve sus propios borradores.</t>
        </is>
      </c>
      <c r="S806" s="18" t="inlineStr">
        <is>
          <t>Alta</t>
        </is>
      </c>
      <c r="T806" s="18" t="inlineStr">
        <is>
          <t>código: db/migrations/382_create_borradores_correos.sql:19</t>
        </is>
      </c>
      <c r="U806" s="18" t="inlineStr"/>
      <c r="V806" s="19" t="inlineStr">
        <is>
          <t>Pendiente</t>
        </is>
      </c>
      <c r="W806" s="19" t="inlineStr"/>
      <c r="X806" s="19" t="inlineStr"/>
      <c r="Y806" s="20" t="n"/>
      <c r="Z806" s="19" t="inlineStr"/>
      <c r="AA806" s="18">
        <f>IF(OR(V806="Aprobada"),R806,IF(AND(OR(V806="Aprobada con ajuste",V806="Rechazada"),W806&lt;&gt;""),W806,""))</f>
        <v/>
      </c>
    </row>
    <row r="807">
      <c r="A807" s="18" t="inlineStr">
        <is>
          <t>C0806</t>
        </is>
      </c>
      <c r="B807" s="18" t="inlineStr">
        <is>
          <t>Gestión jurídica</t>
        </is>
      </c>
      <c r="C807" s="18" t="inlineStr">
        <is>
          <t>legal_management</t>
        </is>
      </c>
      <c r="D807" s="18" t="inlineStr">
        <is>
          <t>borradores_correos</t>
        </is>
      </c>
      <c r="E807" s="18" t="n">
        <v>2</v>
      </c>
      <c r="F807" s="18" t="inlineStr">
        <is>
          <t>usuario_nombre</t>
        </is>
      </c>
      <c r="G807" s="18" t="inlineStr">
        <is>
          <t>character varying(255)</t>
        </is>
      </c>
      <c r="H807" s="18" t="inlineStr">
        <is>
          <t>Sí</t>
        </is>
      </c>
      <c r="I807" s="18" t="inlineStr"/>
      <c r="J807" s="18" t="inlineStr"/>
      <c r="K807" s="18" t="inlineStr"/>
      <c r="L807" s="18" t="inlineStr">
        <is>
          <t>No</t>
        </is>
      </c>
      <c r="M807" s="18" t="inlineStr">
        <is>
          <t>No</t>
        </is>
      </c>
      <c r="N807" s="18" t="inlineStr"/>
      <c r="O807" s="18" t="inlineStr"/>
      <c r="P807" s="18" t="inlineStr">
        <is>
          <t>Mapeada en legal-management-service/src/entities/borrador-correo.entity.ts:30 (BorradorCorreo.usuarioNombre) | Validación: IsNotEmpty, IsString</t>
        </is>
      </c>
      <c r="Q807" s="18" t="inlineStr">
        <is>
          <t>Propuesta semántica</t>
        </is>
      </c>
      <c r="R807" s="18" t="inlineStr">
        <is>
          <t>Nombre del usuario dueño del borrador.</t>
        </is>
      </c>
      <c r="S807" s="18" t="inlineStr">
        <is>
          <t>Alta</t>
        </is>
      </c>
      <c r="T807" s="18" t="inlineStr">
        <is>
          <t>nombre + tipo + columnas vecinas + documentación de la entidad</t>
        </is>
      </c>
      <c r="U807" s="18" t="inlineStr"/>
      <c r="V807" s="19" t="inlineStr">
        <is>
          <t>Pendiente</t>
        </is>
      </c>
      <c r="W807" s="19" t="inlineStr"/>
      <c r="X807" s="19" t="inlineStr"/>
      <c r="Y807" s="20" t="n"/>
      <c r="Z807" s="19" t="inlineStr"/>
      <c r="AA807" s="18">
        <f>IF(OR(V807="Aprobada"),R807,IF(AND(OR(V807="Aprobada con ajuste",V807="Rechazada"),W807&lt;&gt;""),W807,""))</f>
        <v/>
      </c>
    </row>
    <row r="808">
      <c r="A808" s="18" t="inlineStr">
        <is>
          <t>C0807</t>
        </is>
      </c>
      <c r="B808" s="18" t="inlineStr">
        <is>
          <t>Gestión jurídica</t>
        </is>
      </c>
      <c r="C808" s="18" t="inlineStr">
        <is>
          <t>legal_management</t>
        </is>
      </c>
      <c r="D808" s="18" t="inlineStr">
        <is>
          <t>borradores_correos</t>
        </is>
      </c>
      <c r="E808" s="18" t="n">
        <v>2</v>
      </c>
      <c r="F808" s="18" t="inlineStr">
        <is>
          <t>destinatarios_to</t>
        </is>
      </c>
      <c r="G808" s="18" t="inlineStr">
        <is>
          <t>text</t>
        </is>
      </c>
      <c r="H808" s="18" t="inlineStr">
        <is>
          <t>Sí</t>
        </is>
      </c>
      <c r="I808" s="18" t="inlineStr"/>
      <c r="J808" s="18" t="inlineStr"/>
      <c r="K808" s="18" t="inlineStr"/>
      <c r="L808" s="18" t="inlineStr">
        <is>
          <t>No</t>
        </is>
      </c>
      <c r="M808" s="18" t="inlineStr">
        <is>
          <t>No</t>
        </is>
      </c>
      <c r="N808" s="18" t="inlineStr"/>
      <c r="O808" s="18" t="inlineStr"/>
      <c r="P808" s="18" t="inlineStr">
        <is>
          <t>legal-management-service/src/entities/borrador-correo.entity.ts:38: Destinatarios como arreglo JSON de correos (texto). "Para" | db/migrations/382_create_borradores_correos.sql:28: Destinatarios como arreglo JSON de correos (texto). Coherente con correos_juridicos.destinatarios / destinatarios_cco. "Para"</t>
        </is>
      </c>
      <c r="Q808" s="18" t="inlineStr">
        <is>
          <t>Código fuente</t>
        </is>
      </c>
      <c r="R808" s="18" t="inlineStr">
        <is>
          <t>Destinatarios principales («Para») del borrador, como arreglo JSON de correos en texto.</t>
        </is>
      </c>
      <c r="S808" s="18" t="inlineStr">
        <is>
          <t>Alta</t>
        </is>
      </c>
      <c r="T808" s="18" t="inlineStr">
        <is>
          <t>código: borrador-correo.entity.ts:38</t>
        </is>
      </c>
      <c r="U808" s="18" t="inlineStr"/>
      <c r="V808" s="19" t="inlineStr">
        <is>
          <t>Pendiente</t>
        </is>
      </c>
      <c r="W808" s="19" t="inlineStr"/>
      <c r="X808" s="19" t="inlineStr"/>
      <c r="Y808" s="20" t="n"/>
      <c r="Z808" s="19" t="inlineStr"/>
      <c r="AA808" s="18">
        <f>IF(OR(V808="Aprobada"),R808,IF(AND(OR(V808="Aprobada con ajuste",V808="Rechazada"),W808&lt;&gt;""),W808,""))</f>
        <v/>
      </c>
    </row>
    <row r="809">
      <c r="A809" s="18" t="inlineStr">
        <is>
          <t>C0808</t>
        </is>
      </c>
      <c r="B809" s="18" t="inlineStr">
        <is>
          <t>Gestión jurídica</t>
        </is>
      </c>
      <c r="C809" s="18" t="inlineStr">
        <is>
          <t>legal_management</t>
        </is>
      </c>
      <c r="D809" s="18" t="inlineStr">
        <is>
          <t>borradores_correos</t>
        </is>
      </c>
      <c r="E809" s="18" t="n">
        <v>2</v>
      </c>
      <c r="F809" s="18" t="inlineStr">
        <is>
          <t>destinatarios_cc</t>
        </is>
      </c>
      <c r="G809" s="18" t="inlineStr">
        <is>
          <t>text</t>
        </is>
      </c>
      <c r="H809" s="18" t="inlineStr">
        <is>
          <t>Sí</t>
        </is>
      </c>
      <c r="I809" s="18" t="inlineStr"/>
      <c r="J809" s="18" t="inlineStr"/>
      <c r="K809" s="18" t="inlineStr"/>
      <c r="L809" s="18" t="inlineStr">
        <is>
          <t>No</t>
        </is>
      </c>
      <c r="M809" s="18" t="inlineStr">
        <is>
          <t>No</t>
        </is>
      </c>
      <c r="N809" s="18" t="inlineStr"/>
      <c r="O809" s="18" t="inlineStr"/>
      <c r="P809" s="18" t="inlineStr">
        <is>
          <t>legal-management-service/src/entities/borrador-correo.entity.ts:41: CC | db/migrations/382_create_borradores_correos.sql:29: CC</t>
        </is>
      </c>
      <c r="Q809" s="18" t="inlineStr">
        <is>
          <t>Código fuente</t>
        </is>
      </c>
      <c r="R809" s="18" t="inlineStr">
        <is>
          <t>Destinatarios en copia (CC) del borrador.</t>
        </is>
      </c>
      <c r="S809" s="18" t="inlineStr">
        <is>
          <t>Alta</t>
        </is>
      </c>
      <c r="T809" s="18" t="inlineStr">
        <is>
          <t>código: borrador-correo.entity.ts:41</t>
        </is>
      </c>
      <c r="U809" s="18" t="inlineStr"/>
      <c r="V809" s="19" t="inlineStr">
        <is>
          <t>Pendiente</t>
        </is>
      </c>
      <c r="W809" s="19" t="inlineStr"/>
      <c r="X809" s="19" t="inlineStr"/>
      <c r="Y809" s="20" t="n"/>
      <c r="Z809" s="19" t="inlineStr"/>
      <c r="AA809" s="18">
        <f>IF(OR(V809="Aprobada"),R809,IF(AND(OR(V809="Aprobada con ajuste",V809="Rechazada"),W809&lt;&gt;""),W809,""))</f>
        <v/>
      </c>
    </row>
    <row r="810">
      <c r="A810" s="18" t="inlineStr">
        <is>
          <t>C0809</t>
        </is>
      </c>
      <c r="B810" s="18" t="inlineStr">
        <is>
          <t>Gestión jurídica</t>
        </is>
      </c>
      <c r="C810" s="18" t="inlineStr">
        <is>
          <t>legal_management</t>
        </is>
      </c>
      <c r="D810" s="18" t="inlineStr">
        <is>
          <t>borradores_correos</t>
        </is>
      </c>
      <c r="E810" s="18" t="n">
        <v>2</v>
      </c>
      <c r="F810" s="18" t="inlineStr">
        <is>
          <t>destinatarios_cco</t>
        </is>
      </c>
      <c r="G810" s="18" t="inlineStr">
        <is>
          <t>text</t>
        </is>
      </c>
      <c r="H810" s="18" t="inlineStr">
        <is>
          <t>Sí</t>
        </is>
      </c>
      <c r="I810" s="18" t="inlineStr"/>
      <c r="J810" s="18" t="inlineStr"/>
      <c r="K810" s="18" t="inlineStr"/>
      <c r="L810" s="18" t="inlineStr">
        <is>
          <t>No</t>
        </is>
      </c>
      <c r="M810" s="18" t="inlineStr">
        <is>
          <t>No</t>
        </is>
      </c>
      <c r="N810" s="18" t="inlineStr"/>
      <c r="O810" s="18" t="inlineStr"/>
      <c r="P810" s="18" t="inlineStr">
        <is>
          <t>legal-management-service/src/entities/borrador-correo.entity.ts:44: CCO | db/migrations/382_create_borradores_correos.sql:30: CCO / Copia Oculta</t>
        </is>
      </c>
      <c r="Q810" s="18" t="inlineStr">
        <is>
          <t>Código fuente</t>
        </is>
      </c>
      <c r="R810" s="18" t="inlineStr">
        <is>
          <t>Destinatarios en copia oculta (CCO) del borrador.</t>
        </is>
      </c>
      <c r="S810" s="18" t="inlineStr">
        <is>
          <t>Alta</t>
        </is>
      </c>
      <c r="T810" s="18" t="inlineStr">
        <is>
          <t>código: borrador-correo.entity.ts:44</t>
        </is>
      </c>
      <c r="U810" s="18" t="inlineStr"/>
      <c r="V810" s="19" t="inlineStr">
        <is>
          <t>Pendiente</t>
        </is>
      </c>
      <c r="W810" s="19" t="inlineStr"/>
      <c r="X810" s="19" t="inlineStr"/>
      <c r="Y810" s="20" t="n"/>
      <c r="Z810" s="19" t="inlineStr"/>
      <c r="AA810" s="18">
        <f>IF(OR(V810="Aprobada"),R810,IF(AND(OR(V810="Aprobada con ajuste",V810="Rechazada"),W810&lt;&gt;""),W810,""))</f>
        <v/>
      </c>
    </row>
    <row r="811">
      <c r="A811" s="18" t="inlineStr">
        <is>
          <t>C0810</t>
        </is>
      </c>
      <c r="B811" s="18" t="inlineStr">
        <is>
          <t>Gestión jurídica</t>
        </is>
      </c>
      <c r="C811" s="18" t="inlineStr">
        <is>
          <t>legal_management</t>
        </is>
      </c>
      <c r="D811" s="18" t="inlineStr">
        <is>
          <t>borradores_correos</t>
        </is>
      </c>
      <c r="E811" s="18" t="n">
        <v>2</v>
      </c>
      <c r="F811" s="18" t="inlineStr">
        <is>
          <t>asunto</t>
        </is>
      </c>
      <c r="G811" s="18" t="inlineStr">
        <is>
          <t>character varying(500)</t>
        </is>
      </c>
      <c r="H811" s="18" t="inlineStr">
        <is>
          <t>Sí</t>
        </is>
      </c>
      <c r="I811" s="18" t="inlineStr"/>
      <c r="J811" s="18" t="inlineStr"/>
      <c r="K811" s="18" t="inlineStr"/>
      <c r="L811" s="18" t="inlineStr">
        <is>
          <t>No</t>
        </is>
      </c>
      <c r="M811" s="18" t="inlineStr">
        <is>
          <t>No</t>
        </is>
      </c>
      <c r="N811" s="18" t="inlineStr"/>
      <c r="O811" s="18" t="inlineStr"/>
      <c r="P811" s="18" t="inlineStr">
        <is>
          <t>Mapeada en legal-management-service/src/entities/borrador-correo.entity.ts:47 (BorradorCorreo.asunto)</t>
        </is>
      </c>
      <c r="Q811" s="18" t="inlineStr">
        <is>
          <t>Propuesta semántica</t>
        </is>
      </c>
      <c r="R811" s="18" t="inlineStr">
        <is>
          <t>Asunto del correo en borrador.</t>
        </is>
      </c>
      <c r="S811" s="18" t="inlineStr">
        <is>
          <t>Alta</t>
        </is>
      </c>
      <c r="T811" s="18" t="inlineStr">
        <is>
          <t>nombre + documentación de la entidad</t>
        </is>
      </c>
      <c r="U811" s="18" t="inlineStr"/>
      <c r="V811" s="19" t="inlineStr">
        <is>
          <t>Pendiente</t>
        </is>
      </c>
      <c r="W811" s="19" t="inlineStr"/>
      <c r="X811" s="19" t="inlineStr"/>
      <c r="Y811" s="20" t="n"/>
      <c r="Z811" s="19" t="inlineStr"/>
      <c r="AA811" s="18">
        <f>IF(OR(V811="Aprobada"),R811,IF(AND(OR(V811="Aprobada con ajuste",V811="Rechazada"),W811&lt;&gt;""),W811,""))</f>
        <v/>
      </c>
    </row>
    <row r="812">
      <c r="A812" s="18" t="inlineStr">
        <is>
          <t>C0811</t>
        </is>
      </c>
      <c r="B812" s="18" t="inlineStr">
        <is>
          <t>Gestión jurídica</t>
        </is>
      </c>
      <c r="C812" s="18" t="inlineStr">
        <is>
          <t>legal_management</t>
        </is>
      </c>
      <c r="D812" s="18" t="inlineStr">
        <is>
          <t>borradores_correos</t>
        </is>
      </c>
      <c r="E812" s="18" t="n">
        <v>2</v>
      </c>
      <c r="F812" s="18" t="inlineStr">
        <is>
          <t>cuerpo</t>
        </is>
      </c>
      <c r="G812" s="18" t="inlineStr">
        <is>
          <t>text</t>
        </is>
      </c>
      <c r="H812" s="18" t="inlineStr">
        <is>
          <t>Sí</t>
        </is>
      </c>
      <c r="I812" s="18" t="inlineStr"/>
      <c r="J812" s="18" t="inlineStr"/>
      <c r="K812" s="18" t="inlineStr"/>
      <c r="L812" s="18" t="inlineStr">
        <is>
          <t>No</t>
        </is>
      </c>
      <c r="M812" s="18" t="inlineStr">
        <is>
          <t>No</t>
        </is>
      </c>
      <c r="N812" s="18" t="inlineStr"/>
      <c r="O812" s="18" t="inlineStr"/>
      <c r="P812" s="18" t="inlineStr">
        <is>
          <t>Mapeada en legal-management-service/src/entities/borrador-correo.entity.ts:50 (BorradorCorreo.cuerpo)</t>
        </is>
      </c>
      <c r="Q812" s="18" t="inlineStr">
        <is>
          <t>Propuesta semántica</t>
        </is>
      </c>
      <c r="R812" s="18" t="inlineStr">
        <is>
          <t>Cuerpo del correo en redacción.</t>
        </is>
      </c>
      <c r="S812" s="18" t="inlineStr">
        <is>
          <t>Media</t>
        </is>
      </c>
      <c r="T812" s="18" t="inlineStr">
        <is>
          <t>nombre + tipo + columnas vecinas + documentación de la entidad</t>
        </is>
      </c>
      <c r="U812" s="18" t="inlineStr">
        <is>
          <t>¿El cuerpo se guarda en HTML o en texto plano?</t>
        </is>
      </c>
      <c r="V812" s="19" t="inlineStr">
        <is>
          <t>Pendiente</t>
        </is>
      </c>
      <c r="W812" s="19" t="inlineStr"/>
      <c r="X812" s="19" t="inlineStr"/>
      <c r="Y812" s="20" t="n"/>
      <c r="Z812" s="19" t="inlineStr"/>
      <c r="AA812" s="18">
        <f>IF(OR(V812="Aprobada"),R812,IF(AND(OR(V812="Aprobada con ajuste",V812="Rechazada"),W812&lt;&gt;""),W812,""))</f>
        <v/>
      </c>
    </row>
    <row r="813">
      <c r="A813" s="18" t="inlineStr">
        <is>
          <t>C0812</t>
        </is>
      </c>
      <c r="B813" s="18" t="inlineStr">
        <is>
          <t>Gestión jurídica</t>
        </is>
      </c>
      <c r="C813" s="18" t="inlineStr">
        <is>
          <t>legal_management</t>
        </is>
      </c>
      <c r="D813" s="18" t="inlineStr">
        <is>
          <t>borradores_correos</t>
        </is>
      </c>
      <c r="E813" s="18" t="n">
        <v>2</v>
      </c>
      <c r="F813" s="18" t="inlineStr">
        <is>
          <t>solicitar_acuse</t>
        </is>
      </c>
      <c r="G813" s="18" t="inlineStr">
        <is>
          <t>boolean</t>
        </is>
      </c>
      <c r="H813" s="18" t="inlineStr">
        <is>
          <t>No</t>
        </is>
      </c>
      <c r="I813" s="18" t="inlineStr"/>
      <c r="J813" s="18" t="inlineStr"/>
      <c r="K813" s="18" t="inlineStr"/>
      <c r="L813" s="18" t="inlineStr">
        <is>
          <t>No</t>
        </is>
      </c>
      <c r="M813" s="18" t="inlineStr">
        <is>
          <t>No</t>
        </is>
      </c>
      <c r="N813" s="18" t="inlineStr"/>
      <c r="O813" s="18" t="inlineStr"/>
      <c r="P813" s="18" t="inlineStr">
        <is>
          <t>db/migrations/382_create_borradores_correos.sql:39: Opción "solicitar acuse de recibido" tal como la dejó el usuario.</t>
        </is>
      </c>
      <c r="Q813" s="18" t="inlineStr">
        <is>
          <t>Código fuente</t>
        </is>
      </c>
      <c r="R813" s="18" t="inlineStr">
        <is>
          <t>Indica si el usuario dejó marcada la opción «solicitar acuse de recibido» en el borrador.</t>
        </is>
      </c>
      <c r="S813" s="18" t="inlineStr">
        <is>
          <t>Alta</t>
        </is>
      </c>
      <c r="T813" s="18" t="inlineStr">
        <is>
          <t>código: db/migrations/382_create_borradores_correos.sql:39</t>
        </is>
      </c>
      <c r="U813" s="18" t="inlineStr"/>
      <c r="V813" s="19" t="inlineStr">
        <is>
          <t>Pendiente</t>
        </is>
      </c>
      <c r="W813" s="19" t="inlineStr"/>
      <c r="X813" s="19" t="inlineStr"/>
      <c r="Y813" s="20" t="n"/>
      <c r="Z813" s="19" t="inlineStr"/>
      <c r="AA813" s="18">
        <f>IF(OR(V813="Aprobada"),R813,IF(AND(OR(V813="Aprobada con ajuste",V813="Rechazada"),W813&lt;&gt;""),W813,""))</f>
        <v/>
      </c>
    </row>
    <row r="814">
      <c r="A814" s="18" t="inlineStr">
        <is>
          <t>C0813</t>
        </is>
      </c>
      <c r="B814" s="18" t="inlineStr">
        <is>
          <t>Gestión jurídica</t>
        </is>
      </c>
      <c r="C814" s="18" t="inlineStr">
        <is>
          <t>legal_management</t>
        </is>
      </c>
      <c r="D814" s="18" t="inlineStr">
        <is>
          <t>cat_tipos_requerimiento</t>
        </is>
      </c>
      <c r="E814" s="18" t="n">
        <v>9</v>
      </c>
      <c r="F814" s="18" t="inlineStr">
        <is>
          <t>nombre</t>
        </is>
      </c>
      <c r="G814" s="18" t="inlineStr">
        <is>
          <t>character varying(200)</t>
        </is>
      </c>
      <c r="H814" s="18" t="inlineStr">
        <is>
          <t>No</t>
        </is>
      </c>
      <c r="I814" s="18" t="inlineStr"/>
      <c r="J814" s="18" t="inlineStr"/>
      <c r="K814" s="18" t="inlineStr"/>
      <c r="L814" s="18" t="inlineStr">
        <is>
          <t>Sí</t>
        </is>
      </c>
      <c r="M814" s="18" t="inlineStr">
        <is>
          <t>No</t>
        </is>
      </c>
      <c r="N814" s="18" t="inlineStr"/>
      <c r="O814" s="18" t="inlineStr"/>
      <c r="P814" s="18" t="inlineStr">
        <is>
          <t>Mapeada en legal-management-service/src/entities/tipo-requerimiento-oc.entity.ts:8 (TipoRequerimientoOC.nombre)</t>
        </is>
      </c>
      <c r="Q814" s="18" t="inlineStr">
        <is>
          <t>Regla estructural</t>
        </is>
      </c>
      <c r="R814" s="18" t="inlineStr">
        <is>
          <t>Nombre del registro de cat_tipos_requerimiento.</t>
        </is>
      </c>
      <c r="S814" s="18" t="inlineStr">
        <is>
          <t>Media</t>
        </is>
      </c>
      <c r="T814" s="18" t="inlineStr">
        <is>
          <t>Convención de nombre de la columna.</t>
        </is>
      </c>
      <c r="U814" s="18" t="inlineStr"/>
      <c r="V814" s="19" t="inlineStr">
        <is>
          <t>Pendiente</t>
        </is>
      </c>
      <c r="W814" s="19" t="inlineStr"/>
      <c r="X814" s="19" t="inlineStr"/>
      <c r="Y814" s="20" t="n"/>
      <c r="Z814" s="19" t="inlineStr"/>
      <c r="AA814" s="18">
        <f>IF(OR(V814="Aprobada"),R814,IF(AND(OR(V814="Aprobada con ajuste",V814="Rechazada"),W814&lt;&gt;""),W814,""))</f>
        <v/>
      </c>
    </row>
    <row r="815">
      <c r="A815" s="18" t="inlineStr">
        <is>
          <t>C0814</t>
        </is>
      </c>
      <c r="B815" s="18" t="inlineStr">
        <is>
          <t>Gestión jurídica</t>
        </is>
      </c>
      <c r="C815" s="18" t="inlineStr">
        <is>
          <t>legal_management</t>
        </is>
      </c>
      <c r="D815" s="18" t="inlineStr">
        <is>
          <t>cat_tipos_requerimiento</t>
        </is>
      </c>
      <c r="E815" s="18" t="n">
        <v>9</v>
      </c>
      <c r="F815" s="18" t="inlineStr">
        <is>
          <t>descripcion</t>
        </is>
      </c>
      <c r="G815" s="18" t="inlineStr">
        <is>
          <t>text</t>
        </is>
      </c>
      <c r="H815" s="18" t="inlineStr">
        <is>
          <t>Sí</t>
        </is>
      </c>
      <c r="I815" s="18" t="inlineStr"/>
      <c r="J815" s="18" t="inlineStr"/>
      <c r="K815" s="18" t="inlineStr"/>
      <c r="L815" s="18" t="inlineStr">
        <is>
          <t>Sí</t>
        </is>
      </c>
      <c r="M815" s="18" t="inlineStr">
        <is>
          <t>No</t>
        </is>
      </c>
      <c r="N815" s="18" t="inlineStr"/>
      <c r="O815" s="18" t="inlineStr"/>
      <c r="P815" s="18" t="inlineStr">
        <is>
          <t>Mapeada en legal-management-service/src/entities/tipo-requerimiento-oc.entity.ts:11 (TipoRequerimientoOC.descripcion)</t>
        </is>
      </c>
      <c r="Q815" s="18" t="inlineStr">
        <is>
          <t>Regla estructural</t>
        </is>
      </c>
      <c r="R815" s="18" t="inlineStr">
        <is>
          <t>Descripción del registro de cat_tipos_requerimiento.</t>
        </is>
      </c>
      <c r="S815" s="18" t="inlineStr">
        <is>
          <t>Media</t>
        </is>
      </c>
      <c r="T815" s="18" t="inlineStr">
        <is>
          <t>Convención de nombre de la columna.</t>
        </is>
      </c>
      <c r="U815" s="18" t="inlineStr"/>
      <c r="V815" s="19" t="inlineStr">
        <is>
          <t>Pendiente</t>
        </is>
      </c>
      <c r="W815" s="19" t="inlineStr"/>
      <c r="X815" s="19" t="inlineStr"/>
      <c r="Y815" s="20" t="n"/>
      <c r="Z815" s="19" t="inlineStr"/>
      <c r="AA815" s="18">
        <f>IF(OR(V815="Aprobada"),R815,IF(AND(OR(V815="Aprobada con ajuste",V815="Rechazada"),W815&lt;&gt;""),W815,""))</f>
        <v/>
      </c>
    </row>
    <row r="816">
      <c r="A816" s="18" t="inlineStr">
        <is>
          <t>C0815</t>
        </is>
      </c>
      <c r="B816" s="18" t="inlineStr">
        <is>
          <t>Gestión jurídica</t>
        </is>
      </c>
      <c r="C816" s="18" t="inlineStr">
        <is>
          <t>legal_management</t>
        </is>
      </c>
      <c r="D816" s="18" t="inlineStr">
        <is>
          <t>cat_tipos_requerimiento</t>
        </is>
      </c>
      <c r="E816" s="18" t="n">
        <v>9</v>
      </c>
      <c r="F816" s="18" t="inlineStr">
        <is>
          <t>activo</t>
        </is>
      </c>
      <c r="G816" s="18" t="inlineStr">
        <is>
          <t>boolean</t>
        </is>
      </c>
      <c r="H816" s="18" t="inlineStr">
        <is>
          <t>Sí</t>
        </is>
      </c>
      <c r="I816" s="18" t="inlineStr"/>
      <c r="J816" s="18" t="inlineStr"/>
      <c r="K816" s="18" t="inlineStr"/>
      <c r="L816" s="18" t="inlineStr">
        <is>
          <t>Sí</t>
        </is>
      </c>
      <c r="M816" s="18" t="inlineStr">
        <is>
          <t>No</t>
        </is>
      </c>
      <c r="N816" s="18" t="inlineStr"/>
      <c r="O816" s="18" t="inlineStr">
        <is>
          <t>idx_cat_tipos_req_activo</t>
        </is>
      </c>
      <c r="P816" s="18" t="inlineStr">
        <is>
          <t>Mapeada en legal-management-service/src/entities/tipo-requerimiento-oc.entity.ts:14 (TipoRequerimientoOC.activo)</t>
        </is>
      </c>
      <c r="Q816" s="18" t="inlineStr">
        <is>
          <t>Regla estructural</t>
        </is>
      </c>
      <c r="R816" s="18" t="inlineStr">
        <is>
          <t>Indica si el registro está activo.</t>
        </is>
      </c>
      <c r="S816" s="18" t="inlineStr">
        <is>
          <t>Media</t>
        </is>
      </c>
      <c r="T816" s="18" t="inlineStr">
        <is>
          <t>Convención de nombre de la columna.</t>
        </is>
      </c>
      <c r="U816" s="18" t="inlineStr"/>
      <c r="V816" s="19" t="inlineStr">
        <is>
          <t>Pendiente</t>
        </is>
      </c>
      <c r="W816" s="19" t="inlineStr"/>
      <c r="X816" s="19" t="inlineStr"/>
      <c r="Y816" s="20" t="n"/>
      <c r="Z816" s="19" t="inlineStr"/>
      <c r="AA816" s="18">
        <f>IF(OR(V816="Aprobada"),R816,IF(AND(OR(V816="Aprobada con ajuste",V816="Rechazada"),W816&lt;&gt;""),W816,""))</f>
        <v/>
      </c>
    </row>
    <row r="817">
      <c r="A817" s="18" t="inlineStr">
        <is>
          <t>C0816</t>
        </is>
      </c>
      <c r="B817" s="18" t="inlineStr">
        <is>
          <t>Gestión jurídica</t>
        </is>
      </c>
      <c r="C817" s="18" t="inlineStr">
        <is>
          <t>legal_management</t>
        </is>
      </c>
      <c r="D817" s="18" t="inlineStr">
        <is>
          <t>cat_tipos_requerimiento</t>
        </is>
      </c>
      <c r="E817" s="18" t="n">
        <v>9</v>
      </c>
      <c r="F817" s="18" t="inlineStr">
        <is>
          <t>orden</t>
        </is>
      </c>
      <c r="G817" s="18" t="inlineStr">
        <is>
          <t>integer</t>
        </is>
      </c>
      <c r="H817" s="18" t="inlineStr">
        <is>
          <t>Sí</t>
        </is>
      </c>
      <c r="I817" s="18" t="inlineStr"/>
      <c r="J817" s="18" t="inlineStr"/>
      <c r="K817" s="18" t="inlineStr"/>
      <c r="L817" s="18" t="inlineStr">
        <is>
          <t>Sí</t>
        </is>
      </c>
      <c r="M817" s="18" t="inlineStr">
        <is>
          <t>No</t>
        </is>
      </c>
      <c r="N817" s="18" t="inlineStr"/>
      <c r="O817" s="18" t="inlineStr">
        <is>
          <t>idx_cat_tipos_req_orden</t>
        </is>
      </c>
      <c r="P817" s="18" t="inlineStr">
        <is>
          <t>Mapeada en legal-management-service/src/entities/tipo-requerimiento-oc.entity.ts:17 (TipoRequerimientoOC.orden)</t>
        </is>
      </c>
      <c r="Q817" s="18" t="inlineStr">
        <is>
          <t>Regla estructural</t>
        </is>
      </c>
      <c r="R817" s="18" t="inlineStr">
        <is>
          <t>Posición del registro para su ordenamiento.</t>
        </is>
      </c>
      <c r="S817" s="18" t="inlineStr">
        <is>
          <t>Media</t>
        </is>
      </c>
      <c r="T817" s="18" t="inlineStr">
        <is>
          <t>Convención de nombre de la columna.</t>
        </is>
      </c>
      <c r="U817" s="18" t="inlineStr"/>
      <c r="V817" s="19" t="inlineStr">
        <is>
          <t>Pendiente</t>
        </is>
      </c>
      <c r="W817" s="19" t="inlineStr"/>
      <c r="X817" s="19" t="inlineStr"/>
      <c r="Y817" s="20" t="n"/>
      <c r="Z817" s="19" t="inlineStr"/>
      <c r="AA817" s="18">
        <f>IF(OR(V817="Aprobada"),R817,IF(AND(OR(V817="Aprobada con ajuste",V817="Rechazada"),W817&lt;&gt;""),W817,""))</f>
        <v/>
      </c>
    </row>
    <row r="818">
      <c r="A818" s="18" t="inlineStr">
        <is>
          <t>C0817</t>
        </is>
      </c>
      <c r="B818" s="18" t="inlineStr">
        <is>
          <t>Gestión jurídica</t>
        </is>
      </c>
      <c r="C818" s="18" t="inlineStr">
        <is>
          <t>legal_management</t>
        </is>
      </c>
      <c r="D818" s="18" t="inlineStr">
        <is>
          <t>coactivos_historial</t>
        </is>
      </c>
      <c r="E818" s="18" t="n">
        <v>48</v>
      </c>
      <c r="F818" s="18" t="inlineStr">
        <is>
          <t>tipo_evento</t>
        </is>
      </c>
      <c r="G818" s="18" t="inlineStr">
        <is>
          <t>character varying(50)</t>
        </is>
      </c>
      <c r="H818" s="18" t="inlineStr">
        <is>
          <t>No</t>
        </is>
      </c>
      <c r="I818" s="18" t="inlineStr"/>
      <c r="J818" s="18" t="inlineStr"/>
      <c r="K818" s="18" t="inlineStr"/>
      <c r="L818" s="18" t="inlineStr">
        <is>
          <t>No</t>
        </is>
      </c>
      <c r="M818" s="18" t="inlineStr">
        <is>
          <t>No</t>
        </is>
      </c>
      <c r="N818" s="18" t="inlineStr"/>
      <c r="O818" s="18" t="inlineStr"/>
      <c r="P818" s="18" t="inlineStr">
        <is>
          <t>legal-management-service/src/entities/coactivo-historial.entity.ts:16: CREACION, PAGO, CAMBIO_ETAPA, ACTUALIZACION | db/migrations/old/103_create_pagos_historial_coactivos.sql:23: CREACION, PAGO, CAMBIO_ETAPA, ACTUALIZACION</t>
        </is>
      </c>
      <c r="Q818" s="18" t="inlineStr">
        <is>
          <t>Código fuente</t>
        </is>
      </c>
      <c r="R818" s="18" t="inlineStr">
        <is>
          <t>Tipo de evento del historial del proceso coactivo. Valores: CREACION, PAGO, CAMBIO_ETAPA, ACTUALIZACION.</t>
        </is>
      </c>
      <c r="S818" s="18" t="inlineStr">
        <is>
          <t>Alta</t>
        </is>
      </c>
      <c r="T818" s="18" t="inlineStr">
        <is>
          <t>código: coactivo-historial.entity.ts:16</t>
        </is>
      </c>
      <c r="U818" s="18" t="inlineStr"/>
      <c r="V818" s="19" t="inlineStr">
        <is>
          <t>Pendiente</t>
        </is>
      </c>
      <c r="W818" s="19" t="inlineStr"/>
      <c r="X818" s="19" t="inlineStr"/>
      <c r="Y818" s="20" t="n"/>
      <c r="Z818" s="19" t="inlineStr"/>
      <c r="AA818" s="18">
        <f>IF(OR(V818="Aprobada"),R818,IF(AND(OR(V818="Aprobada con ajuste",V818="Rechazada"),W818&lt;&gt;""),W818,""))</f>
        <v/>
      </c>
    </row>
    <row r="819">
      <c r="A819" s="18" t="inlineStr">
        <is>
          <t>C0818</t>
        </is>
      </c>
      <c r="B819" s="18" t="inlineStr">
        <is>
          <t>Gestión jurídica</t>
        </is>
      </c>
      <c r="C819" s="18" t="inlineStr">
        <is>
          <t>legal_management</t>
        </is>
      </c>
      <c r="D819" s="18" t="inlineStr">
        <is>
          <t>coactivos_historial</t>
        </is>
      </c>
      <c r="E819" s="18" t="n">
        <v>48</v>
      </c>
      <c r="F819" s="18" t="inlineStr">
        <is>
          <t>campo_modificado</t>
        </is>
      </c>
      <c r="G819" s="18" t="inlineStr">
        <is>
          <t>character varying(100)</t>
        </is>
      </c>
      <c r="H819" s="18" t="inlineStr">
        <is>
          <t>Sí</t>
        </is>
      </c>
      <c r="I819" s="18" t="inlineStr"/>
      <c r="J819" s="18" t="inlineStr"/>
      <c r="K819" s="18" t="inlineStr"/>
      <c r="L819" s="18" t="inlineStr">
        <is>
          <t>No</t>
        </is>
      </c>
      <c r="M819" s="18" t="inlineStr">
        <is>
          <t>No</t>
        </is>
      </c>
      <c r="N819" s="18" t="inlineStr"/>
      <c r="O819" s="18" t="inlineStr"/>
      <c r="P819" s="18" t="inlineStr">
        <is>
          <t>Mapeada en legal-management-service/src/entities/coactivo-historial.entity.ts:19 (CoactivoHistorial.campoModificado)</t>
        </is>
      </c>
      <c r="Q819" s="18" t="inlineStr">
        <is>
          <t>Propuesta semántica</t>
        </is>
      </c>
      <c r="R819" s="18" t="inlineStr">
        <is>
          <t>Nombre del campo modificado en el evento.</t>
        </is>
      </c>
      <c r="S819" s="18" t="inlineStr">
        <is>
          <t>Media</t>
        </is>
      </c>
      <c r="T819" s="18" t="inlineStr">
        <is>
          <t>nombre + columnas vecinas (valor_anterior, valor_nuevo)</t>
        </is>
      </c>
      <c r="U819" s="18" t="inlineStr">
        <is>
          <t>¿Se llena solo en los eventos ACTUALIZACION y CAMBIO_ETAPA?</t>
        </is>
      </c>
      <c r="V819" s="19" t="inlineStr">
        <is>
          <t>Pendiente</t>
        </is>
      </c>
      <c r="W819" s="19" t="inlineStr"/>
      <c r="X819" s="19" t="inlineStr"/>
      <c r="Y819" s="20" t="n"/>
      <c r="Z819" s="19" t="inlineStr"/>
      <c r="AA819" s="18">
        <f>IF(OR(V819="Aprobada"),R819,IF(AND(OR(V819="Aprobada con ajuste",V819="Rechazada"),W819&lt;&gt;""),W819,""))</f>
        <v/>
      </c>
    </row>
    <row r="820">
      <c r="A820" s="18" t="inlineStr">
        <is>
          <t>C0819</t>
        </is>
      </c>
      <c r="B820" s="18" t="inlineStr">
        <is>
          <t>Gestión jurídica</t>
        </is>
      </c>
      <c r="C820" s="18" t="inlineStr">
        <is>
          <t>legal_management</t>
        </is>
      </c>
      <c r="D820" s="18" t="inlineStr">
        <is>
          <t>coactivos_historial</t>
        </is>
      </c>
      <c r="E820" s="18" t="n">
        <v>48</v>
      </c>
      <c r="F820" s="18" t="inlineStr">
        <is>
          <t>valor_anterior</t>
        </is>
      </c>
      <c r="G820" s="18" t="inlineStr">
        <is>
          <t>text</t>
        </is>
      </c>
      <c r="H820" s="18" t="inlineStr">
        <is>
          <t>Sí</t>
        </is>
      </c>
      <c r="I820" s="18" t="inlineStr"/>
      <c r="J820" s="18" t="inlineStr"/>
      <c r="K820" s="18" t="inlineStr"/>
      <c r="L820" s="18" t="inlineStr">
        <is>
          <t>No</t>
        </is>
      </c>
      <c r="M820" s="18" t="inlineStr">
        <is>
          <t>No</t>
        </is>
      </c>
      <c r="N820" s="18" t="inlineStr"/>
      <c r="O820" s="18" t="inlineStr"/>
      <c r="P820" s="18" t="inlineStr">
        <is>
          <t>Mapeada en legal-management-service/src/entities/coactivo-historial.entity.ts:22 (CoactivoHistorial.valorAnterior)</t>
        </is>
      </c>
      <c r="Q820" s="18" t="inlineStr">
        <is>
          <t>Propuesta semántica</t>
        </is>
      </c>
      <c r="R820" s="18" t="inlineStr">
        <is>
          <t>Valor del campo antes de la modificación.</t>
        </is>
      </c>
      <c r="S820" s="18" t="inlineStr">
        <is>
          <t>Alta</t>
        </is>
      </c>
      <c r="T820" s="18" t="inlineStr">
        <is>
          <t>nombre + tipo + columnas vecinas (campo_modificado)</t>
        </is>
      </c>
      <c r="U820" s="18" t="inlineStr"/>
      <c r="V820" s="19" t="inlineStr">
        <is>
          <t>Pendiente</t>
        </is>
      </c>
      <c r="W820" s="19" t="inlineStr"/>
      <c r="X820" s="19" t="inlineStr"/>
      <c r="Y820" s="20" t="n"/>
      <c r="Z820" s="19" t="inlineStr"/>
      <c r="AA820" s="18">
        <f>IF(OR(V820="Aprobada"),R820,IF(AND(OR(V820="Aprobada con ajuste",V820="Rechazada"),W820&lt;&gt;""),W820,""))</f>
        <v/>
      </c>
    </row>
    <row r="821">
      <c r="A821" s="18" t="inlineStr">
        <is>
          <t>C0820</t>
        </is>
      </c>
      <c r="B821" s="18" t="inlineStr">
        <is>
          <t>Gestión jurídica</t>
        </is>
      </c>
      <c r="C821" s="18" t="inlineStr">
        <is>
          <t>legal_management</t>
        </is>
      </c>
      <c r="D821" s="18" t="inlineStr">
        <is>
          <t>coactivos_historial</t>
        </is>
      </c>
      <c r="E821" s="18" t="n">
        <v>48</v>
      </c>
      <c r="F821" s="18" t="inlineStr">
        <is>
          <t>valor_nuevo</t>
        </is>
      </c>
      <c r="G821" s="18" t="inlineStr">
        <is>
          <t>text</t>
        </is>
      </c>
      <c r="H821" s="18" t="inlineStr">
        <is>
          <t>Sí</t>
        </is>
      </c>
      <c r="I821" s="18" t="inlineStr"/>
      <c r="J821" s="18" t="inlineStr"/>
      <c r="K821" s="18" t="inlineStr"/>
      <c r="L821" s="18" t="inlineStr">
        <is>
          <t>No</t>
        </is>
      </c>
      <c r="M821" s="18" t="inlineStr">
        <is>
          <t>No</t>
        </is>
      </c>
      <c r="N821" s="18" t="inlineStr"/>
      <c r="O821" s="18" t="inlineStr"/>
      <c r="P821" s="18" t="inlineStr">
        <is>
          <t>Mapeada en legal-management-service/src/entities/coactivo-historial.entity.ts:25 (CoactivoHistorial.valorNuevo)</t>
        </is>
      </c>
      <c r="Q821" s="18" t="inlineStr">
        <is>
          <t>Propuesta semántica</t>
        </is>
      </c>
      <c r="R821" s="18" t="inlineStr">
        <is>
          <t>Valor del campo después de la modificación.</t>
        </is>
      </c>
      <c r="S821" s="18" t="inlineStr">
        <is>
          <t>Alta</t>
        </is>
      </c>
      <c r="T821" s="18" t="inlineStr">
        <is>
          <t>nombre + tipo + columnas vecinas (campo_modificado)</t>
        </is>
      </c>
      <c r="U821" s="18" t="inlineStr"/>
      <c r="V821" s="19" t="inlineStr">
        <is>
          <t>Pendiente</t>
        </is>
      </c>
      <c r="W821" s="19" t="inlineStr"/>
      <c r="X821" s="19" t="inlineStr"/>
      <c r="Y821" s="20" t="n"/>
      <c r="Z821" s="19" t="inlineStr"/>
      <c r="AA821" s="18">
        <f>IF(OR(V821="Aprobada"),R821,IF(AND(OR(V821="Aprobada con ajuste",V821="Rechazada"),W821&lt;&gt;""),W821,""))</f>
        <v/>
      </c>
    </row>
    <row r="822">
      <c r="A822" s="18" t="inlineStr">
        <is>
          <t>C0821</t>
        </is>
      </c>
      <c r="B822" s="18" t="inlineStr">
        <is>
          <t>Gestión jurídica</t>
        </is>
      </c>
      <c r="C822" s="18" t="inlineStr">
        <is>
          <t>legal_management</t>
        </is>
      </c>
      <c r="D822" s="18" t="inlineStr">
        <is>
          <t>coactivos_historial</t>
        </is>
      </c>
      <c r="E822" s="18" t="n">
        <v>48</v>
      </c>
      <c r="F822" s="18" t="inlineStr">
        <is>
          <t>usuario</t>
        </is>
      </c>
      <c r="G822" s="18" t="inlineStr">
        <is>
          <t>character varying(100)</t>
        </is>
      </c>
      <c r="H822" s="18" t="inlineStr">
        <is>
          <t>Sí</t>
        </is>
      </c>
      <c r="I822" s="18" t="inlineStr"/>
      <c r="J822" s="18" t="inlineStr"/>
      <c r="K822" s="18" t="inlineStr"/>
      <c r="L822" s="18" t="inlineStr">
        <is>
          <t>No</t>
        </is>
      </c>
      <c r="M822" s="18" t="inlineStr">
        <is>
          <t>No</t>
        </is>
      </c>
      <c r="N822" s="18" t="inlineStr"/>
      <c r="O822" s="18" t="inlineStr"/>
      <c r="P822" s="18" t="inlineStr">
        <is>
          <t>db/migrations/old/103_create_pagos_historial_coactivos.sql:27: ID o Nombre del usuario responsable</t>
        </is>
      </c>
      <c r="Q822" s="18" t="inlineStr">
        <is>
          <t>Código fuente</t>
        </is>
      </c>
      <c r="R822" s="18" t="inlineStr">
        <is>
          <t>Identificador o nombre del usuario responsable del evento.</t>
        </is>
      </c>
      <c r="S822" s="18" t="inlineStr">
        <is>
          <t>Alta</t>
        </is>
      </c>
      <c r="T822" s="18" t="inlineStr">
        <is>
          <t>código: db/migrations/old/103_create_pagos_historial_coactivos.sql:27</t>
        </is>
      </c>
      <c r="U822" s="18" t="inlineStr"/>
      <c r="V822" s="19" t="inlineStr">
        <is>
          <t>Pendiente</t>
        </is>
      </c>
      <c r="W822" s="19" t="inlineStr"/>
      <c r="X822" s="19" t="inlineStr"/>
      <c r="Y822" s="20" t="n"/>
      <c r="Z822" s="19" t="inlineStr"/>
      <c r="AA822" s="18">
        <f>IF(OR(V822="Aprobada"),R822,IF(AND(OR(V822="Aprobada con ajuste",V822="Rechazada"),W822&lt;&gt;""),W822,""))</f>
        <v/>
      </c>
    </row>
    <row r="823">
      <c r="A823" s="18" t="inlineStr">
        <is>
          <t>C0822</t>
        </is>
      </c>
      <c r="B823" s="18" t="inlineStr">
        <is>
          <t>Gestión jurídica</t>
        </is>
      </c>
      <c r="C823" s="18" t="inlineStr">
        <is>
          <t>legal_management</t>
        </is>
      </c>
      <c r="D823" s="18" t="inlineStr">
        <is>
          <t>coactivos_historial</t>
        </is>
      </c>
      <c r="E823" s="18" t="n">
        <v>48</v>
      </c>
      <c r="F823" s="18" t="inlineStr">
        <is>
          <t>detalles</t>
        </is>
      </c>
      <c r="G823" s="18" t="inlineStr">
        <is>
          <t>text</t>
        </is>
      </c>
      <c r="H823" s="18" t="inlineStr">
        <is>
          <t>Sí</t>
        </is>
      </c>
      <c r="I823" s="18" t="inlineStr"/>
      <c r="J823" s="18" t="inlineStr"/>
      <c r="K823" s="18" t="inlineStr"/>
      <c r="L823" s="18" t="inlineStr">
        <is>
          <t>No</t>
        </is>
      </c>
      <c r="M823" s="18" t="inlineStr">
        <is>
          <t>No</t>
        </is>
      </c>
      <c r="N823" s="18" t="inlineStr"/>
      <c r="O823" s="18" t="inlineStr"/>
      <c r="P823" s="18" t="inlineStr">
        <is>
          <t>Mapeada en legal-management-service/src/entities/coactivo-historial.entity.ts:31 (CoactivoHistorial.detalles)</t>
        </is>
      </c>
      <c r="Q823" s="18" t="inlineStr">
        <is>
          <t>Propuesta semántica</t>
        </is>
      </c>
      <c r="R823" s="18" t="inlineStr">
        <is>
          <t>Detalles adicionales del evento del historial.</t>
        </is>
      </c>
      <c r="S823" s="18" t="inlineStr">
        <is>
          <t>Media</t>
        </is>
      </c>
      <c r="T823" s="18" t="inlineStr">
        <is>
          <t>nombre + tipo + columnas vecinas</t>
        </is>
      </c>
      <c r="U823" s="18" t="inlineStr">
        <is>
          <t>¿Qué información adicional se registra en detalles?</t>
        </is>
      </c>
      <c r="V823" s="19" t="inlineStr">
        <is>
          <t>Pendiente</t>
        </is>
      </c>
      <c r="W823" s="19" t="inlineStr"/>
      <c r="X823" s="19" t="inlineStr"/>
      <c r="Y823" s="20" t="n"/>
      <c r="Z823" s="19" t="inlineStr"/>
      <c r="AA823" s="18">
        <f>IF(OR(V823="Aprobada"),R823,IF(AND(OR(V823="Aprobada con ajuste",V823="Rechazada"),W823&lt;&gt;""),W823,""))</f>
        <v/>
      </c>
    </row>
    <row r="824">
      <c r="A824" s="18" t="inlineStr">
        <is>
          <t>C0823</t>
        </is>
      </c>
      <c r="B824" s="18" t="inlineStr">
        <is>
          <t>Gestión jurídica</t>
        </is>
      </c>
      <c r="C824" s="18" t="inlineStr">
        <is>
          <t>legal_management</t>
        </is>
      </c>
      <c r="D824" s="18" t="inlineStr">
        <is>
          <t>coactivos_historial</t>
        </is>
      </c>
      <c r="E824" s="18" t="n">
        <v>48</v>
      </c>
      <c r="F824" s="18" t="inlineStr">
        <is>
          <t>fecha_evento</t>
        </is>
      </c>
      <c r="G824" s="18" t="inlineStr">
        <is>
          <t>timestamp without time zone</t>
        </is>
      </c>
      <c r="H824" s="18" t="inlineStr">
        <is>
          <t>Sí</t>
        </is>
      </c>
      <c r="I824" s="18" t="inlineStr"/>
      <c r="J824" s="18" t="inlineStr"/>
      <c r="K824" s="18" t="inlineStr"/>
      <c r="L824" s="18" t="inlineStr">
        <is>
          <t>No</t>
        </is>
      </c>
      <c r="M824" s="18" t="inlineStr">
        <is>
          <t>No</t>
        </is>
      </c>
      <c r="N824" s="18" t="inlineStr"/>
      <c r="O824" s="18" t="inlineStr"/>
      <c r="P824" s="18" t="inlineStr">
        <is>
          <t>Mapeada en legal-management-service/src/entities/coactivo-historial.entity.ts:34 (CoactivoHistorial.fechaEvento)</t>
        </is>
      </c>
      <c r="Q824" s="18" t="inlineStr">
        <is>
          <t>Regla estructural</t>
        </is>
      </c>
      <c r="R824" s="18" t="inlineStr">
        <is>
          <t>Fecha de evento.</t>
        </is>
      </c>
      <c r="S824" s="18" t="inlineStr">
        <is>
          <t>Media</t>
        </is>
      </c>
      <c r="T824" s="18" t="inlineStr">
        <is>
          <t>Convención de nombre de la columna.</t>
        </is>
      </c>
      <c r="U824" s="18" t="inlineStr"/>
      <c r="V824" s="19" t="inlineStr">
        <is>
          <t>Pendiente</t>
        </is>
      </c>
      <c r="W824" s="19" t="inlineStr"/>
      <c r="X824" s="19" t="inlineStr"/>
      <c r="Y824" s="20" t="n"/>
      <c r="Z824" s="19" t="inlineStr"/>
      <c r="AA824" s="18">
        <f>IF(OR(V824="Aprobada"),R824,IF(AND(OR(V824="Aprobada con ajuste",V824="Rechazada"),W824&lt;&gt;""),W824,""))</f>
        <v/>
      </c>
    </row>
    <row r="825">
      <c r="A825" s="18" t="inlineStr">
        <is>
          <t>C0824</t>
        </is>
      </c>
      <c r="B825" s="18" t="inlineStr">
        <is>
          <t>Gestión jurídica</t>
        </is>
      </c>
      <c r="C825" s="18" t="inlineStr">
        <is>
          <t>legal_management</t>
        </is>
      </c>
      <c r="D825" s="18" t="inlineStr">
        <is>
          <t>comentarios</t>
        </is>
      </c>
      <c r="E825" s="18" t="n">
        <v>9</v>
      </c>
      <c r="F825" s="18" t="inlineStr">
        <is>
          <t>contenido</t>
        </is>
      </c>
      <c r="G825" s="18" t="inlineStr">
        <is>
          <t>text</t>
        </is>
      </c>
      <c r="H825" s="18" t="inlineStr">
        <is>
          <t>No</t>
        </is>
      </c>
      <c r="I825" s="18" t="inlineStr"/>
      <c r="J825" s="18" t="inlineStr"/>
      <c r="K825" s="18" t="inlineStr"/>
      <c r="L825" s="18" t="inlineStr">
        <is>
          <t>No</t>
        </is>
      </c>
      <c r="M825" s="18" t="inlineStr">
        <is>
          <t>No</t>
        </is>
      </c>
      <c r="N825" s="18" t="inlineStr"/>
      <c r="O825" s="18" t="inlineStr"/>
      <c r="P825" s="18" t="inlineStr">
        <is>
          <t>Mapeada en legal-management-service/src/entities/comentario.entity.ts:16 (Comentario.contenido) | Validación: IsNotEmpty, IsString</t>
        </is>
      </c>
      <c r="Q825" s="18" t="inlineStr">
        <is>
          <t>Propuesta semántica</t>
        </is>
      </c>
      <c r="R825" s="18" t="inlineStr">
        <is>
          <t>Texto del comentario.</t>
        </is>
      </c>
      <c r="S825" s="18" t="inlineStr">
        <is>
          <t>Alta</t>
        </is>
      </c>
      <c r="T825" s="18" t="inlineStr">
        <is>
          <t>nombre + tipo + columnas vecinas</t>
        </is>
      </c>
      <c r="U825" s="18" t="inlineStr"/>
      <c r="V825" s="19" t="inlineStr">
        <is>
          <t>Pendiente</t>
        </is>
      </c>
      <c r="W825" s="19" t="inlineStr"/>
      <c r="X825" s="19" t="inlineStr"/>
      <c r="Y825" s="20" t="n"/>
      <c r="Z825" s="19" t="inlineStr"/>
      <c r="AA825" s="18">
        <f>IF(OR(V825="Aprobada"),R825,IF(AND(OR(V825="Aprobada con ajuste",V825="Rechazada"),W825&lt;&gt;""),W825,""))</f>
        <v/>
      </c>
    </row>
    <row r="826">
      <c r="A826" s="18" t="inlineStr">
        <is>
          <t>C0825</t>
        </is>
      </c>
      <c r="B826" s="18" t="inlineStr">
        <is>
          <t>Gestión jurídica</t>
        </is>
      </c>
      <c r="C826" s="18" t="inlineStr">
        <is>
          <t>legal_management</t>
        </is>
      </c>
      <c r="D826" s="18" t="inlineStr">
        <is>
          <t>comentarios</t>
        </is>
      </c>
      <c r="E826" s="18" t="n">
        <v>9</v>
      </c>
      <c r="F826" s="18" t="inlineStr">
        <is>
          <t>usuario_id</t>
        </is>
      </c>
      <c r="G826" s="18" t="inlineStr">
        <is>
          <t>character varying(255)</t>
        </is>
      </c>
      <c r="H826" s="18" t="inlineStr">
        <is>
          <t>Sí</t>
        </is>
      </c>
      <c r="I826" s="18" t="inlineStr"/>
      <c r="J826" s="18" t="inlineStr"/>
      <c r="K826" s="18" t="inlineStr"/>
      <c r="L826" s="18" t="inlineStr">
        <is>
          <t>No</t>
        </is>
      </c>
      <c r="M826" s="18" t="inlineStr">
        <is>
          <t>No</t>
        </is>
      </c>
      <c r="N826" s="18" t="inlineStr"/>
      <c r="O826" s="18" t="inlineStr"/>
      <c r="P826" s="18" t="inlineStr">
        <is>
          <t>Mapeada en legal-management-service/src/entities/comentario.entity.ts:19 (Comentario.usuarioId) | Validación: IsOptional, IsString</t>
        </is>
      </c>
      <c r="Q826" s="18" t="inlineStr">
        <is>
          <t>Propuesta semántica</t>
        </is>
      </c>
      <c r="R826" s="18" t="inlineStr">
        <is>
          <t>Identificador del usuario autor del comentario.</t>
        </is>
      </c>
      <c r="S826" s="18" t="inlineStr">
        <is>
          <t>Media</t>
        </is>
      </c>
      <c r="T826" s="18" t="inlineStr">
        <is>
          <t>nombre + tipo + columnas vecinas</t>
        </is>
      </c>
      <c r="U826" s="18" t="inlineStr">
        <is>
          <t>¿Qué identificador se guarda (id de auth."user", correo)?</t>
        </is>
      </c>
      <c r="V826" s="19" t="inlineStr">
        <is>
          <t>Pendiente</t>
        </is>
      </c>
      <c r="W826" s="19" t="inlineStr"/>
      <c r="X826" s="19" t="inlineStr"/>
      <c r="Y826" s="20" t="n"/>
      <c r="Z826" s="19" t="inlineStr"/>
      <c r="AA826" s="18">
        <f>IF(OR(V826="Aprobada"),R826,IF(AND(OR(V826="Aprobada con ajuste",V826="Rechazada"),W826&lt;&gt;""),W826,""))</f>
        <v/>
      </c>
    </row>
    <row r="827">
      <c r="A827" s="18" t="inlineStr">
        <is>
          <t>C0826</t>
        </is>
      </c>
      <c r="B827" s="18" t="inlineStr">
        <is>
          <t>Gestión jurídica</t>
        </is>
      </c>
      <c r="C827" s="18" t="inlineStr">
        <is>
          <t>legal_management</t>
        </is>
      </c>
      <c r="D827" s="18" t="inlineStr">
        <is>
          <t>comentarios</t>
        </is>
      </c>
      <c r="E827" s="18" t="n">
        <v>9</v>
      </c>
      <c r="F827" s="18" t="inlineStr">
        <is>
          <t>usuario_nombre</t>
        </is>
      </c>
      <c r="G827" s="18" t="inlineStr">
        <is>
          <t>character varying(255)</t>
        </is>
      </c>
      <c r="H827" s="18" t="inlineStr">
        <is>
          <t>No</t>
        </is>
      </c>
      <c r="I827" s="18" t="inlineStr"/>
      <c r="J827" s="18" t="inlineStr"/>
      <c r="K827" s="18" t="inlineStr"/>
      <c r="L827" s="18" t="inlineStr">
        <is>
          <t>No</t>
        </is>
      </c>
      <c r="M827" s="18" t="inlineStr">
        <is>
          <t>No</t>
        </is>
      </c>
      <c r="N827" s="18" t="inlineStr"/>
      <c r="O827" s="18" t="inlineStr"/>
      <c r="P827" s="18" t="inlineStr">
        <is>
          <t>Mapeada en legal-management-service/src/entities/comentario.entity.ts:22 (Comentario.usuarioNombre) | Validación: IsNotEmpty, IsString</t>
        </is>
      </c>
      <c r="Q827" s="18" t="inlineStr">
        <is>
          <t>Propuesta semántica</t>
        </is>
      </c>
      <c r="R827" s="18" t="inlineStr">
        <is>
          <t>Nombre del usuario autor del comentario.</t>
        </is>
      </c>
      <c r="S827" s="18" t="inlineStr">
        <is>
          <t>Alta</t>
        </is>
      </c>
      <c r="T827" s="18" t="inlineStr">
        <is>
          <t>nombre + tipo + columnas vecinas</t>
        </is>
      </c>
      <c r="U827" s="18" t="inlineStr"/>
      <c r="V827" s="19" t="inlineStr">
        <is>
          <t>Pendiente</t>
        </is>
      </c>
      <c r="W827" s="19" t="inlineStr"/>
      <c r="X827" s="19" t="inlineStr"/>
      <c r="Y827" s="20" t="n"/>
      <c r="Z827" s="19" t="inlineStr"/>
      <c r="AA827" s="18">
        <f>IF(OR(V827="Aprobada"),R827,IF(AND(OR(V827="Aprobada con ajuste",V827="Rechazada"),W827&lt;&gt;""),W827,""))</f>
        <v/>
      </c>
    </row>
    <row r="828">
      <c r="A828" s="18" t="inlineStr">
        <is>
          <t>C0827</t>
        </is>
      </c>
      <c r="B828" s="18" t="inlineStr">
        <is>
          <t>Gestión jurídica</t>
        </is>
      </c>
      <c r="C828" s="18" t="inlineStr">
        <is>
          <t>legal_management</t>
        </is>
      </c>
      <c r="D828" s="18" t="inlineStr">
        <is>
          <t>comentarios_consulta</t>
        </is>
      </c>
      <c r="E828" s="18" t="n">
        <v>2</v>
      </c>
      <c r="F828" s="18" t="inlineStr">
        <is>
          <t>mensaje</t>
        </is>
      </c>
      <c r="G828" s="18" t="inlineStr">
        <is>
          <t>text</t>
        </is>
      </c>
      <c r="H828" s="18" t="inlineStr">
        <is>
          <t>No</t>
        </is>
      </c>
      <c r="I828" s="18" t="inlineStr"/>
      <c r="J828" s="18" t="inlineStr"/>
      <c r="K828" s="18" t="inlineStr"/>
      <c r="L828" s="18" t="inlineStr">
        <is>
          <t>No</t>
        </is>
      </c>
      <c r="M828" s="18" t="inlineStr">
        <is>
          <t>No</t>
        </is>
      </c>
      <c r="N828" s="18" t="inlineStr"/>
      <c r="O828" s="18" t="inlineStr"/>
      <c r="P828" s="18" t="inlineStr">
        <is>
          <t>Mapeada en legal-management-service/src/entities/comentario-consulta.entity.ts:17 (ComentarioConsulta.mensaje)</t>
        </is>
      </c>
      <c r="Q828" s="18" t="inlineStr">
        <is>
          <t>Propuesta semántica</t>
        </is>
      </c>
      <c r="R828" s="18" t="inlineStr">
        <is>
          <t>Texto del comentario sobre la consulta jurídica.</t>
        </is>
      </c>
      <c r="S828" s="18" t="inlineStr">
        <is>
          <t>Alta</t>
        </is>
      </c>
      <c r="T828" s="18" t="inlineStr">
        <is>
          <t>nombre + tipo + columnas vecinas</t>
        </is>
      </c>
      <c r="U828" s="18" t="inlineStr"/>
      <c r="V828" s="19" t="inlineStr">
        <is>
          <t>Pendiente</t>
        </is>
      </c>
      <c r="W828" s="19" t="inlineStr"/>
      <c r="X828" s="19" t="inlineStr"/>
      <c r="Y828" s="20" t="n"/>
      <c r="Z828" s="19" t="inlineStr"/>
      <c r="AA828" s="18">
        <f>IF(OR(V828="Aprobada"),R828,IF(AND(OR(V828="Aprobada con ajuste",V828="Rechazada"),W828&lt;&gt;""),W828,""))</f>
        <v/>
      </c>
    </row>
    <row r="829">
      <c r="A829" s="18" t="inlineStr">
        <is>
          <t>C0828</t>
        </is>
      </c>
      <c r="B829" s="18" t="inlineStr">
        <is>
          <t>Gestión jurídica</t>
        </is>
      </c>
      <c r="C829" s="18" t="inlineStr">
        <is>
          <t>legal_management</t>
        </is>
      </c>
      <c r="D829" s="18" t="inlineStr">
        <is>
          <t>comentarios_consulta</t>
        </is>
      </c>
      <c r="E829" s="18" t="n">
        <v>2</v>
      </c>
      <c r="F829" s="18" t="inlineStr">
        <is>
          <t>usuario</t>
        </is>
      </c>
      <c r="G829" s="18" t="inlineStr">
        <is>
          <t>character varying(255)</t>
        </is>
      </c>
      <c r="H829" s="18" t="inlineStr">
        <is>
          <t>No</t>
        </is>
      </c>
      <c r="I829" s="18" t="inlineStr"/>
      <c r="J829" s="18" t="inlineStr"/>
      <c r="K829" s="18" t="inlineStr"/>
      <c r="L829" s="18" t="inlineStr">
        <is>
          <t>No</t>
        </is>
      </c>
      <c r="M829" s="18" t="inlineStr">
        <is>
          <t>No</t>
        </is>
      </c>
      <c r="N829" s="18" t="inlineStr"/>
      <c r="O829" s="18" t="inlineStr"/>
      <c r="P829" s="18" t="inlineStr">
        <is>
          <t>Mapeada en legal-management-service/src/entities/comentario-consulta.entity.ts:20 (ComentarioConsulta.usuario)</t>
        </is>
      </c>
      <c r="Q829" s="18" t="inlineStr">
        <is>
          <t>Propuesta semántica</t>
        </is>
      </c>
      <c r="R829" s="18" t="inlineStr">
        <is>
          <t>Nombre del usuario autor del comentario.</t>
        </is>
      </c>
      <c r="S829" s="18" t="inlineStr">
        <is>
          <t>Media</t>
        </is>
      </c>
      <c r="T829" s="18" t="inlineStr">
        <is>
          <t>nombre + tipo + columnas vecinas</t>
        </is>
      </c>
      <c r="U829" s="18" t="inlineStr">
        <is>
          <t>¿Se guarda el nombre o el correo del usuario?</t>
        </is>
      </c>
      <c r="V829" s="19" t="inlineStr">
        <is>
          <t>Pendiente</t>
        </is>
      </c>
      <c r="W829" s="19" t="inlineStr"/>
      <c r="X829" s="19" t="inlineStr"/>
      <c r="Y829" s="20" t="n"/>
      <c r="Z829" s="19" t="inlineStr"/>
      <c r="AA829" s="18">
        <f>IF(OR(V829="Aprobada"),R829,IF(AND(OR(V829="Aprobada con ajuste",V829="Rechazada"),W829&lt;&gt;""),W829,""))</f>
        <v/>
      </c>
    </row>
    <row r="830">
      <c r="A830" s="18" t="inlineStr">
        <is>
          <t>C0829</t>
        </is>
      </c>
      <c r="B830" s="18" t="inlineStr">
        <is>
          <t>Gestión jurídica</t>
        </is>
      </c>
      <c r="C830" s="18" t="inlineStr">
        <is>
          <t>legal_management</t>
        </is>
      </c>
      <c r="D830" s="18" t="inlineStr">
        <is>
          <t>comentarios_consulta</t>
        </is>
      </c>
      <c r="E830" s="18" t="n">
        <v>2</v>
      </c>
      <c r="F830" s="18" t="inlineStr">
        <is>
          <t>cargo</t>
        </is>
      </c>
      <c r="G830" s="18" t="inlineStr">
        <is>
          <t>character varying(255)</t>
        </is>
      </c>
      <c r="H830" s="18" t="inlineStr">
        <is>
          <t>Sí</t>
        </is>
      </c>
      <c r="I830" s="18" t="inlineStr"/>
      <c r="J830" s="18" t="inlineStr"/>
      <c r="K830" s="18" t="inlineStr"/>
      <c r="L830" s="18" t="inlineStr">
        <is>
          <t>No</t>
        </is>
      </c>
      <c r="M830" s="18" t="inlineStr">
        <is>
          <t>No</t>
        </is>
      </c>
      <c r="N830" s="18" t="inlineStr"/>
      <c r="O830" s="18" t="inlineStr"/>
      <c r="P830" s="18" t="inlineStr">
        <is>
          <t>Mapeada en legal-management-service/src/entities/comentario-consulta.entity.ts:23 (ComentarioConsulta.cargo)</t>
        </is>
      </c>
      <c r="Q830" s="18" t="inlineStr">
        <is>
          <t>Propuesta semántica</t>
        </is>
      </c>
      <c r="R830" s="18" t="inlineStr">
        <is>
          <t>Cargo del usuario autor del comentario.</t>
        </is>
      </c>
      <c r="S830" s="18" t="inlineStr">
        <is>
          <t>Alta</t>
        </is>
      </c>
      <c r="T830" s="18" t="inlineStr">
        <is>
          <t>nombre + tipo + columnas vecinas</t>
        </is>
      </c>
      <c r="U830" s="18" t="inlineStr"/>
      <c r="V830" s="19" t="inlineStr">
        <is>
          <t>Pendiente</t>
        </is>
      </c>
      <c r="W830" s="19" t="inlineStr"/>
      <c r="X830" s="19" t="inlineStr"/>
      <c r="Y830" s="20" t="n"/>
      <c r="Z830" s="19" t="inlineStr"/>
      <c r="AA830" s="18">
        <f>IF(OR(V830="Aprobada"),R830,IF(AND(OR(V830="Aprobada con ajuste",V830="Rechazada"),W830&lt;&gt;""),W830,""))</f>
        <v/>
      </c>
    </row>
    <row r="831">
      <c r="A831" s="18" t="inlineStr">
        <is>
          <t>C0830</t>
        </is>
      </c>
      <c r="B831" s="18" t="inlineStr">
        <is>
          <t>Gestión jurídica</t>
        </is>
      </c>
      <c r="C831" s="18" t="inlineStr">
        <is>
          <t>legal_management</t>
        </is>
      </c>
      <c r="D831" s="18" t="inlineStr">
        <is>
          <t>comentarios_consulta</t>
        </is>
      </c>
      <c r="E831" s="18" t="n">
        <v>2</v>
      </c>
      <c r="F831" s="18" t="inlineStr">
        <is>
          <t>fecha</t>
        </is>
      </c>
      <c r="G831" s="18" t="inlineStr">
        <is>
          <t>timestamp without time zone</t>
        </is>
      </c>
      <c r="H831" s="18" t="inlineStr">
        <is>
          <t>Sí</t>
        </is>
      </c>
      <c r="I831" s="18" t="inlineStr"/>
      <c r="J831" s="18" t="inlineStr"/>
      <c r="K831" s="18" t="inlineStr"/>
      <c r="L831" s="18" t="inlineStr">
        <is>
          <t>No</t>
        </is>
      </c>
      <c r="M831" s="18" t="inlineStr">
        <is>
          <t>No</t>
        </is>
      </c>
      <c r="N831" s="18" t="inlineStr"/>
      <c r="O831" s="18" t="inlineStr"/>
      <c r="P831" s="18" t="inlineStr">
        <is>
          <t>Mapeada en legal-management-service/src/entities/comentario-consulta.entity.ts:26 (ComentarioConsulta.fecha)</t>
        </is>
      </c>
      <c r="Q831" s="18" t="inlineStr">
        <is>
          <t>Propuesta semántica</t>
        </is>
      </c>
      <c r="R831" s="18" t="inlineStr">
        <is>
          <t>Fecha y hora del comentario. Valor por defecto: momento del registro.</t>
        </is>
      </c>
      <c r="S831" s="18" t="inlineStr">
        <is>
          <t>Alta</t>
        </is>
      </c>
      <c r="T831" s="18" t="inlineStr">
        <is>
          <t>nombre + tipo + columnas vecinas + defecto</t>
        </is>
      </c>
      <c r="U831" s="18" t="inlineStr"/>
      <c r="V831" s="19" t="inlineStr">
        <is>
          <t>Pendiente</t>
        </is>
      </c>
      <c r="W831" s="19" t="inlineStr"/>
      <c r="X831" s="19" t="inlineStr"/>
      <c r="Y831" s="20" t="n"/>
      <c r="Z831" s="19" t="inlineStr"/>
      <c r="AA831" s="18">
        <f>IF(OR(V831="Aprobada"),R831,IF(AND(OR(V831="Aprobada con ajuste",V831="Rechazada"),W831&lt;&gt;""),W831,""))</f>
        <v/>
      </c>
    </row>
    <row r="832">
      <c r="A832" s="18" t="inlineStr">
        <is>
          <t>C0831</t>
        </is>
      </c>
      <c r="B832" s="18" t="inlineStr">
        <is>
          <t>Gestión jurídica</t>
        </is>
      </c>
      <c r="C832" s="18" t="inlineStr">
        <is>
          <t>legal_management</t>
        </is>
      </c>
      <c r="D832" s="18" t="inlineStr">
        <is>
          <t>comentarios_correo</t>
        </is>
      </c>
      <c r="E832" s="18" t="n">
        <v>2</v>
      </c>
      <c r="F832" s="18" t="inlineStr">
        <is>
          <t>mensaje</t>
        </is>
      </c>
      <c r="G832" s="18" t="inlineStr">
        <is>
          <t>character varying</t>
        </is>
      </c>
      <c r="H832" s="18" t="inlineStr">
        <is>
          <t>No</t>
        </is>
      </c>
      <c r="I832" s="18" t="inlineStr"/>
      <c r="J832" s="18" t="inlineStr"/>
      <c r="K832" s="18" t="inlineStr"/>
      <c r="L832" s="18" t="inlineStr">
        <is>
          <t>No</t>
        </is>
      </c>
      <c r="M832" s="18" t="inlineStr">
        <is>
          <t>No</t>
        </is>
      </c>
      <c r="N832" s="18" t="inlineStr"/>
      <c r="O832" s="18" t="inlineStr"/>
      <c r="P832" s="18" t="inlineStr">
        <is>
          <t>Mapeada en legal-management-service/src/entities/comentario-correo.entity.ts:16 (ComentarioCorreo.mensaje)</t>
        </is>
      </c>
      <c r="Q832" s="18" t="inlineStr">
        <is>
          <t>Propuesta semántica</t>
        </is>
      </c>
      <c r="R832" s="18" t="inlineStr">
        <is>
          <t>Texto del comentario sobre la comunicación.</t>
        </is>
      </c>
      <c r="S832" s="18" t="inlineStr">
        <is>
          <t>Alta</t>
        </is>
      </c>
      <c r="T832" s="18" t="inlineStr">
        <is>
          <t>nombre + tipo + columnas vecinas + descripción de la tabla</t>
        </is>
      </c>
      <c r="U832" s="18" t="inlineStr"/>
      <c r="V832" s="19" t="inlineStr">
        <is>
          <t>Pendiente</t>
        </is>
      </c>
      <c r="W832" s="19" t="inlineStr"/>
      <c r="X832" s="19" t="inlineStr"/>
      <c r="Y832" s="20" t="n"/>
      <c r="Z832" s="19" t="inlineStr"/>
      <c r="AA832" s="18">
        <f>IF(OR(V832="Aprobada"),R832,IF(AND(OR(V832="Aprobada con ajuste",V832="Rechazada"),W832&lt;&gt;""),W832,""))</f>
        <v/>
      </c>
    </row>
    <row r="833">
      <c r="A833" s="18" t="inlineStr">
        <is>
          <t>C0832</t>
        </is>
      </c>
      <c r="B833" s="18" t="inlineStr">
        <is>
          <t>Gestión jurídica</t>
        </is>
      </c>
      <c r="C833" s="18" t="inlineStr">
        <is>
          <t>legal_management</t>
        </is>
      </c>
      <c r="D833" s="18" t="inlineStr">
        <is>
          <t>comentarios_correo</t>
        </is>
      </c>
      <c r="E833" s="18" t="n">
        <v>2</v>
      </c>
      <c r="F833" s="18" t="inlineStr">
        <is>
          <t>usuario</t>
        </is>
      </c>
      <c r="G833" s="18" t="inlineStr">
        <is>
          <t>character varying</t>
        </is>
      </c>
      <c r="H833" s="18" t="inlineStr">
        <is>
          <t>No</t>
        </is>
      </c>
      <c r="I833" s="18" t="inlineStr"/>
      <c r="J833" s="18" t="inlineStr"/>
      <c r="K833" s="18" t="inlineStr"/>
      <c r="L833" s="18" t="inlineStr">
        <is>
          <t>No</t>
        </is>
      </c>
      <c r="M833" s="18" t="inlineStr">
        <is>
          <t>No</t>
        </is>
      </c>
      <c r="N833" s="18" t="inlineStr"/>
      <c r="O833" s="18" t="inlineStr"/>
      <c r="P833" s="18" t="inlineStr">
        <is>
          <t>Mapeada en legal-management-service/src/entities/comentario-correo.entity.ts:19 (ComentarioCorreo.usuario)</t>
        </is>
      </c>
      <c r="Q833" s="18" t="inlineStr">
        <is>
          <t>Propuesta semántica</t>
        </is>
      </c>
      <c r="R833" s="18" t="inlineStr">
        <is>
          <t>Nombre del usuario autor del comentario.</t>
        </is>
      </c>
      <c r="S833" s="18" t="inlineStr">
        <is>
          <t>Media</t>
        </is>
      </c>
      <c r="T833" s="18" t="inlineStr">
        <is>
          <t>nombre + tipo + columnas vecinas</t>
        </is>
      </c>
      <c r="U833" s="18" t="inlineStr">
        <is>
          <t>¿Se guarda el nombre o el correo del usuario?</t>
        </is>
      </c>
      <c r="V833" s="19" t="inlineStr">
        <is>
          <t>Pendiente</t>
        </is>
      </c>
      <c r="W833" s="19" t="inlineStr"/>
      <c r="X833" s="19" t="inlineStr"/>
      <c r="Y833" s="20" t="n"/>
      <c r="Z833" s="19" t="inlineStr"/>
      <c r="AA833" s="18">
        <f>IF(OR(V833="Aprobada"),R833,IF(AND(OR(V833="Aprobada con ajuste",V833="Rechazada"),W833&lt;&gt;""),W833,""))</f>
        <v/>
      </c>
    </row>
    <row r="834">
      <c r="A834" s="18" t="inlineStr">
        <is>
          <t>C0833</t>
        </is>
      </c>
      <c r="B834" s="18" t="inlineStr">
        <is>
          <t>Gestión jurídica</t>
        </is>
      </c>
      <c r="C834" s="18" t="inlineStr">
        <is>
          <t>legal_management</t>
        </is>
      </c>
      <c r="D834" s="18" t="inlineStr">
        <is>
          <t>comentarios_correo</t>
        </is>
      </c>
      <c r="E834" s="18" t="n">
        <v>2</v>
      </c>
      <c r="F834" s="18" t="inlineStr">
        <is>
          <t>cargo</t>
        </is>
      </c>
      <c r="G834" s="18" t="inlineStr">
        <is>
          <t>character varying</t>
        </is>
      </c>
      <c r="H834" s="18" t="inlineStr">
        <is>
          <t>Sí</t>
        </is>
      </c>
      <c r="I834" s="18" t="inlineStr"/>
      <c r="J834" s="18" t="inlineStr"/>
      <c r="K834" s="18" t="inlineStr"/>
      <c r="L834" s="18" t="inlineStr">
        <is>
          <t>No</t>
        </is>
      </c>
      <c r="M834" s="18" t="inlineStr">
        <is>
          <t>No</t>
        </is>
      </c>
      <c r="N834" s="18" t="inlineStr"/>
      <c r="O834" s="18" t="inlineStr"/>
      <c r="P834" s="18" t="inlineStr">
        <is>
          <t>Mapeada en legal-management-service/src/entities/comentario-correo.entity.ts:22 (ComentarioCorreo.cargo)</t>
        </is>
      </c>
      <c r="Q834" s="18" t="inlineStr">
        <is>
          <t>Propuesta semántica</t>
        </is>
      </c>
      <c r="R834" s="18" t="inlineStr">
        <is>
          <t>Cargo del usuario autor del comentario.</t>
        </is>
      </c>
      <c r="S834" s="18" t="inlineStr">
        <is>
          <t>Alta</t>
        </is>
      </c>
      <c r="T834" s="18" t="inlineStr">
        <is>
          <t>nombre + tipo + columnas vecinas</t>
        </is>
      </c>
      <c r="U834" s="18" t="inlineStr"/>
      <c r="V834" s="19" t="inlineStr">
        <is>
          <t>Pendiente</t>
        </is>
      </c>
      <c r="W834" s="19" t="inlineStr"/>
      <c r="X834" s="19" t="inlineStr"/>
      <c r="Y834" s="20" t="n"/>
      <c r="Z834" s="19" t="inlineStr"/>
      <c r="AA834" s="18">
        <f>IF(OR(V834="Aprobada"),R834,IF(AND(OR(V834="Aprobada con ajuste",V834="Rechazada"),W834&lt;&gt;""),W834,""))</f>
        <v/>
      </c>
    </row>
    <row r="835">
      <c r="A835" s="18" t="inlineStr">
        <is>
          <t>C0834</t>
        </is>
      </c>
      <c r="B835" s="18" t="inlineStr">
        <is>
          <t>Gestión jurídica</t>
        </is>
      </c>
      <c r="C835" s="18" t="inlineStr">
        <is>
          <t>legal_management</t>
        </is>
      </c>
      <c r="D835" s="18" t="inlineStr">
        <is>
          <t>comentarios_correo</t>
        </is>
      </c>
      <c r="E835" s="18" t="n">
        <v>2</v>
      </c>
      <c r="F835" s="18" t="inlineStr">
        <is>
          <t>fecha</t>
        </is>
      </c>
      <c r="G835" s="18" t="inlineStr">
        <is>
          <t>timestamp without time zone</t>
        </is>
      </c>
      <c r="H835" s="18" t="inlineStr">
        <is>
          <t>Sí</t>
        </is>
      </c>
      <c r="I835" s="18" t="inlineStr"/>
      <c r="J835" s="18" t="inlineStr"/>
      <c r="K835" s="18" t="inlineStr"/>
      <c r="L835" s="18" t="inlineStr">
        <is>
          <t>No</t>
        </is>
      </c>
      <c r="M835" s="18" t="inlineStr">
        <is>
          <t>No</t>
        </is>
      </c>
      <c r="N835" s="18" t="inlineStr"/>
      <c r="O835" s="18" t="inlineStr"/>
      <c r="P835" s="18" t="inlineStr">
        <is>
          <t>Mapeada en legal-management-service/src/entities/comentario-correo.entity.ts:25 (ComentarioCorreo.fecha)</t>
        </is>
      </c>
      <c r="Q835" s="18" t="inlineStr">
        <is>
          <t>Propuesta semántica</t>
        </is>
      </c>
      <c r="R835" s="18" t="inlineStr">
        <is>
          <t>Fecha y hora del comentario. Valor por defecto: momento del registro.</t>
        </is>
      </c>
      <c r="S835" s="18" t="inlineStr">
        <is>
          <t>Alta</t>
        </is>
      </c>
      <c r="T835" s="18" t="inlineStr">
        <is>
          <t>nombre + tipo + columnas vecinas + defecto</t>
        </is>
      </c>
      <c r="U835" s="18" t="inlineStr"/>
      <c r="V835" s="19" t="inlineStr">
        <is>
          <t>Pendiente</t>
        </is>
      </c>
      <c r="W835" s="19" t="inlineStr"/>
      <c r="X835" s="19" t="inlineStr"/>
      <c r="Y835" s="20" t="n"/>
      <c r="Z835" s="19" t="inlineStr"/>
      <c r="AA835" s="18">
        <f>IF(OR(V835="Aprobada"),R835,IF(AND(OR(V835="Aprobada con ajuste",V835="Rechazada"),W835&lt;&gt;""),W835,""))</f>
        <v/>
      </c>
    </row>
    <row r="836">
      <c r="A836" s="18" t="inlineStr">
        <is>
          <t>C0835</t>
        </is>
      </c>
      <c r="B836" s="18" t="inlineStr">
        <is>
          <t>Gestión jurídica</t>
        </is>
      </c>
      <c r="C836" s="18" t="inlineStr">
        <is>
          <t>legal_management</t>
        </is>
      </c>
      <c r="D836" s="18" t="inlineStr">
        <is>
          <t>comentarios_oc</t>
        </is>
      </c>
      <c r="E836" s="18" t="n">
        <v>28</v>
      </c>
      <c r="F836" s="18" t="inlineStr">
        <is>
          <t>contenido</t>
        </is>
      </c>
      <c r="G836" s="18" t="inlineStr">
        <is>
          <t>text</t>
        </is>
      </c>
      <c r="H836" s="18" t="inlineStr">
        <is>
          <t>No</t>
        </is>
      </c>
      <c r="I836" s="18" t="inlineStr"/>
      <c r="J836" s="18" t="inlineStr"/>
      <c r="K836" s="18" t="inlineStr"/>
      <c r="L836" s="18" t="inlineStr">
        <is>
          <t>No</t>
        </is>
      </c>
      <c r="M836" s="18" t="inlineStr">
        <is>
          <t>No</t>
        </is>
      </c>
      <c r="N836" s="18" t="inlineStr"/>
      <c r="O836" s="18" t="inlineStr"/>
      <c r="P836" s="18" t="inlineStr">
        <is>
          <t>Mapeada en legal-management-service/src/entities/comentario-oc.entity.ts:16 (ComentarioOC.contenido) | Validación: IsNotEmpty, IsString</t>
        </is>
      </c>
      <c r="Q836" s="18" t="inlineStr">
        <is>
          <t>Propuesta semántica</t>
        </is>
      </c>
      <c r="R836" s="18" t="inlineStr">
        <is>
          <t>Texto del comentario sobre el requerimiento.</t>
        </is>
      </c>
      <c r="S836" s="18" t="inlineStr">
        <is>
          <t>Alta</t>
        </is>
      </c>
      <c r="T836" s="18" t="inlineStr">
        <is>
          <t>nombre + tipo + columnas vecinas</t>
        </is>
      </c>
      <c r="U836" s="18" t="inlineStr"/>
      <c r="V836" s="19" t="inlineStr">
        <is>
          <t>Pendiente</t>
        </is>
      </c>
      <c r="W836" s="19" t="inlineStr"/>
      <c r="X836" s="19" t="inlineStr"/>
      <c r="Y836" s="20" t="n"/>
      <c r="Z836" s="19" t="inlineStr"/>
      <c r="AA836" s="18">
        <f>IF(OR(V836="Aprobada"),R836,IF(AND(OR(V836="Aprobada con ajuste",V836="Rechazada"),W836&lt;&gt;""),W836,""))</f>
        <v/>
      </c>
    </row>
    <row r="837">
      <c r="A837" s="18" t="inlineStr">
        <is>
          <t>C0836</t>
        </is>
      </c>
      <c r="B837" s="18" t="inlineStr">
        <is>
          <t>Gestión jurídica</t>
        </is>
      </c>
      <c r="C837" s="18" t="inlineStr">
        <is>
          <t>legal_management</t>
        </is>
      </c>
      <c r="D837" s="18" t="inlineStr">
        <is>
          <t>comentarios_oc</t>
        </is>
      </c>
      <c r="E837" s="18" t="n">
        <v>28</v>
      </c>
      <c r="F837" s="18" t="inlineStr">
        <is>
          <t>tipo</t>
        </is>
      </c>
      <c r="G837" s="18" t="inlineStr">
        <is>
          <t>character varying(30)</t>
        </is>
      </c>
      <c r="H837" s="18" t="inlineStr">
        <is>
          <t>Sí</t>
        </is>
      </c>
      <c r="I837" s="18" t="inlineStr">
        <is>
          <t>CHECK</t>
        </is>
      </c>
      <c r="J837" s="18" t="inlineStr">
        <is>
          <t>ACTUACION, ALERTA, COMENTARIO, actuacion, alerta, general, importante, interno, respuesta, seguimiento</t>
        </is>
      </c>
      <c r="K837" s="18" t="inlineStr"/>
      <c r="L837" s="18" t="inlineStr">
        <is>
          <t>Sí</t>
        </is>
      </c>
      <c r="M837" s="18" t="inlineStr">
        <is>
          <t>No</t>
        </is>
      </c>
      <c r="N837" s="18" t="inlineStr"/>
      <c r="O837" s="18" t="inlineStr"/>
      <c r="P837" s="18" t="inlineStr">
        <is>
          <t>Mapeada en legal-management-service/src/entities/comentario-oc.entity.ts:19 (ComentarioOC.tipo)</t>
        </is>
      </c>
      <c r="Q837" s="18" t="inlineStr">
        <is>
          <t>Regla estructural</t>
        </is>
      </c>
      <c r="R837" s="18" t="inlineStr">
        <is>
          <t>Tipo del registro de comentarios_oc.</t>
        </is>
      </c>
      <c r="S837" s="18" t="inlineStr">
        <is>
          <t>Media</t>
        </is>
      </c>
      <c r="T837" s="18" t="inlineStr">
        <is>
          <t>Convención de nombre de la columna.</t>
        </is>
      </c>
      <c r="U837" s="18" t="inlineStr"/>
      <c r="V837" s="19" t="inlineStr">
        <is>
          <t>Pendiente</t>
        </is>
      </c>
      <c r="W837" s="19" t="inlineStr"/>
      <c r="X837" s="19" t="inlineStr"/>
      <c r="Y837" s="20" t="n"/>
      <c r="Z837" s="19" t="inlineStr"/>
      <c r="AA837" s="18">
        <f>IF(OR(V837="Aprobada"),R837,IF(AND(OR(V837="Aprobada con ajuste",V837="Rechazada"),W837&lt;&gt;""),W837,""))</f>
        <v/>
      </c>
    </row>
    <row r="838">
      <c r="A838" s="18" t="inlineStr">
        <is>
          <t>C0837</t>
        </is>
      </c>
      <c r="B838" s="18" t="inlineStr">
        <is>
          <t>Gestión jurídica</t>
        </is>
      </c>
      <c r="C838" s="18" t="inlineStr">
        <is>
          <t>legal_management</t>
        </is>
      </c>
      <c r="D838" s="18" t="inlineStr">
        <is>
          <t>comentarios_oc</t>
        </is>
      </c>
      <c r="E838" s="18" t="n">
        <v>28</v>
      </c>
      <c r="F838" s="18" t="inlineStr">
        <is>
          <t>autor_id</t>
        </is>
      </c>
      <c r="G838" s="18" t="inlineStr">
        <is>
          <t>uuid</t>
        </is>
      </c>
      <c r="H838" s="18" t="inlineStr">
        <is>
          <t>Sí</t>
        </is>
      </c>
      <c r="I838" s="18" t="inlineStr"/>
      <c r="J838" s="18" t="inlineStr"/>
      <c r="K838" s="18" t="inlineStr"/>
      <c r="L838" s="18" t="inlineStr">
        <is>
          <t>No</t>
        </is>
      </c>
      <c r="M838" s="18" t="inlineStr">
        <is>
          <t>No</t>
        </is>
      </c>
      <c r="N838" s="18" t="inlineStr"/>
      <c r="O838" s="18" t="inlineStr"/>
      <c r="P838" s="18" t="inlineStr">
        <is>
          <t>Mapeada en legal-management-service/src/entities/comentario-oc.entity.ts:22 (ComentarioOC.autorId)</t>
        </is>
      </c>
      <c r="Q838" s="18" t="inlineStr">
        <is>
          <t>Propuesta semántica</t>
        </is>
      </c>
      <c r="R838" s="18" t="inlineStr">
        <is>
          <t>Identificador del usuario autor del comentario.</t>
        </is>
      </c>
      <c r="S838" s="18" t="inlineStr">
        <is>
          <t>Media</t>
        </is>
      </c>
      <c r="T838" s="18" t="inlineStr">
        <is>
          <t>nombre + tipo + columnas vecinas</t>
        </is>
      </c>
      <c r="U838" s="18" t="inlineStr">
        <is>
          <t>¿Referencia a auth."user"? No tiene FK declarada.</t>
        </is>
      </c>
      <c r="V838" s="19" t="inlineStr">
        <is>
          <t>Pendiente</t>
        </is>
      </c>
      <c r="W838" s="19" t="inlineStr"/>
      <c r="X838" s="19" t="inlineStr"/>
      <c r="Y838" s="20" t="n"/>
      <c r="Z838" s="19" t="inlineStr"/>
      <c r="AA838" s="18">
        <f>IF(OR(V838="Aprobada"),R838,IF(AND(OR(V838="Aprobada con ajuste",V838="Rechazada"),W838&lt;&gt;""),W838,""))</f>
        <v/>
      </c>
    </row>
    <row r="839">
      <c r="A839" s="18" t="inlineStr">
        <is>
          <t>C0838</t>
        </is>
      </c>
      <c r="B839" s="18" t="inlineStr">
        <is>
          <t>Gestión jurídica</t>
        </is>
      </c>
      <c r="C839" s="18" t="inlineStr">
        <is>
          <t>legal_management</t>
        </is>
      </c>
      <c r="D839" s="18" t="inlineStr">
        <is>
          <t>comentarios_oc</t>
        </is>
      </c>
      <c r="E839" s="18" t="n">
        <v>28</v>
      </c>
      <c r="F839" s="18" t="inlineStr">
        <is>
          <t>autor_nombre</t>
        </is>
      </c>
      <c r="G839" s="18" t="inlineStr">
        <is>
          <t>character varying(200)</t>
        </is>
      </c>
      <c r="H839" s="18" t="inlineStr">
        <is>
          <t>Sí</t>
        </is>
      </c>
      <c r="I839" s="18" t="inlineStr"/>
      <c r="J839" s="18" t="inlineStr"/>
      <c r="K839" s="18" t="inlineStr"/>
      <c r="L839" s="18" t="inlineStr">
        <is>
          <t>No</t>
        </is>
      </c>
      <c r="M839" s="18" t="inlineStr">
        <is>
          <t>No</t>
        </is>
      </c>
      <c r="N839" s="18" t="inlineStr"/>
      <c r="O839" s="18" t="inlineStr"/>
      <c r="P839" s="18" t="inlineStr">
        <is>
          <t>Mapeada en legal-management-service/src/entities/comentario-oc.entity.ts:25 (ComentarioOC.autorNombre)</t>
        </is>
      </c>
      <c r="Q839" s="18" t="inlineStr">
        <is>
          <t>Propuesta semántica</t>
        </is>
      </c>
      <c r="R839" s="18" t="inlineStr">
        <is>
          <t>Nombre del autor del comentario.</t>
        </is>
      </c>
      <c r="S839" s="18" t="inlineStr">
        <is>
          <t>Alta</t>
        </is>
      </c>
      <c r="T839" s="18" t="inlineStr">
        <is>
          <t>nombre + tipo + columnas vecinas</t>
        </is>
      </c>
      <c r="U839" s="18" t="inlineStr"/>
      <c r="V839" s="19" t="inlineStr">
        <is>
          <t>Pendiente</t>
        </is>
      </c>
      <c r="W839" s="19" t="inlineStr"/>
      <c r="X839" s="19" t="inlineStr"/>
      <c r="Y839" s="20" t="n"/>
      <c r="Z839" s="19" t="inlineStr"/>
      <c r="AA839" s="18">
        <f>IF(OR(V839="Aprobada"),R839,IF(AND(OR(V839="Aprobada con ajuste",V839="Rechazada"),W839&lt;&gt;""),W839,""))</f>
        <v/>
      </c>
    </row>
    <row r="840">
      <c r="A840" s="18" t="inlineStr">
        <is>
          <t>C0839</t>
        </is>
      </c>
      <c r="B840" s="18" t="inlineStr">
        <is>
          <t>Gestión jurídica</t>
        </is>
      </c>
      <c r="C840" s="18" t="inlineStr">
        <is>
          <t>legal_management</t>
        </is>
      </c>
      <c r="D840" s="18" t="inlineStr">
        <is>
          <t>conceptos_juridicos</t>
        </is>
      </c>
      <c r="E840" s="18" t="n">
        <v>0</v>
      </c>
      <c r="F840" s="18" t="inlineStr">
        <is>
          <t>numero_concepto</t>
        </is>
      </c>
      <c r="G840" s="18" t="inlineStr">
        <is>
          <t>character varying(50)</t>
        </is>
      </c>
      <c r="H840" s="18" t="inlineStr">
        <is>
          <t>No</t>
        </is>
      </c>
      <c r="I840" s="18" t="inlineStr">
        <is>
          <t>Única</t>
        </is>
      </c>
      <c r="J840" s="18" t="inlineStr"/>
      <c r="K840" s="18" t="inlineStr"/>
      <c r="L840" s="18" t="inlineStr">
        <is>
          <t>No</t>
        </is>
      </c>
      <c r="M840" s="18" t="inlineStr">
        <is>
          <t>No</t>
        </is>
      </c>
      <c r="N840" s="18" t="inlineStr"/>
      <c r="O840" s="18" t="inlineStr">
        <is>
          <t>conceptos_juridicos_numero_concepto_key</t>
        </is>
      </c>
      <c r="P840" s="18" t="inlineStr"/>
      <c r="Q840" s="18" t="inlineStr">
        <is>
          <t>Propuesta semántica</t>
        </is>
      </c>
      <c r="R840" s="18" t="inlineStr">
        <is>
          <t>Número del concepto jurídico. Es único en la tabla.</t>
        </is>
      </c>
      <c r="S840" s="18" t="inlineStr">
        <is>
          <t>Alta</t>
        </is>
      </c>
      <c r="T840" s="18" t="inlineStr">
        <is>
          <t>nombre + tipo + columnas vecinas + restricción única</t>
        </is>
      </c>
      <c r="U840" s="18" t="inlineStr"/>
      <c r="V840" s="19" t="inlineStr">
        <is>
          <t>Pendiente</t>
        </is>
      </c>
      <c r="W840" s="19" t="inlineStr"/>
      <c r="X840" s="19" t="inlineStr"/>
      <c r="Y840" s="20" t="n"/>
      <c r="Z840" s="19" t="inlineStr"/>
      <c r="AA840" s="18">
        <f>IF(OR(V840="Aprobada"),R840,IF(AND(OR(V840="Aprobada con ajuste",V840="Rechazada"),W840&lt;&gt;""),W840,""))</f>
        <v/>
      </c>
    </row>
    <row r="841">
      <c r="A841" s="18" t="inlineStr">
        <is>
          <t>C0840</t>
        </is>
      </c>
      <c r="B841" s="18" t="inlineStr">
        <is>
          <t>Gestión jurídica</t>
        </is>
      </c>
      <c r="C841" s="18" t="inlineStr">
        <is>
          <t>legal_management</t>
        </is>
      </c>
      <c r="D841" s="18" t="inlineStr">
        <is>
          <t>conceptos_juridicos</t>
        </is>
      </c>
      <c r="E841" s="18" t="n">
        <v>0</v>
      </c>
      <c r="F841" s="18" t="inlineStr">
        <is>
          <t>tipo_documento</t>
        </is>
      </c>
      <c r="G841" s="18" t="inlineStr">
        <is>
          <t>character varying(30)</t>
        </is>
      </c>
      <c r="H841" s="18" t="inlineStr">
        <is>
          <t>Sí</t>
        </is>
      </c>
      <c r="I841" s="18" t="inlineStr">
        <is>
          <t>CHECK</t>
        </is>
      </c>
      <c r="J841" s="18" t="inlineStr">
        <is>
          <t>CONCEPTO, MEMORANDO, REVISION, VIABILIDAD</t>
        </is>
      </c>
      <c r="K841" s="18" t="inlineStr"/>
      <c r="L841" s="18" t="inlineStr">
        <is>
          <t>Sí</t>
        </is>
      </c>
      <c r="M841" s="18" t="inlineStr">
        <is>
          <t>No</t>
        </is>
      </c>
      <c r="N841" s="18" t="inlineStr"/>
      <c r="O841" s="18" t="inlineStr"/>
      <c r="P841" s="18" t="inlineStr"/>
      <c r="Q841" s="18" t="inlineStr">
        <is>
          <t>Propuesta semántica</t>
        </is>
      </c>
      <c r="R841" s="18" t="inlineStr">
        <is>
          <t>Tipo de documento jurídico. Valores permitidos: CONCEPTO, MEMORANDO, REVISION, VIABILIDAD. Valor por defecto: CONCEPTO.</t>
        </is>
      </c>
      <c r="S841" s="18" t="inlineStr">
        <is>
          <t>Alta</t>
        </is>
      </c>
      <c r="T841" s="18" t="inlineStr">
        <is>
          <t>valores permitidos del CHECK + defecto</t>
        </is>
      </c>
      <c r="U841" s="18" t="inlineStr"/>
      <c r="V841" s="19" t="inlineStr">
        <is>
          <t>Pendiente</t>
        </is>
      </c>
      <c r="W841" s="19" t="inlineStr"/>
      <c r="X841" s="19" t="inlineStr"/>
      <c r="Y841" s="20" t="n"/>
      <c r="Z841" s="19" t="inlineStr"/>
      <c r="AA841" s="18">
        <f>IF(OR(V841="Aprobada"),R841,IF(AND(OR(V841="Aprobada con ajuste",V841="Rechazada"),W841&lt;&gt;""),W841,""))</f>
        <v/>
      </c>
    </row>
    <row r="842">
      <c r="A842" s="18" t="inlineStr">
        <is>
          <t>C0841</t>
        </is>
      </c>
      <c r="B842" s="18" t="inlineStr">
        <is>
          <t>Gestión jurídica</t>
        </is>
      </c>
      <c r="C842" s="18" t="inlineStr">
        <is>
          <t>legal_management</t>
        </is>
      </c>
      <c r="D842" s="18" t="inlineStr">
        <is>
          <t>conceptos_juridicos</t>
        </is>
      </c>
      <c r="E842" s="18" t="n">
        <v>0</v>
      </c>
      <c r="F842" s="18" t="inlineStr">
        <is>
          <t>titulo</t>
        </is>
      </c>
      <c r="G842" s="18" t="inlineStr">
        <is>
          <t>character varying(300)</t>
        </is>
      </c>
      <c r="H842" s="18" t="inlineStr">
        <is>
          <t>No</t>
        </is>
      </c>
      <c r="I842" s="18" t="inlineStr"/>
      <c r="J842" s="18" t="inlineStr"/>
      <c r="K842" s="18" t="inlineStr"/>
      <c r="L842" s="18" t="inlineStr">
        <is>
          <t>No</t>
        </is>
      </c>
      <c r="M842" s="18" t="inlineStr">
        <is>
          <t>No</t>
        </is>
      </c>
      <c r="N842" s="18" t="inlineStr"/>
      <c r="O842" s="18" t="inlineStr"/>
      <c r="P842" s="18" t="inlineStr"/>
      <c r="Q842" s="18" t="inlineStr">
        <is>
          <t>Propuesta semántica</t>
        </is>
      </c>
      <c r="R842" s="18" t="inlineStr">
        <is>
          <t>Título del concepto jurídico.</t>
        </is>
      </c>
      <c r="S842" s="18" t="inlineStr">
        <is>
          <t>Alta</t>
        </is>
      </c>
      <c r="T842" s="18" t="inlineStr">
        <is>
          <t>nombre + tipo + columnas vecinas</t>
        </is>
      </c>
      <c r="U842" s="18" t="inlineStr"/>
      <c r="V842" s="19" t="inlineStr">
        <is>
          <t>Pendiente</t>
        </is>
      </c>
      <c r="W842" s="19" t="inlineStr"/>
      <c r="X842" s="19" t="inlineStr"/>
      <c r="Y842" s="20" t="n"/>
      <c r="Z842" s="19" t="inlineStr"/>
      <c r="AA842" s="18">
        <f>IF(OR(V842="Aprobada"),R842,IF(AND(OR(V842="Aprobada con ajuste",V842="Rechazada"),W842&lt;&gt;""),W842,""))</f>
        <v/>
      </c>
    </row>
    <row r="843">
      <c r="A843" s="18" t="inlineStr">
        <is>
          <t>C0842</t>
        </is>
      </c>
      <c r="B843" s="18" t="inlineStr">
        <is>
          <t>Gestión jurídica</t>
        </is>
      </c>
      <c r="C843" s="18" t="inlineStr">
        <is>
          <t>legal_management</t>
        </is>
      </c>
      <c r="D843" s="18" t="inlineStr">
        <is>
          <t>conceptos_juridicos</t>
        </is>
      </c>
      <c r="E843" s="18" t="n">
        <v>0</v>
      </c>
      <c r="F843" s="18" t="inlineStr">
        <is>
          <t>resumen</t>
        </is>
      </c>
      <c r="G843" s="18" t="inlineStr">
        <is>
          <t>text</t>
        </is>
      </c>
      <c r="H843" s="18" t="inlineStr">
        <is>
          <t>Sí</t>
        </is>
      </c>
      <c r="I843" s="18" t="inlineStr"/>
      <c r="J843" s="18" t="inlineStr"/>
      <c r="K843" s="18" t="inlineStr"/>
      <c r="L843" s="18" t="inlineStr">
        <is>
          <t>No</t>
        </is>
      </c>
      <c r="M843" s="18" t="inlineStr">
        <is>
          <t>No</t>
        </is>
      </c>
      <c r="N843" s="18" t="inlineStr"/>
      <c r="O843" s="18" t="inlineStr"/>
      <c r="P843" s="18" t="inlineStr"/>
      <c r="Q843" s="18" t="inlineStr">
        <is>
          <t>Propuesta semántica</t>
        </is>
      </c>
      <c r="R843" s="18" t="inlineStr">
        <is>
          <t>Resumen del concepto jurídico.</t>
        </is>
      </c>
      <c r="S843" s="18" t="inlineStr">
        <is>
          <t>Alta</t>
        </is>
      </c>
      <c r="T843" s="18" t="inlineStr">
        <is>
          <t>nombre + tipo + columnas vecinas</t>
        </is>
      </c>
      <c r="U843" s="18" t="inlineStr"/>
      <c r="V843" s="19" t="inlineStr">
        <is>
          <t>Pendiente</t>
        </is>
      </c>
      <c r="W843" s="19" t="inlineStr"/>
      <c r="X843" s="19" t="inlineStr"/>
      <c r="Y843" s="20" t="n"/>
      <c r="Z843" s="19" t="inlineStr"/>
      <c r="AA843" s="18">
        <f>IF(OR(V843="Aprobada"),R843,IF(AND(OR(V843="Aprobada con ajuste",V843="Rechazada"),W843&lt;&gt;""),W843,""))</f>
        <v/>
      </c>
    </row>
    <row r="844">
      <c r="A844" s="18" t="inlineStr">
        <is>
          <t>C0843</t>
        </is>
      </c>
      <c r="B844" s="18" t="inlineStr">
        <is>
          <t>Gestión jurídica</t>
        </is>
      </c>
      <c r="C844" s="18" t="inlineStr">
        <is>
          <t>legal_management</t>
        </is>
      </c>
      <c r="D844" s="18" t="inlineStr">
        <is>
          <t>conceptos_juridicos</t>
        </is>
      </c>
      <c r="E844" s="18" t="n">
        <v>0</v>
      </c>
      <c r="F844" s="18" t="inlineStr">
        <is>
          <t>analisis_juridico</t>
        </is>
      </c>
      <c r="G844" s="18" t="inlineStr">
        <is>
          <t>text</t>
        </is>
      </c>
      <c r="H844" s="18" t="inlineStr">
        <is>
          <t>No</t>
        </is>
      </c>
      <c r="I844" s="18" t="inlineStr"/>
      <c r="J844" s="18" t="inlineStr"/>
      <c r="K844" s="18" t="inlineStr"/>
      <c r="L844" s="18" t="inlineStr">
        <is>
          <t>No</t>
        </is>
      </c>
      <c r="M844" s="18" t="inlineStr">
        <is>
          <t>No</t>
        </is>
      </c>
      <c r="N844" s="18" t="inlineStr"/>
      <c r="O844" s="18" t="inlineStr"/>
      <c r="P844" s="18" t="inlineStr"/>
      <c r="Q844" s="18" t="inlineStr">
        <is>
          <t>Propuesta semántica</t>
        </is>
      </c>
      <c r="R844" s="18" t="inlineStr">
        <is>
          <t>Análisis jurídico que sustenta el concepto.</t>
        </is>
      </c>
      <c r="S844" s="18" t="inlineStr">
        <is>
          <t>Alta</t>
        </is>
      </c>
      <c r="T844" s="18" t="inlineStr">
        <is>
          <t>nombre + tipo + columnas vecinas</t>
        </is>
      </c>
      <c r="U844" s="18" t="inlineStr"/>
      <c r="V844" s="19" t="inlineStr">
        <is>
          <t>Pendiente</t>
        </is>
      </c>
      <c r="W844" s="19" t="inlineStr"/>
      <c r="X844" s="19" t="inlineStr"/>
      <c r="Y844" s="20" t="n"/>
      <c r="Z844" s="19" t="inlineStr"/>
      <c r="AA844" s="18">
        <f>IF(OR(V844="Aprobada"),R844,IF(AND(OR(V844="Aprobada con ajuste",V844="Rechazada"),W844&lt;&gt;""),W844,""))</f>
        <v/>
      </c>
    </row>
    <row r="845">
      <c r="A845" s="18" t="inlineStr">
        <is>
          <t>C0844</t>
        </is>
      </c>
      <c r="B845" s="18" t="inlineStr">
        <is>
          <t>Gestión jurídica</t>
        </is>
      </c>
      <c r="C845" s="18" t="inlineStr">
        <is>
          <t>legal_management</t>
        </is>
      </c>
      <c r="D845" s="18" t="inlineStr">
        <is>
          <t>conceptos_juridicos</t>
        </is>
      </c>
      <c r="E845" s="18" t="n">
        <v>0</v>
      </c>
      <c r="F845" s="18" t="inlineStr">
        <is>
          <t>normatividad_aplicable</t>
        </is>
      </c>
      <c r="G845" s="18" t="inlineStr">
        <is>
          <t>text</t>
        </is>
      </c>
      <c r="H845" s="18" t="inlineStr">
        <is>
          <t>Sí</t>
        </is>
      </c>
      <c r="I845" s="18" t="inlineStr"/>
      <c r="J845" s="18" t="inlineStr"/>
      <c r="K845" s="18" t="inlineStr"/>
      <c r="L845" s="18" t="inlineStr">
        <is>
          <t>No</t>
        </is>
      </c>
      <c r="M845" s="18" t="inlineStr">
        <is>
          <t>No</t>
        </is>
      </c>
      <c r="N845" s="18" t="inlineStr"/>
      <c r="O845" s="18" t="inlineStr"/>
      <c r="P845" s="18" t="inlineStr"/>
      <c r="Q845" s="18" t="inlineStr">
        <is>
          <t>Propuesta semántica</t>
        </is>
      </c>
      <c r="R845" s="18" t="inlineStr">
        <is>
          <t>Normas aplicables al caso analizado en el concepto.</t>
        </is>
      </c>
      <c r="S845" s="18" t="inlineStr">
        <is>
          <t>Alta</t>
        </is>
      </c>
      <c r="T845" s="18" t="inlineStr">
        <is>
          <t>nombre + tipo + columnas vecinas</t>
        </is>
      </c>
      <c r="U845" s="18" t="inlineStr"/>
      <c r="V845" s="19" t="inlineStr">
        <is>
          <t>Pendiente</t>
        </is>
      </c>
      <c r="W845" s="19" t="inlineStr"/>
      <c r="X845" s="19" t="inlineStr"/>
      <c r="Y845" s="20" t="n"/>
      <c r="Z845" s="19" t="inlineStr"/>
      <c r="AA845" s="18">
        <f>IF(OR(V845="Aprobada"),R845,IF(AND(OR(V845="Aprobada con ajuste",V845="Rechazada"),W845&lt;&gt;""),W845,""))</f>
        <v/>
      </c>
    </row>
    <row r="846">
      <c r="A846" s="18" t="inlineStr">
        <is>
          <t>C0845</t>
        </is>
      </c>
      <c r="B846" s="18" t="inlineStr">
        <is>
          <t>Gestión jurídica</t>
        </is>
      </c>
      <c r="C846" s="18" t="inlineStr">
        <is>
          <t>legal_management</t>
        </is>
      </c>
      <c r="D846" s="18" t="inlineStr">
        <is>
          <t>conceptos_juridicos</t>
        </is>
      </c>
      <c r="E846" s="18" t="n">
        <v>0</v>
      </c>
      <c r="F846" s="18" t="inlineStr">
        <is>
          <t>conclusion</t>
        </is>
      </c>
      <c r="G846" s="18" t="inlineStr">
        <is>
          <t>text</t>
        </is>
      </c>
      <c r="H846" s="18" t="inlineStr">
        <is>
          <t>No</t>
        </is>
      </c>
      <c r="I846" s="18" t="inlineStr"/>
      <c r="J846" s="18" t="inlineStr"/>
      <c r="K846" s="18" t="inlineStr"/>
      <c r="L846" s="18" t="inlineStr">
        <is>
          <t>No</t>
        </is>
      </c>
      <c r="M846" s="18" t="inlineStr">
        <is>
          <t>No</t>
        </is>
      </c>
      <c r="N846" s="18" t="inlineStr"/>
      <c r="O846" s="18" t="inlineStr"/>
      <c r="P846" s="18" t="inlineStr"/>
      <c r="Q846" s="18" t="inlineStr">
        <is>
          <t>Propuesta semántica</t>
        </is>
      </c>
      <c r="R846" s="18" t="inlineStr">
        <is>
          <t>Conclusión del concepto jurídico.</t>
        </is>
      </c>
      <c r="S846" s="18" t="inlineStr">
        <is>
          <t>Alta</t>
        </is>
      </c>
      <c r="T846" s="18" t="inlineStr">
        <is>
          <t>nombre + tipo + columnas vecinas</t>
        </is>
      </c>
      <c r="U846" s="18" t="inlineStr"/>
      <c r="V846" s="19" t="inlineStr">
        <is>
          <t>Pendiente</t>
        </is>
      </c>
      <c r="W846" s="19" t="inlineStr"/>
      <c r="X846" s="19" t="inlineStr"/>
      <c r="Y846" s="20" t="n"/>
      <c r="Z846" s="19" t="inlineStr"/>
      <c r="AA846" s="18">
        <f>IF(OR(V846="Aprobada"),R846,IF(AND(OR(V846="Aprobada con ajuste",V846="Rechazada"),W846&lt;&gt;""),W846,""))</f>
        <v/>
      </c>
    </row>
    <row r="847">
      <c r="A847" s="18" t="inlineStr">
        <is>
          <t>C0846</t>
        </is>
      </c>
      <c r="B847" s="18" t="inlineStr">
        <is>
          <t>Gestión jurídica</t>
        </is>
      </c>
      <c r="C847" s="18" t="inlineStr">
        <is>
          <t>legal_management</t>
        </is>
      </c>
      <c r="D847" s="18" t="inlineStr">
        <is>
          <t>conceptos_juridicos</t>
        </is>
      </c>
      <c r="E847" s="18" t="n">
        <v>0</v>
      </c>
      <c r="F847" s="18" t="inlineStr">
        <is>
          <t>recomendaciones</t>
        </is>
      </c>
      <c r="G847" s="18" t="inlineStr">
        <is>
          <t>text</t>
        </is>
      </c>
      <c r="H847" s="18" t="inlineStr">
        <is>
          <t>Sí</t>
        </is>
      </c>
      <c r="I847" s="18" t="inlineStr"/>
      <c r="J847" s="18" t="inlineStr"/>
      <c r="K847" s="18" t="inlineStr"/>
      <c r="L847" s="18" t="inlineStr">
        <is>
          <t>No</t>
        </is>
      </c>
      <c r="M847" s="18" t="inlineStr">
        <is>
          <t>No</t>
        </is>
      </c>
      <c r="N847" s="18" t="inlineStr"/>
      <c r="O847" s="18" t="inlineStr"/>
      <c r="P847" s="18" t="inlineStr"/>
      <c r="Q847" s="18" t="inlineStr">
        <is>
          <t>Propuesta semántica</t>
        </is>
      </c>
      <c r="R847" s="18" t="inlineStr">
        <is>
          <t>Recomendaciones del concepto jurídico.</t>
        </is>
      </c>
      <c r="S847" s="18" t="inlineStr">
        <is>
          <t>Alta</t>
        </is>
      </c>
      <c r="T847" s="18" t="inlineStr">
        <is>
          <t>nombre + tipo + columnas vecinas</t>
        </is>
      </c>
      <c r="U847" s="18" t="inlineStr"/>
      <c r="V847" s="19" t="inlineStr">
        <is>
          <t>Pendiente</t>
        </is>
      </c>
      <c r="W847" s="19" t="inlineStr"/>
      <c r="X847" s="19" t="inlineStr"/>
      <c r="Y847" s="20" t="n"/>
      <c r="Z847" s="19" t="inlineStr"/>
      <c r="AA847" s="18">
        <f>IF(OR(V847="Aprobada"),R847,IF(AND(OR(V847="Aprobada con ajuste",V847="Rechazada"),W847&lt;&gt;""),W847,""))</f>
        <v/>
      </c>
    </row>
    <row r="848">
      <c r="A848" s="18" t="inlineStr">
        <is>
          <t>C0847</t>
        </is>
      </c>
      <c r="B848" s="18" t="inlineStr">
        <is>
          <t>Gestión jurídica</t>
        </is>
      </c>
      <c r="C848" s="18" t="inlineStr">
        <is>
          <t>legal_management</t>
        </is>
      </c>
      <c r="D848" s="18" t="inlineStr">
        <is>
          <t>conceptos_juridicos</t>
        </is>
      </c>
      <c r="E848" s="18" t="n">
        <v>0</v>
      </c>
      <c r="F848" s="18" t="inlineStr">
        <is>
          <t>documento_pdf_url</t>
        </is>
      </c>
      <c r="G848" s="18" t="inlineStr">
        <is>
          <t>character varying(500)</t>
        </is>
      </c>
      <c r="H848" s="18" t="inlineStr">
        <is>
          <t>Sí</t>
        </is>
      </c>
      <c r="I848" s="18" t="inlineStr"/>
      <c r="J848" s="18" t="inlineStr"/>
      <c r="K848" s="18" t="inlineStr"/>
      <c r="L848" s="18" t="inlineStr">
        <is>
          <t>No</t>
        </is>
      </c>
      <c r="M848" s="18" t="inlineStr">
        <is>
          <t>No</t>
        </is>
      </c>
      <c r="N848" s="18" t="inlineStr"/>
      <c r="O848" s="18" t="inlineStr"/>
      <c r="P848" s="18" t="inlineStr"/>
      <c r="Q848" s="18" t="inlineStr">
        <is>
          <t>Propuesta semántica</t>
        </is>
      </c>
      <c r="R848" s="18" t="inlineStr">
        <is>
          <t>URL del documento PDF del concepto.</t>
        </is>
      </c>
      <c r="S848" s="18" t="inlineStr">
        <is>
          <t>Alta</t>
        </is>
      </c>
      <c r="T848" s="18" t="inlineStr">
        <is>
          <t>nombre + tipo + columnas vecinas</t>
        </is>
      </c>
      <c r="U848" s="18" t="inlineStr"/>
      <c r="V848" s="19" t="inlineStr">
        <is>
          <t>Pendiente</t>
        </is>
      </c>
      <c r="W848" s="19" t="inlineStr"/>
      <c r="X848" s="19" t="inlineStr"/>
      <c r="Y848" s="20" t="n"/>
      <c r="Z848" s="19" t="inlineStr"/>
      <c r="AA848" s="18">
        <f>IF(OR(V848="Aprobada"),R848,IF(AND(OR(V848="Aprobada con ajuste",V848="Rechazada"),W848&lt;&gt;""),W848,""))</f>
        <v/>
      </c>
    </row>
    <row r="849">
      <c r="A849" s="18" t="inlineStr">
        <is>
          <t>C0848</t>
        </is>
      </c>
      <c r="B849" s="18" t="inlineStr">
        <is>
          <t>Gestión jurídica</t>
        </is>
      </c>
      <c r="C849" s="18" t="inlineStr">
        <is>
          <t>legal_management</t>
        </is>
      </c>
      <c r="D849" s="18" t="inlineStr">
        <is>
          <t>conceptos_juridicos</t>
        </is>
      </c>
      <c r="E849" s="18" t="n">
        <v>0</v>
      </c>
      <c r="F849" s="18" t="inlineStr">
        <is>
          <t>estado</t>
        </is>
      </c>
      <c r="G849" s="18" t="inlineStr">
        <is>
          <t>character varying(20)</t>
        </is>
      </c>
      <c r="H849" s="18" t="inlineStr">
        <is>
          <t>Sí</t>
        </is>
      </c>
      <c r="I849" s="18" t="inlineStr">
        <is>
          <t>CHECK</t>
        </is>
      </c>
      <c r="J849" s="18" t="inlineStr">
        <is>
          <t>APROBADO, BORRADOR, DEVUELTO, EMITIDO, EN_REVISION</t>
        </is>
      </c>
      <c r="K849" s="18" t="inlineStr"/>
      <c r="L849" s="18" t="inlineStr">
        <is>
          <t>Sí</t>
        </is>
      </c>
      <c r="M849" s="18" t="inlineStr">
        <is>
          <t>No</t>
        </is>
      </c>
      <c r="N849" s="18" t="inlineStr"/>
      <c r="O849" s="18" t="inlineStr">
        <is>
          <t>idx_conceptos_estado</t>
        </is>
      </c>
      <c r="P849" s="18" t="inlineStr"/>
      <c r="Q849" s="18" t="inlineStr">
        <is>
          <t>Regla estructural</t>
        </is>
      </c>
      <c r="R849" s="18" t="inlineStr">
        <is>
          <t>Estado del registro de conceptos_juridicos.</t>
        </is>
      </c>
      <c r="S849" s="18" t="inlineStr">
        <is>
          <t>Media</t>
        </is>
      </c>
      <c r="T849" s="18" t="inlineStr">
        <is>
          <t>Convención de nombre de la columna.</t>
        </is>
      </c>
      <c r="U849" s="18" t="inlineStr"/>
      <c r="V849" s="19" t="inlineStr">
        <is>
          <t>Pendiente</t>
        </is>
      </c>
      <c r="W849" s="19" t="inlineStr"/>
      <c r="X849" s="19" t="inlineStr"/>
      <c r="Y849" s="20" t="n"/>
      <c r="Z849" s="19" t="inlineStr"/>
      <c r="AA849" s="18">
        <f>IF(OR(V849="Aprobada"),R849,IF(AND(OR(V849="Aprobada con ajuste",V849="Rechazada"),W849&lt;&gt;""),W849,""))</f>
        <v/>
      </c>
    </row>
    <row r="850">
      <c r="A850" s="18" t="inlineStr">
        <is>
          <t>C0849</t>
        </is>
      </c>
      <c r="B850" s="18" t="inlineStr">
        <is>
          <t>Gestión jurídica</t>
        </is>
      </c>
      <c r="C850" s="18" t="inlineStr">
        <is>
          <t>legal_management</t>
        </is>
      </c>
      <c r="D850" s="18" t="inlineStr">
        <is>
          <t>conceptos_juridicos</t>
        </is>
      </c>
      <c r="E850" s="18" t="n">
        <v>0</v>
      </c>
      <c r="F850" s="18" t="inlineStr">
        <is>
          <t>abogado_redactor_id</t>
        </is>
      </c>
      <c r="G850" s="18" t="inlineStr">
        <is>
          <t>uuid</t>
        </is>
      </c>
      <c r="H850" s="18" t="inlineStr">
        <is>
          <t>Sí</t>
        </is>
      </c>
      <c r="I850" s="18" t="inlineStr"/>
      <c r="J850" s="18" t="inlineStr"/>
      <c r="K850" s="18" t="inlineStr"/>
      <c r="L850" s="18" t="inlineStr">
        <is>
          <t>No</t>
        </is>
      </c>
      <c r="M850" s="18" t="inlineStr">
        <is>
          <t>No</t>
        </is>
      </c>
      <c r="N850" s="18" t="inlineStr"/>
      <c r="O850" s="18" t="inlineStr"/>
      <c r="P850" s="18" t="inlineStr"/>
      <c r="Q850" s="18" t="inlineStr">
        <is>
          <t>Propuesta semántica</t>
        </is>
      </c>
      <c r="R850" s="18" t="inlineStr">
        <is>
          <t>Identificador del abogado que redactó el concepto.</t>
        </is>
      </c>
      <c r="S850" s="18" t="inlineStr">
        <is>
          <t>Media</t>
        </is>
      </c>
      <c r="T850" s="18" t="inlineStr">
        <is>
          <t>nombre + tipo + columnas vecinas</t>
        </is>
      </c>
      <c r="U850" s="18" t="inlineStr">
        <is>
          <t>¿Referencia a qué tabla de abogados o usuarios? No tiene FK declarada.</t>
        </is>
      </c>
      <c r="V850" s="19" t="inlineStr">
        <is>
          <t>Pendiente</t>
        </is>
      </c>
      <c r="W850" s="19" t="inlineStr"/>
      <c r="X850" s="19" t="inlineStr"/>
      <c r="Y850" s="20" t="n"/>
      <c r="Z850" s="19" t="inlineStr"/>
      <c r="AA850" s="18">
        <f>IF(OR(V850="Aprobada"),R850,IF(AND(OR(V850="Aprobada con ajuste",V850="Rechazada"),W850&lt;&gt;""),W850,""))</f>
        <v/>
      </c>
    </row>
    <row r="851">
      <c r="A851" s="18" t="inlineStr">
        <is>
          <t>C0850</t>
        </is>
      </c>
      <c r="B851" s="18" t="inlineStr">
        <is>
          <t>Gestión jurídica</t>
        </is>
      </c>
      <c r="C851" s="18" t="inlineStr">
        <is>
          <t>legal_management</t>
        </is>
      </c>
      <c r="D851" s="18" t="inlineStr">
        <is>
          <t>conceptos_juridicos</t>
        </is>
      </c>
      <c r="E851" s="18" t="n">
        <v>0</v>
      </c>
      <c r="F851" s="18" t="inlineStr">
        <is>
          <t>abogado_redactor_nombre</t>
        </is>
      </c>
      <c r="G851" s="18" t="inlineStr">
        <is>
          <t>character varying(150)</t>
        </is>
      </c>
      <c r="H851" s="18" t="inlineStr">
        <is>
          <t>Sí</t>
        </is>
      </c>
      <c r="I851" s="18" t="inlineStr"/>
      <c r="J851" s="18" t="inlineStr"/>
      <c r="K851" s="18" t="inlineStr"/>
      <c r="L851" s="18" t="inlineStr">
        <is>
          <t>No</t>
        </is>
      </c>
      <c r="M851" s="18" t="inlineStr">
        <is>
          <t>No</t>
        </is>
      </c>
      <c r="N851" s="18" t="inlineStr"/>
      <c r="O851" s="18" t="inlineStr"/>
      <c r="P851" s="18" t="inlineStr"/>
      <c r="Q851" s="18" t="inlineStr">
        <is>
          <t>Propuesta semántica</t>
        </is>
      </c>
      <c r="R851" s="18" t="inlineStr">
        <is>
          <t>Nombre del abogado que redactó el concepto.</t>
        </is>
      </c>
      <c r="S851" s="18" t="inlineStr">
        <is>
          <t>Alta</t>
        </is>
      </c>
      <c r="T851" s="18" t="inlineStr">
        <is>
          <t>nombre + tipo + columnas vecinas</t>
        </is>
      </c>
      <c r="U851" s="18" t="inlineStr"/>
      <c r="V851" s="19" t="inlineStr">
        <is>
          <t>Pendiente</t>
        </is>
      </c>
      <c r="W851" s="19" t="inlineStr"/>
      <c r="X851" s="19" t="inlineStr"/>
      <c r="Y851" s="20" t="n"/>
      <c r="Z851" s="19" t="inlineStr"/>
      <c r="AA851" s="18">
        <f>IF(OR(V851="Aprobada"),R851,IF(AND(OR(V851="Aprobada con ajuste",V851="Rechazada"),W851&lt;&gt;""),W851,""))</f>
        <v/>
      </c>
    </row>
    <row r="852">
      <c r="A852" s="18" t="inlineStr">
        <is>
          <t>C0851</t>
        </is>
      </c>
      <c r="B852" s="18" t="inlineStr">
        <is>
          <t>Gestión jurídica</t>
        </is>
      </c>
      <c r="C852" s="18" t="inlineStr">
        <is>
          <t>legal_management</t>
        </is>
      </c>
      <c r="D852" s="18" t="inlineStr">
        <is>
          <t>conceptos_juridicos</t>
        </is>
      </c>
      <c r="E852" s="18" t="n">
        <v>0</v>
      </c>
      <c r="F852" s="18" t="inlineStr">
        <is>
          <t>revisor_id</t>
        </is>
      </c>
      <c r="G852" s="18" t="inlineStr">
        <is>
          <t>uuid</t>
        </is>
      </c>
      <c r="H852" s="18" t="inlineStr">
        <is>
          <t>Sí</t>
        </is>
      </c>
      <c r="I852" s="18" t="inlineStr"/>
      <c r="J852" s="18" t="inlineStr"/>
      <c r="K852" s="18" t="inlineStr"/>
      <c r="L852" s="18" t="inlineStr">
        <is>
          <t>No</t>
        </is>
      </c>
      <c r="M852" s="18" t="inlineStr">
        <is>
          <t>No</t>
        </is>
      </c>
      <c r="N852" s="18" t="inlineStr"/>
      <c r="O852" s="18" t="inlineStr"/>
      <c r="P852" s="18" t="inlineStr"/>
      <c r="Q852" s="18" t="inlineStr">
        <is>
          <t>Propuesta semántica</t>
        </is>
      </c>
      <c r="R852" s="18" t="inlineStr">
        <is>
          <t>Identificador del usuario que revisó el concepto.</t>
        </is>
      </c>
      <c r="S852" s="18" t="inlineStr">
        <is>
          <t>Media</t>
        </is>
      </c>
      <c r="T852" s="18" t="inlineStr">
        <is>
          <t>nombre + tipo + columnas vecinas</t>
        </is>
      </c>
      <c r="U852" s="18" t="inlineStr">
        <is>
          <t>¿Referencia a qué tabla de usuarios? No tiene FK declarada.</t>
        </is>
      </c>
      <c r="V852" s="19" t="inlineStr">
        <is>
          <t>Pendiente</t>
        </is>
      </c>
      <c r="W852" s="19" t="inlineStr"/>
      <c r="X852" s="19" t="inlineStr"/>
      <c r="Y852" s="20" t="n"/>
      <c r="Z852" s="19" t="inlineStr"/>
      <c r="AA852" s="18">
        <f>IF(OR(V852="Aprobada"),R852,IF(AND(OR(V852="Aprobada con ajuste",V852="Rechazada"),W852&lt;&gt;""),W852,""))</f>
        <v/>
      </c>
    </row>
    <row r="853">
      <c r="A853" s="18" t="inlineStr">
        <is>
          <t>C0852</t>
        </is>
      </c>
      <c r="B853" s="18" t="inlineStr">
        <is>
          <t>Gestión jurídica</t>
        </is>
      </c>
      <c r="C853" s="18" t="inlineStr">
        <is>
          <t>legal_management</t>
        </is>
      </c>
      <c r="D853" s="18" t="inlineStr">
        <is>
          <t>conceptos_juridicos</t>
        </is>
      </c>
      <c r="E853" s="18" t="n">
        <v>0</v>
      </c>
      <c r="F853" s="18" t="inlineStr">
        <is>
          <t>revisor_nombre</t>
        </is>
      </c>
      <c r="G853" s="18" t="inlineStr">
        <is>
          <t>character varying(150)</t>
        </is>
      </c>
      <c r="H853" s="18" t="inlineStr">
        <is>
          <t>Sí</t>
        </is>
      </c>
      <c r="I853" s="18" t="inlineStr"/>
      <c r="J853" s="18" t="inlineStr"/>
      <c r="K853" s="18" t="inlineStr"/>
      <c r="L853" s="18" t="inlineStr">
        <is>
          <t>No</t>
        </is>
      </c>
      <c r="M853" s="18" t="inlineStr">
        <is>
          <t>No</t>
        </is>
      </c>
      <c r="N853" s="18" t="inlineStr"/>
      <c r="O853" s="18" t="inlineStr"/>
      <c r="P853" s="18" t="inlineStr"/>
      <c r="Q853" s="18" t="inlineStr">
        <is>
          <t>Propuesta semántica</t>
        </is>
      </c>
      <c r="R853" s="18" t="inlineStr">
        <is>
          <t>Nombre del usuario que revisó el concepto.</t>
        </is>
      </c>
      <c r="S853" s="18" t="inlineStr">
        <is>
          <t>Alta</t>
        </is>
      </c>
      <c r="T853" s="18" t="inlineStr">
        <is>
          <t>nombre + tipo + columnas vecinas</t>
        </is>
      </c>
      <c r="U853" s="18" t="inlineStr"/>
      <c r="V853" s="19" t="inlineStr">
        <is>
          <t>Pendiente</t>
        </is>
      </c>
      <c r="W853" s="19" t="inlineStr"/>
      <c r="X853" s="19" t="inlineStr"/>
      <c r="Y853" s="20" t="n"/>
      <c r="Z853" s="19" t="inlineStr"/>
      <c r="AA853" s="18">
        <f>IF(OR(V853="Aprobada"),R853,IF(AND(OR(V853="Aprobada con ajuste",V853="Rechazada"),W853&lt;&gt;""),W853,""))</f>
        <v/>
      </c>
    </row>
    <row r="854">
      <c r="A854" s="18" t="inlineStr">
        <is>
          <t>C0853</t>
        </is>
      </c>
      <c r="B854" s="18" t="inlineStr">
        <is>
          <t>Gestión jurídica</t>
        </is>
      </c>
      <c r="C854" s="18" t="inlineStr">
        <is>
          <t>legal_management</t>
        </is>
      </c>
      <c r="D854" s="18" t="inlineStr">
        <is>
          <t>conceptos_juridicos</t>
        </is>
      </c>
      <c r="E854" s="18" t="n">
        <v>0</v>
      </c>
      <c r="F854" s="18" t="inlineStr">
        <is>
          <t>fecha_revision</t>
        </is>
      </c>
      <c r="G854" s="18" t="inlineStr">
        <is>
          <t>timestamp without time zone</t>
        </is>
      </c>
      <c r="H854" s="18" t="inlineStr">
        <is>
          <t>Sí</t>
        </is>
      </c>
      <c r="I854" s="18" t="inlineStr"/>
      <c r="J854" s="18" t="inlineStr"/>
      <c r="K854" s="18" t="inlineStr"/>
      <c r="L854" s="18" t="inlineStr">
        <is>
          <t>No</t>
        </is>
      </c>
      <c r="M854" s="18" t="inlineStr">
        <is>
          <t>No</t>
        </is>
      </c>
      <c r="N854" s="18" t="inlineStr"/>
      <c r="O854" s="18" t="inlineStr"/>
      <c r="P854" s="18" t="inlineStr"/>
      <c r="Q854" s="18" t="inlineStr">
        <is>
          <t>Regla estructural</t>
        </is>
      </c>
      <c r="R854" s="18" t="inlineStr">
        <is>
          <t>Fecha de revisión.</t>
        </is>
      </c>
      <c r="S854" s="18" t="inlineStr">
        <is>
          <t>Media</t>
        </is>
      </c>
      <c r="T854" s="18" t="inlineStr">
        <is>
          <t>Convención de nombre de la columna.</t>
        </is>
      </c>
      <c r="U854" s="18" t="inlineStr"/>
      <c r="V854" s="19" t="inlineStr">
        <is>
          <t>Pendiente</t>
        </is>
      </c>
      <c r="W854" s="19" t="inlineStr"/>
      <c r="X854" s="19" t="inlineStr"/>
      <c r="Y854" s="20" t="n"/>
      <c r="Z854" s="19" t="inlineStr"/>
      <c r="AA854" s="18">
        <f>IF(OR(V854="Aprobada"),R854,IF(AND(OR(V854="Aprobada con ajuste",V854="Rechazada"),W854&lt;&gt;""),W854,""))</f>
        <v/>
      </c>
    </row>
    <row r="855">
      <c r="A855" s="18" t="inlineStr">
        <is>
          <t>C0854</t>
        </is>
      </c>
      <c r="B855" s="18" t="inlineStr">
        <is>
          <t>Gestión jurídica</t>
        </is>
      </c>
      <c r="C855" s="18" t="inlineStr">
        <is>
          <t>legal_management</t>
        </is>
      </c>
      <c r="D855" s="18" t="inlineStr">
        <is>
          <t>conceptos_juridicos</t>
        </is>
      </c>
      <c r="E855" s="18" t="n">
        <v>0</v>
      </c>
      <c r="F855" s="18" t="inlineStr">
        <is>
          <t>comentarios_revision</t>
        </is>
      </c>
      <c r="G855" s="18" t="inlineStr">
        <is>
          <t>text</t>
        </is>
      </c>
      <c r="H855" s="18" t="inlineStr">
        <is>
          <t>Sí</t>
        </is>
      </c>
      <c r="I855" s="18" t="inlineStr"/>
      <c r="J855" s="18" t="inlineStr"/>
      <c r="K855" s="18" t="inlineStr"/>
      <c r="L855" s="18" t="inlineStr">
        <is>
          <t>No</t>
        </is>
      </c>
      <c r="M855" s="18" t="inlineStr">
        <is>
          <t>No</t>
        </is>
      </c>
      <c r="N855" s="18" t="inlineStr"/>
      <c r="O855" s="18" t="inlineStr"/>
      <c r="P855" s="18" t="inlineStr"/>
      <c r="Q855" s="18" t="inlineStr">
        <is>
          <t>Propuesta semántica</t>
        </is>
      </c>
      <c r="R855" s="18" t="inlineStr">
        <is>
          <t>Comentarios de la revisión del concepto.</t>
        </is>
      </c>
      <c r="S855" s="18" t="inlineStr">
        <is>
          <t>Alta</t>
        </is>
      </c>
      <c r="T855" s="18" t="inlineStr">
        <is>
          <t>nombre + tipo + columnas vecinas (fecha_revision)</t>
        </is>
      </c>
      <c r="U855" s="18" t="inlineStr"/>
      <c r="V855" s="19" t="inlineStr">
        <is>
          <t>Pendiente</t>
        </is>
      </c>
      <c r="W855" s="19" t="inlineStr"/>
      <c r="X855" s="19" t="inlineStr"/>
      <c r="Y855" s="20" t="n"/>
      <c r="Z855" s="19" t="inlineStr"/>
      <c r="AA855" s="18">
        <f>IF(OR(V855="Aprobada"),R855,IF(AND(OR(V855="Aprobada con ajuste",V855="Rechazada"),W855&lt;&gt;""),W855,""))</f>
        <v/>
      </c>
    </row>
    <row r="856">
      <c r="A856" s="18" t="inlineStr">
        <is>
          <t>C0855</t>
        </is>
      </c>
      <c r="B856" s="18" t="inlineStr">
        <is>
          <t>Gestión jurídica</t>
        </is>
      </c>
      <c r="C856" s="18" t="inlineStr">
        <is>
          <t>legal_management</t>
        </is>
      </c>
      <c r="D856" s="18" t="inlineStr">
        <is>
          <t>conceptos_juridicos</t>
        </is>
      </c>
      <c r="E856" s="18" t="n">
        <v>0</v>
      </c>
      <c r="F856" s="18" t="inlineStr">
        <is>
          <t>aprobado_por</t>
        </is>
      </c>
      <c r="G856" s="18" t="inlineStr">
        <is>
          <t>character varying(150)</t>
        </is>
      </c>
      <c r="H856" s="18" t="inlineStr">
        <is>
          <t>Sí</t>
        </is>
      </c>
      <c r="I856" s="18" t="inlineStr"/>
      <c r="J856" s="18" t="inlineStr"/>
      <c r="K856" s="18" t="inlineStr"/>
      <c r="L856" s="18" t="inlineStr">
        <is>
          <t>No</t>
        </is>
      </c>
      <c r="M856" s="18" t="inlineStr">
        <is>
          <t>No</t>
        </is>
      </c>
      <c r="N856" s="18" t="inlineStr"/>
      <c r="O856" s="18" t="inlineStr"/>
      <c r="P856" s="18" t="inlineStr"/>
      <c r="Q856" s="18" t="inlineStr">
        <is>
          <t>Regla estructural</t>
        </is>
      </c>
      <c r="R856" s="18" t="inlineStr">
        <is>
          <t>Usuario que realizó la aprobación.</t>
        </is>
      </c>
      <c r="S856" s="18" t="inlineStr">
        <is>
          <t>Media</t>
        </is>
      </c>
      <c r="T856" s="18" t="inlineStr">
        <is>
          <t>Convención de nombre de la columna.</t>
        </is>
      </c>
      <c r="U856" s="18" t="inlineStr"/>
      <c r="V856" s="19" t="inlineStr">
        <is>
          <t>Pendiente</t>
        </is>
      </c>
      <c r="W856" s="19" t="inlineStr"/>
      <c r="X856" s="19" t="inlineStr"/>
      <c r="Y856" s="20" t="n"/>
      <c r="Z856" s="19" t="inlineStr"/>
      <c r="AA856" s="18">
        <f>IF(OR(V856="Aprobada"),R856,IF(AND(OR(V856="Aprobada con ajuste",V856="Rechazada"),W856&lt;&gt;""),W856,""))</f>
        <v/>
      </c>
    </row>
    <row r="857">
      <c r="A857" s="18" t="inlineStr">
        <is>
          <t>C0856</t>
        </is>
      </c>
      <c r="B857" s="18" t="inlineStr">
        <is>
          <t>Gestión jurídica</t>
        </is>
      </c>
      <c r="C857" s="18" t="inlineStr">
        <is>
          <t>legal_management</t>
        </is>
      </c>
      <c r="D857" s="18" t="inlineStr">
        <is>
          <t>conceptos_juridicos</t>
        </is>
      </c>
      <c r="E857" s="18" t="n">
        <v>0</v>
      </c>
      <c r="F857" s="18" t="inlineStr">
        <is>
          <t>fecha_aprobacion</t>
        </is>
      </c>
      <c r="G857" s="18" t="inlineStr">
        <is>
          <t>timestamp without time zone</t>
        </is>
      </c>
      <c r="H857" s="18" t="inlineStr">
        <is>
          <t>Sí</t>
        </is>
      </c>
      <c r="I857" s="18" t="inlineStr"/>
      <c r="J857" s="18" t="inlineStr"/>
      <c r="K857" s="18" t="inlineStr"/>
      <c r="L857" s="18" t="inlineStr">
        <is>
          <t>No</t>
        </is>
      </c>
      <c r="M857" s="18" t="inlineStr">
        <is>
          <t>No</t>
        </is>
      </c>
      <c r="N857" s="18" t="inlineStr"/>
      <c r="O857" s="18" t="inlineStr"/>
      <c r="P857" s="18" t="inlineStr"/>
      <c r="Q857" s="18" t="inlineStr">
        <is>
          <t>Regla estructural</t>
        </is>
      </c>
      <c r="R857" s="18" t="inlineStr">
        <is>
          <t>Fecha de aprobación.</t>
        </is>
      </c>
      <c r="S857" s="18" t="inlineStr">
        <is>
          <t>Media</t>
        </is>
      </c>
      <c r="T857" s="18" t="inlineStr">
        <is>
          <t>Convención de nombre de la columna.</t>
        </is>
      </c>
      <c r="U857" s="18" t="inlineStr"/>
      <c r="V857" s="19" t="inlineStr">
        <is>
          <t>Pendiente</t>
        </is>
      </c>
      <c r="W857" s="19" t="inlineStr"/>
      <c r="X857" s="19" t="inlineStr"/>
      <c r="Y857" s="20" t="n"/>
      <c r="Z857" s="19" t="inlineStr"/>
      <c r="AA857" s="18">
        <f>IF(OR(V857="Aprobada"),R857,IF(AND(OR(V857="Aprobada con ajuste",V857="Rechazada"),W857&lt;&gt;""),W857,""))</f>
        <v/>
      </c>
    </row>
    <row r="858">
      <c r="A858" s="18" t="inlineStr">
        <is>
          <t>C0857</t>
        </is>
      </c>
      <c r="B858" s="18" t="inlineStr">
        <is>
          <t>Gestión jurídica</t>
        </is>
      </c>
      <c r="C858" s="18" t="inlineStr">
        <is>
          <t>legal_management</t>
        </is>
      </c>
      <c r="D858" s="18" t="inlineStr">
        <is>
          <t>conceptos_juridicos</t>
        </is>
      </c>
      <c r="E858" s="18" t="n">
        <v>0</v>
      </c>
      <c r="F858" s="18" t="inlineStr">
        <is>
          <t>fecha_emision</t>
        </is>
      </c>
      <c r="G858" s="18" t="inlineStr">
        <is>
          <t>timestamp without time zone</t>
        </is>
      </c>
      <c r="H858" s="18" t="inlineStr">
        <is>
          <t>Sí</t>
        </is>
      </c>
      <c r="I858" s="18" t="inlineStr"/>
      <c r="J858" s="18" t="inlineStr"/>
      <c r="K858" s="18" t="inlineStr"/>
      <c r="L858" s="18" t="inlineStr">
        <is>
          <t>No</t>
        </is>
      </c>
      <c r="M858" s="18" t="inlineStr">
        <is>
          <t>No</t>
        </is>
      </c>
      <c r="N858" s="18" t="inlineStr"/>
      <c r="O858" s="18" t="inlineStr"/>
      <c r="P858" s="18" t="inlineStr"/>
      <c r="Q858" s="18" t="inlineStr">
        <is>
          <t>Regla estructural</t>
        </is>
      </c>
      <c r="R858" s="18" t="inlineStr">
        <is>
          <t>Fecha de emisión.</t>
        </is>
      </c>
      <c r="S858" s="18" t="inlineStr">
        <is>
          <t>Media</t>
        </is>
      </c>
      <c r="T858" s="18" t="inlineStr">
        <is>
          <t>Convención de nombre de la columna.</t>
        </is>
      </c>
      <c r="U858" s="18" t="inlineStr"/>
      <c r="V858" s="19" t="inlineStr">
        <is>
          <t>Pendiente</t>
        </is>
      </c>
      <c r="W858" s="19" t="inlineStr"/>
      <c r="X858" s="19" t="inlineStr"/>
      <c r="Y858" s="20" t="n"/>
      <c r="Z858" s="19" t="inlineStr"/>
      <c r="AA858" s="18">
        <f>IF(OR(V858="Aprobada"),R858,IF(AND(OR(V858="Aprobada con ajuste",V858="Rechazada"),W858&lt;&gt;""),W858,""))</f>
        <v/>
      </c>
    </row>
    <row r="859">
      <c r="A859" s="18" t="inlineStr">
        <is>
          <t>C0858</t>
        </is>
      </c>
      <c r="B859" s="18" t="inlineStr">
        <is>
          <t>Gestión jurídica</t>
        </is>
      </c>
      <c r="C859" s="18" t="inlineStr">
        <is>
          <t>legal_management</t>
        </is>
      </c>
      <c r="D859" s="18" t="inlineStr">
        <is>
          <t>conceptos_juridicos</t>
        </is>
      </c>
      <c r="E859" s="18" t="n">
        <v>0</v>
      </c>
      <c r="F859" s="18" t="inlineStr">
        <is>
          <t>notificado_a</t>
        </is>
      </c>
      <c r="G859" s="18" t="inlineStr">
        <is>
          <t>character varying(300)</t>
        </is>
      </c>
      <c r="H859" s="18" t="inlineStr">
        <is>
          <t>Sí</t>
        </is>
      </c>
      <c r="I859" s="18" t="inlineStr"/>
      <c r="J859" s="18" t="inlineStr"/>
      <c r="K859" s="18" t="inlineStr"/>
      <c r="L859" s="18" t="inlineStr">
        <is>
          <t>No</t>
        </is>
      </c>
      <c r="M859" s="18" t="inlineStr">
        <is>
          <t>No</t>
        </is>
      </c>
      <c r="N859" s="18" t="inlineStr"/>
      <c r="O859" s="18" t="inlineStr"/>
      <c r="P859" s="18" t="inlineStr"/>
      <c r="Q859" s="18" t="inlineStr">
        <is>
          <t>Propuesta semántica</t>
        </is>
      </c>
      <c r="R859" s="18" t="inlineStr">
        <is>
          <t>Personas o dependencias a las que se notificó el concepto.</t>
        </is>
      </c>
      <c r="S859" s="18" t="inlineStr">
        <is>
          <t>Media</t>
        </is>
      </c>
      <c r="T859" s="18" t="inlineStr">
        <is>
          <t>nombre + tipo + columnas vecinas</t>
        </is>
      </c>
      <c r="U859" s="18" t="inlineStr">
        <is>
          <t>¿Se guardan nombres o correos, y separados por qué carácter?</t>
        </is>
      </c>
      <c r="V859" s="19" t="inlineStr">
        <is>
          <t>Pendiente</t>
        </is>
      </c>
      <c r="W859" s="19" t="inlineStr"/>
      <c r="X859" s="19" t="inlineStr"/>
      <c r="Y859" s="20" t="n"/>
      <c r="Z859" s="19" t="inlineStr"/>
      <c r="AA859" s="18">
        <f>IF(OR(V859="Aprobada"),R859,IF(AND(OR(V859="Aprobada con ajuste",V859="Rechazada"),W859&lt;&gt;""),W859,""))</f>
        <v/>
      </c>
    </row>
    <row r="860">
      <c r="A860" s="18" t="inlineStr">
        <is>
          <t>C0859</t>
        </is>
      </c>
      <c r="B860" s="18" t="inlineStr">
        <is>
          <t>Gestión jurídica</t>
        </is>
      </c>
      <c r="C860" s="18" t="inlineStr">
        <is>
          <t>legal_management</t>
        </is>
      </c>
      <c r="D860" s="18" t="inlineStr">
        <is>
          <t>conceptos_juridicos</t>
        </is>
      </c>
      <c r="E860" s="18" t="n">
        <v>0</v>
      </c>
      <c r="F860" s="18" t="inlineStr">
        <is>
          <t>visible_banco</t>
        </is>
      </c>
      <c r="G860" s="18" t="inlineStr">
        <is>
          <t>boolean</t>
        </is>
      </c>
      <c r="H860" s="18" t="inlineStr">
        <is>
          <t>Sí</t>
        </is>
      </c>
      <c r="I860" s="18" t="inlineStr"/>
      <c r="J860" s="18" t="inlineStr"/>
      <c r="K860" s="18" t="inlineStr"/>
      <c r="L860" s="18" t="inlineStr">
        <is>
          <t>No</t>
        </is>
      </c>
      <c r="M860" s="18" t="inlineStr">
        <is>
          <t>No</t>
        </is>
      </c>
      <c r="N860" s="18" t="inlineStr"/>
      <c r="O860" s="18" t="inlineStr">
        <is>
          <t>idx_conceptos_banco</t>
        </is>
      </c>
      <c r="P860" s="18" t="inlineStr"/>
      <c r="Q860" s="18" t="inlineStr">
        <is>
          <t>Regla estructural</t>
        </is>
      </c>
      <c r="R860" s="18" t="inlineStr">
        <is>
          <t>Indica si aplica: visible banco.</t>
        </is>
      </c>
      <c r="S860" s="18" t="inlineStr">
        <is>
          <t>Media</t>
        </is>
      </c>
      <c r="T860" s="18" t="inlineStr">
        <is>
          <t>Convención de nombre de la columna.</t>
        </is>
      </c>
      <c r="U860" s="18" t="inlineStr"/>
      <c r="V860" s="19" t="inlineStr">
        <is>
          <t>Pendiente</t>
        </is>
      </c>
      <c r="W860" s="19" t="inlineStr"/>
      <c r="X860" s="19" t="inlineStr"/>
      <c r="Y860" s="20" t="n"/>
      <c r="Z860" s="19" t="inlineStr"/>
      <c r="AA860" s="18">
        <f>IF(OR(V860="Aprobada"),R860,IF(AND(OR(V860="Aprobada con ajuste",V860="Rechazada"),W860&lt;&gt;""),W860,""))</f>
        <v/>
      </c>
    </row>
    <row r="861">
      <c r="A861" s="18" t="inlineStr">
        <is>
          <t>C0860</t>
        </is>
      </c>
      <c r="B861" s="18" t="inlineStr">
        <is>
          <t>Gestión jurídica</t>
        </is>
      </c>
      <c r="C861" s="18" t="inlineStr">
        <is>
          <t>legal_management</t>
        </is>
      </c>
      <c r="D861" s="18" t="inlineStr">
        <is>
          <t>conceptos_juridicos</t>
        </is>
      </c>
      <c r="E861" s="18" t="n">
        <v>0</v>
      </c>
      <c r="F861" s="18" t="inlineStr">
        <is>
          <t>etiquetas</t>
        </is>
      </c>
      <c r="G861" s="18" t="inlineStr">
        <is>
          <t>text[]</t>
        </is>
      </c>
      <c r="H861" s="18" t="inlineStr">
        <is>
          <t>Sí</t>
        </is>
      </c>
      <c r="I861" s="18" t="inlineStr"/>
      <c r="J861" s="18" t="inlineStr"/>
      <c r="K861" s="18" t="inlineStr"/>
      <c r="L861" s="18" t="inlineStr">
        <is>
          <t>No</t>
        </is>
      </c>
      <c r="M861" s="18" t="inlineStr">
        <is>
          <t>No</t>
        </is>
      </c>
      <c r="N861" s="18" t="inlineStr"/>
      <c r="O861" s="18" t="inlineStr"/>
      <c r="P861" s="18" t="inlineStr"/>
      <c r="Q861" s="18" t="inlineStr">
        <is>
          <t>Propuesta semántica</t>
        </is>
      </c>
      <c r="R861" s="18" t="inlineStr">
        <is>
          <t>Etiquetas para clasificar y buscar el concepto.</t>
        </is>
      </c>
      <c r="S861" s="18" t="inlineStr">
        <is>
          <t>Media</t>
        </is>
      </c>
      <c r="T861" s="18" t="inlineStr">
        <is>
          <t>nombre + tipo + columnas vecinas (visible_banco)</t>
        </is>
      </c>
      <c r="U861" s="18" t="inlineStr">
        <is>
          <t>¿Las etiquetas son libres o salen de un catálogo?</t>
        </is>
      </c>
      <c r="V861" s="19" t="inlineStr">
        <is>
          <t>Pendiente</t>
        </is>
      </c>
      <c r="W861" s="19" t="inlineStr"/>
      <c r="X861" s="19" t="inlineStr"/>
      <c r="Y861" s="20" t="n"/>
      <c r="Z861" s="19" t="inlineStr"/>
      <c r="AA861" s="18">
        <f>IF(OR(V861="Aprobada"),R861,IF(AND(OR(V861="Aprobada con ajuste",V861="Rechazada"),W861&lt;&gt;""),W861,""))</f>
        <v/>
      </c>
    </row>
    <row r="862">
      <c r="A862" s="18" t="inlineStr">
        <is>
          <t>C0861</t>
        </is>
      </c>
      <c r="B862" s="18" t="inlineStr">
        <is>
          <t>Gestión jurídica</t>
        </is>
      </c>
      <c r="C862" s="18" t="inlineStr">
        <is>
          <t>legal_management</t>
        </is>
      </c>
      <c r="D862" s="18" t="inlineStr">
        <is>
          <t>consulta_juridica_historial</t>
        </is>
      </c>
      <c r="E862" s="18" t="n">
        <v>132</v>
      </c>
      <c r="F862" s="18" t="inlineStr">
        <is>
          <t>tipo_evento</t>
        </is>
      </c>
      <c r="G862" s="18" t="inlineStr">
        <is>
          <t>character varying</t>
        </is>
      </c>
      <c r="H862" s="18" t="inlineStr">
        <is>
          <t>No</t>
        </is>
      </c>
      <c r="I862" s="18" t="inlineStr"/>
      <c r="J862" s="18" t="inlineStr"/>
      <c r="K862" s="18" t="inlineStr"/>
      <c r="L862" s="18" t="inlineStr">
        <is>
          <t>No</t>
        </is>
      </c>
      <c r="M862" s="18" t="inlineStr">
        <is>
          <t>No</t>
        </is>
      </c>
      <c r="N862" s="18" t="inlineStr"/>
      <c r="O862" s="18" t="inlineStr"/>
      <c r="P862" s="18" t="inlineStr">
        <is>
          <t>legal-management-service/src/entities/consulta-juridica-historial.entity.ts:16: ASIGNACION, CAMBIO_ETAPA, RESPUESTA, etc.</t>
        </is>
      </c>
      <c r="Q862" s="18" t="inlineStr">
        <is>
          <t>Código fuente</t>
        </is>
      </c>
      <c r="R862" s="18" t="inlineStr">
        <is>
          <t>Tipo de evento del historial de la consulta jurídica, por ejemplo ASIGNACION, CAMBIO_ETAPA o RESPUESTA.</t>
        </is>
      </c>
      <c r="S862" s="18" t="inlineStr">
        <is>
          <t>Media</t>
        </is>
      </c>
      <c r="T862" s="18" t="inlineStr">
        <is>
          <t>código: consulta-juridica-historial.entity.ts:16</t>
        </is>
      </c>
      <c r="U862" s="18" t="inlineStr">
        <is>
          <t>¿Cuál es la lista completa de tipos de evento?</t>
        </is>
      </c>
      <c r="V862" s="19" t="inlineStr">
        <is>
          <t>Pendiente</t>
        </is>
      </c>
      <c r="W862" s="19" t="inlineStr"/>
      <c r="X862" s="19" t="inlineStr"/>
      <c r="Y862" s="20" t="n"/>
      <c r="Z862" s="19" t="inlineStr"/>
      <c r="AA862" s="18">
        <f>IF(OR(V862="Aprobada"),R862,IF(AND(OR(V862="Aprobada con ajuste",V862="Rechazada"),W862&lt;&gt;""),W862,""))</f>
        <v/>
      </c>
    </row>
    <row r="863">
      <c r="A863" s="18" t="inlineStr">
        <is>
          <t>C0862</t>
        </is>
      </c>
      <c r="B863" s="18" t="inlineStr">
        <is>
          <t>Gestión jurídica</t>
        </is>
      </c>
      <c r="C863" s="18" t="inlineStr">
        <is>
          <t>legal_management</t>
        </is>
      </c>
      <c r="D863" s="18" t="inlineStr">
        <is>
          <t>consulta_juridica_historial</t>
        </is>
      </c>
      <c r="E863" s="18" t="n">
        <v>132</v>
      </c>
      <c r="F863" s="18" t="inlineStr">
        <is>
          <t>descripcion</t>
        </is>
      </c>
      <c r="G863" s="18" t="inlineStr">
        <is>
          <t>text</t>
        </is>
      </c>
      <c r="H863" s="18" t="inlineStr">
        <is>
          <t>No</t>
        </is>
      </c>
      <c r="I863" s="18" t="inlineStr"/>
      <c r="J863" s="18" t="inlineStr"/>
      <c r="K863" s="18" t="inlineStr"/>
      <c r="L863" s="18" t="inlineStr">
        <is>
          <t>No</t>
        </is>
      </c>
      <c r="M863" s="18" t="inlineStr">
        <is>
          <t>No</t>
        </is>
      </c>
      <c r="N863" s="18" t="inlineStr"/>
      <c r="O863" s="18" t="inlineStr"/>
      <c r="P863" s="18" t="inlineStr">
        <is>
          <t>Mapeada en legal-management-service/src/entities/consulta-juridica-historial.entity.ts:19 (ConsultaJuridicaHistorial.descripcion)</t>
        </is>
      </c>
      <c r="Q863" s="18" t="inlineStr">
        <is>
          <t>Regla estructural</t>
        </is>
      </c>
      <c r="R863" s="18" t="inlineStr">
        <is>
          <t>Descripción del registro de consulta_juridica_historial.</t>
        </is>
      </c>
      <c r="S863" s="18" t="inlineStr">
        <is>
          <t>Media</t>
        </is>
      </c>
      <c r="T863" s="18" t="inlineStr">
        <is>
          <t>Convención de nombre de la columna.</t>
        </is>
      </c>
      <c r="U863" s="18" t="inlineStr"/>
      <c r="V863" s="19" t="inlineStr">
        <is>
          <t>Pendiente</t>
        </is>
      </c>
      <c r="W863" s="19" t="inlineStr"/>
      <c r="X863" s="19" t="inlineStr"/>
      <c r="Y863" s="20" t="n"/>
      <c r="Z863" s="19" t="inlineStr"/>
      <c r="AA863" s="18">
        <f>IF(OR(V863="Aprobada"),R863,IF(AND(OR(V863="Aprobada con ajuste",V863="Rechazada"),W863&lt;&gt;""),W863,""))</f>
        <v/>
      </c>
    </row>
    <row r="864">
      <c r="A864" s="18" t="inlineStr">
        <is>
          <t>C0863</t>
        </is>
      </c>
      <c r="B864" s="18" t="inlineStr">
        <is>
          <t>Gestión jurídica</t>
        </is>
      </c>
      <c r="C864" s="18" t="inlineStr">
        <is>
          <t>legal_management</t>
        </is>
      </c>
      <c r="D864" s="18" t="inlineStr">
        <is>
          <t>consulta_juridica_historial</t>
        </is>
      </c>
      <c r="E864" s="18" t="n">
        <v>132</v>
      </c>
      <c r="F864" s="18" t="inlineStr">
        <is>
          <t>detalle</t>
        </is>
      </c>
      <c r="G864" s="18" t="inlineStr">
        <is>
          <t>text</t>
        </is>
      </c>
      <c r="H864" s="18" t="inlineStr">
        <is>
          <t>Sí</t>
        </is>
      </c>
      <c r="I864" s="18" t="inlineStr"/>
      <c r="J864" s="18" t="inlineStr"/>
      <c r="K864" s="18" t="inlineStr"/>
      <c r="L864" s="18" t="inlineStr">
        <is>
          <t>No</t>
        </is>
      </c>
      <c r="M864" s="18" t="inlineStr">
        <is>
          <t>No</t>
        </is>
      </c>
      <c r="N864" s="18" t="inlineStr"/>
      <c r="O864" s="18" t="inlineStr"/>
      <c r="P864" s="18" t="inlineStr">
        <is>
          <t>Mapeada en legal-management-service/src/entities/consulta-juridica-historial.entity.ts:22 (ConsultaJuridicaHistorial.detalle)</t>
        </is>
      </c>
      <c r="Q864" s="18" t="inlineStr">
        <is>
          <t>Propuesta semántica</t>
        </is>
      </c>
      <c r="R864" s="18" t="inlineStr">
        <is>
          <t>Detalle adicional del evento.</t>
        </is>
      </c>
      <c r="S864" s="18" t="inlineStr">
        <is>
          <t>Media</t>
        </is>
      </c>
      <c r="T864" s="18" t="inlineStr">
        <is>
          <t>nombre + tipo + columnas vecinas</t>
        </is>
      </c>
      <c r="U864" s="18" t="inlineStr">
        <is>
          <t>¿Qué información se guarda en detalle (texto o JSON)?</t>
        </is>
      </c>
      <c r="V864" s="19" t="inlineStr">
        <is>
          <t>Pendiente</t>
        </is>
      </c>
      <c r="W864" s="19" t="inlineStr"/>
      <c r="X864" s="19" t="inlineStr"/>
      <c r="Y864" s="20" t="n"/>
      <c r="Z864" s="19" t="inlineStr"/>
      <c r="AA864" s="18">
        <f>IF(OR(V864="Aprobada"),R864,IF(AND(OR(V864="Aprobada con ajuste",V864="Rechazada"),W864&lt;&gt;""),W864,""))</f>
        <v/>
      </c>
    </row>
    <row r="865">
      <c r="A865" s="18" t="inlineStr">
        <is>
          <t>C0864</t>
        </is>
      </c>
      <c r="B865" s="18" t="inlineStr">
        <is>
          <t>Gestión jurídica</t>
        </is>
      </c>
      <c r="C865" s="18" t="inlineStr">
        <is>
          <t>legal_management</t>
        </is>
      </c>
      <c r="D865" s="18" t="inlineStr">
        <is>
          <t>consulta_juridica_historial</t>
        </is>
      </c>
      <c r="E865" s="18" t="n">
        <v>132</v>
      </c>
      <c r="F865" s="18" t="inlineStr">
        <is>
          <t>usuario</t>
        </is>
      </c>
      <c r="G865" s="18" t="inlineStr">
        <is>
          <t>character varying</t>
        </is>
      </c>
      <c r="H865" s="18" t="inlineStr">
        <is>
          <t>Sí</t>
        </is>
      </c>
      <c r="I865" s="18" t="inlineStr"/>
      <c r="J865" s="18" t="inlineStr"/>
      <c r="K865" s="18" t="inlineStr"/>
      <c r="L865" s="18" t="inlineStr">
        <is>
          <t>No</t>
        </is>
      </c>
      <c r="M865" s="18" t="inlineStr">
        <is>
          <t>No</t>
        </is>
      </c>
      <c r="N865" s="18" t="inlineStr"/>
      <c r="O865" s="18" t="inlineStr"/>
      <c r="P865" s="18" t="inlineStr">
        <is>
          <t>Mapeada en legal-management-service/src/entities/consulta-juridica-historial.entity.ts:25 (ConsultaJuridicaHistorial.usuario)</t>
        </is>
      </c>
      <c r="Q865" s="18" t="inlineStr">
        <is>
          <t>Propuesta semántica</t>
        </is>
      </c>
      <c r="R865" s="18" t="inlineStr">
        <is>
          <t>Usuario que generó el evento.</t>
        </is>
      </c>
      <c r="S865" s="18" t="inlineStr">
        <is>
          <t>Media</t>
        </is>
      </c>
      <c r="T865" s="18" t="inlineStr">
        <is>
          <t>nombre + tipo + columnas vecinas</t>
        </is>
      </c>
      <c r="U865" s="18" t="inlineStr">
        <is>
          <t>¿Se guarda el nombre, el correo o el identificador del usuario?</t>
        </is>
      </c>
      <c r="V865" s="19" t="inlineStr">
        <is>
          <t>Pendiente</t>
        </is>
      </c>
      <c r="W865" s="19" t="inlineStr"/>
      <c r="X865" s="19" t="inlineStr"/>
      <c r="Y865" s="20" t="n"/>
      <c r="Z865" s="19" t="inlineStr"/>
      <c r="AA865" s="18">
        <f>IF(OR(V865="Aprobada"),R865,IF(AND(OR(V865="Aprobada con ajuste",V865="Rechazada"),W865&lt;&gt;""),W865,""))</f>
        <v/>
      </c>
    </row>
    <row r="866">
      <c r="A866" s="18" t="inlineStr">
        <is>
          <t>C0865</t>
        </is>
      </c>
      <c r="B866" s="18" t="inlineStr">
        <is>
          <t>Gestión jurídica</t>
        </is>
      </c>
      <c r="C866" s="18" t="inlineStr">
        <is>
          <t>legal_management</t>
        </is>
      </c>
      <c r="D866" s="18" t="inlineStr">
        <is>
          <t>consulta_juridica_historial</t>
        </is>
      </c>
      <c r="E866" s="18" t="n">
        <v>132</v>
      </c>
      <c r="F866" s="18" t="inlineStr">
        <is>
          <t>fecha</t>
        </is>
      </c>
      <c r="G866" s="18" t="inlineStr">
        <is>
          <t>timestamp without time zone</t>
        </is>
      </c>
      <c r="H866" s="18" t="inlineStr">
        <is>
          <t>No</t>
        </is>
      </c>
      <c r="I866" s="18" t="inlineStr"/>
      <c r="J866" s="18" t="inlineStr"/>
      <c r="K866" s="18" t="inlineStr"/>
      <c r="L866" s="18" t="inlineStr">
        <is>
          <t>No</t>
        </is>
      </c>
      <c r="M866" s="18" t="inlineStr">
        <is>
          <t>No</t>
        </is>
      </c>
      <c r="N866" s="18" t="inlineStr"/>
      <c r="O866" s="18" t="inlineStr"/>
      <c r="P866" s="18" t="inlineStr">
        <is>
          <t>Mapeada en legal-management-service/src/entities/consulta-juridica-historial.entity.ts:28 (ConsultaJuridicaHistorial.fecha)</t>
        </is>
      </c>
      <c r="Q866" s="18" t="inlineStr">
        <is>
          <t>Propuesta semántica</t>
        </is>
      </c>
      <c r="R866" s="18" t="inlineStr">
        <is>
          <t>Fecha y hora del evento. Valor por defecto: momento del registro.</t>
        </is>
      </c>
      <c r="S866" s="18" t="inlineStr">
        <is>
          <t>Alta</t>
        </is>
      </c>
      <c r="T866" s="18" t="inlineStr">
        <is>
          <t>nombre + tipo + columnas vecinas + defecto</t>
        </is>
      </c>
      <c r="U866" s="18" t="inlineStr"/>
      <c r="V866" s="19" t="inlineStr">
        <is>
          <t>Pendiente</t>
        </is>
      </c>
      <c r="W866" s="19" t="inlineStr"/>
      <c r="X866" s="19" t="inlineStr"/>
      <c r="Y866" s="20" t="n"/>
      <c r="Z866" s="19" t="inlineStr"/>
      <c r="AA866" s="18">
        <f>IF(OR(V866="Aprobada"),R866,IF(AND(OR(V866="Aprobada con ajuste",V866="Rechazada"),W866&lt;&gt;""),W866,""))</f>
        <v/>
      </c>
    </row>
    <row r="867">
      <c r="A867" s="18" t="inlineStr">
        <is>
          <t>C0866</t>
        </is>
      </c>
      <c r="B867" s="18" t="inlineStr">
        <is>
          <t>Gestión jurídica</t>
        </is>
      </c>
      <c r="C867" s="18" t="inlineStr">
        <is>
          <t>legal_management</t>
        </is>
      </c>
      <c r="D867" s="18" t="inlineStr">
        <is>
          <t>consultas_juridicas</t>
        </is>
      </c>
      <c r="E867" s="18" t="n">
        <v>31</v>
      </c>
      <c r="F867" s="18" t="inlineStr">
        <is>
          <t>numero_radicado</t>
        </is>
      </c>
      <c r="G867" s="18" t="inlineStr">
        <is>
          <t>character varying(50)</t>
        </is>
      </c>
      <c r="H867" s="18" t="inlineStr">
        <is>
          <t>No</t>
        </is>
      </c>
      <c r="I867" s="18" t="inlineStr">
        <is>
          <t>Única</t>
        </is>
      </c>
      <c r="J867" s="18" t="inlineStr"/>
      <c r="K867" s="18" t="inlineStr"/>
      <c r="L867" s="18" t="inlineStr">
        <is>
          <t>No</t>
        </is>
      </c>
      <c r="M867" s="18" t="inlineStr">
        <is>
          <t>No</t>
        </is>
      </c>
      <c r="N867" s="18" t="inlineStr"/>
      <c r="O867" s="18" t="inlineStr">
        <is>
          <t>consultas_juridicas_numero_radicado_key</t>
        </is>
      </c>
      <c r="P867" s="18" t="inlineStr">
        <is>
          <t>Mapeada en legal-management-service/src/entities/consulta-juridica.entity.ts:8 (ConsultaJuridica.numeroRadicado)</t>
        </is>
      </c>
      <c r="Q867" s="18" t="inlineStr">
        <is>
          <t>Propuesta semántica</t>
        </is>
      </c>
      <c r="R867" s="18" t="inlineStr">
        <is>
          <t>Número de radicado de la consulta jurídica. Es único en la tabla.</t>
        </is>
      </c>
      <c r="S867" s="18" t="inlineStr">
        <is>
          <t>Alta</t>
        </is>
      </c>
      <c r="T867" s="18" t="inlineStr">
        <is>
          <t>nombre + tipo + columnas vecinas + restricción única</t>
        </is>
      </c>
      <c r="U867" s="18" t="inlineStr"/>
      <c r="V867" s="19" t="inlineStr">
        <is>
          <t>Pendiente</t>
        </is>
      </c>
      <c r="W867" s="19" t="inlineStr"/>
      <c r="X867" s="19" t="inlineStr"/>
      <c r="Y867" s="20" t="n"/>
      <c r="Z867" s="19" t="inlineStr"/>
      <c r="AA867" s="18">
        <f>IF(OR(V867="Aprobada"),R867,IF(AND(OR(V867="Aprobada con ajuste",V867="Rechazada"),W867&lt;&gt;""),W867,""))</f>
        <v/>
      </c>
    </row>
    <row r="868">
      <c r="A868" s="18" t="inlineStr">
        <is>
          <t>C0867</t>
        </is>
      </c>
      <c r="B868" s="18" t="inlineStr">
        <is>
          <t>Gestión jurídica</t>
        </is>
      </c>
      <c r="C868" s="18" t="inlineStr">
        <is>
          <t>legal_management</t>
        </is>
      </c>
      <c r="D868" s="18" t="inlineStr">
        <is>
          <t>consultas_juridicas</t>
        </is>
      </c>
      <c r="E868" s="18" t="n">
        <v>31</v>
      </c>
      <c r="F868" s="18" t="inlineStr">
        <is>
          <t>tipo_solicitud</t>
        </is>
      </c>
      <c r="G868" s="18" t="inlineStr">
        <is>
          <t>character varying(30)</t>
        </is>
      </c>
      <c r="H868" s="18" t="inlineStr">
        <is>
          <t>Sí</t>
        </is>
      </c>
      <c r="I868" s="18" t="inlineStr"/>
      <c r="J868" s="18" t="inlineStr"/>
      <c r="K868" s="18" t="inlineStr"/>
      <c r="L868" s="18" t="inlineStr">
        <is>
          <t>No</t>
        </is>
      </c>
      <c r="M868" s="18" t="inlineStr">
        <is>
          <t>No</t>
        </is>
      </c>
      <c r="N868" s="18" t="inlineStr"/>
      <c r="O868" s="18" t="inlineStr"/>
      <c r="P868" s="18" t="inlineStr">
        <is>
          <t>legal-management-service/src/entities/consulta-juridica.entity.ts:17: consulta, concepto_juridico, control_legalidad</t>
        </is>
      </c>
      <c r="Q868" s="18" t="inlineStr">
        <is>
          <t>Código fuente</t>
        </is>
      </c>
      <c r="R868" s="18" t="inlineStr">
        <is>
          <t>Tipo de solicitud. Valores: consulta, concepto_juridico, control_legalidad.</t>
        </is>
      </c>
      <c r="S868" s="18" t="inlineStr">
        <is>
          <t>Alta</t>
        </is>
      </c>
      <c r="T868" s="18" t="inlineStr">
        <is>
          <t>código: consulta-juridica.entity.ts:17</t>
        </is>
      </c>
      <c r="U868" s="18" t="inlineStr"/>
      <c r="V868" s="19" t="inlineStr">
        <is>
          <t>Pendiente</t>
        </is>
      </c>
      <c r="W868" s="19" t="inlineStr"/>
      <c r="X868" s="19" t="inlineStr"/>
      <c r="Y868" s="20" t="n"/>
      <c r="Z868" s="19" t="inlineStr"/>
      <c r="AA868" s="18">
        <f>IF(OR(V868="Aprobada"),R868,IF(AND(OR(V868="Aprobada con ajuste",V868="Rechazada"),W868&lt;&gt;""),W868,""))</f>
        <v/>
      </c>
    </row>
    <row r="869">
      <c r="A869" s="18" t="inlineStr">
        <is>
          <t>C0868</t>
        </is>
      </c>
      <c r="B869" s="18" t="inlineStr">
        <is>
          <t>Gestión jurídica</t>
        </is>
      </c>
      <c r="C869" s="18" t="inlineStr">
        <is>
          <t>legal_management</t>
        </is>
      </c>
      <c r="D869" s="18" t="inlineStr">
        <is>
          <t>consultas_juridicas</t>
        </is>
      </c>
      <c r="E869" s="18" t="n">
        <v>31</v>
      </c>
      <c r="F869" s="18" t="inlineStr">
        <is>
          <t>area_solicitante</t>
        </is>
      </c>
      <c r="G869" s="18" t="inlineStr">
        <is>
          <t>character varying(100)</t>
        </is>
      </c>
      <c r="H869" s="18" t="inlineStr">
        <is>
          <t>Sí</t>
        </is>
      </c>
      <c r="I869" s="18" t="inlineStr"/>
      <c r="J869" s="18" t="inlineStr"/>
      <c r="K869" s="18" t="inlineStr"/>
      <c r="L869" s="18" t="inlineStr">
        <is>
          <t>No</t>
        </is>
      </c>
      <c r="M869" s="18" t="inlineStr">
        <is>
          <t>No</t>
        </is>
      </c>
      <c r="N869" s="18" t="inlineStr"/>
      <c r="O869" s="18" t="inlineStr">
        <is>
          <t>idx_consultas_area</t>
        </is>
      </c>
      <c r="P869" s="18" t="inlineStr"/>
      <c r="Q869" s="18" t="inlineStr">
        <is>
          <t>Propuesta semántica</t>
        </is>
      </c>
      <c r="R869" s="18" t="inlineStr">
        <is>
          <t>Área que solicita la consulta.</t>
        </is>
      </c>
      <c r="S869" s="18" t="inlineStr">
        <is>
          <t>Alta</t>
        </is>
      </c>
      <c r="T869" s="18" t="inlineStr">
        <is>
          <t>nombre + tipo + columnas vecinas</t>
        </is>
      </c>
      <c r="U869" s="18" t="inlineStr"/>
      <c r="V869" s="19" t="inlineStr">
        <is>
          <t>Pendiente</t>
        </is>
      </c>
      <c r="W869" s="19" t="inlineStr"/>
      <c r="X869" s="19" t="inlineStr"/>
      <c r="Y869" s="20" t="n"/>
      <c r="Z869" s="19" t="inlineStr"/>
      <c r="AA869" s="18">
        <f>IF(OR(V869="Aprobada"),R869,IF(AND(OR(V869="Aprobada con ajuste",V869="Rechazada"),W869&lt;&gt;""),W869,""))</f>
        <v/>
      </c>
    </row>
    <row r="870">
      <c r="A870" s="18" t="inlineStr">
        <is>
          <t>C0869</t>
        </is>
      </c>
      <c r="B870" s="18" t="inlineStr">
        <is>
          <t>Gestión jurídica</t>
        </is>
      </c>
      <c r="C870" s="18" t="inlineStr">
        <is>
          <t>legal_management</t>
        </is>
      </c>
      <c r="D870" s="18" t="inlineStr">
        <is>
          <t>consultas_juridicas</t>
        </is>
      </c>
      <c r="E870" s="18" t="n">
        <v>31</v>
      </c>
      <c r="F870" s="18" t="inlineStr">
        <is>
          <t>funcionario_solicitante</t>
        </is>
      </c>
      <c r="G870" s="18" t="inlineStr">
        <is>
          <t>character varying(150)</t>
        </is>
      </c>
      <c r="H870" s="18" t="inlineStr">
        <is>
          <t>Sí</t>
        </is>
      </c>
      <c r="I870" s="18" t="inlineStr"/>
      <c r="J870" s="18" t="inlineStr"/>
      <c r="K870" s="18" t="inlineStr"/>
      <c r="L870" s="18" t="inlineStr">
        <is>
          <t>No</t>
        </is>
      </c>
      <c r="M870" s="18" t="inlineStr">
        <is>
          <t>No</t>
        </is>
      </c>
      <c r="N870" s="18" t="inlineStr"/>
      <c r="O870" s="18" t="inlineStr"/>
      <c r="P870" s="18" t="inlineStr"/>
      <c r="Q870" s="18" t="inlineStr">
        <is>
          <t>Propuesta semántica</t>
        </is>
      </c>
      <c r="R870" s="18" t="inlineStr">
        <is>
          <t>Nombre del funcionario que solicita la consulta.</t>
        </is>
      </c>
      <c r="S870" s="18" t="inlineStr">
        <is>
          <t>Alta</t>
        </is>
      </c>
      <c r="T870" s="18" t="inlineStr">
        <is>
          <t>nombre + tipo + columnas vecinas</t>
        </is>
      </c>
      <c r="U870" s="18" t="inlineStr"/>
      <c r="V870" s="19" t="inlineStr">
        <is>
          <t>Pendiente</t>
        </is>
      </c>
      <c r="W870" s="19" t="inlineStr"/>
      <c r="X870" s="19" t="inlineStr"/>
      <c r="Y870" s="20" t="n"/>
      <c r="Z870" s="19" t="inlineStr"/>
      <c r="AA870" s="18">
        <f>IF(OR(V870="Aprobada"),R870,IF(AND(OR(V870="Aprobada con ajuste",V870="Rechazada"),W870&lt;&gt;""),W870,""))</f>
        <v/>
      </c>
    </row>
    <row r="871">
      <c r="A871" s="18" t="inlineStr">
        <is>
          <t>C0870</t>
        </is>
      </c>
      <c r="B871" s="18" t="inlineStr">
        <is>
          <t>Gestión jurídica</t>
        </is>
      </c>
      <c r="C871" s="18" t="inlineStr">
        <is>
          <t>legal_management</t>
        </is>
      </c>
      <c r="D871" s="18" t="inlineStr">
        <is>
          <t>consultas_juridicas</t>
        </is>
      </c>
      <c r="E871" s="18" t="n">
        <v>31</v>
      </c>
      <c r="F871" s="18" t="inlineStr">
        <is>
          <t>cargo_solicitante</t>
        </is>
      </c>
      <c r="G871" s="18" t="inlineStr">
        <is>
          <t>character varying(100)</t>
        </is>
      </c>
      <c r="H871" s="18" t="inlineStr">
        <is>
          <t>Sí</t>
        </is>
      </c>
      <c r="I871" s="18" t="inlineStr"/>
      <c r="J871" s="18" t="inlineStr"/>
      <c r="K871" s="18" t="inlineStr"/>
      <c r="L871" s="18" t="inlineStr">
        <is>
          <t>No</t>
        </is>
      </c>
      <c r="M871" s="18" t="inlineStr">
        <is>
          <t>No</t>
        </is>
      </c>
      <c r="N871" s="18" t="inlineStr"/>
      <c r="O871" s="18" t="inlineStr"/>
      <c r="P871" s="18" t="inlineStr">
        <is>
          <t>Mapeada en legal-management-service/src/entities/consulta-juridica.entity.ts:26 (ConsultaJuridica.cargoSolicitante)</t>
        </is>
      </c>
      <c r="Q871" s="18" t="inlineStr">
        <is>
          <t>Propuesta semántica</t>
        </is>
      </c>
      <c r="R871" s="18" t="inlineStr">
        <is>
          <t>Cargo del funcionario solicitante.</t>
        </is>
      </c>
      <c r="S871" s="18" t="inlineStr">
        <is>
          <t>Alta</t>
        </is>
      </c>
      <c r="T871" s="18" t="inlineStr">
        <is>
          <t>nombre + tipo + columnas vecinas</t>
        </is>
      </c>
      <c r="U871" s="18" t="inlineStr"/>
      <c r="V871" s="19" t="inlineStr">
        <is>
          <t>Pendiente</t>
        </is>
      </c>
      <c r="W871" s="19" t="inlineStr"/>
      <c r="X871" s="19" t="inlineStr"/>
      <c r="Y871" s="20" t="n"/>
      <c r="Z871" s="19" t="inlineStr"/>
      <c r="AA871" s="18">
        <f>IF(OR(V871="Aprobada"),R871,IF(AND(OR(V871="Aprobada con ajuste",V871="Rechazada"),W871&lt;&gt;""),W871,""))</f>
        <v/>
      </c>
    </row>
    <row r="872">
      <c r="A872" s="18" t="inlineStr">
        <is>
          <t>C0871</t>
        </is>
      </c>
      <c r="B872" s="18" t="inlineStr">
        <is>
          <t>Gestión jurídica</t>
        </is>
      </c>
      <c r="C872" s="18" t="inlineStr">
        <is>
          <t>legal_management</t>
        </is>
      </c>
      <c r="D872" s="18" t="inlineStr">
        <is>
          <t>consultas_juridicas</t>
        </is>
      </c>
      <c r="E872" s="18" t="n">
        <v>31</v>
      </c>
      <c r="F872" s="18" t="inlineStr">
        <is>
          <t>email_solicitante</t>
        </is>
      </c>
      <c r="G872" s="18" t="inlineStr">
        <is>
          <t>character varying(150)</t>
        </is>
      </c>
      <c r="H872" s="18" t="inlineStr">
        <is>
          <t>Sí</t>
        </is>
      </c>
      <c r="I872" s="18" t="inlineStr"/>
      <c r="J872" s="18" t="inlineStr"/>
      <c r="K872" s="18" t="inlineStr"/>
      <c r="L872" s="18" t="inlineStr">
        <is>
          <t>No</t>
        </is>
      </c>
      <c r="M872" s="18" t="inlineStr">
        <is>
          <t>No</t>
        </is>
      </c>
      <c r="N872" s="18" t="inlineStr"/>
      <c r="O872" s="18" t="inlineStr"/>
      <c r="P872" s="18" t="inlineStr">
        <is>
          <t>Mapeada en legal-management-service/src/entities/consulta-juridica.entity.ts:29 (ConsultaJuridica.emailSolicitante)</t>
        </is>
      </c>
      <c r="Q872" s="18" t="inlineStr">
        <is>
          <t>Propuesta semántica</t>
        </is>
      </c>
      <c r="R872" s="18" t="inlineStr">
        <is>
          <t>Correo electrónico del solicitante.</t>
        </is>
      </c>
      <c r="S872" s="18" t="inlineStr">
        <is>
          <t>Alta</t>
        </is>
      </c>
      <c r="T872" s="18" t="inlineStr">
        <is>
          <t>nombre + tipo + columnas vecinas</t>
        </is>
      </c>
      <c r="U872" s="18" t="inlineStr"/>
      <c r="V872" s="19" t="inlineStr">
        <is>
          <t>Pendiente</t>
        </is>
      </c>
      <c r="W872" s="19" t="inlineStr"/>
      <c r="X872" s="19" t="inlineStr"/>
      <c r="Y872" s="20" t="n"/>
      <c r="Z872" s="19" t="inlineStr"/>
      <c r="AA872" s="18">
        <f>IF(OR(V872="Aprobada"),R872,IF(AND(OR(V872="Aprobada con ajuste",V872="Rechazada"),W872&lt;&gt;""),W872,""))</f>
        <v/>
      </c>
    </row>
    <row r="873">
      <c r="A873" s="18" t="inlineStr">
        <is>
          <t>C0872</t>
        </is>
      </c>
      <c r="B873" s="18" t="inlineStr">
        <is>
          <t>Gestión jurídica</t>
        </is>
      </c>
      <c r="C873" s="18" t="inlineStr">
        <is>
          <t>legal_management</t>
        </is>
      </c>
      <c r="D873" s="18" t="inlineStr">
        <is>
          <t>consultas_juridicas</t>
        </is>
      </c>
      <c r="E873" s="18" t="n">
        <v>31</v>
      </c>
      <c r="F873" s="18" t="inlineStr">
        <is>
          <t>telefono_solicitante</t>
        </is>
      </c>
      <c r="G873" s="18" t="inlineStr">
        <is>
          <t>character varying(20)</t>
        </is>
      </c>
      <c r="H873" s="18" t="inlineStr">
        <is>
          <t>Sí</t>
        </is>
      </c>
      <c r="I873" s="18" t="inlineStr"/>
      <c r="J873" s="18" t="inlineStr"/>
      <c r="K873" s="18" t="inlineStr"/>
      <c r="L873" s="18" t="inlineStr">
        <is>
          <t>No</t>
        </is>
      </c>
      <c r="M873" s="18" t="inlineStr">
        <is>
          <t>No</t>
        </is>
      </c>
      <c r="N873" s="18" t="inlineStr"/>
      <c r="O873" s="18" t="inlineStr"/>
      <c r="P873" s="18" t="inlineStr">
        <is>
          <t>Mapeada en legal-management-service/src/entities/consulta-juridica.entity.ts:32 (ConsultaJuridica.telefonoSolicitante)</t>
        </is>
      </c>
      <c r="Q873" s="18" t="inlineStr">
        <is>
          <t>Propuesta semántica</t>
        </is>
      </c>
      <c r="R873" s="18" t="inlineStr">
        <is>
          <t>Teléfono del solicitante.</t>
        </is>
      </c>
      <c r="S873" s="18" t="inlineStr">
        <is>
          <t>Alta</t>
        </is>
      </c>
      <c r="T873" s="18" t="inlineStr">
        <is>
          <t>nombre + tipo + columnas vecinas</t>
        </is>
      </c>
      <c r="U873" s="18" t="inlineStr"/>
      <c r="V873" s="19" t="inlineStr">
        <is>
          <t>Pendiente</t>
        </is>
      </c>
      <c r="W873" s="19" t="inlineStr"/>
      <c r="X873" s="19" t="inlineStr"/>
      <c r="Y873" s="20" t="n"/>
      <c r="Z873" s="19" t="inlineStr"/>
      <c r="AA873" s="18">
        <f>IF(OR(V873="Aprobada"),R873,IF(AND(OR(V873="Aprobada con ajuste",V873="Rechazada"),W873&lt;&gt;""),W873,""))</f>
        <v/>
      </c>
    </row>
    <row r="874">
      <c r="A874" s="18" t="inlineStr">
        <is>
          <t>C0873</t>
        </is>
      </c>
      <c r="B874" s="18" t="inlineStr">
        <is>
          <t>Gestión jurídica</t>
        </is>
      </c>
      <c r="C874" s="18" t="inlineStr">
        <is>
          <t>legal_management</t>
        </is>
      </c>
      <c r="D874" s="18" t="inlineStr">
        <is>
          <t>consultas_juridicas</t>
        </is>
      </c>
      <c r="E874" s="18" t="n">
        <v>31</v>
      </c>
      <c r="F874" s="18" t="inlineStr">
        <is>
          <t>asunto</t>
        </is>
      </c>
      <c r="G874" s="18" t="inlineStr">
        <is>
          <t>character varying(300)</t>
        </is>
      </c>
      <c r="H874" s="18" t="inlineStr">
        <is>
          <t>Sí</t>
        </is>
      </c>
      <c r="I874" s="18" t="inlineStr"/>
      <c r="J874" s="18" t="inlineStr"/>
      <c r="K874" s="18" t="inlineStr"/>
      <c r="L874" s="18" t="inlineStr">
        <is>
          <t>No</t>
        </is>
      </c>
      <c r="M874" s="18" t="inlineStr">
        <is>
          <t>No</t>
        </is>
      </c>
      <c r="N874" s="18" t="inlineStr"/>
      <c r="O874" s="18" t="inlineStr"/>
      <c r="P874" s="18" t="inlineStr"/>
      <c r="Q874" s="18" t="inlineStr">
        <is>
          <t>Propuesta semántica</t>
        </is>
      </c>
      <c r="R874" s="18" t="inlineStr">
        <is>
          <t>Asunto de la consulta jurídica.</t>
        </is>
      </c>
      <c r="S874" s="18" t="inlineStr">
        <is>
          <t>Alta</t>
        </is>
      </c>
      <c r="T874" s="18" t="inlineStr">
        <is>
          <t>nombre + tipo + columnas vecinas</t>
        </is>
      </c>
      <c r="U874" s="18" t="inlineStr"/>
      <c r="V874" s="19" t="inlineStr">
        <is>
          <t>Pendiente</t>
        </is>
      </c>
      <c r="W874" s="19" t="inlineStr"/>
      <c r="X874" s="19" t="inlineStr"/>
      <c r="Y874" s="20" t="n"/>
      <c r="Z874" s="19" t="inlineStr"/>
      <c r="AA874" s="18">
        <f>IF(OR(V874="Aprobada"),R874,IF(AND(OR(V874="Aprobada con ajuste",V874="Rechazada"),W874&lt;&gt;""),W874,""))</f>
        <v/>
      </c>
    </row>
    <row r="875">
      <c r="A875" s="18" t="inlineStr">
        <is>
          <t>C0874</t>
        </is>
      </c>
      <c r="B875" s="18" t="inlineStr">
        <is>
          <t>Gestión jurídica</t>
        </is>
      </c>
      <c r="C875" s="18" t="inlineStr">
        <is>
          <t>legal_management</t>
        </is>
      </c>
      <c r="D875" s="18" t="inlineStr">
        <is>
          <t>consultas_juridicas</t>
        </is>
      </c>
      <c r="E875" s="18" t="n">
        <v>31</v>
      </c>
      <c r="F875" s="18" t="inlineStr">
        <is>
          <t>descripcion</t>
        </is>
      </c>
      <c r="G875" s="18" t="inlineStr">
        <is>
          <t>text</t>
        </is>
      </c>
      <c r="H875" s="18" t="inlineStr">
        <is>
          <t>Sí</t>
        </is>
      </c>
      <c r="I875" s="18" t="inlineStr"/>
      <c r="J875" s="18" t="inlineStr"/>
      <c r="K875" s="18" t="inlineStr"/>
      <c r="L875" s="18" t="inlineStr">
        <is>
          <t>No</t>
        </is>
      </c>
      <c r="M875" s="18" t="inlineStr">
        <is>
          <t>No</t>
        </is>
      </c>
      <c r="N875" s="18" t="inlineStr"/>
      <c r="O875" s="18" t="inlineStr"/>
      <c r="P875" s="18" t="inlineStr">
        <is>
          <t>Mapeada en legal-management-service/src/entities/consulta-juridica.entity.ts:41 (ConsultaJuridica.descripcion)</t>
        </is>
      </c>
      <c r="Q875" s="18" t="inlineStr">
        <is>
          <t>Regla estructural</t>
        </is>
      </c>
      <c r="R875" s="18" t="inlineStr">
        <is>
          <t>Descripción del registro de consultas_juridicas.</t>
        </is>
      </c>
      <c r="S875" s="18" t="inlineStr">
        <is>
          <t>Media</t>
        </is>
      </c>
      <c r="T875" s="18" t="inlineStr">
        <is>
          <t>Convención de nombre de la columna.</t>
        </is>
      </c>
      <c r="U875" s="18" t="inlineStr"/>
      <c r="V875" s="19" t="inlineStr">
        <is>
          <t>Pendiente</t>
        </is>
      </c>
      <c r="W875" s="19" t="inlineStr"/>
      <c r="X875" s="19" t="inlineStr"/>
      <c r="Y875" s="20" t="n"/>
      <c r="Z875" s="19" t="inlineStr"/>
      <c r="AA875" s="18">
        <f>IF(OR(V875="Aprobada"),R875,IF(AND(OR(V875="Aprobada con ajuste",V875="Rechazada"),W875&lt;&gt;""),W875,""))</f>
        <v/>
      </c>
    </row>
    <row r="876">
      <c r="A876" s="18" t="inlineStr">
        <is>
          <t>C0875</t>
        </is>
      </c>
      <c r="B876" s="18" t="inlineStr">
        <is>
          <t>Gestión jurídica</t>
        </is>
      </c>
      <c r="C876" s="18" t="inlineStr">
        <is>
          <t>legal_management</t>
        </is>
      </c>
      <c r="D876" s="18" t="inlineStr">
        <is>
          <t>consultas_juridicas</t>
        </is>
      </c>
      <c r="E876" s="18" t="n">
        <v>31</v>
      </c>
      <c r="F876" s="18" t="inlineStr">
        <is>
          <t>antecedentes</t>
        </is>
      </c>
      <c r="G876" s="18" t="inlineStr">
        <is>
          <t>text</t>
        </is>
      </c>
      <c r="H876" s="18" t="inlineStr">
        <is>
          <t>Sí</t>
        </is>
      </c>
      <c r="I876" s="18" t="inlineStr"/>
      <c r="J876" s="18" t="inlineStr"/>
      <c r="K876" s="18" t="inlineStr"/>
      <c r="L876" s="18" t="inlineStr">
        <is>
          <t>No</t>
        </is>
      </c>
      <c r="M876" s="18" t="inlineStr">
        <is>
          <t>No</t>
        </is>
      </c>
      <c r="N876" s="18" t="inlineStr"/>
      <c r="O876" s="18" t="inlineStr"/>
      <c r="P876" s="18" t="inlineStr">
        <is>
          <t>Mapeada en legal-management-service/src/entities/consulta-juridica.entity.ts:44 (ConsultaJuridica.antecedentes)</t>
        </is>
      </c>
      <c r="Q876" s="18" t="inlineStr">
        <is>
          <t>Propuesta semántica</t>
        </is>
      </c>
      <c r="R876" s="18" t="inlineStr">
        <is>
          <t>Antecedentes de la consulta jurídica.</t>
        </is>
      </c>
      <c r="S876" s="18" t="inlineStr">
        <is>
          <t>Alta</t>
        </is>
      </c>
      <c r="T876" s="18" t="inlineStr">
        <is>
          <t>nombre + tipo + columnas vecinas</t>
        </is>
      </c>
      <c r="U876" s="18" t="inlineStr"/>
      <c r="V876" s="19" t="inlineStr">
        <is>
          <t>Pendiente</t>
        </is>
      </c>
      <c r="W876" s="19" t="inlineStr"/>
      <c r="X876" s="19" t="inlineStr"/>
      <c r="Y876" s="20" t="n"/>
      <c r="Z876" s="19" t="inlineStr"/>
      <c r="AA876" s="18">
        <f>IF(OR(V876="Aprobada"),R876,IF(AND(OR(V876="Aprobada con ajuste",V876="Rechazada"),W876&lt;&gt;""),W876,""))</f>
        <v/>
      </c>
    </row>
    <row r="877">
      <c r="A877" s="18" t="inlineStr">
        <is>
          <t>C0876</t>
        </is>
      </c>
      <c r="B877" s="18" t="inlineStr">
        <is>
          <t>Gestión jurídica</t>
        </is>
      </c>
      <c r="C877" s="18" t="inlineStr">
        <is>
          <t>legal_management</t>
        </is>
      </c>
      <c r="D877" s="18" t="inlineStr">
        <is>
          <t>consultas_juridicas</t>
        </is>
      </c>
      <c r="E877" s="18" t="n">
        <v>31</v>
      </c>
      <c r="F877" s="18" t="inlineStr">
        <is>
          <t>documentos_soporte_urls</t>
        </is>
      </c>
      <c r="G877" s="18" t="inlineStr">
        <is>
          <t>text[]</t>
        </is>
      </c>
      <c r="H877" s="18" t="inlineStr">
        <is>
          <t>Sí</t>
        </is>
      </c>
      <c r="I877" s="18" t="inlineStr"/>
      <c r="J877" s="18" t="inlineStr"/>
      <c r="K877" s="18" t="inlineStr"/>
      <c r="L877" s="18" t="inlineStr">
        <is>
          <t>No</t>
        </is>
      </c>
      <c r="M877" s="18" t="inlineStr">
        <is>
          <t>No</t>
        </is>
      </c>
      <c r="N877" s="18" t="inlineStr"/>
      <c r="O877" s="18" t="inlineStr"/>
      <c r="P877" s="18" t="inlineStr"/>
      <c r="Q877" s="18" t="inlineStr">
        <is>
          <t>Propuesta semántica</t>
        </is>
      </c>
      <c r="R877" s="18" t="inlineStr">
        <is>
          <t>URL de los documentos soporte de la consulta.</t>
        </is>
      </c>
      <c r="S877" s="18" t="inlineStr">
        <is>
          <t>Alta</t>
        </is>
      </c>
      <c r="T877" s="18" t="inlineStr">
        <is>
          <t>nombre + tipo + columnas vecinas</t>
        </is>
      </c>
      <c r="U877" s="18" t="inlineStr"/>
      <c r="V877" s="19" t="inlineStr">
        <is>
          <t>Pendiente</t>
        </is>
      </c>
      <c r="W877" s="19" t="inlineStr"/>
      <c r="X877" s="19" t="inlineStr"/>
      <c r="Y877" s="20" t="n"/>
      <c r="Z877" s="19" t="inlineStr"/>
      <c r="AA877" s="18">
        <f>IF(OR(V877="Aprobada"),R877,IF(AND(OR(V877="Aprobada con ajuste",V877="Rechazada"),W877&lt;&gt;""),W877,""))</f>
        <v/>
      </c>
    </row>
    <row r="878">
      <c r="A878" s="18" t="inlineStr">
        <is>
          <t>C0877</t>
        </is>
      </c>
      <c r="B878" s="18" t="inlineStr">
        <is>
          <t>Gestión jurídica</t>
        </is>
      </c>
      <c r="C878" s="18" t="inlineStr">
        <is>
          <t>legal_management</t>
        </is>
      </c>
      <c r="D878" s="18" t="inlineStr">
        <is>
          <t>consultas_juridicas</t>
        </is>
      </c>
      <c r="E878" s="18" t="n">
        <v>31</v>
      </c>
      <c r="F878" s="18" t="inlineStr">
        <is>
          <t>tema_principal</t>
        </is>
      </c>
      <c r="G878" s="18" t="inlineStr">
        <is>
          <t>character varying(100)</t>
        </is>
      </c>
      <c r="H878" s="18" t="inlineStr">
        <is>
          <t>Sí</t>
        </is>
      </c>
      <c r="I878" s="18" t="inlineStr"/>
      <c r="J878" s="18" t="inlineStr"/>
      <c r="K878" s="18" t="inlineStr"/>
      <c r="L878" s="18" t="inlineStr">
        <is>
          <t>No</t>
        </is>
      </c>
      <c r="M878" s="18" t="inlineStr">
        <is>
          <t>No</t>
        </is>
      </c>
      <c r="N878" s="18" t="inlineStr"/>
      <c r="O878" s="18" t="inlineStr">
        <is>
          <t>idx_consultas_tema</t>
        </is>
      </c>
      <c r="P878" s="18" t="inlineStr"/>
      <c r="Q878" s="18" t="inlineStr">
        <is>
          <t>Propuesta semántica</t>
        </is>
      </c>
      <c r="R878" s="18" t="inlineStr">
        <is>
          <t>Tema principal de la consulta.</t>
        </is>
      </c>
      <c r="S878" s="18" t="inlineStr">
        <is>
          <t>Media</t>
        </is>
      </c>
      <c r="T878" s="18" t="inlineStr">
        <is>
          <t>nombre + tipo + columnas vecinas</t>
        </is>
      </c>
      <c r="U878" s="18" t="inlineStr">
        <is>
          <t>¿El tema principal sale de un catálogo?</t>
        </is>
      </c>
      <c r="V878" s="19" t="inlineStr">
        <is>
          <t>Pendiente</t>
        </is>
      </c>
      <c r="W878" s="19" t="inlineStr"/>
      <c r="X878" s="19" t="inlineStr"/>
      <c r="Y878" s="20" t="n"/>
      <c r="Z878" s="19" t="inlineStr"/>
      <c r="AA878" s="18">
        <f>IF(OR(V878="Aprobada"),R878,IF(AND(OR(V878="Aprobada con ajuste",V878="Rechazada"),W878&lt;&gt;""),W878,""))</f>
        <v/>
      </c>
    </row>
    <row r="879">
      <c r="A879" s="18" t="inlineStr">
        <is>
          <t>C0878</t>
        </is>
      </c>
      <c r="B879" s="18" t="inlineStr">
        <is>
          <t>Gestión jurídica</t>
        </is>
      </c>
      <c r="C879" s="18" t="inlineStr">
        <is>
          <t>legal_management</t>
        </is>
      </c>
      <c r="D879" s="18" t="inlineStr">
        <is>
          <t>consultas_juridicas</t>
        </is>
      </c>
      <c r="E879" s="18" t="n">
        <v>31</v>
      </c>
      <c r="F879" s="18" t="inlineStr">
        <is>
          <t>palabras_clave</t>
        </is>
      </c>
      <c r="G879" s="18" t="inlineStr">
        <is>
          <t>text[]</t>
        </is>
      </c>
      <c r="H879" s="18" t="inlineStr">
        <is>
          <t>Sí</t>
        </is>
      </c>
      <c r="I879" s="18" t="inlineStr"/>
      <c r="J879" s="18" t="inlineStr"/>
      <c r="K879" s="18" t="inlineStr"/>
      <c r="L879" s="18" t="inlineStr">
        <is>
          <t>No</t>
        </is>
      </c>
      <c r="M879" s="18" t="inlineStr">
        <is>
          <t>No</t>
        </is>
      </c>
      <c r="N879" s="18" t="inlineStr"/>
      <c r="O879" s="18" t="inlineStr"/>
      <c r="P879" s="18" t="inlineStr"/>
      <c r="Q879" s="18" t="inlineStr">
        <is>
          <t>Propuesta semántica</t>
        </is>
      </c>
      <c r="R879" s="18" t="inlineStr">
        <is>
          <t>Palabras clave de la consulta.</t>
        </is>
      </c>
      <c r="S879" s="18" t="inlineStr">
        <is>
          <t>Alta</t>
        </is>
      </c>
      <c r="T879" s="18" t="inlineStr">
        <is>
          <t>nombre + tipo + columnas vecinas</t>
        </is>
      </c>
      <c r="U879" s="18" t="inlineStr"/>
      <c r="V879" s="19" t="inlineStr">
        <is>
          <t>Pendiente</t>
        </is>
      </c>
      <c r="W879" s="19" t="inlineStr"/>
      <c r="X879" s="19" t="inlineStr"/>
      <c r="Y879" s="20" t="n"/>
      <c r="Z879" s="19" t="inlineStr"/>
      <c r="AA879" s="18">
        <f>IF(OR(V879="Aprobada"),R879,IF(AND(OR(V879="Aprobada con ajuste",V879="Rechazada"),W879&lt;&gt;""),W879,""))</f>
        <v/>
      </c>
    </row>
    <row r="880">
      <c r="A880" s="18" t="inlineStr">
        <is>
          <t>C0879</t>
        </is>
      </c>
      <c r="B880" s="18" t="inlineStr">
        <is>
          <t>Gestión jurídica</t>
        </is>
      </c>
      <c r="C880" s="18" t="inlineStr">
        <is>
          <t>legal_management</t>
        </is>
      </c>
      <c r="D880" s="18" t="inlineStr">
        <is>
          <t>consultas_juridicas</t>
        </is>
      </c>
      <c r="E880" s="18" t="n">
        <v>31</v>
      </c>
      <c r="F880" s="18" t="inlineStr">
        <is>
          <t>abogado_asignado_id</t>
        </is>
      </c>
      <c r="G880" s="18" t="inlineStr">
        <is>
          <t>uuid</t>
        </is>
      </c>
      <c r="H880" s="18" t="inlineStr">
        <is>
          <t>Sí</t>
        </is>
      </c>
      <c r="I880" s="18" t="inlineStr"/>
      <c r="J880" s="18" t="inlineStr"/>
      <c r="K880" s="18" t="inlineStr"/>
      <c r="L880" s="18" t="inlineStr">
        <is>
          <t>No</t>
        </is>
      </c>
      <c r="M880" s="18" t="inlineStr">
        <is>
          <t>No</t>
        </is>
      </c>
      <c r="N880" s="18" t="inlineStr"/>
      <c r="O880" s="18" t="inlineStr">
        <is>
          <t>idx_consultas_abogado</t>
        </is>
      </c>
      <c r="P880" s="18" t="inlineStr">
        <is>
          <t>Mapeada en legal-management-service/src/entities/consulta-juridica.entity.ts:47 (ConsultaJuridica.abogadoAsignadoId)</t>
        </is>
      </c>
      <c r="Q880" s="18" t="inlineStr">
        <is>
          <t>Propuesta semántica</t>
        </is>
      </c>
      <c r="R880" s="18" t="inlineStr">
        <is>
          <t>Identificador del abogado asignado a la consulta.</t>
        </is>
      </c>
      <c r="S880" s="18" t="inlineStr">
        <is>
          <t>Media</t>
        </is>
      </c>
      <c r="T880" s="18" t="inlineStr">
        <is>
          <t>nombre + tipo + columnas vecinas</t>
        </is>
      </c>
      <c r="U880" s="18" t="inlineStr">
        <is>
          <t>¿Referencia a qué tabla de abogados? No tiene FK declarada.</t>
        </is>
      </c>
      <c r="V880" s="19" t="inlineStr">
        <is>
          <t>Pendiente</t>
        </is>
      </c>
      <c r="W880" s="19" t="inlineStr"/>
      <c r="X880" s="19" t="inlineStr"/>
      <c r="Y880" s="20" t="n"/>
      <c r="Z880" s="19" t="inlineStr"/>
      <c r="AA880" s="18">
        <f>IF(OR(V880="Aprobada"),R880,IF(AND(OR(V880="Aprobada con ajuste",V880="Rechazada"),W880&lt;&gt;""),W880,""))</f>
        <v/>
      </c>
    </row>
    <row r="881">
      <c r="A881" s="18" t="inlineStr">
        <is>
          <t>C0880</t>
        </is>
      </c>
      <c r="B881" s="18" t="inlineStr">
        <is>
          <t>Gestión jurídica</t>
        </is>
      </c>
      <c r="C881" s="18" t="inlineStr">
        <is>
          <t>legal_management</t>
        </is>
      </c>
      <c r="D881" s="18" t="inlineStr">
        <is>
          <t>consultas_juridicas</t>
        </is>
      </c>
      <c r="E881" s="18" t="n">
        <v>31</v>
      </c>
      <c r="F881" s="18" t="inlineStr">
        <is>
          <t>abogado_asignado_nombre</t>
        </is>
      </c>
      <c r="G881" s="18" t="inlineStr">
        <is>
          <t>character varying(150)</t>
        </is>
      </c>
      <c r="H881" s="18" t="inlineStr">
        <is>
          <t>Sí</t>
        </is>
      </c>
      <c r="I881" s="18" t="inlineStr"/>
      <c r="J881" s="18" t="inlineStr"/>
      <c r="K881" s="18" t="inlineStr"/>
      <c r="L881" s="18" t="inlineStr">
        <is>
          <t>No</t>
        </is>
      </c>
      <c r="M881" s="18" t="inlineStr">
        <is>
          <t>No</t>
        </is>
      </c>
      <c r="N881" s="18" t="inlineStr"/>
      <c r="O881" s="18" t="inlineStr"/>
      <c r="P881" s="18" t="inlineStr">
        <is>
          <t>Mapeada en legal-management-service/src/entities/consulta-juridica.entity.ts:50 (ConsultaJuridica.abogadoAsignadoNombre)</t>
        </is>
      </c>
      <c r="Q881" s="18" t="inlineStr">
        <is>
          <t>Propuesta semántica</t>
        </is>
      </c>
      <c r="R881" s="18" t="inlineStr">
        <is>
          <t>Nombre del abogado asignado a la consulta.</t>
        </is>
      </c>
      <c r="S881" s="18" t="inlineStr">
        <is>
          <t>Alta</t>
        </is>
      </c>
      <c r="T881" s="18" t="inlineStr">
        <is>
          <t>nombre + tipo + columnas vecinas</t>
        </is>
      </c>
      <c r="U881" s="18" t="inlineStr"/>
      <c r="V881" s="19" t="inlineStr">
        <is>
          <t>Pendiente</t>
        </is>
      </c>
      <c r="W881" s="19" t="inlineStr"/>
      <c r="X881" s="19" t="inlineStr"/>
      <c r="Y881" s="20" t="n"/>
      <c r="Z881" s="19" t="inlineStr"/>
      <c r="AA881" s="18">
        <f>IF(OR(V881="Aprobada"),R881,IF(AND(OR(V881="Aprobada con ajuste",V881="Rechazada"),W881&lt;&gt;""),W881,""))</f>
        <v/>
      </c>
    </row>
    <row r="882">
      <c r="A882" s="18" t="inlineStr">
        <is>
          <t>C0881</t>
        </is>
      </c>
      <c r="B882" s="18" t="inlineStr">
        <is>
          <t>Gestión jurídica</t>
        </is>
      </c>
      <c r="C882" s="18" t="inlineStr">
        <is>
          <t>legal_management</t>
        </is>
      </c>
      <c r="D882" s="18" t="inlineStr">
        <is>
          <t>consultas_juridicas</t>
        </is>
      </c>
      <c r="E882" s="18" t="n">
        <v>31</v>
      </c>
      <c r="F882" s="18" t="inlineStr">
        <is>
          <t>fecha_asignacion</t>
        </is>
      </c>
      <c r="G882" s="18" t="inlineStr">
        <is>
          <t>timestamp without time zone</t>
        </is>
      </c>
      <c r="H882" s="18" t="inlineStr">
        <is>
          <t>Sí</t>
        </is>
      </c>
      <c r="I882" s="18" t="inlineStr"/>
      <c r="J882" s="18" t="inlineStr"/>
      <c r="K882" s="18" t="inlineStr"/>
      <c r="L882" s="18" t="inlineStr">
        <is>
          <t>No</t>
        </is>
      </c>
      <c r="M882" s="18" t="inlineStr">
        <is>
          <t>No</t>
        </is>
      </c>
      <c r="N882" s="18" t="inlineStr"/>
      <c r="O882" s="18" t="inlineStr"/>
      <c r="P882" s="18" t="inlineStr">
        <is>
          <t>Mapeada en legal-management-service/src/entities/consulta-juridica.entity.ts:53 (ConsultaJuridica.fechaAsignacion)</t>
        </is>
      </c>
      <c r="Q882" s="18" t="inlineStr">
        <is>
          <t>Regla estructural</t>
        </is>
      </c>
      <c r="R882" s="18" t="inlineStr">
        <is>
          <t>Fecha de asignación.</t>
        </is>
      </c>
      <c r="S882" s="18" t="inlineStr">
        <is>
          <t>Media</t>
        </is>
      </c>
      <c r="T882" s="18" t="inlineStr">
        <is>
          <t>Convención de nombre de la columna.</t>
        </is>
      </c>
      <c r="U882" s="18" t="inlineStr"/>
      <c r="V882" s="19" t="inlineStr">
        <is>
          <t>Pendiente</t>
        </is>
      </c>
      <c r="W882" s="19" t="inlineStr"/>
      <c r="X882" s="19" t="inlineStr"/>
      <c r="Y882" s="20" t="n"/>
      <c r="Z882" s="19" t="inlineStr"/>
      <c r="AA882" s="18">
        <f>IF(OR(V882="Aprobada"),R882,IF(AND(OR(V882="Aprobada con ajuste",V882="Rechazada"),W882&lt;&gt;""),W882,""))</f>
        <v/>
      </c>
    </row>
    <row r="883">
      <c r="A883" s="18" t="inlineStr">
        <is>
          <t>C0882</t>
        </is>
      </c>
      <c r="B883" s="18" t="inlineStr">
        <is>
          <t>Gestión jurídica</t>
        </is>
      </c>
      <c r="C883" s="18" t="inlineStr">
        <is>
          <t>legal_management</t>
        </is>
      </c>
      <c r="D883" s="18" t="inlineStr">
        <is>
          <t>consultas_juridicas</t>
        </is>
      </c>
      <c r="E883" s="18" t="n">
        <v>31</v>
      </c>
      <c r="F883" s="18" t="inlineStr">
        <is>
          <t>estado</t>
        </is>
      </c>
      <c r="G883" s="18" t="inlineStr">
        <is>
          <t>character varying(30)</t>
        </is>
      </c>
      <c r="H883" s="18" t="inlineStr">
        <is>
          <t>Sí</t>
        </is>
      </c>
      <c r="I883" s="18" t="inlineStr"/>
      <c r="J883" s="18" t="inlineStr"/>
      <c r="K883" s="18" t="inlineStr"/>
      <c r="L883" s="18" t="inlineStr">
        <is>
          <t>No</t>
        </is>
      </c>
      <c r="M883" s="18" t="inlineStr">
        <is>
          <t>No</t>
        </is>
      </c>
      <c r="N883" s="18" t="inlineStr"/>
      <c r="O883" s="18" t="inlineStr">
        <is>
          <t>idx_consultas_estado</t>
        </is>
      </c>
      <c r="P883" s="18" t="inlineStr">
        <is>
          <t>legal-management-service/src/entities/consulta-juridica.entity.ts:68: en_radicacion, asignado, en_analisis, en_revision, respondido, cerrado, vencido</t>
        </is>
      </c>
      <c r="Q883" s="18" t="inlineStr">
        <is>
          <t>Código fuente</t>
        </is>
      </c>
      <c r="R883" s="18" t="inlineStr">
        <is>
          <t>Estado de la consulta jurídica. Valores en el código: en_radicacion, asignado, en_analisis, en_revision, respondido, cerrado, vencido. Por defecto, RADICADA.</t>
        </is>
      </c>
      <c r="S883" s="18" t="inlineStr">
        <is>
          <t>Media</t>
        </is>
      </c>
      <c r="T883" s="18" t="inlineStr">
        <is>
          <t>código: consulta-juridica.entity.ts:68</t>
        </is>
      </c>
      <c r="U883" s="18" t="inlineStr">
        <is>
          <t>El defecto de la base es RADICADA y el código lista valores en minúscula; ¿cuál es la lista vigente de estados?</t>
        </is>
      </c>
      <c r="V883" s="19" t="inlineStr">
        <is>
          <t>Pendiente</t>
        </is>
      </c>
      <c r="W883" s="19" t="inlineStr"/>
      <c r="X883" s="19" t="inlineStr"/>
      <c r="Y883" s="20" t="n"/>
      <c r="Z883" s="19" t="inlineStr"/>
      <c r="AA883" s="18">
        <f>IF(OR(V883="Aprobada"),R883,IF(AND(OR(V883="Aprobada con ajuste",V883="Rechazada"),W883&lt;&gt;""),W883,""))</f>
        <v/>
      </c>
    </row>
    <row r="884">
      <c r="A884" s="18" t="inlineStr">
        <is>
          <t>C0883</t>
        </is>
      </c>
      <c r="B884" s="18" t="inlineStr">
        <is>
          <t>Gestión jurídica</t>
        </is>
      </c>
      <c r="C884" s="18" t="inlineStr">
        <is>
          <t>legal_management</t>
        </is>
      </c>
      <c r="D884" s="18" t="inlineStr">
        <is>
          <t>consultas_juridicas</t>
        </is>
      </c>
      <c r="E884" s="18" t="n">
        <v>31</v>
      </c>
      <c r="F884" s="18" t="inlineStr">
        <is>
          <t>fecha_radicacion</t>
        </is>
      </c>
      <c r="G884" s="18" t="inlineStr">
        <is>
          <t>timestamp without time zone</t>
        </is>
      </c>
      <c r="H884" s="18" t="inlineStr">
        <is>
          <t>Sí</t>
        </is>
      </c>
      <c r="I884" s="18" t="inlineStr"/>
      <c r="J884" s="18" t="inlineStr"/>
      <c r="K884" s="18" t="inlineStr"/>
      <c r="L884" s="18" t="inlineStr">
        <is>
          <t>No</t>
        </is>
      </c>
      <c r="M884" s="18" t="inlineStr">
        <is>
          <t>No</t>
        </is>
      </c>
      <c r="N884" s="18" t="inlineStr"/>
      <c r="O884" s="18" t="inlineStr">
        <is>
          <t>idx_consultas_fecha</t>
        </is>
      </c>
      <c r="P884" s="18" t="inlineStr"/>
      <c r="Q884" s="18" t="inlineStr">
        <is>
          <t>Regla estructural</t>
        </is>
      </c>
      <c r="R884" s="18" t="inlineStr">
        <is>
          <t>Fecha de radicación.</t>
        </is>
      </c>
      <c r="S884" s="18" t="inlineStr">
        <is>
          <t>Media</t>
        </is>
      </c>
      <c r="T884" s="18" t="inlineStr">
        <is>
          <t>Convención de nombre de la columna.</t>
        </is>
      </c>
      <c r="U884" s="18" t="inlineStr"/>
      <c r="V884" s="19" t="inlineStr">
        <is>
          <t>Pendiente</t>
        </is>
      </c>
      <c r="W884" s="19" t="inlineStr"/>
      <c r="X884" s="19" t="inlineStr"/>
      <c r="Y884" s="20" t="n"/>
      <c r="Z884" s="19" t="inlineStr"/>
      <c r="AA884" s="18">
        <f>IF(OR(V884="Aprobada"),R884,IF(AND(OR(V884="Aprobada con ajuste",V884="Rechazada"),W884&lt;&gt;""),W884,""))</f>
        <v/>
      </c>
    </row>
    <row r="885">
      <c r="A885" s="18" t="inlineStr">
        <is>
          <t>C0884</t>
        </is>
      </c>
      <c r="B885" s="18" t="inlineStr">
        <is>
          <t>Gestión jurídica</t>
        </is>
      </c>
      <c r="C885" s="18" t="inlineStr">
        <is>
          <t>legal_management</t>
        </is>
      </c>
      <c r="D885" s="18" t="inlineStr">
        <is>
          <t>consultas_juridicas</t>
        </is>
      </c>
      <c r="E885" s="18" t="n">
        <v>31</v>
      </c>
      <c r="F885" s="18" t="inlineStr">
        <is>
          <t>fecha_vencimiento</t>
        </is>
      </c>
      <c r="G885" s="18" t="inlineStr">
        <is>
          <t>timestamp without time zone</t>
        </is>
      </c>
      <c r="H885" s="18" t="inlineStr">
        <is>
          <t>Sí</t>
        </is>
      </c>
      <c r="I885" s="18" t="inlineStr"/>
      <c r="J885" s="18" t="inlineStr"/>
      <c r="K885" s="18" t="inlineStr"/>
      <c r="L885" s="18" t="inlineStr">
        <is>
          <t>No</t>
        </is>
      </c>
      <c r="M885" s="18" t="inlineStr">
        <is>
          <t>No</t>
        </is>
      </c>
      <c r="N885" s="18" t="inlineStr"/>
      <c r="O885" s="18" t="inlineStr"/>
      <c r="P885" s="18" t="inlineStr"/>
      <c r="Q885" s="18" t="inlineStr">
        <is>
          <t>Regla estructural</t>
        </is>
      </c>
      <c r="R885" s="18" t="inlineStr">
        <is>
          <t>Fecha de vencimiento.</t>
        </is>
      </c>
      <c r="S885" s="18" t="inlineStr">
        <is>
          <t>Media</t>
        </is>
      </c>
      <c r="T885" s="18" t="inlineStr">
        <is>
          <t>Convención de nombre de la columna.</t>
        </is>
      </c>
      <c r="U885" s="18" t="inlineStr"/>
      <c r="V885" s="19" t="inlineStr">
        <is>
          <t>Pendiente</t>
        </is>
      </c>
      <c r="W885" s="19" t="inlineStr"/>
      <c r="X885" s="19" t="inlineStr"/>
      <c r="Y885" s="20" t="n"/>
      <c r="Z885" s="19" t="inlineStr"/>
      <c r="AA885" s="18">
        <f>IF(OR(V885="Aprobada"),R885,IF(AND(OR(V885="Aprobada con ajuste",V885="Rechazada"),W885&lt;&gt;""),W885,""))</f>
        <v/>
      </c>
    </row>
    <row r="886">
      <c r="A886" s="18" t="inlineStr">
        <is>
          <t>C0885</t>
        </is>
      </c>
      <c r="B886" s="18" t="inlineStr">
        <is>
          <t>Gestión jurídica</t>
        </is>
      </c>
      <c r="C886" s="18" t="inlineStr">
        <is>
          <t>legal_management</t>
        </is>
      </c>
      <c r="D886" s="18" t="inlineStr">
        <is>
          <t>consultas_juridicas</t>
        </is>
      </c>
      <c r="E886" s="18" t="n">
        <v>31</v>
      </c>
      <c r="F886" s="18" t="inlineStr">
        <is>
          <t>dias_termino</t>
        </is>
      </c>
      <c r="G886" s="18" t="inlineStr">
        <is>
          <t>integer</t>
        </is>
      </c>
      <c r="H886" s="18" t="inlineStr">
        <is>
          <t>Sí</t>
        </is>
      </c>
      <c r="I886" s="18" t="inlineStr"/>
      <c r="J886" s="18" t="inlineStr"/>
      <c r="K886" s="18" t="inlineStr"/>
      <c r="L886" s="18" t="inlineStr">
        <is>
          <t>No</t>
        </is>
      </c>
      <c r="M886" s="18" t="inlineStr">
        <is>
          <t>No</t>
        </is>
      </c>
      <c r="N886" s="18" t="inlineStr"/>
      <c r="O886" s="18" t="inlineStr"/>
      <c r="P886" s="18" t="inlineStr"/>
      <c r="Q886" s="18" t="inlineStr">
        <is>
          <t>Propuesta semántica</t>
        </is>
      </c>
      <c r="R886" s="18" t="inlineStr">
        <is>
          <t>Días de término para responder la consulta. Valor por defecto: 30.</t>
        </is>
      </c>
      <c r="S886" s="18" t="inlineStr">
        <is>
          <t>Media</t>
        </is>
      </c>
      <c r="T886" s="18" t="inlineStr">
        <is>
          <t>nombre + tipo + columnas vecinas + defecto</t>
        </is>
      </c>
      <c r="U886" s="18" t="inlineStr">
        <is>
          <t>¿Qué diferencia hay entre dias_termino y termino_legal_dias? ¿Son días hábiles?</t>
        </is>
      </c>
      <c r="V886" s="19" t="inlineStr">
        <is>
          <t>Pendiente</t>
        </is>
      </c>
      <c r="W886" s="19" t="inlineStr"/>
      <c r="X886" s="19" t="inlineStr"/>
      <c r="Y886" s="20" t="n"/>
      <c r="Z886" s="19" t="inlineStr"/>
      <c r="AA886" s="18">
        <f>IF(OR(V886="Aprobada"),R886,IF(AND(OR(V886="Aprobada con ajuste",V886="Rechazada"),W886&lt;&gt;""),W886,""))</f>
        <v/>
      </c>
    </row>
    <row r="887">
      <c r="A887" s="18" t="inlineStr">
        <is>
          <t>C0886</t>
        </is>
      </c>
      <c r="B887" s="18" t="inlineStr">
        <is>
          <t>Gestión jurídica</t>
        </is>
      </c>
      <c r="C887" s="18" t="inlineStr">
        <is>
          <t>legal_management</t>
        </is>
      </c>
      <c r="D887" s="18" t="inlineStr">
        <is>
          <t>consultas_juridicas</t>
        </is>
      </c>
      <c r="E887" s="18" t="n">
        <v>31</v>
      </c>
      <c r="F887" s="18" t="inlineStr">
        <is>
          <t>dias_transcurridos</t>
        </is>
      </c>
      <c r="G887" s="18" t="inlineStr">
        <is>
          <t>integer</t>
        </is>
      </c>
      <c r="H887" s="18" t="inlineStr">
        <is>
          <t>Sí</t>
        </is>
      </c>
      <c r="I887" s="18" t="inlineStr"/>
      <c r="J887" s="18" t="inlineStr"/>
      <c r="K887" s="18" t="inlineStr"/>
      <c r="L887" s="18" t="inlineStr">
        <is>
          <t>No</t>
        </is>
      </c>
      <c r="M887" s="18" t="inlineStr">
        <is>
          <t>No</t>
        </is>
      </c>
      <c r="N887" s="18" t="inlineStr"/>
      <c r="O887" s="18" t="inlineStr"/>
      <c r="P887" s="18" t="inlineStr"/>
      <c r="Q887" s="18" t="inlineStr">
        <is>
          <t>Propuesta semántica</t>
        </is>
      </c>
      <c r="R887" s="18" t="inlineStr">
        <is>
          <t>Días transcurridos desde la radicación de la consulta. Valor por defecto: 0.</t>
        </is>
      </c>
      <c r="S887" s="18" t="inlineStr">
        <is>
          <t>Media</t>
        </is>
      </c>
      <c r="T887" s="18" t="inlineStr">
        <is>
          <t>nombre + tipo + columnas vecinas + defecto</t>
        </is>
      </c>
      <c r="U887" s="18" t="inlineStr">
        <is>
          <t>¿Se recalcula automáticamente y cuenta días hábiles o calendario?</t>
        </is>
      </c>
      <c r="V887" s="19" t="inlineStr">
        <is>
          <t>Pendiente</t>
        </is>
      </c>
      <c r="W887" s="19" t="inlineStr"/>
      <c r="X887" s="19" t="inlineStr"/>
      <c r="Y887" s="20" t="n"/>
      <c r="Z887" s="19" t="inlineStr"/>
      <c r="AA887" s="18">
        <f>IF(OR(V887="Aprobada"),R887,IF(AND(OR(V887="Aprobada con ajuste",V887="Rechazada"),W887&lt;&gt;""),W887,""))</f>
        <v/>
      </c>
    </row>
    <row r="888">
      <c r="A888" s="18" t="inlineStr">
        <is>
          <t>C0887</t>
        </is>
      </c>
      <c r="B888" s="18" t="inlineStr">
        <is>
          <t>Gestión jurídica</t>
        </is>
      </c>
      <c r="C888" s="18" t="inlineStr">
        <is>
          <t>legal_management</t>
        </is>
      </c>
      <c r="D888" s="18" t="inlineStr">
        <is>
          <t>consultas_juridicas</t>
        </is>
      </c>
      <c r="E888" s="18" t="n">
        <v>31</v>
      </c>
      <c r="F888" s="18" t="inlineStr">
        <is>
          <t>suspendida</t>
        </is>
      </c>
      <c r="G888" s="18" t="inlineStr">
        <is>
          <t>boolean</t>
        </is>
      </c>
      <c r="H888" s="18" t="inlineStr">
        <is>
          <t>Sí</t>
        </is>
      </c>
      <c r="I888" s="18" t="inlineStr"/>
      <c r="J888" s="18" t="inlineStr"/>
      <c r="K888" s="18" t="inlineStr"/>
      <c r="L888" s="18" t="inlineStr">
        <is>
          <t>No</t>
        </is>
      </c>
      <c r="M888" s="18" t="inlineStr">
        <is>
          <t>No</t>
        </is>
      </c>
      <c r="N888" s="18" t="inlineStr"/>
      <c r="O888" s="18" t="inlineStr"/>
      <c r="P888" s="18" t="inlineStr"/>
      <c r="Q888" s="18" t="inlineStr">
        <is>
          <t>Regla estructural</t>
        </is>
      </c>
      <c r="R888" s="18" t="inlineStr">
        <is>
          <t>Indica si el registro está suspendida.</t>
        </is>
      </c>
      <c r="S888" s="18" t="inlineStr">
        <is>
          <t>Media</t>
        </is>
      </c>
      <c r="T888" s="18" t="inlineStr">
        <is>
          <t>Convención de nombre de la columna.</t>
        </is>
      </c>
      <c r="U888" s="18" t="inlineStr"/>
      <c r="V888" s="19" t="inlineStr">
        <is>
          <t>Pendiente</t>
        </is>
      </c>
      <c r="W888" s="19" t="inlineStr"/>
      <c r="X888" s="19" t="inlineStr"/>
      <c r="Y888" s="20" t="n"/>
      <c r="Z888" s="19" t="inlineStr"/>
      <c r="AA888" s="18">
        <f>IF(OR(V888="Aprobada"),R888,IF(AND(OR(V888="Aprobada con ajuste",V888="Rechazada"),W888&lt;&gt;""),W888,""))</f>
        <v/>
      </c>
    </row>
    <row r="889">
      <c r="A889" s="18" t="inlineStr">
        <is>
          <t>C0888</t>
        </is>
      </c>
      <c r="B889" s="18" t="inlineStr">
        <is>
          <t>Gestión jurídica</t>
        </is>
      </c>
      <c r="C889" s="18" t="inlineStr">
        <is>
          <t>legal_management</t>
        </is>
      </c>
      <c r="D889" s="18" t="inlineStr">
        <is>
          <t>consultas_juridicas</t>
        </is>
      </c>
      <c r="E889" s="18" t="n">
        <v>31</v>
      </c>
      <c r="F889" s="18" t="inlineStr">
        <is>
          <t>fecha_suspension</t>
        </is>
      </c>
      <c r="G889" s="18" t="inlineStr">
        <is>
          <t>timestamp without time zone</t>
        </is>
      </c>
      <c r="H889" s="18" t="inlineStr">
        <is>
          <t>Sí</t>
        </is>
      </c>
      <c r="I889" s="18" t="inlineStr"/>
      <c r="J889" s="18" t="inlineStr"/>
      <c r="K889" s="18" t="inlineStr"/>
      <c r="L889" s="18" t="inlineStr">
        <is>
          <t>No</t>
        </is>
      </c>
      <c r="M889" s="18" t="inlineStr">
        <is>
          <t>No</t>
        </is>
      </c>
      <c r="N889" s="18" t="inlineStr"/>
      <c r="O889" s="18" t="inlineStr"/>
      <c r="P889" s="18" t="inlineStr"/>
      <c r="Q889" s="18" t="inlineStr">
        <is>
          <t>Regla estructural</t>
        </is>
      </c>
      <c r="R889" s="18" t="inlineStr">
        <is>
          <t>Fecha de suspensión.</t>
        </is>
      </c>
      <c r="S889" s="18" t="inlineStr">
        <is>
          <t>Media</t>
        </is>
      </c>
      <c r="T889" s="18" t="inlineStr">
        <is>
          <t>Convención de nombre de la columna.</t>
        </is>
      </c>
      <c r="U889" s="18" t="inlineStr"/>
      <c r="V889" s="19" t="inlineStr">
        <is>
          <t>Pendiente</t>
        </is>
      </c>
      <c r="W889" s="19" t="inlineStr"/>
      <c r="X889" s="19" t="inlineStr"/>
      <c r="Y889" s="20" t="n"/>
      <c r="Z889" s="19" t="inlineStr"/>
      <c r="AA889" s="18">
        <f>IF(OR(V889="Aprobada"),R889,IF(AND(OR(V889="Aprobada con ajuste",V889="Rechazada"),W889&lt;&gt;""),W889,""))</f>
        <v/>
      </c>
    </row>
    <row r="890">
      <c r="A890" s="18" t="inlineStr">
        <is>
          <t>C0889</t>
        </is>
      </c>
      <c r="B890" s="18" t="inlineStr">
        <is>
          <t>Gestión jurídica</t>
        </is>
      </c>
      <c r="C890" s="18" t="inlineStr">
        <is>
          <t>legal_management</t>
        </is>
      </c>
      <c r="D890" s="18" t="inlineStr">
        <is>
          <t>consultas_juridicas</t>
        </is>
      </c>
      <c r="E890" s="18" t="n">
        <v>31</v>
      </c>
      <c r="F890" s="18" t="inlineStr">
        <is>
          <t>motivo_suspension</t>
        </is>
      </c>
      <c r="G890" s="18" t="inlineStr">
        <is>
          <t>text</t>
        </is>
      </c>
      <c r="H890" s="18" t="inlineStr">
        <is>
          <t>Sí</t>
        </is>
      </c>
      <c r="I890" s="18" t="inlineStr"/>
      <c r="J890" s="18" t="inlineStr"/>
      <c r="K890" s="18" t="inlineStr"/>
      <c r="L890" s="18" t="inlineStr">
        <is>
          <t>No</t>
        </is>
      </c>
      <c r="M890" s="18" t="inlineStr">
        <is>
          <t>No</t>
        </is>
      </c>
      <c r="N890" s="18" t="inlineStr"/>
      <c r="O890" s="18" t="inlineStr"/>
      <c r="P890" s="18" t="inlineStr"/>
      <c r="Q890" s="18" t="inlineStr">
        <is>
          <t>Regla estructural</t>
        </is>
      </c>
      <c r="R890" s="18" t="inlineStr">
        <is>
          <t>Motivo de la suspensión.</t>
        </is>
      </c>
      <c r="S890" s="18" t="inlineStr">
        <is>
          <t>Media</t>
        </is>
      </c>
      <c r="T890" s="18" t="inlineStr">
        <is>
          <t>Convención de nombre de la columna.</t>
        </is>
      </c>
      <c r="U890" s="18" t="inlineStr"/>
      <c r="V890" s="19" t="inlineStr">
        <is>
          <t>Pendiente</t>
        </is>
      </c>
      <c r="W890" s="19" t="inlineStr"/>
      <c r="X890" s="19" t="inlineStr"/>
      <c r="Y890" s="20" t="n"/>
      <c r="Z890" s="19" t="inlineStr"/>
      <c r="AA890" s="18">
        <f>IF(OR(V890="Aprobada"),R890,IF(AND(OR(V890="Aprobada con ajuste",V890="Rechazada"),W890&lt;&gt;""),W890,""))</f>
        <v/>
      </c>
    </row>
    <row r="891">
      <c r="A891" s="18" t="inlineStr">
        <is>
          <t>C0890</t>
        </is>
      </c>
      <c r="B891" s="18" t="inlineStr">
        <is>
          <t>Gestión jurídica</t>
        </is>
      </c>
      <c r="C891" s="18" t="inlineStr">
        <is>
          <t>legal_management</t>
        </is>
      </c>
      <c r="D891" s="18" t="inlineStr">
        <is>
          <t>consultas_juridicas</t>
        </is>
      </c>
      <c r="E891" s="18" t="n">
        <v>31</v>
      </c>
      <c r="F891" s="18" t="inlineStr">
        <is>
          <t>confidencial</t>
        </is>
      </c>
      <c r="G891" s="18" t="inlineStr">
        <is>
          <t>boolean</t>
        </is>
      </c>
      <c r="H891" s="18" t="inlineStr">
        <is>
          <t>Sí</t>
        </is>
      </c>
      <c r="I891" s="18" t="inlineStr"/>
      <c r="J891" s="18" t="inlineStr"/>
      <c r="K891" s="18" t="inlineStr"/>
      <c r="L891" s="18" t="inlineStr">
        <is>
          <t>No</t>
        </is>
      </c>
      <c r="M891" s="18" t="inlineStr">
        <is>
          <t>No</t>
        </is>
      </c>
      <c r="N891" s="18" t="inlineStr"/>
      <c r="O891" s="18" t="inlineStr"/>
      <c r="P891" s="18" t="inlineStr"/>
      <c r="Q891" s="18" t="inlineStr">
        <is>
          <t>Regla estructural</t>
        </is>
      </c>
      <c r="R891" s="18" t="inlineStr">
        <is>
          <t>Indica si aplica: confidencial.</t>
        </is>
      </c>
      <c r="S891" s="18" t="inlineStr">
        <is>
          <t>Media</t>
        </is>
      </c>
      <c r="T891" s="18" t="inlineStr">
        <is>
          <t>Convención de nombre de la columna.</t>
        </is>
      </c>
      <c r="U891" s="18" t="inlineStr"/>
      <c r="V891" s="19" t="inlineStr">
        <is>
          <t>Pendiente</t>
        </is>
      </c>
      <c r="W891" s="19" t="inlineStr"/>
      <c r="X891" s="19" t="inlineStr"/>
      <c r="Y891" s="20" t="n"/>
      <c r="Z891" s="19" t="inlineStr"/>
      <c r="AA891" s="18">
        <f>IF(OR(V891="Aprobada"),R891,IF(AND(OR(V891="Aprobada con ajuste",V891="Rechazada"),W891&lt;&gt;""),W891,""))</f>
        <v/>
      </c>
    </row>
    <row r="892">
      <c r="A892" s="18" t="inlineStr">
        <is>
          <t>C0891</t>
        </is>
      </c>
      <c r="B892" s="18" t="inlineStr">
        <is>
          <t>Gestión jurídica</t>
        </is>
      </c>
      <c r="C892" s="18" t="inlineStr">
        <is>
          <t>legal_management</t>
        </is>
      </c>
      <c r="D892" s="18" t="inlineStr">
        <is>
          <t>consultas_juridicas</t>
        </is>
      </c>
      <c r="E892" s="18" t="n">
        <v>31</v>
      </c>
      <c r="F892" s="18" t="inlineStr">
        <is>
          <t>areas_con_acceso</t>
        </is>
      </c>
      <c r="G892" s="18" t="inlineStr">
        <is>
          <t>text[]</t>
        </is>
      </c>
      <c r="H892" s="18" t="inlineStr">
        <is>
          <t>Sí</t>
        </is>
      </c>
      <c r="I892" s="18" t="inlineStr"/>
      <c r="J892" s="18" t="inlineStr"/>
      <c r="K892" s="18" t="inlineStr"/>
      <c r="L892" s="18" t="inlineStr">
        <is>
          <t>No</t>
        </is>
      </c>
      <c r="M892" s="18" t="inlineStr">
        <is>
          <t>No</t>
        </is>
      </c>
      <c r="N892" s="18" t="inlineStr"/>
      <c r="O892" s="18" t="inlineStr"/>
      <c r="P892" s="18" t="inlineStr"/>
      <c r="Q892" s="18" t="inlineStr">
        <is>
          <t>Propuesta semántica</t>
        </is>
      </c>
      <c r="R892" s="18" t="inlineStr">
        <is>
          <t>Áreas con acceso a la consulta cuando es confidencial.</t>
        </is>
      </c>
      <c r="S892" s="18" t="inlineStr">
        <is>
          <t>Media</t>
        </is>
      </c>
      <c r="T892" s="18" t="inlineStr">
        <is>
          <t>nombre + tipo + columnas vecinas (confidencial)</t>
        </is>
      </c>
      <c r="U892" s="18" t="inlineStr">
        <is>
          <t>¿Se guardan nombres o códigos de área?</t>
        </is>
      </c>
      <c r="V892" s="19" t="inlineStr">
        <is>
          <t>Pendiente</t>
        </is>
      </c>
      <c r="W892" s="19" t="inlineStr"/>
      <c r="X892" s="19" t="inlineStr"/>
      <c r="Y892" s="20" t="n"/>
      <c r="Z892" s="19" t="inlineStr"/>
      <c r="AA892" s="18">
        <f>IF(OR(V892="Aprobada"),R892,IF(AND(OR(V892="Aprobada con ajuste",V892="Rechazada"),W892&lt;&gt;""),W892,""))</f>
        <v/>
      </c>
    </row>
    <row r="893">
      <c r="A893" s="18" t="inlineStr">
        <is>
          <t>C0892</t>
        </is>
      </c>
      <c r="B893" s="18" t="inlineStr">
        <is>
          <t>Gestión jurídica</t>
        </is>
      </c>
      <c r="C893" s="18" t="inlineStr">
        <is>
          <t>legal_management</t>
        </is>
      </c>
      <c r="D893" s="18" t="inlineStr">
        <is>
          <t>consultas_juridicas</t>
        </is>
      </c>
      <c r="E893" s="18" t="n">
        <v>31</v>
      </c>
      <c r="F893" s="18" t="inlineStr">
        <is>
          <t>prioridad</t>
        </is>
      </c>
      <c r="G893" s="18" t="inlineStr">
        <is>
          <t>character varying(20)</t>
        </is>
      </c>
      <c r="H893" s="18" t="inlineStr">
        <is>
          <t>Sí</t>
        </is>
      </c>
      <c r="I893" s="18" t="inlineStr"/>
      <c r="J893" s="18" t="inlineStr"/>
      <c r="K893" s="18" t="inlineStr"/>
      <c r="L893" s="18" t="inlineStr">
        <is>
          <t>No</t>
        </is>
      </c>
      <c r="M893" s="18" t="inlineStr">
        <is>
          <t>No</t>
        </is>
      </c>
      <c r="N893" s="18" t="inlineStr"/>
      <c r="O893" s="18" t="inlineStr"/>
      <c r="P893" s="18" t="inlineStr">
        <is>
          <t>legal-management-service/src/entities/consulta-juridica.entity.ts:56: alta, media, baja</t>
        </is>
      </c>
      <c r="Q893" s="18" t="inlineStr">
        <is>
          <t>Código fuente</t>
        </is>
      </c>
      <c r="R893" s="18" t="inlineStr">
        <is>
          <t>Prioridad de la consulta. Valores en el código: alta, media, baja. Por defecto, NORMAL.</t>
        </is>
      </c>
      <c r="S893" s="18" t="inlineStr">
        <is>
          <t>Media</t>
        </is>
      </c>
      <c r="T893" s="18" t="inlineStr">
        <is>
          <t>código: consulta-juridica.entity.ts:56</t>
        </is>
      </c>
      <c r="U893" s="18" t="inlineStr">
        <is>
          <t>El defecto de la base es NORMAL y el código lista alta, media, baja; ¿cuál es la lista vigente?</t>
        </is>
      </c>
      <c r="V893" s="19" t="inlineStr">
        <is>
          <t>Pendiente</t>
        </is>
      </c>
      <c r="W893" s="19" t="inlineStr"/>
      <c r="X893" s="19" t="inlineStr"/>
      <c r="Y893" s="20" t="n"/>
      <c r="Z893" s="19" t="inlineStr"/>
      <c r="AA893" s="18">
        <f>IF(OR(V893="Aprobada"),R893,IF(AND(OR(V893="Aprobada con ajuste",V893="Rechazada"),W893&lt;&gt;""),W893,""))</f>
        <v/>
      </c>
    </row>
    <row r="894">
      <c r="A894" s="18" t="inlineStr">
        <is>
          <t>C0893</t>
        </is>
      </c>
      <c r="B894" s="18" t="inlineStr">
        <is>
          <t>Gestión jurídica</t>
        </is>
      </c>
      <c r="C894" s="18" t="inlineStr">
        <is>
          <t>legal_management</t>
        </is>
      </c>
      <c r="D894" s="18" t="inlineStr">
        <is>
          <t>consultas_juridicas</t>
        </is>
      </c>
      <c r="E894" s="18" t="n">
        <v>31</v>
      </c>
      <c r="F894" s="18" t="inlineStr">
        <is>
          <t>fecha_recepcion</t>
        </is>
      </c>
      <c r="G894" s="18" t="inlineStr">
        <is>
          <t>timestamp without time zone</t>
        </is>
      </c>
      <c r="H894" s="18" t="inlineStr">
        <is>
          <t>Sí</t>
        </is>
      </c>
      <c r="I894" s="18" t="inlineStr"/>
      <c r="J894" s="18" t="inlineStr"/>
      <c r="K894" s="18" t="inlineStr"/>
      <c r="L894" s="18" t="inlineStr">
        <is>
          <t>No</t>
        </is>
      </c>
      <c r="M894" s="18" t="inlineStr">
        <is>
          <t>No</t>
        </is>
      </c>
      <c r="N894" s="18" t="inlineStr"/>
      <c r="O894" s="18" t="inlineStr"/>
      <c r="P894" s="18" t="inlineStr">
        <is>
          <t>Mapeada en legal-management-service/src/entities/consulta-juridica.entity.ts:11 (ConsultaJuridica.fechaRecepcion)</t>
        </is>
      </c>
      <c r="Q894" s="18" t="inlineStr">
        <is>
          <t>Regla estructural</t>
        </is>
      </c>
      <c r="R894" s="18" t="inlineStr">
        <is>
          <t>Fecha de recepción.</t>
        </is>
      </c>
      <c r="S894" s="18" t="inlineStr">
        <is>
          <t>Media</t>
        </is>
      </c>
      <c r="T894" s="18" t="inlineStr">
        <is>
          <t>Convención de nombre de la columna.</t>
        </is>
      </c>
      <c r="U894" s="18" t="inlineStr"/>
      <c r="V894" s="19" t="inlineStr">
        <is>
          <t>Pendiente</t>
        </is>
      </c>
      <c r="W894" s="19" t="inlineStr"/>
      <c r="X894" s="19" t="inlineStr"/>
      <c r="Y894" s="20" t="n"/>
      <c r="Z894" s="19" t="inlineStr"/>
      <c r="AA894" s="18">
        <f>IF(OR(V894="Aprobada"),R894,IF(AND(OR(V894="Aprobada con ajuste",V894="Rechazada"),W894&lt;&gt;""),W894,""))</f>
        <v/>
      </c>
    </row>
    <row r="895">
      <c r="A895" s="18" t="inlineStr">
        <is>
          <t>C0894</t>
        </is>
      </c>
      <c r="B895" s="18" t="inlineStr">
        <is>
          <t>Gestión jurídica</t>
        </is>
      </c>
      <c r="C895" s="18" t="inlineStr">
        <is>
          <t>legal_management</t>
        </is>
      </c>
      <c r="D895" s="18" t="inlineStr">
        <is>
          <t>consultas_juridicas</t>
        </is>
      </c>
      <c r="E895" s="18" t="n">
        <v>31</v>
      </c>
      <c r="F895" s="18" t="inlineStr">
        <is>
          <t>fecha_maxima_respuesta</t>
        </is>
      </c>
      <c r="G895" s="18" t="inlineStr">
        <is>
          <t>timestamp without time zone</t>
        </is>
      </c>
      <c r="H895" s="18" t="inlineStr">
        <is>
          <t>Sí</t>
        </is>
      </c>
      <c r="I895" s="18" t="inlineStr"/>
      <c r="J895" s="18" t="inlineStr"/>
      <c r="K895" s="18" t="inlineStr"/>
      <c r="L895" s="18" t="inlineStr">
        <is>
          <t>No</t>
        </is>
      </c>
      <c r="M895" s="18" t="inlineStr">
        <is>
          <t>No</t>
        </is>
      </c>
      <c r="N895" s="18" t="inlineStr"/>
      <c r="O895" s="18" t="inlineStr">
        <is>
          <t>idx_consultas_fecha_maxima</t>
        </is>
      </c>
      <c r="P895" s="18" t="inlineStr">
        <is>
          <t>Mapeada en legal-management-service/src/entities/consulta-juridica.entity.ts:65 (ConsultaJuridica.fechaMaximaRespuesta)</t>
        </is>
      </c>
      <c r="Q895" s="18" t="inlineStr">
        <is>
          <t>Regla estructural</t>
        </is>
      </c>
      <c r="R895" s="18" t="inlineStr">
        <is>
          <t>Fecha de maxima respuesta.</t>
        </is>
      </c>
      <c r="S895" s="18" t="inlineStr">
        <is>
          <t>Media</t>
        </is>
      </c>
      <c r="T895" s="18" t="inlineStr">
        <is>
          <t>Convención de nombre de la columna.</t>
        </is>
      </c>
      <c r="U895" s="18" t="inlineStr"/>
      <c r="V895" s="19" t="inlineStr">
        <is>
          <t>Pendiente</t>
        </is>
      </c>
      <c r="W895" s="19" t="inlineStr"/>
      <c r="X895" s="19" t="inlineStr"/>
      <c r="Y895" s="20" t="n"/>
      <c r="Z895" s="19" t="inlineStr"/>
      <c r="AA895" s="18">
        <f>IF(OR(V895="Aprobada"),R895,IF(AND(OR(V895="Aprobada con ajuste",V895="Rechazada"),W895&lt;&gt;""),W895,""))</f>
        <v/>
      </c>
    </row>
    <row r="896">
      <c r="A896" s="18" t="inlineStr">
        <is>
          <t>C0895</t>
        </is>
      </c>
      <c r="B896" s="18" t="inlineStr">
        <is>
          <t>Gestión jurídica</t>
        </is>
      </c>
      <c r="C896" s="18" t="inlineStr">
        <is>
          <t>legal_management</t>
        </is>
      </c>
      <c r="D896" s="18" t="inlineStr">
        <is>
          <t>consultas_juridicas</t>
        </is>
      </c>
      <c r="E896" s="18" t="n">
        <v>31</v>
      </c>
      <c r="F896" s="18" t="inlineStr">
        <is>
          <t>fecha_respuesta</t>
        </is>
      </c>
      <c r="G896" s="18" t="inlineStr">
        <is>
          <t>timestamp without time zone</t>
        </is>
      </c>
      <c r="H896" s="18" t="inlineStr">
        <is>
          <t>Sí</t>
        </is>
      </c>
      <c r="I896" s="18" t="inlineStr"/>
      <c r="J896" s="18" t="inlineStr"/>
      <c r="K896" s="18" t="inlineStr"/>
      <c r="L896" s="18" t="inlineStr">
        <is>
          <t>No</t>
        </is>
      </c>
      <c r="M896" s="18" t="inlineStr">
        <is>
          <t>No</t>
        </is>
      </c>
      <c r="N896" s="18" t="inlineStr"/>
      <c r="O896" s="18" t="inlineStr"/>
      <c r="P896" s="18" t="inlineStr">
        <is>
          <t>Mapeada en legal-management-service/src/entities/consulta-juridica.entity.ts:74 (ConsultaJuridica.fechaRespuesta)</t>
        </is>
      </c>
      <c r="Q896" s="18" t="inlineStr">
        <is>
          <t>Regla estructural</t>
        </is>
      </c>
      <c r="R896" s="18" t="inlineStr">
        <is>
          <t>Fecha de respuesta.</t>
        </is>
      </c>
      <c r="S896" s="18" t="inlineStr">
        <is>
          <t>Media</t>
        </is>
      </c>
      <c r="T896" s="18" t="inlineStr">
        <is>
          <t>Convención de nombre de la columna.</t>
        </is>
      </c>
      <c r="U896" s="18" t="inlineStr"/>
      <c r="V896" s="19" t="inlineStr">
        <is>
          <t>Pendiente</t>
        </is>
      </c>
      <c r="W896" s="19" t="inlineStr"/>
      <c r="X896" s="19" t="inlineStr"/>
      <c r="Y896" s="20" t="n"/>
      <c r="Z896" s="19" t="inlineStr"/>
      <c r="AA896" s="18">
        <f>IF(OR(V896="Aprobada"),R896,IF(AND(OR(V896="Aprobada con ajuste",V896="Rechazada"),W896&lt;&gt;""),W896,""))</f>
        <v/>
      </c>
    </row>
    <row r="897">
      <c r="A897" s="18" t="inlineStr">
        <is>
          <t>C0896</t>
        </is>
      </c>
      <c r="B897" s="18" t="inlineStr">
        <is>
          <t>Gestión jurídica</t>
        </is>
      </c>
      <c r="C897" s="18" t="inlineStr">
        <is>
          <t>legal_management</t>
        </is>
      </c>
      <c r="D897" s="18" t="inlineStr">
        <is>
          <t>consultas_juridicas</t>
        </is>
      </c>
      <c r="E897" s="18" t="n">
        <v>31</v>
      </c>
      <c r="F897" s="18" t="inlineStr">
        <is>
          <t>observaciones</t>
        </is>
      </c>
      <c r="G897" s="18" t="inlineStr">
        <is>
          <t>text</t>
        </is>
      </c>
      <c r="H897" s="18" t="inlineStr">
        <is>
          <t>Sí</t>
        </is>
      </c>
      <c r="I897" s="18" t="inlineStr"/>
      <c r="J897" s="18" t="inlineStr"/>
      <c r="K897" s="18" t="inlineStr"/>
      <c r="L897" s="18" t="inlineStr">
        <is>
          <t>No</t>
        </is>
      </c>
      <c r="M897" s="18" t="inlineStr">
        <is>
          <t>No</t>
        </is>
      </c>
      <c r="N897" s="18" t="inlineStr"/>
      <c r="O897" s="18" t="inlineStr"/>
      <c r="P897" s="18" t="inlineStr">
        <is>
          <t>Mapeada en legal-management-service/src/entities/consulta-juridica.entity.ts:92 (ConsultaJuridica.observaciones)</t>
        </is>
      </c>
      <c r="Q897" s="18" t="inlineStr">
        <is>
          <t>Regla estructural</t>
        </is>
      </c>
      <c r="R897" s="18" t="inlineStr">
        <is>
          <t>Observaciones registradas sobre el registro.</t>
        </is>
      </c>
      <c r="S897" s="18" t="inlineStr">
        <is>
          <t>Media</t>
        </is>
      </c>
      <c r="T897" s="18" t="inlineStr">
        <is>
          <t>Convención de nombre de la columna.</t>
        </is>
      </c>
      <c r="U897" s="18" t="inlineStr"/>
      <c r="V897" s="19" t="inlineStr">
        <is>
          <t>Pendiente</t>
        </is>
      </c>
      <c r="W897" s="19" t="inlineStr"/>
      <c r="X897" s="19" t="inlineStr"/>
      <c r="Y897" s="20" t="n"/>
      <c r="Z897" s="19" t="inlineStr"/>
      <c r="AA897" s="18">
        <f>IF(OR(V897="Aprobada"),R897,IF(AND(OR(V897="Aprobada con ajuste",V897="Rechazada"),W897&lt;&gt;""),W897,""))</f>
        <v/>
      </c>
    </row>
    <row r="898">
      <c r="A898" s="18" t="inlineStr">
        <is>
          <t>C0897</t>
        </is>
      </c>
      <c r="B898" s="18" t="inlineStr">
        <is>
          <t>Gestión jurídica</t>
        </is>
      </c>
      <c r="C898" s="18" t="inlineStr">
        <is>
          <t>legal_management</t>
        </is>
      </c>
      <c r="D898" s="18" t="inlineStr">
        <is>
          <t>consultas_juridicas</t>
        </is>
      </c>
      <c r="E898" s="18" t="n">
        <v>31</v>
      </c>
      <c r="F898" s="18" t="inlineStr">
        <is>
          <t>canal_entrada</t>
        </is>
      </c>
      <c r="G898" s="18" t="inlineStr">
        <is>
          <t>character varying(30)</t>
        </is>
      </c>
      <c r="H898" s="18" t="inlineStr">
        <is>
          <t>Sí</t>
        </is>
      </c>
      <c r="I898" s="18" t="inlineStr"/>
      <c r="J898" s="18" t="inlineStr"/>
      <c r="K898" s="18" t="inlineStr"/>
      <c r="L898" s="18" t="inlineStr">
        <is>
          <t>No</t>
        </is>
      </c>
      <c r="M898" s="18" t="inlineStr">
        <is>
          <t>No</t>
        </is>
      </c>
      <c r="N898" s="18" t="inlineStr"/>
      <c r="O898" s="18" t="inlineStr"/>
      <c r="P898" s="18" t="inlineStr">
        <is>
          <t>legal-management-service/src/entities/consulta-juridica.entity.ts:14: correo_electronico, active_document, ventanilla_unica</t>
        </is>
      </c>
      <c r="Q898" s="18" t="inlineStr">
        <is>
          <t>Código fuente</t>
        </is>
      </c>
      <c r="R898" s="18" t="inlineStr">
        <is>
          <t>Canal por el que ingresó la consulta. Valores: correo_electronico, active_document, ventanilla_unica.</t>
        </is>
      </c>
      <c r="S898" s="18" t="inlineStr">
        <is>
          <t>Alta</t>
        </is>
      </c>
      <c r="T898" s="18" t="inlineStr">
        <is>
          <t>código: consulta-juridica.entity.ts:14</t>
        </is>
      </c>
      <c r="U898" s="18" t="inlineStr"/>
      <c r="V898" s="19" t="inlineStr">
        <is>
          <t>Pendiente</t>
        </is>
      </c>
      <c r="W898" s="19" t="inlineStr"/>
      <c r="X898" s="19" t="inlineStr"/>
      <c r="Y898" s="20" t="n"/>
      <c r="Z898" s="19" t="inlineStr"/>
      <c r="AA898" s="18">
        <f>IF(OR(V898="Aprobada"),R898,IF(AND(OR(V898="Aprobada con ajuste",V898="Rechazada"),W898&lt;&gt;""),W898,""))</f>
        <v/>
      </c>
    </row>
    <row r="899">
      <c r="A899" s="18" t="inlineStr">
        <is>
          <t>C0898</t>
        </is>
      </c>
      <c r="B899" s="18" t="inlineStr">
        <is>
          <t>Gestión jurídica</t>
        </is>
      </c>
      <c r="C899" s="18" t="inlineStr">
        <is>
          <t>legal_management</t>
        </is>
      </c>
      <c r="D899" s="18" t="inlineStr">
        <is>
          <t>consultas_juridicas</t>
        </is>
      </c>
      <c r="E899" s="18" t="n">
        <v>31</v>
      </c>
      <c r="F899" s="18" t="inlineStr">
        <is>
          <t>dependencia_solicitante</t>
        </is>
      </c>
      <c r="G899" s="18" t="inlineStr">
        <is>
          <t>character varying(200)</t>
        </is>
      </c>
      <c r="H899" s="18" t="inlineStr">
        <is>
          <t>Sí</t>
        </is>
      </c>
      <c r="I899" s="18" t="inlineStr"/>
      <c r="J899" s="18" t="inlineStr"/>
      <c r="K899" s="18" t="inlineStr"/>
      <c r="L899" s="18" t="inlineStr">
        <is>
          <t>No</t>
        </is>
      </c>
      <c r="M899" s="18" t="inlineStr">
        <is>
          <t>No</t>
        </is>
      </c>
      <c r="N899" s="18" t="inlineStr"/>
      <c r="O899" s="18" t="inlineStr"/>
      <c r="P899" s="18" t="inlineStr">
        <is>
          <t>Mapeada en legal-management-service/src/entities/consulta-juridica.entity.ts:20 (ConsultaJuridica.dependenciaSolicitante)</t>
        </is>
      </c>
      <c r="Q899" s="18" t="inlineStr">
        <is>
          <t>Propuesta semántica</t>
        </is>
      </c>
      <c r="R899" s="18" t="inlineStr">
        <is>
          <t>Dependencia que solicita la consulta.</t>
        </is>
      </c>
      <c r="S899" s="18" t="inlineStr">
        <is>
          <t>Media</t>
        </is>
      </c>
      <c r="T899" s="18" t="inlineStr">
        <is>
          <t>nombre + tipo + columnas vecinas</t>
        </is>
      </c>
      <c r="U899" s="18" t="inlineStr">
        <is>
          <t>¿Qué diferencia hay entre dependencia_solicitante y area_solicitante?</t>
        </is>
      </c>
      <c r="V899" s="19" t="inlineStr">
        <is>
          <t>Pendiente</t>
        </is>
      </c>
      <c r="W899" s="19" t="inlineStr"/>
      <c r="X899" s="19" t="inlineStr"/>
      <c r="Y899" s="20" t="n"/>
      <c r="Z899" s="19" t="inlineStr"/>
      <c r="AA899" s="18">
        <f>IF(OR(V899="Aprobada"),R899,IF(AND(OR(V899="Aprobada con ajuste",V899="Rechazada"),W899&lt;&gt;""),W899,""))</f>
        <v/>
      </c>
    </row>
    <row r="900">
      <c r="A900" s="18" t="inlineStr">
        <is>
          <t>C0899</t>
        </is>
      </c>
      <c r="B900" s="18" t="inlineStr">
        <is>
          <t>Gestión jurídica</t>
        </is>
      </c>
      <c r="C900" s="18" t="inlineStr">
        <is>
          <t>legal_management</t>
        </is>
      </c>
      <c r="D900" s="18" t="inlineStr">
        <is>
          <t>consultas_juridicas</t>
        </is>
      </c>
      <c r="E900" s="18" t="n">
        <v>31</v>
      </c>
      <c r="F900" s="18" t="inlineStr">
        <is>
          <t>nombre_solicitante</t>
        </is>
      </c>
      <c r="G900" s="18" t="inlineStr">
        <is>
          <t>character varying(200)</t>
        </is>
      </c>
      <c r="H900" s="18" t="inlineStr">
        <is>
          <t>Sí</t>
        </is>
      </c>
      <c r="I900" s="18" t="inlineStr"/>
      <c r="J900" s="18" t="inlineStr"/>
      <c r="K900" s="18" t="inlineStr"/>
      <c r="L900" s="18" t="inlineStr">
        <is>
          <t>No</t>
        </is>
      </c>
      <c r="M900" s="18" t="inlineStr">
        <is>
          <t>No</t>
        </is>
      </c>
      <c r="N900" s="18" t="inlineStr"/>
      <c r="O900" s="18" t="inlineStr"/>
      <c r="P900" s="18" t="inlineStr">
        <is>
          <t>Mapeada en legal-management-service/src/entities/consulta-juridica.entity.ts:23 (ConsultaJuridica.nombreSolicitante)</t>
        </is>
      </c>
      <c r="Q900" s="18" t="inlineStr">
        <is>
          <t>Propuesta semántica</t>
        </is>
      </c>
      <c r="R900" s="18" t="inlineStr">
        <is>
          <t>Nombre del solicitante de la consulta.</t>
        </is>
      </c>
      <c r="S900" s="18" t="inlineStr">
        <is>
          <t>Media</t>
        </is>
      </c>
      <c r="T900" s="18" t="inlineStr">
        <is>
          <t>nombre + tipo + columnas vecinas</t>
        </is>
      </c>
      <c r="U900" s="18" t="inlineStr">
        <is>
          <t>¿Qué diferencia hay entre nombre_solicitante y funcionario_solicitante?</t>
        </is>
      </c>
      <c r="V900" s="19" t="inlineStr">
        <is>
          <t>Pendiente</t>
        </is>
      </c>
      <c r="W900" s="19" t="inlineStr"/>
      <c r="X900" s="19" t="inlineStr"/>
      <c r="Y900" s="20" t="n"/>
      <c r="Z900" s="19" t="inlineStr"/>
      <c r="AA900" s="18">
        <f>IF(OR(V900="Aprobada"),R900,IF(AND(OR(V900="Aprobada con ajuste",V900="Rechazada"),W900&lt;&gt;""),W900,""))</f>
        <v/>
      </c>
    </row>
    <row r="901">
      <c r="A901" s="18" t="inlineStr">
        <is>
          <t>C0900</t>
        </is>
      </c>
      <c r="B901" s="18" t="inlineStr">
        <is>
          <t>Gestión jurídica</t>
        </is>
      </c>
      <c r="C901" s="18" t="inlineStr">
        <is>
          <t>legal_management</t>
        </is>
      </c>
      <c r="D901" s="18" t="inlineStr">
        <is>
          <t>consultas_juridicas</t>
        </is>
      </c>
      <c r="E901" s="18" t="n">
        <v>31</v>
      </c>
      <c r="F901" s="18" t="inlineStr">
        <is>
          <t>tipo_usuario</t>
        </is>
      </c>
      <c r="G901" s="18" t="inlineStr">
        <is>
          <t>character varying(20)</t>
        </is>
      </c>
      <c r="H901" s="18" t="inlineStr">
        <is>
          <t>Sí</t>
        </is>
      </c>
      <c r="I901" s="18" t="inlineStr"/>
      <c r="J901" s="18" t="inlineStr"/>
      <c r="K901" s="18" t="inlineStr"/>
      <c r="L901" s="18" t="inlineStr">
        <is>
          <t>No</t>
        </is>
      </c>
      <c r="M901" s="18" t="inlineStr">
        <is>
          <t>No</t>
        </is>
      </c>
      <c r="N901" s="18" t="inlineStr"/>
      <c r="O901" s="18" t="inlineStr"/>
      <c r="P901" s="18" t="inlineStr">
        <is>
          <t>legal-management-service/src/entities/consulta-juridica.entity.ts:35: interno, externo</t>
        </is>
      </c>
      <c r="Q901" s="18" t="inlineStr">
        <is>
          <t>Código fuente</t>
        </is>
      </c>
      <c r="R901" s="18" t="inlineStr">
        <is>
          <t>Tipo de usuario solicitante. Valores: interno, externo. Por defecto, interno.</t>
        </is>
      </c>
      <c r="S901" s="18" t="inlineStr">
        <is>
          <t>Alta</t>
        </is>
      </c>
      <c r="T901" s="18" t="inlineStr">
        <is>
          <t>código: consulta-juridica.entity.ts:35</t>
        </is>
      </c>
      <c r="U901" s="18" t="inlineStr"/>
      <c r="V901" s="19" t="inlineStr">
        <is>
          <t>Pendiente</t>
        </is>
      </c>
      <c r="W901" s="19" t="inlineStr"/>
      <c r="X901" s="19" t="inlineStr"/>
      <c r="Y901" s="20" t="n"/>
      <c r="Z901" s="19" t="inlineStr"/>
      <c r="AA901" s="18">
        <f>IF(OR(V901="Aprobada"),R901,IF(AND(OR(V901="Aprobada con ajuste",V901="Rechazada"),W901&lt;&gt;""),W901,""))</f>
        <v/>
      </c>
    </row>
    <row r="902">
      <c r="A902" s="18" t="inlineStr">
        <is>
          <t>C0901</t>
        </is>
      </c>
      <c r="B902" s="18" t="inlineStr">
        <is>
          <t>Gestión jurídica</t>
        </is>
      </c>
      <c r="C902" s="18" t="inlineStr">
        <is>
          <t>legal_management</t>
        </is>
      </c>
      <c r="D902" s="18" t="inlineStr">
        <is>
          <t>consultas_juridicas</t>
        </is>
      </c>
      <c r="E902" s="18" t="n">
        <v>31</v>
      </c>
      <c r="F902" s="18" t="inlineStr">
        <is>
          <t>materia_juridica</t>
        </is>
      </c>
      <c r="G902" s="18" t="inlineStr">
        <is>
          <t>character varying(30)</t>
        </is>
      </c>
      <c r="H902" s="18" t="inlineStr">
        <is>
          <t>Sí</t>
        </is>
      </c>
      <c r="I902" s="18" t="inlineStr"/>
      <c r="J902" s="18" t="inlineStr"/>
      <c r="K902" s="18" t="inlineStr"/>
      <c r="L902" s="18" t="inlineStr">
        <is>
          <t>No</t>
        </is>
      </c>
      <c r="M902" s="18" t="inlineStr">
        <is>
          <t>No</t>
        </is>
      </c>
      <c r="N902" s="18" t="inlineStr"/>
      <c r="O902" s="18" t="inlineStr">
        <is>
          <t>idx_consultas_materia</t>
        </is>
      </c>
      <c r="P902" s="18" t="inlineStr">
        <is>
          <t>legal-management-service/src/entities/consulta-juridica.entity.ts:38: laboral, contractual, administrativo, disciplinario, presupuestal, academico, otra</t>
        </is>
      </c>
      <c r="Q902" s="18" t="inlineStr">
        <is>
          <t>Código fuente</t>
        </is>
      </c>
      <c r="R902" s="18" t="inlineStr">
        <is>
          <t>Materia jurídica de la consulta. Valores: laboral, contractual, administrativo, disciplinario, presupuestal, academico, otra.</t>
        </is>
      </c>
      <c r="S902" s="18" t="inlineStr">
        <is>
          <t>Alta</t>
        </is>
      </c>
      <c r="T902" s="18" t="inlineStr">
        <is>
          <t>código: consulta-juridica.entity.ts:38</t>
        </is>
      </c>
      <c r="U902" s="18" t="inlineStr"/>
      <c r="V902" s="19" t="inlineStr">
        <is>
          <t>Pendiente</t>
        </is>
      </c>
      <c r="W902" s="19" t="inlineStr"/>
      <c r="X902" s="19" t="inlineStr"/>
      <c r="Y902" s="20" t="n"/>
      <c r="Z902" s="19" t="inlineStr"/>
      <c r="AA902" s="18">
        <f>IF(OR(V902="Aprobada"),R902,IF(AND(OR(V902="Aprobada con ajuste",V902="Rechazada"),W902&lt;&gt;""),W902,""))</f>
        <v/>
      </c>
    </row>
    <row r="903">
      <c r="A903" s="18" t="inlineStr">
        <is>
          <t>C0902</t>
        </is>
      </c>
      <c r="B903" s="18" t="inlineStr">
        <is>
          <t>Gestión jurídica</t>
        </is>
      </c>
      <c r="C903" s="18" t="inlineStr">
        <is>
          <t>legal_management</t>
        </is>
      </c>
      <c r="D903" s="18" t="inlineStr">
        <is>
          <t>consultas_juridicas</t>
        </is>
      </c>
      <c r="E903" s="18" t="n">
        <v>31</v>
      </c>
      <c r="F903" s="18" t="inlineStr">
        <is>
          <t>complejidad</t>
        </is>
      </c>
      <c r="G903" s="18" t="inlineStr">
        <is>
          <t>character varying(10)</t>
        </is>
      </c>
      <c r="H903" s="18" t="inlineStr">
        <is>
          <t>Sí</t>
        </is>
      </c>
      <c r="I903" s="18" t="inlineStr"/>
      <c r="J903" s="18" t="inlineStr"/>
      <c r="K903" s="18" t="inlineStr"/>
      <c r="L903" s="18" t="inlineStr">
        <is>
          <t>No</t>
        </is>
      </c>
      <c r="M903" s="18" t="inlineStr">
        <is>
          <t>No</t>
        </is>
      </c>
      <c r="N903" s="18" t="inlineStr"/>
      <c r="O903" s="18" t="inlineStr"/>
      <c r="P903" s="18" t="inlineStr">
        <is>
          <t>legal-management-service/src/entities/consulta-juridica.entity.ts:59: alta, media, baja</t>
        </is>
      </c>
      <c r="Q903" s="18" t="inlineStr">
        <is>
          <t>Código fuente</t>
        </is>
      </c>
      <c r="R903" s="18" t="inlineStr">
        <is>
          <t>Complejidad de la consulta. Valores: alta, media, baja.</t>
        </is>
      </c>
      <c r="S903" s="18" t="inlineStr">
        <is>
          <t>Alta</t>
        </is>
      </c>
      <c r="T903" s="18" t="inlineStr">
        <is>
          <t>código: legal-management-service/src/entities/consulta-juridica.entity.ts:59</t>
        </is>
      </c>
      <c r="U903" s="18" t="inlineStr"/>
      <c r="V903" s="19" t="inlineStr">
        <is>
          <t>Pendiente</t>
        </is>
      </c>
      <c r="W903" s="19" t="inlineStr"/>
      <c r="X903" s="19" t="inlineStr"/>
      <c r="Y903" s="20" t="n"/>
      <c r="Z903" s="19" t="inlineStr"/>
      <c r="AA903" s="18">
        <f>IF(OR(V903="Aprobada"),R903,IF(AND(OR(V903="Aprobada con ajuste",V903="Rechazada"),W903&lt;&gt;""),W903,""))</f>
        <v/>
      </c>
    </row>
    <row r="904">
      <c r="A904" s="18" t="inlineStr">
        <is>
          <t>C0903</t>
        </is>
      </c>
      <c r="B904" s="18" t="inlineStr">
        <is>
          <t>Gestión jurídica</t>
        </is>
      </c>
      <c r="C904" s="18" t="inlineStr">
        <is>
          <t>legal_management</t>
        </is>
      </c>
      <c r="D904" s="18" t="inlineStr">
        <is>
          <t>consultas_juridicas</t>
        </is>
      </c>
      <c r="E904" s="18" t="n">
        <v>31</v>
      </c>
      <c r="F904" s="18" t="inlineStr">
        <is>
          <t>numero_oficio_respuesta</t>
        </is>
      </c>
      <c r="G904" s="18" t="inlineStr">
        <is>
          <t>character varying(50)</t>
        </is>
      </c>
      <c r="H904" s="18" t="inlineStr">
        <is>
          <t>Sí</t>
        </is>
      </c>
      <c r="I904" s="18" t="inlineStr"/>
      <c r="J904" s="18" t="inlineStr"/>
      <c r="K904" s="18" t="inlineStr"/>
      <c r="L904" s="18" t="inlineStr">
        <is>
          <t>No</t>
        </is>
      </c>
      <c r="M904" s="18" t="inlineStr">
        <is>
          <t>No</t>
        </is>
      </c>
      <c r="N904" s="18" t="inlineStr"/>
      <c r="O904" s="18" t="inlineStr"/>
      <c r="P904" s="18" t="inlineStr">
        <is>
          <t>Mapeada en legal-management-service/src/entities/consulta-juridica.entity.ts:71 (ConsultaJuridica.numeroOficioRespuesta)</t>
        </is>
      </c>
      <c r="Q904" s="18" t="inlineStr">
        <is>
          <t>Propuesta semántica</t>
        </is>
      </c>
      <c r="R904" s="18" t="inlineStr">
        <is>
          <t>Número del oficio con que se respondió la consulta.</t>
        </is>
      </c>
      <c r="S904" s="18" t="inlineStr">
        <is>
          <t>Media</t>
        </is>
      </c>
      <c r="T904" s="18" t="inlineStr">
        <is>
          <t>nombre + tipo + columnas vecinas</t>
        </is>
      </c>
      <c r="U904" s="18" t="inlineStr">
        <is>
          <t>¿El número del oficio proviene del sistema de correspondencia de la ESAP?</t>
        </is>
      </c>
      <c r="V904" s="19" t="inlineStr">
        <is>
          <t>Pendiente</t>
        </is>
      </c>
      <c r="W904" s="19" t="inlineStr"/>
      <c r="X904" s="19" t="inlineStr"/>
      <c r="Y904" s="20" t="n"/>
      <c r="Z904" s="19" t="inlineStr"/>
      <c r="AA904" s="18">
        <f>IF(OR(V904="Aprobada"),R904,IF(AND(OR(V904="Aprobada con ajuste",V904="Rechazada"),W904&lt;&gt;""),W904,""))</f>
        <v/>
      </c>
    </row>
    <row r="905">
      <c r="A905" s="18" t="inlineStr">
        <is>
          <t>C0904</t>
        </is>
      </c>
      <c r="B905" s="18" t="inlineStr">
        <is>
          <t>Gestión jurídica</t>
        </is>
      </c>
      <c r="C905" s="18" t="inlineStr">
        <is>
          <t>legal_management</t>
        </is>
      </c>
      <c r="D905" s="18" t="inlineStr">
        <is>
          <t>consultas_juridicas</t>
        </is>
      </c>
      <c r="E905" s="18" t="n">
        <v>31</v>
      </c>
      <c r="F905" s="18" t="inlineStr">
        <is>
          <t>tipo_respuesta</t>
        </is>
      </c>
      <c r="G905" s="18" t="inlineStr">
        <is>
          <t>character varying(30)</t>
        </is>
      </c>
      <c r="H905" s="18" t="inlineStr">
        <is>
          <t>Sí</t>
        </is>
      </c>
      <c r="I905" s="18" t="inlineStr"/>
      <c r="J905" s="18" t="inlineStr"/>
      <c r="K905" s="18" t="inlineStr"/>
      <c r="L905" s="18" t="inlineStr">
        <is>
          <t>No</t>
        </is>
      </c>
      <c r="M905" s="18" t="inlineStr">
        <is>
          <t>No</t>
        </is>
      </c>
      <c r="N905" s="18" t="inlineStr"/>
      <c r="O905" s="18" t="inlineStr"/>
      <c r="P905" s="18" t="inlineStr">
        <is>
          <t>legal-management-service/src/entities/consulta-juridica.entity.ts:77: favorable, con_observaciones, desfavorable, informativa</t>
        </is>
      </c>
      <c r="Q905" s="18" t="inlineStr">
        <is>
          <t>Código fuente</t>
        </is>
      </c>
      <c r="R905" s="18" t="inlineStr">
        <is>
          <t>Tipo de respuesta. Valores: favorable, con_observaciones, desfavorable, informativa.</t>
        </is>
      </c>
      <c r="S905" s="18" t="inlineStr">
        <is>
          <t>Alta</t>
        </is>
      </c>
      <c r="T905" s="18" t="inlineStr">
        <is>
          <t>código: consulta-juridica.entity.ts:77</t>
        </is>
      </c>
      <c r="U905" s="18" t="inlineStr"/>
      <c r="V905" s="19" t="inlineStr">
        <is>
          <t>Pendiente</t>
        </is>
      </c>
      <c r="W905" s="19" t="inlineStr"/>
      <c r="X905" s="19" t="inlineStr"/>
      <c r="Y905" s="20" t="n"/>
      <c r="Z905" s="19" t="inlineStr"/>
      <c r="AA905" s="18">
        <f>IF(OR(V905="Aprobada"),R905,IF(AND(OR(V905="Aprobada con ajuste",V905="Rechazada"),W905&lt;&gt;""),W905,""))</f>
        <v/>
      </c>
    </row>
    <row r="906">
      <c r="A906" s="18" t="inlineStr">
        <is>
          <t>C0905</t>
        </is>
      </c>
      <c r="B906" s="18" t="inlineStr">
        <is>
          <t>Gestión jurídica</t>
        </is>
      </c>
      <c r="C906" s="18" t="inlineStr">
        <is>
          <t>legal_management</t>
        </is>
      </c>
      <c r="D906" s="18" t="inlineStr">
        <is>
          <t>consultas_juridicas</t>
        </is>
      </c>
      <c r="E906" s="18" t="n">
        <v>31</v>
      </c>
      <c r="F906" s="18" t="inlineStr">
        <is>
          <t>documento_respuesta_url</t>
        </is>
      </c>
      <c r="G906" s="18" t="inlineStr">
        <is>
          <t>text</t>
        </is>
      </c>
      <c r="H906" s="18" t="inlineStr">
        <is>
          <t>Sí</t>
        </is>
      </c>
      <c r="I906" s="18" t="inlineStr"/>
      <c r="J906" s="18" t="inlineStr"/>
      <c r="K906" s="18" t="inlineStr"/>
      <c r="L906" s="18" t="inlineStr">
        <is>
          <t>No</t>
        </is>
      </c>
      <c r="M906" s="18" t="inlineStr">
        <is>
          <t>No</t>
        </is>
      </c>
      <c r="N906" s="18" t="inlineStr"/>
      <c r="O906" s="18" t="inlineStr"/>
      <c r="P906" s="18" t="inlineStr">
        <is>
          <t>Mapeada en legal-management-service/src/entities/consulta-juridica.entity.ts:80 (ConsultaJuridica.documentoRespuestaUrl)</t>
        </is>
      </c>
      <c r="Q906" s="18" t="inlineStr">
        <is>
          <t>Propuesta semántica</t>
        </is>
      </c>
      <c r="R906" s="18" t="inlineStr">
        <is>
          <t>URL del documento de respuesta a la consulta.</t>
        </is>
      </c>
      <c r="S906" s="18" t="inlineStr">
        <is>
          <t>Alta</t>
        </is>
      </c>
      <c r="T906" s="18" t="inlineStr">
        <is>
          <t>nombre + tipo + columnas vecinas</t>
        </is>
      </c>
      <c r="U906" s="18" t="inlineStr"/>
      <c r="V906" s="19" t="inlineStr">
        <is>
          <t>Pendiente</t>
        </is>
      </c>
      <c r="W906" s="19" t="inlineStr"/>
      <c r="X906" s="19" t="inlineStr"/>
      <c r="Y906" s="20" t="n"/>
      <c r="Z906" s="19" t="inlineStr"/>
      <c r="AA906" s="18">
        <f>IF(OR(V906="Aprobada"),R906,IF(AND(OR(V906="Aprobada con ajuste",V906="Rechazada"),W906&lt;&gt;""),W906,""))</f>
        <v/>
      </c>
    </row>
    <row r="907">
      <c r="A907" s="18" t="inlineStr">
        <is>
          <t>C0906</t>
        </is>
      </c>
      <c r="B907" s="18" t="inlineStr">
        <is>
          <t>Gestión jurídica</t>
        </is>
      </c>
      <c r="C907" s="18" t="inlineStr">
        <is>
          <t>legal_management</t>
        </is>
      </c>
      <c r="D907" s="18" t="inlineStr">
        <is>
          <t>consultas_juridicas</t>
        </is>
      </c>
      <c r="E907" s="18" t="n">
        <v>31</v>
      </c>
      <c r="F907" s="18" t="inlineStr">
        <is>
          <t>respuesta</t>
        </is>
      </c>
      <c r="G907" s="18" t="inlineStr">
        <is>
          <t>text</t>
        </is>
      </c>
      <c r="H907" s="18" t="inlineStr">
        <is>
          <t>Sí</t>
        </is>
      </c>
      <c r="I907" s="18" t="inlineStr"/>
      <c r="J907" s="18" t="inlineStr"/>
      <c r="K907" s="18" t="inlineStr"/>
      <c r="L907" s="18" t="inlineStr">
        <is>
          <t>No</t>
        </is>
      </c>
      <c r="M907" s="18" t="inlineStr">
        <is>
          <t>No</t>
        </is>
      </c>
      <c r="N907" s="18" t="inlineStr"/>
      <c r="O907" s="18" t="inlineStr"/>
      <c r="P907" s="18" t="inlineStr">
        <is>
          <t>Mapeada en legal-management-service/src/entities/consulta-juridica.entity.ts:83 (ConsultaJuridica.respuesta)</t>
        </is>
      </c>
      <c r="Q907" s="18" t="inlineStr">
        <is>
          <t>Propuesta semántica</t>
        </is>
      </c>
      <c r="R907" s="18" t="inlineStr">
        <is>
          <t>Texto de la respuesta a la consulta.</t>
        </is>
      </c>
      <c r="S907" s="18" t="inlineStr">
        <is>
          <t>Alta</t>
        </is>
      </c>
      <c r="T907" s="18" t="inlineStr">
        <is>
          <t>nombre + tipo + columnas vecinas</t>
        </is>
      </c>
      <c r="U907" s="18" t="inlineStr"/>
      <c r="V907" s="19" t="inlineStr">
        <is>
          <t>Pendiente</t>
        </is>
      </c>
      <c r="W907" s="19" t="inlineStr"/>
      <c r="X907" s="19" t="inlineStr"/>
      <c r="Y907" s="20" t="n"/>
      <c r="Z907" s="19" t="inlineStr"/>
      <c r="AA907" s="18">
        <f>IF(OR(V907="Aprobada"),R907,IF(AND(OR(V907="Aprobada con ajuste",V907="Rechazada"),W907&lt;&gt;""),W907,""))</f>
        <v/>
      </c>
    </row>
    <row r="908">
      <c r="A908" s="18" t="inlineStr">
        <is>
          <t>C0907</t>
        </is>
      </c>
      <c r="B908" s="18" t="inlineStr">
        <is>
          <t>Gestión jurídica</t>
        </is>
      </c>
      <c r="C908" s="18" t="inlineStr">
        <is>
          <t>legal_management</t>
        </is>
      </c>
      <c r="D908" s="18" t="inlineStr">
        <is>
          <t>consultas_juridicas</t>
        </is>
      </c>
      <c r="E908" s="18" t="n">
        <v>31</v>
      </c>
      <c r="F908" s="18" t="inlineStr">
        <is>
          <t>estado_archivo</t>
        </is>
      </c>
      <c r="G908" s="18" t="inlineStr">
        <is>
          <t>character varying</t>
        </is>
      </c>
      <c r="H908" s="18" t="inlineStr">
        <is>
          <t>Sí</t>
        </is>
      </c>
      <c r="I908" s="18" t="inlineStr"/>
      <c r="J908" s="18" t="inlineStr"/>
      <c r="K908" s="18" t="inlineStr"/>
      <c r="L908" s="18" t="inlineStr">
        <is>
          <t>No</t>
        </is>
      </c>
      <c r="M908" s="18" t="inlineStr">
        <is>
          <t>No</t>
        </is>
      </c>
      <c r="N908" s="18" t="inlineStr"/>
      <c r="O908" s="18" t="inlineStr"/>
      <c r="P908" s="18" t="inlineStr">
        <is>
          <t>legal-management-service/src/entities/consulta-juridica.entity.ts:101: Campos para sistema de archivo ACTIVO, ARCHIVADO, ELIMINADO</t>
        </is>
      </c>
      <c r="Q908" s="18" t="inlineStr">
        <is>
          <t>Código fuente</t>
        </is>
      </c>
      <c r="R908" s="18" t="inlineStr">
        <is>
          <t>Estado de archivo de la consulta. Valores: ACTIVO, ARCHIVADO, ELIMINADO. Por defecto, ACTIVO.</t>
        </is>
      </c>
      <c r="S908" s="18" t="inlineStr">
        <is>
          <t>Alta</t>
        </is>
      </c>
      <c r="T908" s="18" t="inlineStr">
        <is>
          <t>código: consulta-juridica.entity.ts:101</t>
        </is>
      </c>
      <c r="U908" s="18" t="inlineStr"/>
      <c r="V908" s="19" t="inlineStr">
        <is>
          <t>Pendiente</t>
        </is>
      </c>
      <c r="W908" s="19" t="inlineStr"/>
      <c r="X908" s="19" t="inlineStr"/>
      <c r="Y908" s="20" t="n"/>
      <c r="Z908" s="19" t="inlineStr"/>
      <c r="AA908" s="18">
        <f>IF(OR(V908="Aprobada"),R908,IF(AND(OR(V908="Aprobada con ajuste",V908="Rechazada"),W908&lt;&gt;""),W908,""))</f>
        <v/>
      </c>
    </row>
    <row r="909">
      <c r="A909" s="18" t="inlineStr">
        <is>
          <t>C0908</t>
        </is>
      </c>
      <c r="B909" s="18" t="inlineStr">
        <is>
          <t>Gestión jurídica</t>
        </is>
      </c>
      <c r="C909" s="18" t="inlineStr">
        <is>
          <t>legal_management</t>
        </is>
      </c>
      <c r="D909" s="18" t="inlineStr">
        <is>
          <t>consultas_juridicas</t>
        </is>
      </c>
      <c r="E909" s="18" t="n">
        <v>31</v>
      </c>
      <c r="F909" s="18" t="inlineStr">
        <is>
          <t>fecha_archivo</t>
        </is>
      </c>
      <c r="G909" s="18" t="inlineStr">
        <is>
          <t>timestamp without time zone</t>
        </is>
      </c>
      <c r="H909" s="18" t="inlineStr">
        <is>
          <t>Sí</t>
        </is>
      </c>
      <c r="I909" s="18" t="inlineStr"/>
      <c r="J909" s="18" t="inlineStr"/>
      <c r="K909" s="18" t="inlineStr"/>
      <c r="L909" s="18" t="inlineStr">
        <is>
          <t>No</t>
        </is>
      </c>
      <c r="M909" s="18" t="inlineStr">
        <is>
          <t>No</t>
        </is>
      </c>
      <c r="N909" s="18" t="inlineStr"/>
      <c r="O909" s="18" t="inlineStr"/>
      <c r="P909" s="18" t="inlineStr">
        <is>
          <t>Mapeada en legal-management-service/src/entities/consulta-juridica.entity.ts:104 (ConsultaJuridica.fechaArchivo)</t>
        </is>
      </c>
      <c r="Q909" s="18" t="inlineStr">
        <is>
          <t>Regla estructural</t>
        </is>
      </c>
      <c r="R909" s="18" t="inlineStr">
        <is>
          <t>Fecha de archivo.</t>
        </is>
      </c>
      <c r="S909" s="18" t="inlineStr">
        <is>
          <t>Media</t>
        </is>
      </c>
      <c r="T909" s="18" t="inlineStr">
        <is>
          <t>Convención de nombre de la columna.</t>
        </is>
      </c>
      <c r="U909" s="18" t="inlineStr"/>
      <c r="V909" s="19" t="inlineStr">
        <is>
          <t>Pendiente</t>
        </is>
      </c>
      <c r="W909" s="19" t="inlineStr"/>
      <c r="X909" s="19" t="inlineStr"/>
      <c r="Y909" s="20" t="n"/>
      <c r="Z909" s="19" t="inlineStr"/>
      <c r="AA909" s="18">
        <f>IF(OR(V909="Aprobada"),R909,IF(AND(OR(V909="Aprobada con ajuste",V909="Rechazada"),W909&lt;&gt;""),W909,""))</f>
        <v/>
      </c>
    </row>
    <row r="910">
      <c r="A910" s="18" t="inlineStr">
        <is>
          <t>C0909</t>
        </is>
      </c>
      <c r="B910" s="18" t="inlineStr">
        <is>
          <t>Gestión jurídica</t>
        </is>
      </c>
      <c r="C910" s="18" t="inlineStr">
        <is>
          <t>legal_management</t>
        </is>
      </c>
      <c r="D910" s="18" t="inlineStr">
        <is>
          <t>consultas_juridicas</t>
        </is>
      </c>
      <c r="E910" s="18" t="n">
        <v>31</v>
      </c>
      <c r="F910" s="18" t="inlineStr">
        <is>
          <t>usuario_archivo</t>
        </is>
      </c>
      <c r="G910" s="18" t="inlineStr">
        <is>
          <t>character varying</t>
        </is>
      </c>
      <c r="H910" s="18" t="inlineStr">
        <is>
          <t>Sí</t>
        </is>
      </c>
      <c r="I910" s="18" t="inlineStr"/>
      <c r="J910" s="18" t="inlineStr"/>
      <c r="K910" s="18" t="inlineStr"/>
      <c r="L910" s="18" t="inlineStr">
        <is>
          <t>No</t>
        </is>
      </c>
      <c r="M910" s="18" t="inlineStr">
        <is>
          <t>No</t>
        </is>
      </c>
      <c r="N910" s="18" t="inlineStr"/>
      <c r="O910" s="18" t="inlineStr"/>
      <c r="P910" s="18" t="inlineStr">
        <is>
          <t>Mapeada en legal-management-service/src/entities/consulta-juridica.entity.ts:107 (ConsultaJuridica.usuarioArchivo)</t>
        </is>
      </c>
      <c r="Q910" s="18" t="inlineStr">
        <is>
          <t>Propuesta semántica</t>
        </is>
      </c>
      <c r="R910" s="18" t="inlineStr">
        <is>
          <t>Usuario que archivó la consulta.</t>
        </is>
      </c>
      <c r="S910" s="18" t="inlineStr">
        <is>
          <t>Alta</t>
        </is>
      </c>
      <c r="T910" s="18" t="inlineStr">
        <is>
          <t>nombre + tipo + columnas vecinas (estado_archivo, fecha_archivo, motivo_archivo)</t>
        </is>
      </c>
      <c r="U910" s="18" t="inlineStr"/>
      <c r="V910" s="19" t="inlineStr">
        <is>
          <t>Pendiente</t>
        </is>
      </c>
      <c r="W910" s="19" t="inlineStr"/>
      <c r="X910" s="19" t="inlineStr"/>
      <c r="Y910" s="20" t="n"/>
      <c r="Z910" s="19" t="inlineStr"/>
      <c r="AA910" s="18">
        <f>IF(OR(V910="Aprobada"),R910,IF(AND(OR(V910="Aprobada con ajuste",V910="Rechazada"),W910&lt;&gt;""),W910,""))</f>
        <v/>
      </c>
    </row>
    <row r="911">
      <c r="A911" s="18" t="inlineStr">
        <is>
          <t>C0910</t>
        </is>
      </c>
      <c r="B911" s="18" t="inlineStr">
        <is>
          <t>Gestión jurídica</t>
        </is>
      </c>
      <c r="C911" s="18" t="inlineStr">
        <is>
          <t>legal_management</t>
        </is>
      </c>
      <c r="D911" s="18" t="inlineStr">
        <is>
          <t>consultas_juridicas</t>
        </is>
      </c>
      <c r="E911" s="18" t="n">
        <v>31</v>
      </c>
      <c r="F911" s="18" t="inlineStr">
        <is>
          <t>motivo_archivo</t>
        </is>
      </c>
      <c r="G911" s="18" t="inlineStr">
        <is>
          <t>text</t>
        </is>
      </c>
      <c r="H911" s="18" t="inlineStr">
        <is>
          <t>Sí</t>
        </is>
      </c>
      <c r="I911" s="18" t="inlineStr"/>
      <c r="J911" s="18" t="inlineStr"/>
      <c r="K911" s="18" t="inlineStr"/>
      <c r="L911" s="18" t="inlineStr">
        <is>
          <t>No</t>
        </is>
      </c>
      <c r="M911" s="18" t="inlineStr">
        <is>
          <t>No</t>
        </is>
      </c>
      <c r="N911" s="18" t="inlineStr"/>
      <c r="O911" s="18" t="inlineStr"/>
      <c r="P911" s="18" t="inlineStr">
        <is>
          <t>Mapeada en legal-management-service/src/entities/consulta-juridica.entity.ts:110 (ConsultaJuridica.motivoArchivo)</t>
        </is>
      </c>
      <c r="Q911" s="18" t="inlineStr">
        <is>
          <t>Regla estructural</t>
        </is>
      </c>
      <c r="R911" s="18" t="inlineStr">
        <is>
          <t>Motivo del archivo.</t>
        </is>
      </c>
      <c r="S911" s="18" t="inlineStr">
        <is>
          <t>Media</t>
        </is>
      </c>
      <c r="T911" s="18" t="inlineStr">
        <is>
          <t>Convención de nombre de la columna.</t>
        </is>
      </c>
      <c r="U911" s="18" t="inlineStr"/>
      <c r="V911" s="19" t="inlineStr">
        <is>
          <t>Pendiente</t>
        </is>
      </c>
      <c r="W911" s="19" t="inlineStr"/>
      <c r="X911" s="19" t="inlineStr"/>
      <c r="Y911" s="20" t="n"/>
      <c r="Z911" s="19" t="inlineStr"/>
      <c r="AA911" s="18">
        <f>IF(OR(V911="Aprobada"),R911,IF(AND(OR(V911="Aprobada con ajuste",V911="Rechazada"),W911&lt;&gt;""),W911,""))</f>
        <v/>
      </c>
    </row>
    <row r="912">
      <c r="A912" s="18" t="inlineStr">
        <is>
          <t>C0911</t>
        </is>
      </c>
      <c r="B912" s="18" t="inlineStr">
        <is>
          <t>Gestión jurídica</t>
        </is>
      </c>
      <c r="C912" s="18" t="inlineStr">
        <is>
          <t>legal_management</t>
        </is>
      </c>
      <c r="D912" s="18" t="inlineStr">
        <is>
          <t>consultas_juridicas</t>
        </is>
      </c>
      <c r="E912" s="18" t="n">
        <v>31</v>
      </c>
      <c r="F912" s="18" t="inlineStr">
        <is>
          <t>comentario_devolucion_jefe</t>
        </is>
      </c>
      <c r="G912" s="18" t="inlineStr">
        <is>
          <t>text</t>
        </is>
      </c>
      <c r="H912" s="18" t="inlineStr">
        <is>
          <t>Sí</t>
        </is>
      </c>
      <c r="I912" s="18" t="inlineStr"/>
      <c r="J912" s="18" t="inlineStr"/>
      <c r="K912" s="18" t="inlineStr"/>
      <c r="L912" s="18" t="inlineStr">
        <is>
          <t>No</t>
        </is>
      </c>
      <c r="M912" s="18" t="inlineStr">
        <is>
          <t>No</t>
        </is>
      </c>
      <c r="N912" s="18" t="inlineStr"/>
      <c r="O912" s="18" t="inlineStr"/>
      <c r="P912" s="18" t="inlineStr">
        <is>
          <t>Mapeada en legal-management-service/src/entities/consulta-juridica.entity.ts:89 (ConsultaJuridica.comentarioDevolucionJefe)</t>
        </is>
      </c>
      <c r="Q912" s="18" t="inlineStr">
        <is>
          <t>Propuesta semántica</t>
        </is>
      </c>
      <c r="R912" s="18" t="inlineStr">
        <is>
          <t>Comentario del jefe al devolver la consulta.</t>
        </is>
      </c>
      <c r="S912" s="18" t="inlineStr">
        <is>
          <t>Media</t>
        </is>
      </c>
      <c r="T912" s="18" t="inlineStr">
        <is>
          <t>nombre + tipo + columnas vecinas</t>
        </is>
      </c>
      <c r="U912" s="18" t="inlineStr">
        <is>
          <t>¿Se registra cuando el jefe devuelve la respuesta al abogado para ajustes?</t>
        </is>
      </c>
      <c r="V912" s="19" t="inlineStr">
        <is>
          <t>Pendiente</t>
        </is>
      </c>
      <c r="W912" s="19" t="inlineStr"/>
      <c r="X912" s="19" t="inlineStr"/>
      <c r="Y912" s="20" t="n"/>
      <c r="Z912" s="19" t="inlineStr"/>
      <c r="AA912" s="18">
        <f>IF(OR(V912="Aprobada"),R912,IF(AND(OR(V912="Aprobada con ajuste",V912="Rechazada"),W912&lt;&gt;""),W912,""))</f>
        <v/>
      </c>
    </row>
    <row r="913">
      <c r="A913" s="18" t="inlineStr">
        <is>
          <t>C0912</t>
        </is>
      </c>
      <c r="B913" s="18" t="inlineStr">
        <is>
          <t>Gestión jurídica</t>
        </is>
      </c>
      <c r="C913" s="18" t="inlineStr">
        <is>
          <t>legal_management</t>
        </is>
      </c>
      <c r="D913" s="18" t="inlineStr">
        <is>
          <t>consultas_juridicas</t>
        </is>
      </c>
      <c r="E913" s="18" t="n">
        <v>31</v>
      </c>
      <c r="F913" s="18" t="inlineStr">
        <is>
          <t>origen_comunicacion_id</t>
        </is>
      </c>
      <c r="G913" s="18" t="inlineStr">
        <is>
          <t>uuid</t>
        </is>
      </c>
      <c r="H913" s="18" t="inlineStr">
        <is>
          <t>Sí</t>
        </is>
      </c>
      <c r="I913" s="18" t="inlineStr"/>
      <c r="J913" s="18" t="inlineStr"/>
      <c r="K913" s="18" t="inlineStr"/>
      <c r="L913" s="18" t="inlineStr">
        <is>
          <t>No</t>
        </is>
      </c>
      <c r="M913" s="18" t="inlineStr">
        <is>
          <t>No</t>
        </is>
      </c>
      <c r="N913" s="18" t="inlineStr"/>
      <c r="O913" s="18" t="inlineStr">
        <is>
          <t>idx_consultas_origen_comunicacion</t>
        </is>
      </c>
      <c r="P913" s="18" t="inlineStr">
        <is>
          <t>legal-management-service/src/entities/consulta-juridica.entity.ts:97: Trazabilidad inversa: comunicación (correo jurídico) que dio origen a esta consulta cuando se crea desde el Centro de Comunicaciones → Clasificación IA.</t>
        </is>
      </c>
      <c r="Q913" s="18" t="inlineStr">
        <is>
          <t>Código fuente</t>
        </is>
      </c>
      <c r="R913" s="18" t="inlineStr">
        <is>
          <t>Identificador de la comunicación (correo jurídico) que dio origen a la consulta cuando se crea desde el Centro de Comunicaciones (Clasificación IA).</t>
        </is>
      </c>
      <c r="S913" s="18" t="inlineStr">
        <is>
          <t>Alta</t>
        </is>
      </c>
      <c r="T913" s="18" t="inlineStr">
        <is>
          <t>código: legal-management-service/src/entities/consulta-juridica.entity.ts:97</t>
        </is>
      </c>
      <c r="U913" s="18" t="inlineStr"/>
      <c r="V913" s="19" t="inlineStr">
        <is>
          <t>Pendiente</t>
        </is>
      </c>
      <c r="W913" s="19" t="inlineStr"/>
      <c r="X913" s="19" t="inlineStr"/>
      <c r="Y913" s="20" t="n"/>
      <c r="Z913" s="19" t="inlineStr"/>
      <c r="AA913" s="18">
        <f>IF(OR(V913="Aprobada"),R913,IF(AND(OR(V913="Aprobada con ajuste",V913="Rechazada"),W913&lt;&gt;""),W913,""))</f>
        <v/>
      </c>
    </row>
    <row r="914">
      <c r="A914" s="18" t="inlineStr">
        <is>
          <t>C0913</t>
        </is>
      </c>
      <c r="B914" s="18" t="inlineStr">
        <is>
          <t>Gestión jurídica</t>
        </is>
      </c>
      <c r="C914" s="18" t="inlineStr">
        <is>
          <t>legal_management</t>
        </is>
      </c>
      <c r="D914" s="18" t="inlineStr">
        <is>
          <t>correo_juridico_historial</t>
        </is>
      </c>
      <c r="E914" s="18" t="n">
        <v>14558</v>
      </c>
      <c r="F914" s="18" t="inlineStr">
        <is>
          <t>tipo_evento</t>
        </is>
      </c>
      <c r="G914" s="18" t="inlineStr">
        <is>
          <t>character varying(50)</t>
        </is>
      </c>
      <c r="H914" s="18" t="inlineStr">
        <is>
          <t>No</t>
        </is>
      </c>
      <c r="I914" s="18" t="inlineStr"/>
      <c r="J914" s="18" t="inlineStr"/>
      <c r="K914" s="18" t="inlineStr"/>
      <c r="L914" s="18" t="inlineStr">
        <is>
          <t>No</t>
        </is>
      </c>
      <c r="M914" s="18" t="inlineStr">
        <is>
          <t>No</t>
        </is>
      </c>
      <c r="N914" s="18" t="inlineStr"/>
      <c r="O914" s="18" t="inlineStr">
        <is>
          <t>idx_correo_historial_tipo_evento, idx_historial_tipo_evento</t>
        </is>
      </c>
      <c r="P914" s="18" t="inlineStr">
        <is>
          <t>legal-management-service/src/entities/correo-juridico-historial.entity.ts:16: RECIBIDO, CLASIFICADO_IA, CLASIFICACION_MANUAL, ASOCIADO_PROCESO, LEIDO, ARCHIVADO, RESPONDIDO, REENVIADO | db/migrations/162_create_correo_juridico_historial.sql:7: RECIBIDO, CLASIFICADO_IA, CLASIFICACION_MANUAL, ASOCIADO_PROCESO, LEIDO, ARCHIVADO, RESPONDIDO, REENVIADO</t>
        </is>
      </c>
      <c r="Q914" s="18" t="inlineStr">
        <is>
          <t>Código fuente</t>
        </is>
      </c>
      <c r="R914" s="18" t="inlineStr">
        <is>
          <t>Tipo de evento del historial del correo jurídico. Valores: RECIBIDO, CLASIFICADO_IA, CLASIFICACION_MANUAL, ASOCIADO_PROCESO, LEIDO, ARCHIVADO, RESPONDIDO, REENVIADO.</t>
        </is>
      </c>
      <c r="S914" s="18" t="inlineStr">
        <is>
          <t>Alta</t>
        </is>
      </c>
      <c r="T914" s="18" t="inlineStr">
        <is>
          <t>código: correo-juridico-historial.entity.ts:16</t>
        </is>
      </c>
      <c r="U914" s="18" t="inlineStr"/>
      <c r="V914" s="19" t="inlineStr">
        <is>
          <t>Pendiente</t>
        </is>
      </c>
      <c r="W914" s="19" t="inlineStr"/>
      <c r="X914" s="19" t="inlineStr"/>
      <c r="Y914" s="20" t="n"/>
      <c r="Z914" s="19" t="inlineStr"/>
      <c r="AA914" s="18">
        <f>IF(OR(V914="Aprobada"),R914,IF(AND(OR(V914="Aprobada con ajuste",V914="Rechazada"),W914&lt;&gt;""),W914,""))</f>
        <v/>
      </c>
    </row>
    <row r="915">
      <c r="A915" s="18" t="inlineStr">
        <is>
          <t>C0914</t>
        </is>
      </c>
      <c r="B915" s="18" t="inlineStr">
        <is>
          <t>Gestión jurídica</t>
        </is>
      </c>
      <c r="C915" s="18" t="inlineStr">
        <is>
          <t>legal_management</t>
        </is>
      </c>
      <c r="D915" s="18" t="inlineStr">
        <is>
          <t>correo_juridico_historial</t>
        </is>
      </c>
      <c r="E915" s="18" t="n">
        <v>14558</v>
      </c>
      <c r="F915" s="18" t="inlineStr">
        <is>
          <t>descripcion</t>
        </is>
      </c>
      <c r="G915" s="18" t="inlineStr">
        <is>
          <t>text</t>
        </is>
      </c>
      <c r="H915" s="18" t="inlineStr">
        <is>
          <t>No</t>
        </is>
      </c>
      <c r="I915" s="18" t="inlineStr"/>
      <c r="J915" s="18" t="inlineStr"/>
      <c r="K915" s="18" t="inlineStr"/>
      <c r="L915" s="18" t="inlineStr">
        <is>
          <t>No</t>
        </is>
      </c>
      <c r="M915" s="18" t="inlineStr">
        <is>
          <t>No</t>
        </is>
      </c>
      <c r="N915" s="18" t="inlineStr"/>
      <c r="O915" s="18" t="inlineStr"/>
      <c r="P915" s="18" t="inlineStr">
        <is>
          <t>Mapeada en legal-management-service/src/entities/correo-juridico-historial.entity.ts:19 (CorreoJuridicoHistorial.descripcion)</t>
        </is>
      </c>
      <c r="Q915" s="18" t="inlineStr">
        <is>
          <t>Regla estructural</t>
        </is>
      </c>
      <c r="R915" s="18" t="inlineStr">
        <is>
          <t>Descripción del registro de correo_juridico_historial.</t>
        </is>
      </c>
      <c r="S915" s="18" t="inlineStr">
        <is>
          <t>Media</t>
        </is>
      </c>
      <c r="T915" s="18" t="inlineStr">
        <is>
          <t>Convención de nombre de la columna.</t>
        </is>
      </c>
      <c r="U915" s="18" t="inlineStr"/>
      <c r="V915" s="19" t="inlineStr">
        <is>
          <t>Pendiente</t>
        </is>
      </c>
      <c r="W915" s="19" t="inlineStr"/>
      <c r="X915" s="19" t="inlineStr"/>
      <c r="Y915" s="20" t="n"/>
      <c r="Z915" s="19" t="inlineStr"/>
      <c r="AA915" s="18">
        <f>IF(OR(V915="Aprobada"),R915,IF(AND(OR(V915="Aprobada con ajuste",V915="Rechazada"),W915&lt;&gt;""),W915,""))</f>
        <v/>
      </c>
    </row>
    <row r="916">
      <c r="A916" s="18" t="inlineStr">
        <is>
          <t>C0915</t>
        </is>
      </c>
      <c r="B916" s="18" t="inlineStr">
        <is>
          <t>Gestión jurídica</t>
        </is>
      </c>
      <c r="C916" s="18" t="inlineStr">
        <is>
          <t>legal_management</t>
        </is>
      </c>
      <c r="D916" s="18" t="inlineStr">
        <is>
          <t>correo_juridico_historial</t>
        </is>
      </c>
      <c r="E916" s="18" t="n">
        <v>14558</v>
      </c>
      <c r="F916" s="18" t="inlineStr">
        <is>
          <t>detalle_json</t>
        </is>
      </c>
      <c r="G916" s="18" t="inlineStr">
        <is>
          <t>jsonb</t>
        </is>
      </c>
      <c r="H916" s="18" t="inlineStr">
        <is>
          <t>Sí</t>
        </is>
      </c>
      <c r="I916" s="18" t="inlineStr"/>
      <c r="J916" s="18" t="inlineStr"/>
      <c r="K916" s="18" t="inlineStr"/>
      <c r="L916" s="18" t="inlineStr">
        <is>
          <t>No</t>
        </is>
      </c>
      <c r="M916" s="18" t="inlineStr">
        <is>
          <t>No</t>
        </is>
      </c>
      <c r="N916" s="18" t="inlineStr"/>
      <c r="O916" s="18" t="inlineStr"/>
      <c r="P916" s="18" t="inlineStr">
        <is>
          <t>Mapeada en legal-management-service/src/entities/correo-juridico-historial.entity.ts:22 (CorreoJuridicoHistorial.detalleJson)</t>
        </is>
      </c>
      <c r="Q916" s="18" t="inlineStr">
        <is>
          <t>Propuesta semántica</t>
        </is>
      </c>
      <c r="R916" s="18" t="inlineStr">
        <is>
          <t>Detalle del evento del correo, en formato JSON.</t>
        </is>
      </c>
      <c r="S916" s="18" t="inlineStr">
        <is>
          <t>Media</t>
        </is>
      </c>
      <c r="T916" s="18" t="inlineStr">
        <is>
          <t>nombre + tipo + columnas vecinas</t>
        </is>
      </c>
      <c r="U916" s="18" t="inlineStr">
        <is>
          <t>¿Qué estructura tiene detalle_json según el tipo de evento?</t>
        </is>
      </c>
      <c r="V916" s="19" t="inlineStr">
        <is>
          <t>Pendiente</t>
        </is>
      </c>
      <c r="W916" s="19" t="inlineStr"/>
      <c r="X916" s="19" t="inlineStr"/>
      <c r="Y916" s="20" t="n"/>
      <c r="Z916" s="19" t="inlineStr"/>
      <c r="AA916" s="18">
        <f>IF(OR(V916="Aprobada"),R916,IF(AND(OR(V916="Aprobada con ajuste",V916="Rechazada"),W916&lt;&gt;""),W916,""))</f>
        <v/>
      </c>
    </row>
    <row r="917">
      <c r="A917" s="18" t="inlineStr">
        <is>
          <t>C0916</t>
        </is>
      </c>
      <c r="B917" s="18" t="inlineStr">
        <is>
          <t>Gestión jurídica</t>
        </is>
      </c>
      <c r="C917" s="18" t="inlineStr">
        <is>
          <t>legal_management</t>
        </is>
      </c>
      <c r="D917" s="18" t="inlineStr">
        <is>
          <t>correo_juridico_historial</t>
        </is>
      </c>
      <c r="E917" s="18" t="n">
        <v>14558</v>
      </c>
      <c r="F917" s="18" t="inlineStr">
        <is>
          <t>usuario</t>
        </is>
      </c>
      <c r="G917" s="18" t="inlineStr">
        <is>
          <t>character varying(255)</t>
        </is>
      </c>
      <c r="H917" s="18" t="inlineStr">
        <is>
          <t>Sí</t>
        </is>
      </c>
      <c r="I917" s="18" t="inlineStr"/>
      <c r="J917" s="18" t="inlineStr"/>
      <c r="K917" s="18" t="inlineStr"/>
      <c r="L917" s="18" t="inlineStr">
        <is>
          <t>No</t>
        </is>
      </c>
      <c r="M917" s="18" t="inlineStr">
        <is>
          <t>No</t>
        </is>
      </c>
      <c r="N917" s="18" t="inlineStr"/>
      <c r="O917" s="18" t="inlineStr"/>
      <c r="P917" s="18" t="inlineStr">
        <is>
          <t>Mapeada en legal-management-service/src/entities/correo-juridico-historial.entity.ts:25 (CorreoJuridicoHistorial.usuario)</t>
        </is>
      </c>
      <c r="Q917" s="18" t="inlineStr">
        <is>
          <t>Propuesta semántica</t>
        </is>
      </c>
      <c r="R917" s="18" t="inlineStr">
        <is>
          <t>Usuario que generó el evento. Valor por defecto: Sistema.</t>
        </is>
      </c>
      <c r="S917" s="18" t="inlineStr">
        <is>
          <t>Alta</t>
        </is>
      </c>
      <c r="T917" s="18" t="inlineStr">
        <is>
          <t>nombre + tipo + columnas vecinas + defecto</t>
        </is>
      </c>
      <c r="U917" s="18" t="inlineStr"/>
      <c r="V917" s="19" t="inlineStr">
        <is>
          <t>Pendiente</t>
        </is>
      </c>
      <c r="W917" s="19" t="inlineStr"/>
      <c r="X917" s="19" t="inlineStr"/>
      <c r="Y917" s="20" t="n"/>
      <c r="Z917" s="19" t="inlineStr"/>
      <c r="AA917" s="18">
        <f>IF(OR(V917="Aprobada"),R917,IF(AND(OR(V917="Aprobada con ajuste",V917="Rechazada"),W917&lt;&gt;""),W917,""))</f>
        <v/>
      </c>
    </row>
    <row r="918">
      <c r="A918" s="18" t="inlineStr">
        <is>
          <t>C0917</t>
        </is>
      </c>
      <c r="B918" s="18" t="inlineStr">
        <is>
          <t>Gestión jurídica</t>
        </is>
      </c>
      <c r="C918" s="18" t="inlineStr">
        <is>
          <t>legal_management</t>
        </is>
      </c>
      <c r="D918" s="18" t="inlineStr">
        <is>
          <t>correo_tracking_tokens</t>
        </is>
      </c>
      <c r="E918" s="18" t="n">
        <v>100</v>
      </c>
      <c r="F918" s="18" t="inlineStr">
        <is>
          <t>token</t>
        </is>
      </c>
      <c r="G918" s="18" t="inlineStr">
        <is>
          <t>character varying(100)</t>
        </is>
      </c>
      <c r="H918" s="18" t="inlineStr">
        <is>
          <t>No</t>
        </is>
      </c>
      <c r="I918" s="18" t="inlineStr">
        <is>
          <t>Única</t>
        </is>
      </c>
      <c r="J918" s="18" t="inlineStr"/>
      <c r="K918" s="18" t="inlineStr"/>
      <c r="L918" s="18" t="inlineStr">
        <is>
          <t>No</t>
        </is>
      </c>
      <c r="M918" s="18" t="inlineStr">
        <is>
          <t>No</t>
        </is>
      </c>
      <c r="N918" s="18" t="inlineStr"/>
      <c r="O918" s="18" t="inlineStr">
        <is>
          <t>correo_tracking_tokens_token_key, idx_tracking_token</t>
        </is>
      </c>
      <c r="P918" s="18" t="inlineStr">
        <is>
          <t>Mapeada en legal-management-service/src/entities/correo-tracking-token.entity.ts:19 (CorreoTrackingToken.token)</t>
        </is>
      </c>
      <c r="Q918" s="18" t="inlineStr">
        <is>
          <t>Propuesta semántica</t>
        </is>
      </c>
      <c r="R918" s="18" t="inlineStr">
        <is>
          <t>Token único de seguimiento de apertura del correo o adjunto.</t>
        </is>
      </c>
      <c r="S918" s="18" t="inlineStr">
        <is>
          <t>Alta</t>
        </is>
      </c>
      <c r="T918" s="18" t="inlineStr">
        <is>
          <t>nombre + tipo + columnas vecinas + restricción única</t>
        </is>
      </c>
      <c r="U918" s="18" t="inlineStr"/>
      <c r="V918" s="19" t="inlineStr">
        <is>
          <t>Pendiente</t>
        </is>
      </c>
      <c r="W918" s="19" t="inlineStr"/>
      <c r="X918" s="19" t="inlineStr"/>
      <c r="Y918" s="20" t="n"/>
      <c r="Z918" s="19" t="inlineStr"/>
      <c r="AA918" s="18">
        <f>IF(OR(V918="Aprobada"),R918,IF(AND(OR(V918="Aprobada con ajuste",V918="Rechazada"),W918&lt;&gt;""),W918,""))</f>
        <v/>
      </c>
    </row>
    <row r="919">
      <c r="A919" s="18" t="inlineStr">
        <is>
          <t>C0918</t>
        </is>
      </c>
      <c r="B919" s="18" t="inlineStr">
        <is>
          <t>Gestión jurídica</t>
        </is>
      </c>
      <c r="C919" s="18" t="inlineStr">
        <is>
          <t>legal_management</t>
        </is>
      </c>
      <c r="D919" s="18" t="inlineStr">
        <is>
          <t>correo_tracking_tokens</t>
        </is>
      </c>
      <c r="E919" s="18" t="n">
        <v>100</v>
      </c>
      <c r="F919" s="18" t="inlineStr">
        <is>
          <t>tipo</t>
        </is>
      </c>
      <c r="G919" s="18" t="inlineStr">
        <is>
          <t>character varying(20)</t>
        </is>
      </c>
      <c r="H919" s="18" t="inlineStr">
        <is>
          <t>No</t>
        </is>
      </c>
      <c r="I919" s="18" t="inlineStr">
        <is>
          <t>CHECK</t>
        </is>
      </c>
      <c r="J919" s="18" t="inlineStr">
        <is>
          <t>DOWNLOAD_LINK, OPEN_PIXEL</t>
        </is>
      </c>
      <c r="K919" s="18" t="inlineStr"/>
      <c r="L919" s="18" t="inlineStr">
        <is>
          <t>Sí</t>
        </is>
      </c>
      <c r="M919" s="18" t="inlineStr">
        <is>
          <t>No</t>
        </is>
      </c>
      <c r="N919" s="18" t="inlineStr"/>
      <c r="O919" s="18" t="inlineStr"/>
      <c r="P919" s="18" t="inlineStr">
        <is>
          <t>legal-management-service/src/entities/correo-tracking-token.entity.ts:23: OPEN_PIXEL | DOWNLOAD_LINK | db/migrations/229_create_correo_tracking_tokens.sql:11: OPEN_PIXEL | DOWNLOAD_LINK</t>
        </is>
      </c>
      <c r="Q919" s="18" t="inlineStr">
        <is>
          <t>Código fuente</t>
        </is>
      </c>
      <c r="R919" s="18" t="inlineStr">
        <is>
          <t>Tipo de token de seguimiento del correo. Valores permitidos: OPEN_PIXEL (píxel de apertura), DOWNLOAD_LINK (enlace de descarga).</t>
        </is>
      </c>
      <c r="S919" s="18" t="inlineStr">
        <is>
          <t>Alta</t>
        </is>
      </c>
      <c r="T919" s="18" t="inlineStr">
        <is>
          <t>valores permitidos del CHECK; código: db/migrations/229_create_correo_tracking_tokens.sql:11</t>
        </is>
      </c>
      <c r="U919" s="18" t="inlineStr"/>
      <c r="V919" s="19" t="inlineStr">
        <is>
          <t>Pendiente</t>
        </is>
      </c>
      <c r="W919" s="19" t="inlineStr"/>
      <c r="X919" s="19" t="inlineStr"/>
      <c r="Y919" s="20" t="n"/>
      <c r="Z919" s="19" t="inlineStr"/>
      <c r="AA919" s="18">
        <f>IF(OR(V919="Aprobada"),R919,IF(AND(OR(V919="Aprobada con ajuste",V919="Rechazada"),W919&lt;&gt;""),W919,""))</f>
        <v/>
      </c>
    </row>
    <row r="920">
      <c r="A920" s="18" t="inlineStr">
        <is>
          <t>C0919</t>
        </is>
      </c>
      <c r="B920" s="18" t="inlineStr">
        <is>
          <t>Gestión jurídica</t>
        </is>
      </c>
      <c r="C920" s="18" t="inlineStr">
        <is>
          <t>legal_management</t>
        </is>
      </c>
      <c r="D920" s="18" t="inlineStr">
        <is>
          <t>correo_tracking_tokens</t>
        </is>
      </c>
      <c r="E920" s="18" t="n">
        <v>100</v>
      </c>
      <c r="F920" s="18" t="inlineStr">
        <is>
          <t>abierto</t>
        </is>
      </c>
      <c r="G920" s="18" t="inlineStr">
        <is>
          <t>boolean</t>
        </is>
      </c>
      <c r="H920" s="18" t="inlineStr">
        <is>
          <t>No</t>
        </is>
      </c>
      <c r="I920" s="18" t="inlineStr"/>
      <c r="J920" s="18" t="inlineStr"/>
      <c r="K920" s="18" t="inlineStr"/>
      <c r="L920" s="18" t="inlineStr">
        <is>
          <t>No</t>
        </is>
      </c>
      <c r="M920" s="18" t="inlineStr">
        <is>
          <t>No</t>
        </is>
      </c>
      <c r="N920" s="18" t="inlineStr"/>
      <c r="O920" s="18" t="inlineStr"/>
      <c r="P920" s="18" t="inlineStr">
        <is>
          <t>Mapeada en legal-management-service/src/entities/correo-tracking-token.entity.ts:26 (CorreoTrackingToken.abierto)</t>
        </is>
      </c>
      <c r="Q920" s="18" t="inlineStr">
        <is>
          <t>Regla estructural</t>
        </is>
      </c>
      <c r="R920" s="18" t="inlineStr">
        <is>
          <t>Indica si aplica: abierto.</t>
        </is>
      </c>
      <c r="S920" s="18" t="inlineStr">
        <is>
          <t>Media</t>
        </is>
      </c>
      <c r="T920" s="18" t="inlineStr">
        <is>
          <t>Convención de nombre de la columna.</t>
        </is>
      </c>
      <c r="U920" s="18" t="inlineStr"/>
      <c r="V920" s="19" t="inlineStr">
        <is>
          <t>Pendiente</t>
        </is>
      </c>
      <c r="W920" s="19" t="inlineStr"/>
      <c r="X920" s="19" t="inlineStr"/>
      <c r="Y920" s="20" t="n"/>
      <c r="Z920" s="19" t="inlineStr"/>
      <c r="AA920" s="18">
        <f>IF(OR(V920="Aprobada"),R920,IF(AND(OR(V920="Aprobada con ajuste",V920="Rechazada"),W920&lt;&gt;""),W920,""))</f>
        <v/>
      </c>
    </row>
    <row r="921">
      <c r="A921" s="18" t="inlineStr">
        <is>
          <t>C0920</t>
        </is>
      </c>
      <c r="B921" s="18" t="inlineStr">
        <is>
          <t>Gestión jurídica</t>
        </is>
      </c>
      <c r="C921" s="18" t="inlineStr">
        <is>
          <t>legal_management</t>
        </is>
      </c>
      <c r="D921" s="18" t="inlineStr">
        <is>
          <t>correo_tracking_tokens</t>
        </is>
      </c>
      <c r="E921" s="18" t="n">
        <v>100</v>
      </c>
      <c r="F921" s="18" t="inlineStr">
        <is>
          <t>fecha_apertura</t>
        </is>
      </c>
      <c r="G921" s="18" t="inlineStr">
        <is>
          <t>timestamp without time zone</t>
        </is>
      </c>
      <c r="H921" s="18" t="inlineStr">
        <is>
          <t>Sí</t>
        </is>
      </c>
      <c r="I921" s="18" t="inlineStr"/>
      <c r="J921" s="18" t="inlineStr"/>
      <c r="K921" s="18" t="inlineStr"/>
      <c r="L921" s="18" t="inlineStr">
        <is>
          <t>No</t>
        </is>
      </c>
      <c r="M921" s="18" t="inlineStr">
        <is>
          <t>No</t>
        </is>
      </c>
      <c r="N921" s="18" t="inlineStr"/>
      <c r="O921" s="18" t="inlineStr"/>
      <c r="P921" s="18" t="inlineStr">
        <is>
          <t>Mapeada en legal-management-service/src/entities/correo-tracking-token.entity.ts:29 (CorreoTrackingToken.fechaApertura)</t>
        </is>
      </c>
      <c r="Q921" s="18" t="inlineStr">
        <is>
          <t>Regla estructural</t>
        </is>
      </c>
      <c r="R921" s="18" t="inlineStr">
        <is>
          <t>Fecha de apertura.</t>
        </is>
      </c>
      <c r="S921" s="18" t="inlineStr">
        <is>
          <t>Media</t>
        </is>
      </c>
      <c r="T921" s="18" t="inlineStr">
        <is>
          <t>Convención de nombre de la columna.</t>
        </is>
      </c>
      <c r="U921" s="18" t="inlineStr"/>
      <c r="V921" s="19" t="inlineStr">
        <is>
          <t>Pendiente</t>
        </is>
      </c>
      <c r="W921" s="19" t="inlineStr"/>
      <c r="X921" s="19" t="inlineStr"/>
      <c r="Y921" s="20" t="n"/>
      <c r="Z921" s="19" t="inlineStr"/>
      <c r="AA921" s="18">
        <f>IF(OR(V921="Aprobada"),R921,IF(AND(OR(V921="Aprobada con ajuste",V921="Rechazada"),W921&lt;&gt;""),W921,""))</f>
        <v/>
      </c>
    </row>
    <row r="922">
      <c r="A922" s="18" t="inlineStr">
        <is>
          <t>C0921</t>
        </is>
      </c>
      <c r="B922" s="18" t="inlineStr">
        <is>
          <t>Gestión jurídica</t>
        </is>
      </c>
      <c r="C922" s="18" t="inlineStr">
        <is>
          <t>legal_management</t>
        </is>
      </c>
      <c r="D922" s="18" t="inlineStr">
        <is>
          <t>correo_tracking_tokens</t>
        </is>
      </c>
      <c r="E922" s="18" t="n">
        <v>100</v>
      </c>
      <c r="F922" s="18" t="inlineStr">
        <is>
          <t>ip_apertura</t>
        </is>
      </c>
      <c r="G922" s="18" t="inlineStr">
        <is>
          <t>character varying(50)</t>
        </is>
      </c>
      <c r="H922" s="18" t="inlineStr">
        <is>
          <t>Sí</t>
        </is>
      </c>
      <c r="I922" s="18" t="inlineStr"/>
      <c r="J922" s="18" t="inlineStr"/>
      <c r="K922" s="18" t="inlineStr"/>
      <c r="L922" s="18" t="inlineStr">
        <is>
          <t>No</t>
        </is>
      </c>
      <c r="M922" s="18" t="inlineStr">
        <is>
          <t>No</t>
        </is>
      </c>
      <c r="N922" s="18" t="inlineStr"/>
      <c r="O922" s="18" t="inlineStr"/>
      <c r="P922" s="18" t="inlineStr">
        <is>
          <t>Mapeada en legal-management-service/src/entities/correo-tracking-token.entity.ts:32 (CorreoTrackingToken.ipApertura)</t>
        </is>
      </c>
      <c r="Q922" s="18" t="inlineStr">
        <is>
          <t>Propuesta semántica</t>
        </is>
      </c>
      <c r="R922" s="18" t="inlineStr">
        <is>
          <t>Dirección IP desde la que se abrió el correo o adjunto.</t>
        </is>
      </c>
      <c r="S922" s="18" t="inlineStr">
        <is>
          <t>Alta</t>
        </is>
      </c>
      <c r="T922" s="18" t="inlineStr">
        <is>
          <t>nombre + tipo + columnas vecinas (abierto, fecha_apertura)</t>
        </is>
      </c>
      <c r="U922" s="18" t="inlineStr"/>
      <c r="V922" s="19" t="inlineStr">
        <is>
          <t>Pendiente</t>
        </is>
      </c>
      <c r="W922" s="19" t="inlineStr"/>
      <c r="X922" s="19" t="inlineStr"/>
      <c r="Y922" s="20" t="n"/>
      <c r="Z922" s="19" t="inlineStr"/>
      <c r="AA922" s="18">
        <f>IF(OR(V922="Aprobada"),R922,IF(AND(OR(V922="Aprobada con ajuste",V922="Rechazada"),W922&lt;&gt;""),W922,""))</f>
        <v/>
      </c>
    </row>
    <row r="923">
      <c r="A923" s="18" t="inlineStr">
        <is>
          <t>C0922</t>
        </is>
      </c>
      <c r="B923" s="18" t="inlineStr">
        <is>
          <t>Gestión jurídica</t>
        </is>
      </c>
      <c r="C923" s="18" t="inlineStr">
        <is>
          <t>legal_management</t>
        </is>
      </c>
      <c r="D923" s="18" t="inlineStr">
        <is>
          <t>correo_tracking_tokens</t>
        </is>
      </c>
      <c r="E923" s="18" t="n">
        <v>100</v>
      </c>
      <c r="F923" s="18" t="inlineStr">
        <is>
          <t>user_agent</t>
        </is>
      </c>
      <c r="G923" s="18" t="inlineStr">
        <is>
          <t>text</t>
        </is>
      </c>
      <c r="H923" s="18" t="inlineStr">
        <is>
          <t>Sí</t>
        </is>
      </c>
      <c r="I923" s="18" t="inlineStr"/>
      <c r="J923" s="18" t="inlineStr"/>
      <c r="K923" s="18" t="inlineStr"/>
      <c r="L923" s="18" t="inlineStr">
        <is>
          <t>No</t>
        </is>
      </c>
      <c r="M923" s="18" t="inlineStr">
        <is>
          <t>No</t>
        </is>
      </c>
      <c r="N923" s="18" t="inlineStr"/>
      <c r="O923" s="18" t="inlineStr"/>
      <c r="P923" s="18" t="inlineStr">
        <is>
          <t>Mapeada en legal-management-service/src/entities/correo-tracking-token.entity.ts:35 (CorreoTrackingToken.userAgent)</t>
        </is>
      </c>
      <c r="Q923" s="18" t="inlineStr">
        <is>
          <t>Regla estructural</t>
        </is>
      </c>
      <c r="R923" s="18" t="inlineStr">
        <is>
          <t>Agente de usuario (navegador) registrado.</t>
        </is>
      </c>
      <c r="S923" s="18" t="inlineStr">
        <is>
          <t>Media</t>
        </is>
      </c>
      <c r="T923" s="18" t="inlineStr">
        <is>
          <t>Convención de nombre de la columna.</t>
        </is>
      </c>
      <c r="U923" s="18" t="inlineStr"/>
      <c r="V923" s="19" t="inlineStr">
        <is>
          <t>Pendiente</t>
        </is>
      </c>
      <c r="W923" s="19" t="inlineStr"/>
      <c r="X923" s="19" t="inlineStr"/>
      <c r="Y923" s="20" t="n"/>
      <c r="Z923" s="19" t="inlineStr"/>
      <c r="AA923" s="18">
        <f>IF(OR(V923="Aprobada"),R923,IF(AND(OR(V923="Aprobada con ajuste",V923="Rechazada"),W923&lt;&gt;""),W923,""))</f>
        <v/>
      </c>
    </row>
    <row r="924">
      <c r="A924" s="18" t="inlineStr">
        <is>
          <t>C0923</t>
        </is>
      </c>
      <c r="B924" s="18" t="inlineStr">
        <is>
          <t>Gestión jurídica</t>
        </is>
      </c>
      <c r="C924" s="18" t="inlineStr">
        <is>
          <t>legal_management</t>
        </is>
      </c>
      <c r="D924" s="18" t="inlineStr">
        <is>
          <t>correo_tracking_tokens</t>
        </is>
      </c>
      <c r="E924" s="18" t="n">
        <v>100</v>
      </c>
      <c r="F924" s="18" t="inlineStr">
        <is>
          <t>destinatario_email</t>
        </is>
      </c>
      <c r="G924" s="18" t="inlineStr">
        <is>
          <t>character varying(255)</t>
        </is>
      </c>
      <c r="H924" s="18" t="inlineStr">
        <is>
          <t>Sí</t>
        </is>
      </c>
      <c r="I924" s="18" t="inlineStr"/>
      <c r="J924" s="18" t="inlineStr"/>
      <c r="K924" s="18" t="inlineStr"/>
      <c r="L924" s="18" t="inlineStr">
        <is>
          <t>No</t>
        </is>
      </c>
      <c r="M924" s="18" t="inlineStr">
        <is>
          <t>No</t>
        </is>
      </c>
      <c r="N924" s="18" t="inlineStr"/>
      <c r="O924" s="18" t="inlineStr"/>
      <c r="P924" s="18" t="inlineStr">
        <is>
          <t>legal-management-service/src/entities/correo-tracking-token.entity.ts:39: Destinatario original (para contexto)</t>
        </is>
      </c>
      <c r="Q924" s="18" t="inlineStr">
        <is>
          <t>Código fuente</t>
        </is>
      </c>
      <c r="R924" s="18" t="inlineStr">
        <is>
          <t>Correo electrónico del destinatario original del mensaje, guardado como contexto.</t>
        </is>
      </c>
      <c r="S924" s="18" t="inlineStr">
        <is>
          <t>Alta</t>
        </is>
      </c>
      <c r="T924" s="18" t="inlineStr">
        <is>
          <t>código: legal-management-service/src/entities/correo-tracking-token.entity.ts:39</t>
        </is>
      </c>
      <c r="U924" s="18" t="inlineStr"/>
      <c r="V924" s="19" t="inlineStr">
        <is>
          <t>Pendiente</t>
        </is>
      </c>
      <c r="W924" s="19" t="inlineStr"/>
      <c r="X924" s="19" t="inlineStr"/>
      <c r="Y924" s="20" t="n"/>
      <c r="Z924" s="19" t="inlineStr"/>
      <c r="AA924" s="18">
        <f>IF(OR(V924="Aprobada"),R924,IF(AND(OR(V924="Aprobada con ajuste",V924="Rechazada"),W924&lt;&gt;""),W924,""))</f>
        <v/>
      </c>
    </row>
    <row r="925">
      <c r="A925" s="18" t="inlineStr">
        <is>
          <t>C0924</t>
        </is>
      </c>
      <c r="B925" s="18" t="inlineStr">
        <is>
          <t>Gestión jurídica</t>
        </is>
      </c>
      <c r="C925" s="18" t="inlineStr">
        <is>
          <t>legal_management</t>
        </is>
      </c>
      <c r="D925" s="18" t="inlineStr">
        <is>
          <t>correos_juridicos</t>
        </is>
      </c>
      <c r="E925" s="18" t="n">
        <v>14042</v>
      </c>
      <c r="F925" s="18" t="inlineStr">
        <is>
          <t>graph_message_id</t>
        </is>
      </c>
      <c r="G925" s="18" t="inlineStr">
        <is>
          <t>character varying(500)</t>
        </is>
      </c>
      <c r="H925" s="18" t="inlineStr">
        <is>
          <t>No</t>
        </is>
      </c>
      <c r="I925" s="18" t="inlineStr">
        <is>
          <t>Única</t>
        </is>
      </c>
      <c r="J925" s="18" t="inlineStr"/>
      <c r="K925" s="18" t="inlineStr"/>
      <c r="L925" s="18" t="inlineStr">
        <is>
          <t>No</t>
        </is>
      </c>
      <c r="M925" s="18" t="inlineStr">
        <is>
          <t>No</t>
        </is>
      </c>
      <c r="N925" s="18" t="inlineStr"/>
      <c r="O925" s="18" t="inlineStr">
        <is>
          <t>correos_juridicos_graph_message_id_key</t>
        </is>
      </c>
      <c r="P925" s="18" t="inlineStr">
        <is>
          <t>Mapeada en legal-management-service/src/entities/correo-juridico.entity.ts:9 (CorreoJuridico.graphMessageId)</t>
        </is>
      </c>
      <c r="Q925" s="18" t="inlineStr">
        <is>
          <t>Propuesta semántica</t>
        </is>
      </c>
      <c r="R925" s="18" t="inlineStr">
        <is>
          <t>Identificador del mensaje en Microsoft Graph. Es único en la tabla.</t>
        </is>
      </c>
      <c r="S925" s="18" t="inlineStr">
        <is>
          <t>Alta</t>
        </is>
      </c>
      <c r="T925" s="18" t="inlineStr">
        <is>
          <t>nombre + tipo + columnas vecinas + restricción única</t>
        </is>
      </c>
      <c r="U925" s="18" t="inlineStr"/>
      <c r="V925" s="19" t="inlineStr">
        <is>
          <t>Pendiente</t>
        </is>
      </c>
      <c r="W925" s="19" t="inlineStr"/>
      <c r="X925" s="19" t="inlineStr"/>
      <c r="Y925" s="20" t="n"/>
      <c r="Z925" s="19" t="inlineStr"/>
      <c r="AA925" s="18">
        <f>IF(OR(V925="Aprobada"),R925,IF(AND(OR(V925="Aprobada con ajuste",V925="Rechazada"),W925&lt;&gt;""),W925,""))</f>
        <v/>
      </c>
    </row>
    <row r="926">
      <c r="A926" s="18" t="inlineStr">
        <is>
          <t>C0925</t>
        </is>
      </c>
      <c r="B926" s="18" t="inlineStr">
        <is>
          <t>Gestión jurídica</t>
        </is>
      </c>
      <c r="C926" s="18" t="inlineStr">
        <is>
          <t>legal_management</t>
        </is>
      </c>
      <c r="D926" s="18" t="inlineStr">
        <is>
          <t>correos_juridicos</t>
        </is>
      </c>
      <c r="E926" s="18" t="n">
        <v>14042</v>
      </c>
      <c r="F926" s="18" t="inlineStr">
        <is>
          <t>asunto</t>
        </is>
      </c>
      <c r="G926" s="18" t="inlineStr">
        <is>
          <t>character varying(500)</t>
        </is>
      </c>
      <c r="H926" s="18" t="inlineStr">
        <is>
          <t>No</t>
        </is>
      </c>
      <c r="I926" s="18" t="inlineStr"/>
      <c r="J926" s="18" t="inlineStr"/>
      <c r="K926" s="18" t="inlineStr"/>
      <c r="L926" s="18" t="inlineStr">
        <is>
          <t>No</t>
        </is>
      </c>
      <c r="M926" s="18" t="inlineStr">
        <is>
          <t>No</t>
        </is>
      </c>
      <c r="N926" s="18" t="inlineStr"/>
      <c r="O926" s="18" t="inlineStr"/>
      <c r="P926" s="18" t="inlineStr">
        <is>
          <t>Mapeada en legal-management-service/src/entities/correo-juridico.entity.ts:12 (CorreoJuridico.asunto)</t>
        </is>
      </c>
      <c r="Q926" s="18" t="inlineStr">
        <is>
          <t>Propuesta semántica</t>
        </is>
      </c>
      <c r="R926" s="18" t="inlineStr">
        <is>
          <t>Asunto del correo.</t>
        </is>
      </c>
      <c r="S926" s="18" t="inlineStr">
        <is>
          <t>Alta</t>
        </is>
      </c>
      <c r="T926" s="18" t="inlineStr">
        <is>
          <t>nombre + tipo + columnas vecinas</t>
        </is>
      </c>
      <c r="U926" s="18" t="inlineStr"/>
      <c r="V926" s="19" t="inlineStr">
        <is>
          <t>Pendiente</t>
        </is>
      </c>
      <c r="W926" s="19" t="inlineStr"/>
      <c r="X926" s="19" t="inlineStr"/>
      <c r="Y926" s="20" t="n"/>
      <c r="Z926" s="19" t="inlineStr"/>
      <c r="AA926" s="18">
        <f>IF(OR(V926="Aprobada"),R926,IF(AND(OR(V926="Aprobada con ajuste",V926="Rechazada"),W926&lt;&gt;""),W926,""))</f>
        <v/>
      </c>
    </row>
    <row r="927">
      <c r="A927" s="18" t="inlineStr">
        <is>
          <t>C0926</t>
        </is>
      </c>
      <c r="B927" s="18" t="inlineStr">
        <is>
          <t>Gestión jurídica</t>
        </is>
      </c>
      <c r="C927" s="18" t="inlineStr">
        <is>
          <t>legal_management</t>
        </is>
      </c>
      <c r="D927" s="18" t="inlineStr">
        <is>
          <t>correos_juridicos</t>
        </is>
      </c>
      <c r="E927" s="18" t="n">
        <v>14042</v>
      </c>
      <c r="F927" s="18" t="inlineStr">
        <is>
          <t>remitente_email</t>
        </is>
      </c>
      <c r="G927" s="18" t="inlineStr">
        <is>
          <t>character varying(255)</t>
        </is>
      </c>
      <c r="H927" s="18" t="inlineStr">
        <is>
          <t>No</t>
        </is>
      </c>
      <c r="I927" s="18" t="inlineStr"/>
      <c r="J927" s="18" t="inlineStr"/>
      <c r="K927" s="18" t="inlineStr"/>
      <c r="L927" s="18" t="inlineStr">
        <is>
          <t>No</t>
        </is>
      </c>
      <c r="M927" s="18" t="inlineStr">
        <is>
          <t>No</t>
        </is>
      </c>
      <c r="N927" s="18" t="inlineStr"/>
      <c r="O927" s="18" t="inlineStr"/>
      <c r="P927" s="18" t="inlineStr">
        <is>
          <t>Mapeada en legal-management-service/src/entities/correo-juridico.entity.ts:15 (CorreoJuridico.remitenteEmail)</t>
        </is>
      </c>
      <c r="Q927" s="18" t="inlineStr">
        <is>
          <t>Propuesta semántica</t>
        </is>
      </c>
      <c r="R927" s="18" t="inlineStr">
        <is>
          <t>Correo electrónico del remitente.</t>
        </is>
      </c>
      <c r="S927" s="18" t="inlineStr">
        <is>
          <t>Alta</t>
        </is>
      </c>
      <c r="T927" s="18" t="inlineStr">
        <is>
          <t>nombre + tipo + columnas vecinas</t>
        </is>
      </c>
      <c r="U927" s="18" t="inlineStr"/>
      <c r="V927" s="19" t="inlineStr">
        <is>
          <t>Pendiente</t>
        </is>
      </c>
      <c r="W927" s="19" t="inlineStr"/>
      <c r="X927" s="19" t="inlineStr"/>
      <c r="Y927" s="20" t="n"/>
      <c r="Z927" s="19" t="inlineStr"/>
      <c r="AA927" s="18">
        <f>IF(OR(V927="Aprobada"),R927,IF(AND(OR(V927="Aprobada con ajuste",V927="Rechazada"),W927&lt;&gt;""),W927,""))</f>
        <v/>
      </c>
    </row>
    <row r="928">
      <c r="A928" s="18" t="inlineStr">
        <is>
          <t>C0927</t>
        </is>
      </c>
      <c r="B928" s="18" t="inlineStr">
        <is>
          <t>Gestión jurídica</t>
        </is>
      </c>
      <c r="C928" s="18" t="inlineStr">
        <is>
          <t>legal_management</t>
        </is>
      </c>
      <c r="D928" s="18" t="inlineStr">
        <is>
          <t>correos_juridicos</t>
        </is>
      </c>
      <c r="E928" s="18" t="n">
        <v>14042</v>
      </c>
      <c r="F928" s="18" t="inlineStr">
        <is>
          <t>remitente_nombre</t>
        </is>
      </c>
      <c r="G928" s="18" t="inlineStr">
        <is>
          <t>character varying(255)</t>
        </is>
      </c>
      <c r="H928" s="18" t="inlineStr">
        <is>
          <t>Sí</t>
        </is>
      </c>
      <c r="I928" s="18" t="inlineStr"/>
      <c r="J928" s="18" t="inlineStr"/>
      <c r="K928" s="18" t="inlineStr"/>
      <c r="L928" s="18" t="inlineStr">
        <is>
          <t>No</t>
        </is>
      </c>
      <c r="M928" s="18" t="inlineStr">
        <is>
          <t>No</t>
        </is>
      </c>
      <c r="N928" s="18" t="inlineStr"/>
      <c r="O928" s="18" t="inlineStr"/>
      <c r="P928" s="18" t="inlineStr">
        <is>
          <t>Mapeada en legal-management-service/src/entities/correo-juridico.entity.ts:18 (CorreoJuridico.remitenteNombre)</t>
        </is>
      </c>
      <c r="Q928" s="18" t="inlineStr">
        <is>
          <t>Propuesta semántica</t>
        </is>
      </c>
      <c r="R928" s="18" t="inlineStr">
        <is>
          <t>Nombre del remitente.</t>
        </is>
      </c>
      <c r="S928" s="18" t="inlineStr">
        <is>
          <t>Alta</t>
        </is>
      </c>
      <c r="T928" s="18" t="inlineStr">
        <is>
          <t>nombre + tipo + columnas vecinas</t>
        </is>
      </c>
      <c r="U928" s="18" t="inlineStr"/>
      <c r="V928" s="19" t="inlineStr">
        <is>
          <t>Pendiente</t>
        </is>
      </c>
      <c r="W928" s="19" t="inlineStr"/>
      <c r="X928" s="19" t="inlineStr"/>
      <c r="Y928" s="20" t="n"/>
      <c r="Z928" s="19" t="inlineStr"/>
      <c r="AA928" s="18">
        <f>IF(OR(V928="Aprobada"),R928,IF(AND(OR(V928="Aprobada con ajuste",V928="Rechazada"),W928&lt;&gt;""),W928,""))</f>
        <v/>
      </c>
    </row>
    <row r="929">
      <c r="A929" s="18" t="inlineStr">
        <is>
          <t>C0928</t>
        </is>
      </c>
      <c r="B929" s="18" t="inlineStr">
        <is>
          <t>Gestión jurídica</t>
        </is>
      </c>
      <c r="C929" s="18" t="inlineStr">
        <is>
          <t>legal_management</t>
        </is>
      </c>
      <c r="D929" s="18" t="inlineStr">
        <is>
          <t>correos_juridicos</t>
        </is>
      </c>
      <c r="E929" s="18" t="n">
        <v>14042</v>
      </c>
      <c r="F929" s="18" t="inlineStr">
        <is>
          <t>destinatarios</t>
        </is>
      </c>
      <c r="G929" s="18" t="inlineStr">
        <is>
          <t>text</t>
        </is>
      </c>
      <c r="H929" s="18" t="inlineStr">
        <is>
          <t>Sí</t>
        </is>
      </c>
      <c r="I929" s="18" t="inlineStr"/>
      <c r="J929" s="18" t="inlineStr"/>
      <c r="K929" s="18" t="inlineStr"/>
      <c r="L929" s="18" t="inlineStr">
        <is>
          <t>No</t>
        </is>
      </c>
      <c r="M929" s="18" t="inlineStr">
        <is>
          <t>No</t>
        </is>
      </c>
      <c r="N929" s="18" t="inlineStr"/>
      <c r="O929" s="18" t="inlineStr"/>
      <c r="P929" s="18" t="inlineStr">
        <is>
          <t>legal-management-service/src/entities/correo-juridico.entity.ts:21: CC (arreglo JSON de correos)</t>
        </is>
      </c>
      <c r="Q929" s="18" t="inlineStr">
        <is>
          <t>Código fuente</t>
        </is>
      </c>
      <c r="R929" s="18" t="inlineStr">
        <is>
          <t>Destinatarios en copia (CC) del correo, como arreglo JSON de correos.</t>
        </is>
      </c>
      <c r="S929" s="18" t="inlineStr">
        <is>
          <t>Alta</t>
        </is>
      </c>
      <c r="T929" s="18" t="inlineStr">
        <is>
          <t>código: correo-juridico.entity.ts:21</t>
        </is>
      </c>
      <c r="U929" s="18" t="inlineStr"/>
      <c r="V929" s="19" t="inlineStr">
        <is>
          <t>Pendiente</t>
        </is>
      </c>
      <c r="W929" s="19" t="inlineStr"/>
      <c r="X929" s="19" t="inlineStr"/>
      <c r="Y929" s="20" t="n"/>
      <c r="Z929" s="19" t="inlineStr"/>
      <c r="AA929" s="18">
        <f>IF(OR(V929="Aprobada"),R929,IF(AND(OR(V929="Aprobada con ajuste",V929="Rechazada"),W929&lt;&gt;""),W929,""))</f>
        <v/>
      </c>
    </row>
    <row r="930">
      <c r="A930" s="18" t="inlineStr">
        <is>
          <t>C0929</t>
        </is>
      </c>
      <c r="B930" s="18" t="inlineStr">
        <is>
          <t>Gestión jurídica</t>
        </is>
      </c>
      <c r="C930" s="18" t="inlineStr">
        <is>
          <t>legal_management</t>
        </is>
      </c>
      <c r="D930" s="18" t="inlineStr">
        <is>
          <t>correos_juridicos</t>
        </is>
      </c>
      <c r="E930" s="18" t="n">
        <v>14042</v>
      </c>
      <c r="F930" s="18" t="inlineStr">
        <is>
          <t>fecha_recepcion</t>
        </is>
      </c>
      <c r="G930" s="18" t="inlineStr">
        <is>
          <t>timestamp without time zone</t>
        </is>
      </c>
      <c r="H930" s="18" t="inlineStr">
        <is>
          <t>No</t>
        </is>
      </c>
      <c r="I930" s="18" t="inlineStr"/>
      <c r="J930" s="18" t="inlineStr"/>
      <c r="K930" s="18" t="inlineStr"/>
      <c r="L930" s="18" t="inlineStr">
        <is>
          <t>No</t>
        </is>
      </c>
      <c r="M930" s="18" t="inlineStr">
        <is>
          <t>No</t>
        </is>
      </c>
      <c r="N930" s="18" t="inlineStr"/>
      <c r="O930" s="18" t="inlineStr">
        <is>
          <t>idx_correos_juridicos_fecha</t>
        </is>
      </c>
      <c r="P930" s="18" t="inlineStr">
        <is>
          <t>Mapeada en legal-management-service/src/entities/correo-juridico.entity.ts:29 (CorreoJuridico.fechaRecepcion)</t>
        </is>
      </c>
      <c r="Q930" s="18" t="inlineStr">
        <is>
          <t>Regla estructural</t>
        </is>
      </c>
      <c r="R930" s="18" t="inlineStr">
        <is>
          <t>Fecha de recepción.</t>
        </is>
      </c>
      <c r="S930" s="18" t="inlineStr">
        <is>
          <t>Media</t>
        </is>
      </c>
      <c r="T930" s="18" t="inlineStr">
        <is>
          <t>Convención de nombre de la columna.</t>
        </is>
      </c>
      <c r="U930" s="18" t="inlineStr"/>
      <c r="V930" s="19" t="inlineStr">
        <is>
          <t>Pendiente</t>
        </is>
      </c>
      <c r="W930" s="19" t="inlineStr"/>
      <c r="X930" s="19" t="inlineStr"/>
      <c r="Y930" s="20" t="n"/>
      <c r="Z930" s="19" t="inlineStr"/>
      <c r="AA930" s="18">
        <f>IF(OR(V930="Aprobada"),R930,IF(AND(OR(V930="Aprobada con ajuste",V930="Rechazada"),W930&lt;&gt;""),W930,""))</f>
        <v/>
      </c>
    </row>
    <row r="931">
      <c r="A931" s="18" t="inlineStr">
        <is>
          <t>C0930</t>
        </is>
      </c>
      <c r="B931" s="18" t="inlineStr">
        <is>
          <t>Gestión jurídica</t>
        </is>
      </c>
      <c r="C931" s="18" t="inlineStr">
        <is>
          <t>legal_management</t>
        </is>
      </c>
      <c r="D931" s="18" t="inlineStr">
        <is>
          <t>correos_juridicos</t>
        </is>
      </c>
      <c r="E931" s="18" t="n">
        <v>14042</v>
      </c>
      <c r="F931" s="18" t="inlineStr">
        <is>
          <t>cuerpo_html</t>
        </is>
      </c>
      <c r="G931" s="18" t="inlineStr">
        <is>
          <t>text</t>
        </is>
      </c>
      <c r="H931" s="18" t="inlineStr">
        <is>
          <t>Sí</t>
        </is>
      </c>
      <c r="I931" s="18" t="inlineStr"/>
      <c r="J931" s="18" t="inlineStr"/>
      <c r="K931" s="18" t="inlineStr"/>
      <c r="L931" s="18" t="inlineStr">
        <is>
          <t>No</t>
        </is>
      </c>
      <c r="M931" s="18" t="inlineStr">
        <is>
          <t>No</t>
        </is>
      </c>
      <c r="N931" s="18" t="inlineStr"/>
      <c r="O931" s="18" t="inlineStr"/>
      <c r="P931" s="18" t="inlineStr">
        <is>
          <t>Mapeada en legal-management-service/src/entities/correo-juridico.entity.ts:32 (CorreoJuridico.cuerpoHtml)</t>
        </is>
      </c>
      <c r="Q931" s="18" t="inlineStr">
        <is>
          <t>Propuesta semántica</t>
        </is>
      </c>
      <c r="R931" s="18" t="inlineStr">
        <is>
          <t>Cuerpo del correo en formato HTML.</t>
        </is>
      </c>
      <c r="S931" s="18" t="inlineStr">
        <is>
          <t>Alta</t>
        </is>
      </c>
      <c r="T931" s="18" t="inlineStr">
        <is>
          <t>nombre + tipo + columnas vecinas</t>
        </is>
      </c>
      <c r="U931" s="18" t="inlineStr"/>
      <c r="V931" s="19" t="inlineStr">
        <is>
          <t>Pendiente</t>
        </is>
      </c>
      <c r="W931" s="19" t="inlineStr"/>
      <c r="X931" s="19" t="inlineStr"/>
      <c r="Y931" s="20" t="n"/>
      <c r="Z931" s="19" t="inlineStr"/>
      <c r="AA931" s="18">
        <f>IF(OR(V931="Aprobada"),R931,IF(AND(OR(V931="Aprobada con ajuste",V931="Rechazada"),W931&lt;&gt;""),W931,""))</f>
        <v/>
      </c>
    </row>
    <row r="932">
      <c r="A932" s="18" t="inlineStr">
        <is>
          <t>C0931</t>
        </is>
      </c>
      <c r="B932" s="18" t="inlineStr">
        <is>
          <t>Gestión jurídica</t>
        </is>
      </c>
      <c r="C932" s="18" t="inlineStr">
        <is>
          <t>legal_management</t>
        </is>
      </c>
      <c r="D932" s="18" t="inlineStr">
        <is>
          <t>correos_juridicos</t>
        </is>
      </c>
      <c r="E932" s="18" t="n">
        <v>14042</v>
      </c>
      <c r="F932" s="18" t="inlineStr">
        <is>
          <t>cuerpo_texto</t>
        </is>
      </c>
      <c r="G932" s="18" t="inlineStr">
        <is>
          <t>text</t>
        </is>
      </c>
      <c r="H932" s="18" t="inlineStr">
        <is>
          <t>Sí</t>
        </is>
      </c>
      <c r="I932" s="18" t="inlineStr"/>
      <c r="J932" s="18" t="inlineStr"/>
      <c r="K932" s="18" t="inlineStr"/>
      <c r="L932" s="18" t="inlineStr">
        <is>
          <t>No</t>
        </is>
      </c>
      <c r="M932" s="18" t="inlineStr">
        <is>
          <t>No</t>
        </is>
      </c>
      <c r="N932" s="18" t="inlineStr"/>
      <c r="O932" s="18" t="inlineStr"/>
      <c r="P932" s="18" t="inlineStr">
        <is>
          <t>Mapeada en legal-management-service/src/entities/correo-juridico.entity.ts:35 (CorreoJuridico.cuerpoTexto)</t>
        </is>
      </c>
      <c r="Q932" s="18" t="inlineStr">
        <is>
          <t>Propuesta semántica</t>
        </is>
      </c>
      <c r="R932" s="18" t="inlineStr">
        <is>
          <t>Cuerpo del correo en texto plano.</t>
        </is>
      </c>
      <c r="S932" s="18" t="inlineStr">
        <is>
          <t>Alta</t>
        </is>
      </c>
      <c r="T932" s="18" t="inlineStr">
        <is>
          <t>nombre + tipo + columnas vecinas</t>
        </is>
      </c>
      <c r="U932" s="18" t="inlineStr"/>
      <c r="V932" s="19" t="inlineStr">
        <is>
          <t>Pendiente</t>
        </is>
      </c>
      <c r="W932" s="19" t="inlineStr"/>
      <c r="X932" s="19" t="inlineStr"/>
      <c r="Y932" s="20" t="n"/>
      <c r="Z932" s="19" t="inlineStr"/>
      <c r="AA932" s="18">
        <f>IF(OR(V932="Aprobada"),R932,IF(AND(OR(V932="Aprobada con ajuste",V932="Rechazada"),W932&lt;&gt;""),W932,""))</f>
        <v/>
      </c>
    </row>
    <row r="933">
      <c r="A933" s="18" t="inlineStr">
        <is>
          <t>C0932</t>
        </is>
      </c>
      <c r="B933" s="18" t="inlineStr">
        <is>
          <t>Gestión jurídica</t>
        </is>
      </c>
      <c r="C933" s="18" t="inlineStr">
        <is>
          <t>legal_management</t>
        </is>
      </c>
      <c r="D933" s="18" t="inlineStr">
        <is>
          <t>correos_juridicos</t>
        </is>
      </c>
      <c r="E933" s="18" t="n">
        <v>14042</v>
      </c>
      <c r="F933" s="18" t="inlineStr">
        <is>
          <t>tiene_adjuntos</t>
        </is>
      </c>
      <c r="G933" s="18" t="inlineStr">
        <is>
          <t>boolean</t>
        </is>
      </c>
      <c r="H933" s="18" t="inlineStr">
        <is>
          <t>Sí</t>
        </is>
      </c>
      <c r="I933" s="18" t="inlineStr"/>
      <c r="J933" s="18" t="inlineStr"/>
      <c r="K933" s="18" t="inlineStr"/>
      <c r="L933" s="18" t="inlineStr">
        <is>
          <t>No</t>
        </is>
      </c>
      <c r="M933" s="18" t="inlineStr">
        <is>
          <t>No</t>
        </is>
      </c>
      <c r="N933" s="18" t="inlineStr"/>
      <c r="O933" s="18" t="inlineStr"/>
      <c r="P933" s="18" t="inlineStr">
        <is>
          <t>Mapeada en legal-management-service/src/entities/correo-juridico.entity.ts:38 (CorreoJuridico.tieneAdjuntos)</t>
        </is>
      </c>
      <c r="Q933" s="18" t="inlineStr">
        <is>
          <t>Regla estructural</t>
        </is>
      </c>
      <c r="R933" s="18" t="inlineStr">
        <is>
          <t>Indica si aplica: adjuntos.</t>
        </is>
      </c>
      <c r="S933" s="18" t="inlineStr">
        <is>
          <t>Media</t>
        </is>
      </c>
      <c r="T933" s="18" t="inlineStr">
        <is>
          <t>Convención de nombre de la columna.</t>
        </is>
      </c>
      <c r="U933" s="18" t="inlineStr"/>
      <c r="V933" s="19" t="inlineStr">
        <is>
          <t>Pendiente</t>
        </is>
      </c>
      <c r="W933" s="19" t="inlineStr"/>
      <c r="X933" s="19" t="inlineStr"/>
      <c r="Y933" s="20" t="n"/>
      <c r="Z933" s="19" t="inlineStr"/>
      <c r="AA933" s="18">
        <f>IF(OR(V933="Aprobada"),R933,IF(AND(OR(V933="Aprobada con ajuste",V933="Rechazada"),W933&lt;&gt;""),W933,""))</f>
        <v/>
      </c>
    </row>
    <row r="934">
      <c r="A934" s="18" t="inlineStr">
        <is>
          <t>C0933</t>
        </is>
      </c>
      <c r="B934" s="18" t="inlineStr">
        <is>
          <t>Gestión jurídica</t>
        </is>
      </c>
      <c r="C934" s="18" t="inlineStr">
        <is>
          <t>legal_management</t>
        </is>
      </c>
      <c r="D934" s="18" t="inlineStr">
        <is>
          <t>correos_juridicos</t>
        </is>
      </c>
      <c r="E934" s="18" t="n">
        <v>14042</v>
      </c>
      <c r="F934" s="18" t="inlineStr">
        <is>
          <t>leido</t>
        </is>
      </c>
      <c r="G934" s="18" t="inlineStr">
        <is>
          <t>boolean</t>
        </is>
      </c>
      <c r="H934" s="18" t="inlineStr">
        <is>
          <t>Sí</t>
        </is>
      </c>
      <c r="I934" s="18" t="inlineStr"/>
      <c r="J934" s="18" t="inlineStr"/>
      <c r="K934" s="18" t="inlineStr"/>
      <c r="L934" s="18" t="inlineStr">
        <is>
          <t>No</t>
        </is>
      </c>
      <c r="M934" s="18" t="inlineStr">
        <is>
          <t>No</t>
        </is>
      </c>
      <c r="N934" s="18" t="inlineStr"/>
      <c r="O934" s="18" t="inlineStr">
        <is>
          <t>idx_correos_juridicos_leido</t>
        </is>
      </c>
      <c r="P934" s="18" t="inlineStr">
        <is>
          <t>Mapeada en legal-management-service/src/entities/correo-juridico.entity.ts:41 (CorreoJuridico.leido)</t>
        </is>
      </c>
      <c r="Q934" s="18" t="inlineStr">
        <is>
          <t>Regla estructural</t>
        </is>
      </c>
      <c r="R934" s="18" t="inlineStr">
        <is>
          <t>Indica si el registro está leido.</t>
        </is>
      </c>
      <c r="S934" s="18" t="inlineStr">
        <is>
          <t>Media</t>
        </is>
      </c>
      <c r="T934" s="18" t="inlineStr">
        <is>
          <t>Convención de nombre de la columna.</t>
        </is>
      </c>
      <c r="U934" s="18" t="inlineStr"/>
      <c r="V934" s="19" t="inlineStr">
        <is>
          <t>Pendiente</t>
        </is>
      </c>
      <c r="W934" s="19" t="inlineStr"/>
      <c r="X934" s="19" t="inlineStr"/>
      <c r="Y934" s="20" t="n"/>
      <c r="Z934" s="19" t="inlineStr"/>
      <c r="AA934" s="18">
        <f>IF(OR(V934="Aprobada"),R934,IF(AND(OR(V934="Aprobada con ajuste",V934="Rechazada"),W934&lt;&gt;""),W934,""))</f>
        <v/>
      </c>
    </row>
    <row r="935">
      <c r="A935" s="18" t="inlineStr">
        <is>
          <t>C0934</t>
        </is>
      </c>
      <c r="B935" s="18" t="inlineStr">
        <is>
          <t>Gestión jurídica</t>
        </is>
      </c>
      <c r="C935" s="18" t="inlineStr">
        <is>
          <t>legal_management</t>
        </is>
      </c>
      <c r="D935" s="18" t="inlineStr">
        <is>
          <t>correos_juridicos</t>
        </is>
      </c>
      <c r="E935" s="18" t="n">
        <v>14042</v>
      </c>
      <c r="F935" s="18" t="inlineStr">
        <is>
          <t>archivado</t>
        </is>
      </c>
      <c r="G935" s="18" t="inlineStr">
        <is>
          <t>boolean</t>
        </is>
      </c>
      <c r="H935" s="18" t="inlineStr">
        <is>
          <t>Sí</t>
        </is>
      </c>
      <c r="I935" s="18" t="inlineStr"/>
      <c r="J935" s="18" t="inlineStr"/>
      <c r="K935" s="18" t="inlineStr"/>
      <c r="L935" s="18" t="inlineStr">
        <is>
          <t>No</t>
        </is>
      </c>
      <c r="M935" s="18" t="inlineStr">
        <is>
          <t>No</t>
        </is>
      </c>
      <c r="N935" s="18" t="inlineStr"/>
      <c r="O935" s="18" t="inlineStr">
        <is>
          <t>idx_correos_juridicos_archivado</t>
        </is>
      </c>
      <c r="P935" s="18" t="inlineStr">
        <is>
          <t>Mapeada en legal-management-service/src/entities/correo-juridico.entity.ts:44 (CorreoJuridico.archivado)</t>
        </is>
      </c>
      <c r="Q935" s="18" t="inlineStr">
        <is>
          <t>Regla estructural</t>
        </is>
      </c>
      <c r="R935" s="18" t="inlineStr">
        <is>
          <t>Indica si el registro está archivado.</t>
        </is>
      </c>
      <c r="S935" s="18" t="inlineStr">
        <is>
          <t>Media</t>
        </is>
      </c>
      <c r="T935" s="18" t="inlineStr">
        <is>
          <t>Convención de nombre de la columna.</t>
        </is>
      </c>
      <c r="U935" s="18" t="inlineStr"/>
      <c r="V935" s="19" t="inlineStr">
        <is>
          <t>Pendiente</t>
        </is>
      </c>
      <c r="W935" s="19" t="inlineStr"/>
      <c r="X935" s="19" t="inlineStr"/>
      <c r="Y935" s="20" t="n"/>
      <c r="Z935" s="19" t="inlineStr"/>
      <c r="AA935" s="18">
        <f>IF(OR(V935="Aprobada"),R935,IF(AND(OR(V935="Aprobada con ajuste",V935="Rechazada"),W935&lt;&gt;""),W935,""))</f>
        <v/>
      </c>
    </row>
    <row r="936">
      <c r="A936" s="18" t="inlineStr">
        <is>
          <t>C0935</t>
        </is>
      </c>
      <c r="B936" s="18" t="inlineStr">
        <is>
          <t>Gestión jurídica</t>
        </is>
      </c>
      <c r="C936" s="18" t="inlineStr">
        <is>
          <t>legal_management</t>
        </is>
      </c>
      <c r="D936" s="18" t="inlineStr">
        <is>
          <t>correos_juridicos</t>
        </is>
      </c>
      <c r="E936" s="18" t="n">
        <v>14042</v>
      </c>
      <c r="F936" s="18" t="inlineStr">
        <is>
          <t>urgente</t>
        </is>
      </c>
      <c r="G936" s="18" t="inlineStr">
        <is>
          <t>boolean</t>
        </is>
      </c>
      <c r="H936" s="18" t="inlineStr">
        <is>
          <t>Sí</t>
        </is>
      </c>
      <c r="I936" s="18" t="inlineStr"/>
      <c r="J936" s="18" t="inlineStr"/>
      <c r="K936" s="18" t="inlineStr"/>
      <c r="L936" s="18" t="inlineStr">
        <is>
          <t>No</t>
        </is>
      </c>
      <c r="M936" s="18" t="inlineStr">
        <is>
          <t>No</t>
        </is>
      </c>
      <c r="N936" s="18" t="inlineStr"/>
      <c r="O936" s="18" t="inlineStr">
        <is>
          <t>idx_correos_juridicos_urgente</t>
        </is>
      </c>
      <c r="P936" s="18" t="inlineStr">
        <is>
          <t>Mapeada en legal-management-service/src/entities/correo-juridico.entity.ts:47 (CorreoJuridico.urgente)</t>
        </is>
      </c>
      <c r="Q936" s="18" t="inlineStr">
        <is>
          <t>Regla estructural</t>
        </is>
      </c>
      <c r="R936" s="18" t="inlineStr">
        <is>
          <t>Indica si aplica: urgente.</t>
        </is>
      </c>
      <c r="S936" s="18" t="inlineStr">
        <is>
          <t>Media</t>
        </is>
      </c>
      <c r="T936" s="18" t="inlineStr">
        <is>
          <t>Convención de nombre de la columna.</t>
        </is>
      </c>
      <c r="U936" s="18" t="inlineStr"/>
      <c r="V936" s="19" t="inlineStr">
        <is>
          <t>Pendiente</t>
        </is>
      </c>
      <c r="W936" s="19" t="inlineStr"/>
      <c r="X936" s="19" t="inlineStr"/>
      <c r="Y936" s="20" t="n"/>
      <c r="Z936" s="19" t="inlineStr"/>
      <c r="AA936" s="18">
        <f>IF(OR(V936="Aprobada"),R936,IF(AND(OR(V936="Aprobada con ajuste",V936="Rechazada"),W936&lt;&gt;""),W936,""))</f>
        <v/>
      </c>
    </row>
    <row r="937">
      <c r="A937" s="18" t="inlineStr">
        <is>
          <t>C0936</t>
        </is>
      </c>
      <c r="B937" s="18" t="inlineStr">
        <is>
          <t>Gestión jurídica</t>
        </is>
      </c>
      <c r="C937" s="18" t="inlineStr">
        <is>
          <t>legal_management</t>
        </is>
      </c>
      <c r="D937" s="18" t="inlineStr">
        <is>
          <t>correos_juridicos</t>
        </is>
      </c>
      <c r="E937" s="18" t="n">
        <v>14042</v>
      </c>
      <c r="F937" s="18" t="inlineStr">
        <is>
          <t>tipo</t>
        </is>
      </c>
      <c r="G937" s="18" t="inlineStr">
        <is>
          <t>character varying(20)</t>
        </is>
      </c>
      <c r="H937" s="18" t="inlineStr">
        <is>
          <t>Sí</t>
        </is>
      </c>
      <c r="I937" s="18" t="inlineStr"/>
      <c r="J937" s="18" t="inlineStr"/>
      <c r="K937" s="18" t="inlineStr"/>
      <c r="L937" s="18" t="inlineStr">
        <is>
          <t>No</t>
        </is>
      </c>
      <c r="M937" s="18" t="inlineStr">
        <is>
          <t>No</t>
        </is>
      </c>
      <c r="N937" s="18" t="inlineStr"/>
      <c r="O937" s="18" t="inlineStr">
        <is>
          <t>idx_correos_juridicos_tipo</t>
        </is>
      </c>
      <c r="P937" s="18" t="inlineStr">
        <is>
          <t>legal-management-service/src/entities/correo-juridico.entity.ts:50: JUDICIAL, CORREO, OFICIO | db/migrations/old/065_create_correos_juridicos.sql:19: Classification fields JUDICIAL, CORREO, OFICIO</t>
        </is>
      </c>
      <c r="Q937" s="18" t="inlineStr">
        <is>
          <t>Código fuente</t>
        </is>
      </c>
      <c r="R937" s="18" t="inlineStr">
        <is>
          <t>Clasificación del correo. Valores: JUDICIAL, CORREO, OFICIO. Por defecto, CORREO.</t>
        </is>
      </c>
      <c r="S937" s="18" t="inlineStr">
        <is>
          <t>Alta</t>
        </is>
      </c>
      <c r="T937" s="18" t="inlineStr">
        <is>
          <t>código: correo-juridico.entity.ts:50</t>
        </is>
      </c>
      <c r="U937" s="18" t="inlineStr"/>
      <c r="V937" s="19" t="inlineStr">
        <is>
          <t>Pendiente</t>
        </is>
      </c>
      <c r="W937" s="19" t="inlineStr"/>
      <c r="X937" s="19" t="inlineStr"/>
      <c r="Y937" s="20" t="n"/>
      <c r="Z937" s="19" t="inlineStr"/>
      <c r="AA937" s="18">
        <f>IF(OR(V937="Aprobada"),R937,IF(AND(OR(V937="Aprobada con ajuste",V937="Rechazada"),W937&lt;&gt;""),W937,""))</f>
        <v/>
      </c>
    </row>
    <row r="938">
      <c r="A938" s="18" t="inlineStr">
        <is>
          <t>C0937</t>
        </is>
      </c>
      <c r="B938" s="18" t="inlineStr">
        <is>
          <t>Gestión jurídica</t>
        </is>
      </c>
      <c r="C938" s="18" t="inlineStr">
        <is>
          <t>legal_management</t>
        </is>
      </c>
      <c r="D938" s="18" t="inlineStr">
        <is>
          <t>correos_juridicos</t>
        </is>
      </c>
      <c r="E938" s="18" t="n">
        <v>14042</v>
      </c>
      <c r="F938" s="18" t="inlineStr">
        <is>
          <t>categoria</t>
        </is>
      </c>
      <c r="G938" s="18" t="inlineStr">
        <is>
          <t>character varying(100)</t>
        </is>
      </c>
      <c r="H938" s="18" t="inlineStr">
        <is>
          <t>Sí</t>
        </is>
      </c>
      <c r="I938" s="18" t="inlineStr"/>
      <c r="J938" s="18" t="inlineStr"/>
      <c r="K938" s="18" t="inlineStr"/>
      <c r="L938" s="18" t="inlineStr">
        <is>
          <t>No</t>
        </is>
      </c>
      <c r="M938" s="18" t="inlineStr">
        <is>
          <t>No</t>
        </is>
      </c>
      <c r="N938" s="18" t="inlineStr"/>
      <c r="O938" s="18" t="inlineStr"/>
      <c r="P938" s="18" t="inlineStr">
        <is>
          <t>Mapeada en legal-management-service/src/entities/correo-juridico.entity.ts:60 (CorreoJuridico.categoria)</t>
        </is>
      </c>
      <c r="Q938" s="18" t="inlineStr">
        <is>
          <t>Propuesta semántica</t>
        </is>
      </c>
      <c r="R938" s="18" t="inlineStr">
        <is>
          <t>Categoría del correo.</t>
        </is>
      </c>
      <c r="S938" s="18" t="inlineStr">
        <is>
          <t>Baja</t>
        </is>
      </c>
      <c r="T938" s="18" t="inlineStr">
        <is>
          <t>nombre + tipo + columnas vecinas</t>
        </is>
      </c>
      <c r="U938" s="18" t="inlineStr">
        <is>
          <t>¿Qué valores toma categoria y en qué se diferencia de tipo y de ai_suggested_category?</t>
        </is>
      </c>
      <c r="V938" s="19" t="inlineStr">
        <is>
          <t>Pendiente</t>
        </is>
      </c>
      <c r="W938" s="19" t="inlineStr"/>
      <c r="X938" s="19" t="inlineStr"/>
      <c r="Y938" s="20" t="n"/>
      <c r="Z938" s="19" t="inlineStr"/>
      <c r="AA938" s="18">
        <f>IF(OR(V938="Aprobada"),R938,IF(AND(OR(V938="Aprobada con ajuste",V938="Rechazada"),W938&lt;&gt;""),W938,""))</f>
        <v/>
      </c>
    </row>
    <row r="939">
      <c r="A939" s="18" t="inlineStr">
        <is>
          <t>C0938</t>
        </is>
      </c>
      <c r="B939" s="18" t="inlineStr">
        <is>
          <t>Gestión jurídica</t>
        </is>
      </c>
      <c r="C939" s="18" t="inlineStr">
        <is>
          <t>legal_management</t>
        </is>
      </c>
      <c r="D939" s="18" t="inlineStr">
        <is>
          <t>correos_juridicos</t>
        </is>
      </c>
      <c r="E939" s="18" t="n">
        <v>14042</v>
      </c>
      <c r="F939" s="18" t="inlineStr">
        <is>
          <t>modulo_sugerido</t>
        </is>
      </c>
      <c r="G939" s="18" t="inlineStr">
        <is>
          <t>character varying(100)</t>
        </is>
      </c>
      <c r="H939" s="18" t="inlineStr">
        <is>
          <t>Sí</t>
        </is>
      </c>
      <c r="I939" s="18" t="inlineStr"/>
      <c r="J939" s="18" t="inlineStr"/>
      <c r="K939" s="18" t="inlineStr"/>
      <c r="L939" s="18" t="inlineStr">
        <is>
          <t>No</t>
        </is>
      </c>
      <c r="M939" s="18" t="inlineStr">
        <is>
          <t>No</t>
        </is>
      </c>
      <c r="N939" s="18" t="inlineStr"/>
      <c r="O939" s="18" t="inlineStr"/>
      <c r="P939" s="18" t="inlineStr">
        <is>
          <t>Mapeada en legal-management-service/src/entities/correo-juridico.entity.ts:63 (CorreoJuridico.moduloSugerido)</t>
        </is>
      </c>
      <c r="Q939" s="18" t="inlineStr">
        <is>
          <t>Propuesta semántica</t>
        </is>
      </c>
      <c r="R939" s="18" t="inlineStr">
        <is>
          <t>Módulo de gestión jurídica sugerido por la clasificación automática del correo.</t>
        </is>
      </c>
      <c r="S939" s="18" t="inlineStr">
        <is>
          <t>Media</t>
        </is>
      </c>
      <c r="T939" s="18" t="inlineStr">
        <is>
          <t>nombre + tipo + columnas vecinas (confianza_clasificacion, modulo_destino)</t>
        </is>
      </c>
      <c r="U939" s="18" t="inlineStr">
        <is>
          <t>¿Quién sugiere el módulo: reglas o modelo de IA?</t>
        </is>
      </c>
      <c r="V939" s="19" t="inlineStr">
        <is>
          <t>Pendiente</t>
        </is>
      </c>
      <c r="W939" s="19" t="inlineStr"/>
      <c r="X939" s="19" t="inlineStr"/>
      <c r="Y939" s="20" t="n"/>
      <c r="Z939" s="19" t="inlineStr"/>
      <c r="AA939" s="18">
        <f>IF(OR(V939="Aprobada"),R939,IF(AND(OR(V939="Aprobada con ajuste",V939="Rechazada"),W939&lt;&gt;""),W939,""))</f>
        <v/>
      </c>
    </row>
    <row r="940">
      <c r="A940" s="18" t="inlineStr">
        <is>
          <t>C0939</t>
        </is>
      </c>
      <c r="B940" s="18" t="inlineStr">
        <is>
          <t>Gestión jurídica</t>
        </is>
      </c>
      <c r="C940" s="18" t="inlineStr">
        <is>
          <t>legal_management</t>
        </is>
      </c>
      <c r="D940" s="18" t="inlineStr">
        <is>
          <t>correos_juridicos</t>
        </is>
      </c>
      <c r="E940" s="18" t="n">
        <v>14042</v>
      </c>
      <c r="F940" s="18" t="inlineStr">
        <is>
          <t>confianza_clasificacion</t>
        </is>
      </c>
      <c r="G940" s="18" t="inlineStr">
        <is>
          <t>double precision</t>
        </is>
      </c>
      <c r="H940" s="18" t="inlineStr">
        <is>
          <t>Sí</t>
        </is>
      </c>
      <c r="I940" s="18" t="inlineStr"/>
      <c r="J940" s="18" t="inlineStr"/>
      <c r="K940" s="18" t="inlineStr"/>
      <c r="L940" s="18" t="inlineStr">
        <is>
          <t>No</t>
        </is>
      </c>
      <c r="M940" s="18" t="inlineStr">
        <is>
          <t>No</t>
        </is>
      </c>
      <c r="N940" s="18" t="inlineStr"/>
      <c r="O940" s="18" t="inlineStr"/>
      <c r="P940" s="18" t="inlineStr">
        <is>
          <t>Mapeada en legal-management-service/src/entities/correo-juridico.entity.ts:66 (CorreoJuridico.confianzaClasificacion)</t>
        </is>
      </c>
      <c r="Q940" s="18" t="inlineStr">
        <is>
          <t>Propuesta semántica</t>
        </is>
      </c>
      <c r="R940" s="18" t="inlineStr">
        <is>
          <t>Nivel de confianza de la clasificación automática del correo.</t>
        </is>
      </c>
      <c r="S940" s="18" t="inlineStr">
        <is>
          <t>Media</t>
        </is>
      </c>
      <c r="T940" s="18" t="inlineStr">
        <is>
          <t>nombre + tipo + columnas vecinas</t>
        </is>
      </c>
      <c r="U940" s="18" t="inlineStr">
        <is>
          <t>¿En qué escala se expresa la confianza (0–1 o 0–100)?</t>
        </is>
      </c>
      <c r="V940" s="19" t="inlineStr">
        <is>
          <t>Pendiente</t>
        </is>
      </c>
      <c r="W940" s="19" t="inlineStr"/>
      <c r="X940" s="19" t="inlineStr"/>
      <c r="Y940" s="20" t="n"/>
      <c r="Z940" s="19" t="inlineStr"/>
      <c r="AA940" s="18">
        <f>IF(OR(V940="Aprobada"),R940,IF(AND(OR(V940="Aprobada con ajuste",V940="Rechazada"),W940&lt;&gt;""),W940,""))</f>
        <v/>
      </c>
    </row>
    <row r="941">
      <c r="A941" s="18" t="inlineStr">
        <is>
          <t>C0940</t>
        </is>
      </c>
      <c r="B941" s="18" t="inlineStr">
        <is>
          <t>Gestión jurídica</t>
        </is>
      </c>
      <c r="C941" s="18" t="inlineStr">
        <is>
          <t>legal_management</t>
        </is>
      </c>
      <c r="D941" s="18" t="inlineStr">
        <is>
          <t>correos_juridicos</t>
        </is>
      </c>
      <c r="E941" s="18" t="n">
        <v>14042</v>
      </c>
      <c r="F941" s="18" t="inlineStr">
        <is>
          <t>ai_suggested_category</t>
        </is>
      </c>
      <c r="G941" s="18" t="inlineStr">
        <is>
          <t>character varying(100)</t>
        </is>
      </c>
      <c r="H941" s="18" t="inlineStr">
        <is>
          <t>Sí</t>
        </is>
      </c>
      <c r="I941" s="18" t="inlineStr"/>
      <c r="J941" s="18" t="inlineStr"/>
      <c r="K941" s="18" t="inlineStr"/>
      <c r="L941" s="18" t="inlineStr">
        <is>
          <t>No</t>
        </is>
      </c>
      <c r="M941" s="18" t="inlineStr">
        <is>
          <t>No</t>
        </is>
      </c>
      <c r="N941" s="18" t="inlineStr"/>
      <c r="O941" s="18" t="inlineStr"/>
      <c r="P941" s="18" t="inlineStr">
        <is>
          <t>Mapeada en legal-management-service/src/entities/correo-juridico.entity.ts:69 (CorreoJuridico.aiSuggestedCategory)</t>
        </is>
      </c>
      <c r="Q941" s="18" t="inlineStr">
        <is>
          <t>Propuesta semántica</t>
        </is>
      </c>
      <c r="R941" s="18" t="inlineStr">
        <is>
          <t>Categoría del correo sugerida por inteligencia artificial.</t>
        </is>
      </c>
      <c r="S941" s="18" t="inlineStr">
        <is>
          <t>Alta</t>
        </is>
      </c>
      <c r="T941" s="18" t="inlineStr">
        <is>
          <t>nombre + tipo + columnas vecinas</t>
        </is>
      </c>
      <c r="U941" s="18" t="inlineStr"/>
      <c r="V941" s="19" t="inlineStr">
        <is>
          <t>Pendiente</t>
        </is>
      </c>
      <c r="W941" s="19" t="inlineStr"/>
      <c r="X941" s="19" t="inlineStr"/>
      <c r="Y941" s="20" t="n"/>
      <c r="Z941" s="19" t="inlineStr"/>
      <c r="AA941" s="18">
        <f>IF(OR(V941="Aprobada"),R941,IF(AND(OR(V941="Aprobada con ajuste",V941="Rechazada"),W941&lt;&gt;""),W941,""))</f>
        <v/>
      </c>
    </row>
    <row r="942">
      <c r="A942" s="18" t="inlineStr">
        <is>
          <t>C0941</t>
        </is>
      </c>
      <c r="B942" s="18" t="inlineStr">
        <is>
          <t>Gestión jurídica</t>
        </is>
      </c>
      <c r="C942" s="18" t="inlineStr">
        <is>
          <t>legal_management</t>
        </is>
      </c>
      <c r="D942" s="18" t="inlineStr">
        <is>
          <t>correos_juridicos</t>
        </is>
      </c>
      <c r="E942" s="18" t="n">
        <v>14042</v>
      </c>
      <c r="F942" s="18" t="inlineStr">
        <is>
          <t>is_trained</t>
        </is>
      </c>
      <c r="G942" s="18" t="inlineStr">
        <is>
          <t>boolean</t>
        </is>
      </c>
      <c r="H942" s="18" t="inlineStr">
        <is>
          <t>Sí</t>
        </is>
      </c>
      <c r="I942" s="18" t="inlineStr"/>
      <c r="J942" s="18" t="inlineStr"/>
      <c r="K942" s="18" t="inlineStr"/>
      <c r="L942" s="18" t="inlineStr">
        <is>
          <t>No</t>
        </is>
      </c>
      <c r="M942" s="18" t="inlineStr">
        <is>
          <t>No</t>
        </is>
      </c>
      <c r="N942" s="18" t="inlineStr"/>
      <c r="O942" s="18" t="inlineStr"/>
      <c r="P942" s="18" t="inlineStr">
        <is>
          <t>Mapeada en legal-management-service/src/entities/correo-juridico.entity.ts:72 (CorreoJuridico.isTrained)</t>
        </is>
      </c>
      <c r="Q942" s="18" t="inlineStr">
        <is>
          <t>Regla estructural</t>
        </is>
      </c>
      <c r="R942" s="18" t="inlineStr">
        <is>
          <t>Indica si aplica: trained.</t>
        </is>
      </c>
      <c r="S942" s="18" t="inlineStr">
        <is>
          <t>Media</t>
        </is>
      </c>
      <c r="T942" s="18" t="inlineStr">
        <is>
          <t>Convención de nombre de la columna.</t>
        </is>
      </c>
      <c r="U942" s="18" t="inlineStr"/>
      <c r="V942" s="19" t="inlineStr">
        <is>
          <t>Pendiente</t>
        </is>
      </c>
      <c r="W942" s="19" t="inlineStr"/>
      <c r="X942" s="19" t="inlineStr"/>
      <c r="Y942" s="20" t="n"/>
      <c r="Z942" s="19" t="inlineStr"/>
      <c r="AA942" s="18">
        <f>IF(OR(V942="Aprobada"),R942,IF(AND(OR(V942="Aprobada con ajuste",V942="Rechazada"),W942&lt;&gt;""),W942,""))</f>
        <v/>
      </c>
    </row>
    <row r="943">
      <c r="A943" s="18" t="inlineStr">
        <is>
          <t>C0942</t>
        </is>
      </c>
      <c r="B943" s="18" t="inlineStr">
        <is>
          <t>Gestión jurídica</t>
        </is>
      </c>
      <c r="C943" s="18" t="inlineStr">
        <is>
          <t>legal_management</t>
        </is>
      </c>
      <c r="D943" s="18" t="inlineStr">
        <is>
          <t>correos_juridicos</t>
        </is>
      </c>
      <c r="E943" s="18" t="n">
        <v>14042</v>
      </c>
      <c r="F943" s="18" t="inlineStr">
        <is>
          <t>expediente_id</t>
        </is>
      </c>
      <c r="G943" s="18" t="inlineStr">
        <is>
          <t>character varying(255)</t>
        </is>
      </c>
      <c r="H943" s="18" t="inlineStr">
        <is>
          <t>Sí</t>
        </is>
      </c>
      <c r="I943" s="18" t="inlineStr"/>
      <c r="J943" s="18" t="inlineStr"/>
      <c r="K943" s="18" t="inlineStr"/>
      <c r="L943" s="18" t="inlineStr">
        <is>
          <t>No</t>
        </is>
      </c>
      <c r="M943" s="18" t="inlineStr">
        <is>
          <t>No</t>
        </is>
      </c>
      <c r="N943" s="18" t="inlineStr"/>
      <c r="O943" s="18" t="inlineStr">
        <is>
          <t>idx_correos_juridicos_expediente</t>
        </is>
      </c>
      <c r="P943" s="18" t="inlineStr">
        <is>
          <t>Mapeada en legal-management-service/src/entities/correo-juridico.entity.ts:75 (CorreoJuridico.expedienteId)</t>
        </is>
      </c>
      <c r="Q943" s="18" t="inlineStr">
        <is>
          <t>Propuesta semántica</t>
        </is>
      </c>
      <c r="R943" s="18" t="inlineStr">
        <is>
          <t>Identificador del expediente al que se asoció el correo.</t>
        </is>
      </c>
      <c r="S943" s="18" t="inlineStr">
        <is>
          <t>Media</t>
        </is>
      </c>
      <c r="T943" s="18" t="inlineStr">
        <is>
          <t>nombre + tipo + columnas vecinas</t>
        </is>
      </c>
      <c r="U943" s="18" t="inlineStr">
        <is>
          <t>El tipo es texto: ¿guarda expedientes.id o el radicado?</t>
        </is>
      </c>
      <c r="V943" s="19" t="inlineStr">
        <is>
          <t>Pendiente</t>
        </is>
      </c>
      <c r="W943" s="19" t="inlineStr"/>
      <c r="X943" s="19" t="inlineStr"/>
      <c r="Y943" s="20" t="n"/>
      <c r="Z943" s="19" t="inlineStr"/>
      <c r="AA943" s="18">
        <f>IF(OR(V943="Aprobada"),R943,IF(AND(OR(V943="Aprobada con ajuste",V943="Rechazada"),W943&lt;&gt;""),W943,""))</f>
        <v/>
      </c>
    </row>
    <row r="944">
      <c r="A944" s="18" t="inlineStr">
        <is>
          <t>C0943</t>
        </is>
      </c>
      <c r="B944" s="18" t="inlineStr">
        <is>
          <t>Gestión jurídica</t>
        </is>
      </c>
      <c r="C944" s="18" t="inlineStr">
        <is>
          <t>legal_management</t>
        </is>
      </c>
      <c r="D944" s="18" t="inlineStr">
        <is>
          <t>correos_juridicos</t>
        </is>
      </c>
      <c r="E944" s="18" t="n">
        <v>14042</v>
      </c>
      <c r="F944" s="18" t="inlineStr">
        <is>
          <t>direccion</t>
        </is>
      </c>
      <c r="G944" s="18" t="inlineStr">
        <is>
          <t>character varying(20)</t>
        </is>
      </c>
      <c r="H944" s="18" t="inlineStr">
        <is>
          <t>Sí</t>
        </is>
      </c>
      <c r="I944" s="18" t="inlineStr"/>
      <c r="J944" s="18" t="inlineStr"/>
      <c r="K944" s="18" t="inlineStr"/>
      <c r="L944" s="18" t="inlineStr">
        <is>
          <t>No</t>
        </is>
      </c>
      <c r="M944" s="18" t="inlineStr">
        <is>
          <t>No</t>
        </is>
      </c>
      <c r="N944" s="18" t="inlineStr"/>
      <c r="O944" s="18" t="inlineStr"/>
      <c r="P944" s="18" t="inlineStr">
        <is>
          <t>legal-management-service/src/entities/correo-juridico.entity.ts:90: ENTRANTE, ENVIADO</t>
        </is>
      </c>
      <c r="Q944" s="18" t="inlineStr">
        <is>
          <t>Código fuente</t>
        </is>
      </c>
      <c r="R944" s="18" t="inlineStr">
        <is>
          <t>Dirección del correo. Valores: ENTRANTE, ENVIADO. Por defecto, ENTRANTE.</t>
        </is>
      </c>
      <c r="S944" s="18" t="inlineStr">
        <is>
          <t>Alta</t>
        </is>
      </c>
      <c r="T944" s="18" t="inlineStr">
        <is>
          <t>código: correo-juridico.entity.ts:90</t>
        </is>
      </c>
      <c r="U944" s="18" t="inlineStr"/>
      <c r="V944" s="19" t="inlineStr">
        <is>
          <t>Pendiente</t>
        </is>
      </c>
      <c r="W944" s="19" t="inlineStr"/>
      <c r="X944" s="19" t="inlineStr"/>
      <c r="Y944" s="20" t="n"/>
      <c r="Z944" s="19" t="inlineStr"/>
      <c r="AA944" s="18">
        <f>IF(OR(V944="Aprobada"),R944,IF(AND(OR(V944="Aprobada con ajuste",V944="Rechazada"),W944&lt;&gt;""),W944,""))</f>
        <v/>
      </c>
    </row>
    <row r="945">
      <c r="A945" s="18" t="inlineStr">
        <is>
          <t>C0944</t>
        </is>
      </c>
      <c r="B945" s="18" t="inlineStr">
        <is>
          <t>Gestión jurídica</t>
        </is>
      </c>
      <c r="C945" s="18" t="inlineStr">
        <is>
          <t>legal_management</t>
        </is>
      </c>
      <c r="D945" s="18" t="inlineStr">
        <is>
          <t>correos_juridicos</t>
        </is>
      </c>
      <c r="E945" s="18" t="n">
        <v>14042</v>
      </c>
      <c r="F945" s="18" t="inlineStr">
        <is>
          <t>destinatarios_to</t>
        </is>
      </c>
      <c r="G945" s="18" t="inlineStr">
        <is>
          <t>text</t>
        </is>
      </c>
      <c r="H945" s="18" t="inlineStr">
        <is>
          <t>Sí</t>
        </is>
      </c>
      <c r="I945" s="18" t="inlineStr"/>
      <c r="J945" s="18" t="inlineStr"/>
      <c r="K945" s="18" t="inlineStr"/>
      <c r="L945" s="18" t="inlineStr">
        <is>
          <t>No</t>
        </is>
      </c>
      <c r="M945" s="18" t="inlineStr">
        <is>
          <t>No</t>
        </is>
      </c>
      <c r="N945" s="18" t="inlineStr"/>
      <c r="O945" s="18" t="inlineStr"/>
      <c r="P945" s="18" t="inlineStr">
        <is>
          <t>Mapeada en legal-management-service/src/entities/correo-juridico.entity.ts:93 (CorreoJuridico.destinatariosTo)</t>
        </is>
      </c>
      <c r="Q945" s="18" t="inlineStr">
        <is>
          <t>Propuesta semántica</t>
        </is>
      </c>
      <c r="R945" s="18" t="inlineStr">
        <is>
          <t>Destinatarios principales («Para») del correo.</t>
        </is>
      </c>
      <c r="S945" s="18" t="inlineStr">
        <is>
          <t>Media</t>
        </is>
      </c>
      <c r="T945" s="18" t="inlineStr">
        <is>
          <t>nombre + columnas vecinas (destinatarios, destinatarios_cco)</t>
        </is>
      </c>
      <c r="U945" s="18" t="inlineStr">
        <is>
          <t>¿Se guarda como arreglo JSON de correos, igual que destinatarios?</t>
        </is>
      </c>
      <c r="V945" s="19" t="inlineStr">
        <is>
          <t>Pendiente</t>
        </is>
      </c>
      <c r="W945" s="19" t="inlineStr"/>
      <c r="X945" s="19" t="inlineStr"/>
      <c r="Y945" s="20" t="n"/>
      <c r="Z945" s="19" t="inlineStr"/>
      <c r="AA945" s="18">
        <f>IF(OR(V945="Aprobada"),R945,IF(AND(OR(V945="Aprobada con ajuste",V945="Rechazada"),W945&lt;&gt;""),W945,""))</f>
        <v/>
      </c>
    </row>
    <row r="946">
      <c r="A946" s="18" t="inlineStr">
        <is>
          <t>C0945</t>
        </is>
      </c>
      <c r="B946" s="18" t="inlineStr">
        <is>
          <t>Gestión jurídica</t>
        </is>
      </c>
      <c r="C946" s="18" t="inlineStr">
        <is>
          <t>legal_management</t>
        </is>
      </c>
      <c r="D946" s="18" t="inlineStr">
        <is>
          <t>correos_juridicos</t>
        </is>
      </c>
      <c r="E946" s="18" t="n">
        <v>14042</v>
      </c>
      <c r="F946" s="18" t="inlineStr">
        <is>
          <t>is_forwarded</t>
        </is>
      </c>
      <c r="G946" s="18" t="inlineStr">
        <is>
          <t>boolean</t>
        </is>
      </c>
      <c r="H946" s="18" t="inlineStr">
        <is>
          <t>Sí</t>
        </is>
      </c>
      <c r="I946" s="18" t="inlineStr"/>
      <c r="J946" s="18" t="inlineStr"/>
      <c r="K946" s="18" t="inlineStr"/>
      <c r="L946" s="18" t="inlineStr">
        <is>
          <t>No</t>
        </is>
      </c>
      <c r="M946" s="18" t="inlineStr">
        <is>
          <t>No</t>
        </is>
      </c>
      <c r="N946" s="18" t="inlineStr"/>
      <c r="O946" s="18" t="inlineStr"/>
      <c r="P946" s="18" t="inlineStr">
        <is>
          <t>Mapeada en legal-management-service/src/entities/correo-juridico.entity.ts:100 (CorreoJuridico.isForwarded)</t>
        </is>
      </c>
      <c r="Q946" s="18" t="inlineStr">
        <is>
          <t>Regla estructural</t>
        </is>
      </c>
      <c r="R946" s="18" t="inlineStr">
        <is>
          <t>Indica si aplica: forwarded.</t>
        </is>
      </c>
      <c r="S946" s="18" t="inlineStr">
        <is>
          <t>Media</t>
        </is>
      </c>
      <c r="T946" s="18" t="inlineStr">
        <is>
          <t>Convención de nombre de la columna.</t>
        </is>
      </c>
      <c r="U946" s="18" t="inlineStr"/>
      <c r="V946" s="19" t="inlineStr">
        <is>
          <t>Pendiente</t>
        </is>
      </c>
      <c r="W946" s="19" t="inlineStr"/>
      <c r="X946" s="19" t="inlineStr"/>
      <c r="Y946" s="20" t="n"/>
      <c r="Z946" s="19" t="inlineStr"/>
      <c r="AA946" s="18">
        <f>IF(OR(V946="Aprobada"),R946,IF(AND(OR(V946="Aprobada con ajuste",V946="Rechazada"),W946&lt;&gt;""),W946,""))</f>
        <v/>
      </c>
    </row>
    <row r="947">
      <c r="A947" s="18" t="inlineStr">
        <is>
          <t>C0946</t>
        </is>
      </c>
      <c r="B947" s="18" t="inlineStr">
        <is>
          <t>Gestión jurídica</t>
        </is>
      </c>
      <c r="C947" s="18" t="inlineStr">
        <is>
          <t>legal_management</t>
        </is>
      </c>
      <c r="D947" s="18" t="inlineStr">
        <is>
          <t>correos_juridicos</t>
        </is>
      </c>
      <c r="E947" s="18" t="n">
        <v>14042</v>
      </c>
      <c r="F947" s="18" t="inlineStr">
        <is>
          <t>is_replied</t>
        </is>
      </c>
      <c r="G947" s="18" t="inlineStr">
        <is>
          <t>boolean</t>
        </is>
      </c>
      <c r="H947" s="18" t="inlineStr">
        <is>
          <t>Sí</t>
        </is>
      </c>
      <c r="I947" s="18" t="inlineStr"/>
      <c r="J947" s="18" t="inlineStr"/>
      <c r="K947" s="18" t="inlineStr"/>
      <c r="L947" s="18" t="inlineStr">
        <is>
          <t>No</t>
        </is>
      </c>
      <c r="M947" s="18" t="inlineStr">
        <is>
          <t>No</t>
        </is>
      </c>
      <c r="N947" s="18" t="inlineStr"/>
      <c r="O947" s="18" t="inlineStr"/>
      <c r="P947" s="18" t="inlineStr">
        <is>
          <t>legal-management-service/src/entities/correo-juridico.entity.ts:97: ── Threading / Reply support ──</t>
        </is>
      </c>
      <c r="Q947" s="18" t="inlineStr">
        <is>
          <t>Código fuente</t>
        </is>
      </c>
      <c r="R947" s="18" t="inlineStr">
        <is>
          <t>Indica si el correo fue respondido.</t>
        </is>
      </c>
      <c r="S947" s="18" t="inlineStr">
        <is>
          <t>Alta</t>
        </is>
      </c>
      <c r="T947" s="18" t="inlineStr">
        <is>
          <t>nombre + tipo + código: correo-juridico.entity.ts:97 (sección de hilos y respuestas)</t>
        </is>
      </c>
      <c r="U947" s="18" t="inlineStr"/>
      <c r="V947" s="19" t="inlineStr">
        <is>
          <t>Pendiente</t>
        </is>
      </c>
      <c r="W947" s="19" t="inlineStr"/>
      <c r="X947" s="19" t="inlineStr"/>
      <c r="Y947" s="20" t="n"/>
      <c r="Z947" s="19" t="inlineStr"/>
      <c r="AA947" s="18">
        <f>IF(OR(V947="Aprobada"),R947,IF(AND(OR(V947="Aprobada con ajuste",V947="Rechazada"),W947&lt;&gt;""),W947,""))</f>
        <v/>
      </c>
    </row>
    <row r="948">
      <c r="A948" s="18" t="inlineStr">
        <is>
          <t>C0947</t>
        </is>
      </c>
      <c r="B948" s="18" t="inlineStr">
        <is>
          <t>Gestión jurídica</t>
        </is>
      </c>
      <c r="C948" s="18" t="inlineStr">
        <is>
          <t>legal_management</t>
        </is>
      </c>
      <c r="D948" s="18" t="inlineStr">
        <is>
          <t>correos_juridicos</t>
        </is>
      </c>
      <c r="E948" s="18" t="n">
        <v>14042</v>
      </c>
      <c r="F948" s="18" t="inlineStr">
        <is>
          <t>thread_id</t>
        </is>
      </c>
      <c r="G948" s="18" t="inlineStr">
        <is>
          <t>character varying(500)</t>
        </is>
      </c>
      <c r="H948" s="18" t="inlineStr">
        <is>
          <t>Sí</t>
        </is>
      </c>
      <c r="I948" s="18" t="inlineStr"/>
      <c r="J948" s="18" t="inlineStr"/>
      <c r="K948" s="18" t="inlineStr"/>
      <c r="L948" s="18" t="inlineStr">
        <is>
          <t>No</t>
        </is>
      </c>
      <c r="M948" s="18" t="inlineStr">
        <is>
          <t>No</t>
        </is>
      </c>
      <c r="N948" s="18" t="inlineStr"/>
      <c r="O948" s="18" t="inlineStr">
        <is>
          <t>idx_correos_thread_id</t>
        </is>
      </c>
      <c r="P948" s="18" t="inlineStr">
        <is>
          <t>Mapeada en legal-management-service/src/entities/correo-juridico.entity.ts:106 (CorreoJuridico.threadId)</t>
        </is>
      </c>
      <c r="Q948" s="18" t="inlineStr">
        <is>
          <t>Propuesta semántica</t>
        </is>
      </c>
      <c r="R948" s="18" t="inlineStr">
        <is>
          <t>Identificador del hilo de conversación del correo.</t>
        </is>
      </c>
      <c r="S948" s="18" t="inlineStr">
        <is>
          <t>Alta</t>
        </is>
      </c>
      <c r="T948" s="18" t="inlineStr">
        <is>
          <t>nombre + tipo + columnas vecinas</t>
        </is>
      </c>
      <c r="U948" s="18" t="inlineStr"/>
      <c r="V948" s="19" t="inlineStr">
        <is>
          <t>Pendiente</t>
        </is>
      </c>
      <c r="W948" s="19" t="inlineStr"/>
      <c r="X948" s="19" t="inlineStr"/>
      <c r="Y948" s="20" t="n"/>
      <c r="Z948" s="19" t="inlineStr"/>
      <c r="AA948" s="18">
        <f>IF(OR(V948="Aprobada"),R948,IF(AND(OR(V948="Aprobada con ajuste",V948="Rechazada"),W948&lt;&gt;""),W948,""))</f>
        <v/>
      </c>
    </row>
    <row r="949">
      <c r="A949" s="18" t="inlineStr">
        <is>
          <t>C0948</t>
        </is>
      </c>
      <c r="B949" s="18" t="inlineStr">
        <is>
          <t>Gestión jurídica</t>
        </is>
      </c>
      <c r="C949" s="18" t="inlineStr">
        <is>
          <t>legal_management</t>
        </is>
      </c>
      <c r="D949" s="18" t="inlineStr">
        <is>
          <t>correos_juridicos</t>
        </is>
      </c>
      <c r="E949" s="18" t="n">
        <v>14042</v>
      </c>
      <c r="F949" s="18" t="inlineStr">
        <is>
          <t>internet_message_id</t>
        </is>
      </c>
      <c r="G949" s="18" t="inlineStr">
        <is>
          <t>character varying(500)</t>
        </is>
      </c>
      <c r="H949" s="18" t="inlineStr">
        <is>
          <t>Sí</t>
        </is>
      </c>
      <c r="I949" s="18" t="inlineStr"/>
      <c r="J949" s="18" t="inlineStr"/>
      <c r="K949" s="18" t="inlineStr"/>
      <c r="L949" s="18" t="inlineStr">
        <is>
          <t>No</t>
        </is>
      </c>
      <c r="M949" s="18" t="inlineStr">
        <is>
          <t>No</t>
        </is>
      </c>
      <c r="N949" s="18" t="inlineStr"/>
      <c r="O949" s="18" t="inlineStr">
        <is>
          <t>idx_correos_internet_msg_id</t>
        </is>
      </c>
      <c r="P949" s="18" t="inlineStr">
        <is>
          <t>Mapeada en legal-management-service/src/entities/correo-juridico.entity.ts:109 (CorreoJuridico.internetMessageId)</t>
        </is>
      </c>
      <c r="Q949" s="18" t="inlineStr">
        <is>
          <t>Propuesta semántica</t>
        </is>
      </c>
      <c r="R949" s="18" t="inlineStr">
        <is>
          <t>Identificador del mensaje en Internet (cabecera Message-ID).</t>
        </is>
      </c>
      <c r="S949" s="18" t="inlineStr">
        <is>
          <t>Alta</t>
        </is>
      </c>
      <c r="T949" s="18" t="inlineStr">
        <is>
          <t>nombre + tipo + columnas vecinas</t>
        </is>
      </c>
      <c r="U949" s="18" t="inlineStr"/>
      <c r="V949" s="19" t="inlineStr">
        <is>
          <t>Pendiente</t>
        </is>
      </c>
      <c r="W949" s="19" t="inlineStr"/>
      <c r="X949" s="19" t="inlineStr"/>
      <c r="Y949" s="20" t="n"/>
      <c r="Z949" s="19" t="inlineStr"/>
      <c r="AA949" s="18">
        <f>IF(OR(V949="Aprobada"),R949,IF(AND(OR(V949="Aprobada con ajuste",V949="Rechazada"),W949&lt;&gt;""),W949,""))</f>
        <v/>
      </c>
    </row>
    <row r="950">
      <c r="A950" s="18" t="inlineStr">
        <is>
          <t>C0949</t>
        </is>
      </c>
      <c r="B950" s="18" t="inlineStr">
        <is>
          <t>Gestión jurídica</t>
        </is>
      </c>
      <c r="C950" s="18" t="inlineStr">
        <is>
          <t>legal_management</t>
        </is>
      </c>
      <c r="D950" s="18" t="inlineStr">
        <is>
          <t>correos_juridicos</t>
        </is>
      </c>
      <c r="E950" s="18" t="n">
        <v>14042</v>
      </c>
      <c r="F950" s="18" t="inlineStr">
        <is>
          <t>proceso_id_sugerido</t>
        </is>
      </c>
      <c r="G950" s="18" t="inlineStr">
        <is>
          <t>character varying(100)</t>
        </is>
      </c>
      <c r="H950" s="18" t="inlineStr">
        <is>
          <t>Sí</t>
        </is>
      </c>
      <c r="I950" s="18" t="inlineStr"/>
      <c r="J950" s="18" t="inlineStr"/>
      <c r="K950" s="18" t="inlineStr"/>
      <c r="L950" s="18" t="inlineStr">
        <is>
          <t>No</t>
        </is>
      </c>
      <c r="M950" s="18" t="inlineStr">
        <is>
          <t>No</t>
        </is>
      </c>
      <c r="N950" s="18" t="inlineStr"/>
      <c r="O950" s="18" t="inlineStr"/>
      <c r="P950" s="18" t="inlineStr">
        <is>
          <t>legal-management-service/src/entities/correo-juridico.entity.ts:113: ── NLP Entity extraction ──</t>
        </is>
      </c>
      <c r="Q950" s="18" t="inlineStr">
        <is>
          <t>Código fuente</t>
        </is>
      </c>
      <c r="R950" s="18" t="inlineStr">
        <is>
          <t>Identificador del proceso sugerido por la extracción automática de entidades (NLP) del correo.</t>
        </is>
      </c>
      <c r="S950" s="18" t="inlineStr">
        <is>
          <t>Media</t>
        </is>
      </c>
      <c r="T950" s="18" t="inlineStr">
        <is>
          <t>código: legal-management-service/src/entities/correo-juridico.entity.ts:113</t>
        </is>
      </c>
      <c r="U950" s="18" t="inlineStr">
        <is>
          <t>¿Guarda el identificador interno del expediente o el radicado detectado en el texto?</t>
        </is>
      </c>
      <c r="V950" s="19" t="inlineStr">
        <is>
          <t>Pendiente</t>
        </is>
      </c>
      <c r="W950" s="19" t="inlineStr"/>
      <c r="X950" s="19" t="inlineStr"/>
      <c r="Y950" s="20" t="n"/>
      <c r="Z950" s="19" t="inlineStr"/>
      <c r="AA950" s="18">
        <f>IF(OR(V950="Aprobada"),R950,IF(AND(OR(V950="Aprobada con ajuste",V950="Rechazada"),W950&lt;&gt;""),W950,""))</f>
        <v/>
      </c>
    </row>
    <row r="951">
      <c r="A951" s="18" t="inlineStr">
        <is>
          <t>C0950</t>
        </is>
      </c>
      <c r="B951" s="18" t="inlineStr">
        <is>
          <t>Gestión jurídica</t>
        </is>
      </c>
      <c r="C951" s="18" t="inlineStr">
        <is>
          <t>legal_management</t>
        </is>
      </c>
      <c r="D951" s="18" t="inlineStr">
        <is>
          <t>correos_juridicos</t>
        </is>
      </c>
      <c r="E951" s="18" t="n">
        <v>14042</v>
      </c>
      <c r="F951" s="18" t="inlineStr">
        <is>
          <t>implicado_sugerido</t>
        </is>
      </c>
      <c r="G951" s="18" t="inlineStr">
        <is>
          <t>character varying(255)</t>
        </is>
      </c>
      <c r="H951" s="18" t="inlineStr">
        <is>
          <t>Sí</t>
        </is>
      </c>
      <c r="I951" s="18" t="inlineStr"/>
      <c r="J951" s="18" t="inlineStr"/>
      <c r="K951" s="18" t="inlineStr"/>
      <c r="L951" s="18" t="inlineStr">
        <is>
          <t>No</t>
        </is>
      </c>
      <c r="M951" s="18" t="inlineStr">
        <is>
          <t>No</t>
        </is>
      </c>
      <c r="N951" s="18" t="inlineStr"/>
      <c r="O951" s="18" t="inlineStr"/>
      <c r="P951" s="18" t="inlineStr">
        <is>
          <t>Mapeada en legal-management-service/src/entities/correo-juridico.entity.ts:116 (CorreoJuridico.implicadoSugerido)</t>
        </is>
      </c>
      <c r="Q951" s="18" t="inlineStr">
        <is>
          <t>Propuesta semántica</t>
        </is>
      </c>
      <c r="R951" s="18" t="inlineStr">
        <is>
          <t>Implicado sugerido por la clasificación automática del correo.</t>
        </is>
      </c>
      <c r="S951" s="18" t="inlineStr">
        <is>
          <t>Media</t>
        </is>
      </c>
      <c r="T951" s="18" t="inlineStr">
        <is>
          <t>nombre + tipo + columnas vecinas</t>
        </is>
      </c>
      <c r="U951" s="18" t="inlineStr">
        <is>
          <t>¿Se guarda el nombre o el identificador del implicado?</t>
        </is>
      </c>
      <c r="V951" s="19" t="inlineStr">
        <is>
          <t>Pendiente</t>
        </is>
      </c>
      <c r="W951" s="19" t="inlineStr"/>
      <c r="X951" s="19" t="inlineStr"/>
      <c r="Y951" s="20" t="n"/>
      <c r="Z951" s="19" t="inlineStr"/>
      <c r="AA951" s="18">
        <f>IF(OR(V951="Aprobada"),R951,IF(AND(OR(V951="Aprobada con ajuste",V951="Rechazada"),W951&lt;&gt;""),W951,""))</f>
        <v/>
      </c>
    </row>
    <row r="952">
      <c r="A952" s="18" t="inlineStr">
        <is>
          <t>C0951</t>
        </is>
      </c>
      <c r="B952" s="18" t="inlineStr">
        <is>
          <t>Gestión jurídica</t>
        </is>
      </c>
      <c r="C952" s="18" t="inlineStr">
        <is>
          <t>legal_management</t>
        </is>
      </c>
      <c r="D952" s="18" t="inlineStr">
        <is>
          <t>correos_juridicos</t>
        </is>
      </c>
      <c r="E952" s="18" t="n">
        <v>14042</v>
      </c>
      <c r="F952" s="18" t="inlineStr">
        <is>
          <t>submodulo_sugerido</t>
        </is>
      </c>
      <c r="G952" s="18" t="inlineStr">
        <is>
          <t>character varying(100)</t>
        </is>
      </c>
      <c r="H952" s="18" t="inlineStr">
        <is>
          <t>Sí</t>
        </is>
      </c>
      <c r="I952" s="18" t="inlineStr"/>
      <c r="J952" s="18" t="inlineStr"/>
      <c r="K952" s="18" t="inlineStr"/>
      <c r="L952" s="18" t="inlineStr">
        <is>
          <t>No</t>
        </is>
      </c>
      <c r="M952" s="18" t="inlineStr">
        <is>
          <t>No</t>
        </is>
      </c>
      <c r="N952" s="18" t="inlineStr"/>
      <c r="O952" s="18" t="inlineStr"/>
      <c r="P952" s="18" t="inlineStr">
        <is>
          <t>Mapeada en legal-management-service/src/entities/correo-juridico.entity.ts:119 (CorreoJuridico.submoduloSugerido)</t>
        </is>
      </c>
      <c r="Q952" s="18" t="inlineStr">
        <is>
          <t>Propuesta semántica</t>
        </is>
      </c>
      <c r="R952" s="18" t="inlineStr">
        <is>
          <t>Submódulo sugerido por la clasificación automática del correo.</t>
        </is>
      </c>
      <c r="S952" s="18" t="inlineStr">
        <is>
          <t>Media</t>
        </is>
      </c>
      <c r="T952" s="18" t="inlineStr">
        <is>
          <t>nombre + tipo + columnas vecinas</t>
        </is>
      </c>
      <c r="U952" s="18" t="inlineStr">
        <is>
          <t>¿Qué valores admite submodulo_sugerido?</t>
        </is>
      </c>
      <c r="V952" s="19" t="inlineStr">
        <is>
          <t>Pendiente</t>
        </is>
      </c>
      <c r="W952" s="19" t="inlineStr"/>
      <c r="X952" s="19" t="inlineStr"/>
      <c r="Y952" s="20" t="n"/>
      <c r="Z952" s="19" t="inlineStr"/>
      <c r="AA952" s="18">
        <f>IF(OR(V952="Aprobada"),R952,IF(AND(OR(V952="Aprobada con ajuste",V952="Rechazada"),W952&lt;&gt;""),W952,""))</f>
        <v/>
      </c>
    </row>
    <row r="953">
      <c r="A953" s="18" t="inlineStr">
        <is>
          <t>C0952</t>
        </is>
      </c>
      <c r="B953" s="18" t="inlineStr">
        <is>
          <t>Gestión jurídica</t>
        </is>
      </c>
      <c r="C953" s="18" t="inlineStr">
        <is>
          <t>legal_management</t>
        </is>
      </c>
      <c r="D953" s="18" t="inlineStr">
        <is>
          <t>correos_juridicos</t>
        </is>
      </c>
      <c r="E953" s="18" t="n">
        <v>14042</v>
      </c>
      <c r="F953" s="18" t="inlineStr">
        <is>
          <t>buzon</t>
        </is>
      </c>
      <c r="G953" s="18" t="inlineStr">
        <is>
          <t>character varying(20)</t>
        </is>
      </c>
      <c r="H953" s="18" t="inlineStr">
        <is>
          <t>No</t>
        </is>
      </c>
      <c r="I953" s="18" t="inlineStr"/>
      <c r="J953" s="18" t="inlineStr"/>
      <c r="K953" s="18" t="inlineStr"/>
      <c r="L953" s="18" t="inlineStr">
        <is>
          <t>No</t>
        </is>
      </c>
      <c r="M953" s="18" t="inlineStr">
        <is>
          <t>No</t>
        </is>
      </c>
      <c r="N953" s="18" t="inlineStr"/>
      <c r="O953" s="18" t="inlineStr">
        <is>
          <t>idx_correos_juridicos_buzon</t>
        </is>
      </c>
      <c r="P953" s="18" t="inlineStr">
        <is>
          <t>legal-management-service/src/entities/correo-juridico.entity.ts:57: Buzón de origen (cuenta de correo desde la que se sincronizó). Permite separar las dos bandejas: 'JUDICIAL' (tab Judiciales/Oficios) y 'CORREOS' (tab Correos). Los tabs generales (Respondidos/Urgentes/Enviados/Archivados) muestran ambos y filtran internamente por este campo. JUDICIAL, CORREOS</t>
        </is>
      </c>
      <c r="Q953" s="18" t="inlineStr">
        <is>
          <t>Código fuente</t>
        </is>
      </c>
      <c r="R953" s="18" t="inlineStr">
        <is>
          <t>Buzón de origen: cuenta de correo desde la que se sincronizó el mensaje; separa la bandeja JUDICIAL (Judiciales/Oficios) de la bandeja CORREOS. Valores: JUDICIAL, CORREOS. Por defecto, JUDICIAL.</t>
        </is>
      </c>
      <c r="S953" s="18" t="inlineStr">
        <is>
          <t>Alta</t>
        </is>
      </c>
      <c r="T953" s="18" t="inlineStr">
        <is>
          <t>código: correo-juridico.entity.ts:57</t>
        </is>
      </c>
      <c r="U953" s="18" t="inlineStr"/>
      <c r="V953" s="19" t="inlineStr">
        <is>
          <t>Pendiente</t>
        </is>
      </c>
      <c r="W953" s="19" t="inlineStr"/>
      <c r="X953" s="19" t="inlineStr"/>
      <c r="Y953" s="20" t="n"/>
      <c r="Z953" s="19" t="inlineStr"/>
      <c r="AA953" s="18">
        <f>IF(OR(V953="Aprobada"),R953,IF(AND(OR(V953="Aprobada con ajuste",V953="Rechazada"),W953&lt;&gt;""),W953,""))</f>
        <v/>
      </c>
    </row>
    <row r="954">
      <c r="A954" s="18" t="inlineStr">
        <is>
          <t>C0953</t>
        </is>
      </c>
      <c r="B954" s="18" t="inlineStr">
        <is>
          <t>Gestión jurídica</t>
        </is>
      </c>
      <c r="C954" s="18" t="inlineStr">
        <is>
          <t>legal_management</t>
        </is>
      </c>
      <c r="D954" s="18" t="inlineStr">
        <is>
          <t>correos_juridicos</t>
        </is>
      </c>
      <c r="E954" s="18" t="n">
        <v>14042</v>
      </c>
      <c r="F954" s="18" t="inlineStr">
        <is>
          <t>consulta_id</t>
        </is>
      </c>
      <c r="G954" s="18" t="inlineStr">
        <is>
          <t>uuid</t>
        </is>
      </c>
      <c r="H954" s="18" t="inlineStr">
        <is>
          <t>Sí</t>
        </is>
      </c>
      <c r="I954" s="18" t="inlineStr"/>
      <c r="J954" s="18" t="inlineStr"/>
      <c r="K954" s="18" t="inlineStr"/>
      <c r="L954" s="18" t="inlineStr">
        <is>
          <t>No</t>
        </is>
      </c>
      <c r="M954" s="18" t="inlineStr">
        <is>
          <t>No</t>
        </is>
      </c>
      <c r="N954" s="18" t="inlineStr"/>
      <c r="O954" s="18" t="inlineStr">
        <is>
          <t>idx_correos_juridicos_consulta</t>
        </is>
      </c>
      <c r="P954" s="18" t="inlineStr">
        <is>
          <t>legal-management-service/src/entities/correo-juridico.entity.ts:81: Trazabilidad de derivación: consulta de Asesoría Jurídica asociada. Asesoría usa la tabla `consultas_juridicas` (no comparte `expedientes`), por eso se guarda en columna propia en lugar de reutilizar `expediente_id`.</t>
        </is>
      </c>
      <c r="Q954" s="18" t="inlineStr">
        <is>
          <t>Código fuente</t>
        </is>
      </c>
      <c r="R954" s="18" t="inlineStr">
        <is>
          <t>Identificador de la consulta de Asesoría Jurídica (consultas_juridicas) a la que se derivó la comunicación.</t>
        </is>
      </c>
      <c r="S954" s="18" t="inlineStr">
        <is>
          <t>Alta</t>
        </is>
      </c>
      <c r="T954" s="18" t="inlineStr">
        <is>
          <t>código: legal-management-service/src/entities/correo-juridico.entity.ts:81</t>
        </is>
      </c>
      <c r="U954" s="18" t="inlineStr"/>
      <c r="V954" s="19" t="inlineStr">
        <is>
          <t>Pendiente</t>
        </is>
      </c>
      <c r="W954" s="19" t="inlineStr"/>
      <c r="X954" s="19" t="inlineStr"/>
      <c r="Y954" s="20" t="n"/>
      <c r="Z954" s="19" t="inlineStr"/>
      <c r="AA954" s="18">
        <f>IF(OR(V954="Aprobada"),R954,IF(AND(OR(V954="Aprobada con ajuste",V954="Rechazada"),W954&lt;&gt;""),W954,""))</f>
        <v/>
      </c>
    </row>
    <row r="955">
      <c r="A955" s="18" t="inlineStr">
        <is>
          <t>C0954</t>
        </is>
      </c>
      <c r="B955" s="18" t="inlineStr">
        <is>
          <t>Gestión jurídica</t>
        </is>
      </c>
      <c r="C955" s="18" t="inlineStr">
        <is>
          <t>legal_management</t>
        </is>
      </c>
      <c r="D955" s="18" t="inlineStr">
        <is>
          <t>correos_juridicos</t>
        </is>
      </c>
      <c r="E955" s="18" t="n">
        <v>14042</v>
      </c>
      <c r="F955" s="18" t="inlineStr">
        <is>
          <t>modulo_destino</t>
        </is>
      </c>
      <c r="G955" s="18" t="inlineStr">
        <is>
          <t>character varying(50)</t>
        </is>
      </c>
      <c r="H955" s="18" t="inlineStr">
        <is>
          <t>Sí</t>
        </is>
      </c>
      <c r="I955" s="18" t="inlineStr"/>
      <c r="J955" s="18" t="inlineStr"/>
      <c r="K955" s="18" t="inlineStr"/>
      <c r="L955" s="18" t="inlineStr">
        <is>
          <t>No</t>
        </is>
      </c>
      <c r="M955" s="18" t="inlineStr">
        <is>
          <t>No</t>
        </is>
      </c>
      <c r="N955" s="18" t="inlineStr"/>
      <c r="O955" s="18" t="inlineStr"/>
      <c r="P955" s="18" t="inlineStr">
        <is>
          <t>legal-management-service/src/entities/correo-juridico.entity.ts:87: Módulo destino al que se derivó la comunicación: 'DEFENSA_JUDICIAL', 'JUZGAMIENTO_DISCIPLINARIO' o 'ASESORIA_JURIDICA'. Persiste la intención de derivación de forma consultable (antes solo vivía en el metadata de la Actuación).</t>
        </is>
      </c>
      <c r="Q955" s="18" t="inlineStr">
        <is>
          <t>Código fuente</t>
        </is>
      </c>
      <c r="R955" s="18" t="inlineStr">
        <is>
          <t>Módulo al que se derivó la comunicación. Valores: DEFENSA_JUDICIAL, JUZGAMIENTO_DISCIPLINARIO, ASESORIA_JURIDICA.</t>
        </is>
      </c>
      <c r="S955" s="18" t="inlineStr">
        <is>
          <t>Alta</t>
        </is>
      </c>
      <c r="T955" s="18" t="inlineStr">
        <is>
          <t>código: legal-management-service/src/entities/correo-juridico.entity.ts:87</t>
        </is>
      </c>
      <c r="U955" s="18" t="inlineStr"/>
      <c r="V955" s="19" t="inlineStr">
        <is>
          <t>Pendiente</t>
        </is>
      </c>
      <c r="W955" s="19" t="inlineStr"/>
      <c r="X955" s="19" t="inlineStr"/>
      <c r="Y955" s="20" t="n"/>
      <c r="Z955" s="19" t="inlineStr"/>
      <c r="AA955" s="18">
        <f>IF(OR(V955="Aprobada"),R955,IF(AND(OR(V955="Aprobada con ajuste",V955="Rechazada"),W955&lt;&gt;""),W955,""))</f>
        <v/>
      </c>
    </row>
    <row r="956">
      <c r="A956" s="18" t="inlineStr">
        <is>
          <t>C0955</t>
        </is>
      </c>
      <c r="B956" s="18" t="inlineStr">
        <is>
          <t>Gestión jurídica</t>
        </is>
      </c>
      <c r="C956" s="18" t="inlineStr">
        <is>
          <t>legal_management</t>
        </is>
      </c>
      <c r="D956" s="18" t="inlineStr">
        <is>
          <t>decisiones_disciplinarias</t>
        </is>
      </c>
      <c r="E956" s="18" t="n">
        <v>6</v>
      </c>
      <c r="F956" s="18" t="inlineStr">
        <is>
          <t>sancion</t>
        </is>
      </c>
      <c r="G956" s="18" t="inlineStr">
        <is>
          <t>character varying(255)</t>
        </is>
      </c>
      <c r="H956" s="18" t="inlineStr">
        <is>
          <t>Sí</t>
        </is>
      </c>
      <c r="I956" s="18" t="inlineStr"/>
      <c r="J956" s="18" t="inlineStr"/>
      <c r="K956" s="18" t="inlineStr"/>
      <c r="L956" s="18" t="inlineStr">
        <is>
          <t>No</t>
        </is>
      </c>
      <c r="M956" s="18" t="inlineStr">
        <is>
          <t>No</t>
        </is>
      </c>
      <c r="N956" s="18" t="inlineStr"/>
      <c r="O956" s="18" t="inlineStr"/>
      <c r="P956" s="18" t="inlineStr">
        <is>
          <t>db/migrations/old/066_create_decisiones_disciplinarias.sql:12: Tipo de sanción aplicada si aplica | db/migrations/old/067_create_decisiones_disciplinarias_v2.sql:10: Tipo de sanción aplicada si aplica</t>
        </is>
      </c>
      <c r="Q956" s="18" t="inlineStr">
        <is>
          <t>Código fuente</t>
        </is>
      </c>
      <c r="R956" s="18" t="inlineStr">
        <is>
          <t>Tipo de sanción aplicada en la decisión, si aplica.</t>
        </is>
      </c>
      <c r="S956" s="18" t="inlineStr">
        <is>
          <t>Alta</t>
        </is>
      </c>
      <c r="T956" s="18" t="inlineStr">
        <is>
          <t>código: db/migrations/old/066_create_decisiones_disciplinarias.sql:12</t>
        </is>
      </c>
      <c r="U956" s="18" t="inlineStr"/>
      <c r="V956" s="19" t="inlineStr">
        <is>
          <t>Pendiente</t>
        </is>
      </c>
      <c r="W956" s="19" t="inlineStr"/>
      <c r="X956" s="19" t="inlineStr"/>
      <c r="Y956" s="20" t="n"/>
      <c r="Z956" s="19" t="inlineStr"/>
      <c r="AA956" s="18">
        <f>IF(OR(V956="Aprobada"),R956,IF(AND(OR(V956="Aprobada con ajuste",V956="Rechazada"),W956&lt;&gt;""),W956,""))</f>
        <v/>
      </c>
    </row>
    <row r="957">
      <c r="A957" s="18" t="inlineStr">
        <is>
          <t>C0956</t>
        </is>
      </c>
      <c r="B957" s="18" t="inlineStr">
        <is>
          <t>Gestión jurídica</t>
        </is>
      </c>
      <c r="C957" s="18" t="inlineStr">
        <is>
          <t>legal_management</t>
        </is>
      </c>
      <c r="D957" s="18" t="inlineStr">
        <is>
          <t>decisiones_disciplinarias</t>
        </is>
      </c>
      <c r="E957" s="18" t="n">
        <v>6</v>
      </c>
      <c r="F957" s="18" t="inlineStr">
        <is>
          <t>consideraciones</t>
        </is>
      </c>
      <c r="G957" s="18" t="inlineStr">
        <is>
          <t>text</t>
        </is>
      </c>
      <c r="H957" s="18" t="inlineStr">
        <is>
          <t>No</t>
        </is>
      </c>
      <c r="I957" s="18" t="inlineStr"/>
      <c r="J957" s="18" t="inlineStr"/>
      <c r="K957" s="18" t="inlineStr"/>
      <c r="L957" s="18" t="inlineStr">
        <is>
          <t>No</t>
        </is>
      </c>
      <c r="M957" s="18" t="inlineStr">
        <is>
          <t>No</t>
        </is>
      </c>
      <c r="N957" s="18" t="inlineStr"/>
      <c r="O957" s="18" t="inlineStr"/>
      <c r="P957" s="18" t="inlineStr">
        <is>
          <t>db/migrations/old/066_create_decisiones_disciplinarias.sql:13: Consideraciones del fallo | db/migrations/old/067_create_decisiones_disciplinarias_v2.sql:11: Consideraciones del fallo</t>
        </is>
      </c>
      <c r="Q957" s="18" t="inlineStr">
        <is>
          <t>Código fuente</t>
        </is>
      </c>
      <c r="R957" s="18" t="inlineStr">
        <is>
          <t>Consideraciones del fallo.</t>
        </is>
      </c>
      <c r="S957" s="18" t="inlineStr">
        <is>
          <t>Alta</t>
        </is>
      </c>
      <c r="T957" s="18" t="inlineStr">
        <is>
          <t>código: db/migrations/old/066_create_decisiones_disciplinarias.sql:13</t>
        </is>
      </c>
      <c r="U957" s="18" t="inlineStr"/>
      <c r="V957" s="19" t="inlineStr">
        <is>
          <t>Pendiente</t>
        </is>
      </c>
      <c r="W957" s="19" t="inlineStr"/>
      <c r="X957" s="19" t="inlineStr"/>
      <c r="Y957" s="20" t="n"/>
      <c r="Z957" s="19" t="inlineStr"/>
      <c r="AA957" s="18">
        <f>IF(OR(V957="Aprobada"),R957,IF(AND(OR(V957="Aprobada con ajuste",V957="Rechazada"),W957&lt;&gt;""),W957,""))</f>
        <v/>
      </c>
    </row>
    <row r="958">
      <c r="A958" s="18" t="inlineStr">
        <is>
          <t>C0957</t>
        </is>
      </c>
      <c r="B958" s="18" t="inlineStr">
        <is>
          <t>Gestión jurídica</t>
        </is>
      </c>
      <c r="C958" s="18" t="inlineStr">
        <is>
          <t>legal_management</t>
        </is>
      </c>
      <c r="D958" s="18" t="inlineStr">
        <is>
          <t>decisiones_disciplinarias</t>
        </is>
      </c>
      <c r="E958" s="18" t="n">
        <v>6</v>
      </c>
      <c r="F958" s="18" t="inlineStr">
        <is>
          <t>fundamentos_juridicos</t>
        </is>
      </c>
      <c r="G958" s="18" t="inlineStr">
        <is>
          <t>text</t>
        </is>
      </c>
      <c r="H958" s="18" t="inlineStr">
        <is>
          <t>Sí</t>
        </is>
      </c>
      <c r="I958" s="18" t="inlineStr"/>
      <c r="J958" s="18" t="inlineStr"/>
      <c r="K958" s="18" t="inlineStr"/>
      <c r="L958" s="18" t="inlineStr">
        <is>
          <t>No</t>
        </is>
      </c>
      <c r="M958" s="18" t="inlineStr">
        <is>
          <t>No</t>
        </is>
      </c>
      <c r="N958" s="18" t="inlineStr"/>
      <c r="O958" s="18" t="inlineStr"/>
      <c r="P958" s="18" t="inlineStr">
        <is>
          <t>db/migrations/old/066_create_decisiones_disciplinarias.sql:14: Fundamentos legales de la decisión | db/migrations/old/067_create_decisiones_disciplinarias_v2.sql:12: Fundamentos legales de la decisión</t>
        </is>
      </c>
      <c r="Q958" s="18" t="inlineStr">
        <is>
          <t>Código fuente</t>
        </is>
      </c>
      <c r="R958" s="18" t="inlineStr">
        <is>
          <t>Fundamentos legales de la decisión.</t>
        </is>
      </c>
      <c r="S958" s="18" t="inlineStr">
        <is>
          <t>Alta</t>
        </is>
      </c>
      <c r="T958" s="18" t="inlineStr">
        <is>
          <t>código: db/migrations/old/066_create_decisiones_disciplinarias.sql:14</t>
        </is>
      </c>
      <c r="U958" s="18" t="inlineStr"/>
      <c r="V958" s="19" t="inlineStr">
        <is>
          <t>Pendiente</t>
        </is>
      </c>
      <c r="W958" s="19" t="inlineStr"/>
      <c r="X958" s="19" t="inlineStr"/>
      <c r="Y958" s="20" t="n"/>
      <c r="Z958" s="19" t="inlineStr"/>
      <c r="AA958" s="18">
        <f>IF(OR(V958="Aprobada"),R958,IF(AND(OR(V958="Aprobada con ajuste",V958="Rechazada"),W958&lt;&gt;""),W958,""))</f>
        <v/>
      </c>
    </row>
    <row r="959">
      <c r="A959" s="18" t="inlineStr">
        <is>
          <t>C0958</t>
        </is>
      </c>
      <c r="B959" s="18" t="inlineStr">
        <is>
          <t>Gestión jurídica</t>
        </is>
      </c>
      <c r="C959" s="18" t="inlineStr">
        <is>
          <t>legal_management</t>
        </is>
      </c>
      <c r="D959" s="18" t="inlineStr">
        <is>
          <t>decisiones_disciplinarias</t>
        </is>
      </c>
      <c r="E959" s="18" t="n">
        <v>6</v>
      </c>
      <c r="F959" s="18" t="inlineStr">
        <is>
          <t>responsable</t>
        </is>
      </c>
      <c r="G959" s="18" t="inlineStr">
        <is>
          <t>character varying(255)</t>
        </is>
      </c>
      <c r="H959" s="18" t="inlineStr">
        <is>
          <t>No</t>
        </is>
      </c>
      <c r="I959" s="18" t="inlineStr"/>
      <c r="J959" s="18" t="inlineStr"/>
      <c r="K959" s="18" t="inlineStr"/>
      <c r="L959" s="18" t="inlineStr">
        <is>
          <t>No</t>
        </is>
      </c>
      <c r="M959" s="18" t="inlineStr">
        <is>
          <t>No</t>
        </is>
      </c>
      <c r="N959" s="18" t="inlineStr"/>
      <c r="O959" s="18" t="inlineStr"/>
      <c r="P959" s="18" t="inlineStr">
        <is>
          <t>db/migrations/old/066_create_decisiones_disciplinarias.sql:15: Nombre del funcionario que toma la decisión | db/migrations/old/067_create_decisiones_disciplinarias_v2.sql:13: Nombre del funcionario que toma la decisión</t>
        </is>
      </c>
      <c r="Q959" s="18" t="inlineStr">
        <is>
          <t>Código fuente</t>
        </is>
      </c>
      <c r="R959" s="18" t="inlineStr">
        <is>
          <t>Nombre del funcionario que toma la decisión.</t>
        </is>
      </c>
      <c r="S959" s="18" t="inlineStr">
        <is>
          <t>Alta</t>
        </is>
      </c>
      <c r="T959" s="18" t="inlineStr">
        <is>
          <t>código: db/migrations/old/066_create_decisiones_disciplinarias.sql:15</t>
        </is>
      </c>
      <c r="U959" s="18" t="inlineStr"/>
      <c r="V959" s="19" t="inlineStr">
        <is>
          <t>Pendiente</t>
        </is>
      </c>
      <c r="W959" s="19" t="inlineStr"/>
      <c r="X959" s="19" t="inlineStr"/>
      <c r="Y959" s="20" t="n"/>
      <c r="Z959" s="19" t="inlineStr"/>
      <c r="AA959" s="18">
        <f>IF(OR(V959="Aprobada"),R959,IF(AND(OR(V959="Aprobada con ajuste",V959="Rechazada"),W959&lt;&gt;""),W959,""))</f>
        <v/>
      </c>
    </row>
    <row r="960">
      <c r="A960" s="18" t="inlineStr">
        <is>
          <t>C0959</t>
        </is>
      </c>
      <c r="B960" s="18" t="inlineStr">
        <is>
          <t>Gestión jurídica</t>
        </is>
      </c>
      <c r="C960" s="18" t="inlineStr">
        <is>
          <t>legal_management</t>
        </is>
      </c>
      <c r="D960" s="18" t="inlineStr">
        <is>
          <t>decisiones_disciplinarias</t>
        </is>
      </c>
      <c r="E960" s="18" t="n">
        <v>6</v>
      </c>
      <c r="F960" s="18" t="inlineStr">
        <is>
          <t>cargo_responsable</t>
        </is>
      </c>
      <c r="G960" s="18" t="inlineStr">
        <is>
          <t>character varying(255)</t>
        </is>
      </c>
      <c r="H960" s="18" t="inlineStr">
        <is>
          <t>Sí</t>
        </is>
      </c>
      <c r="I960" s="18" t="inlineStr"/>
      <c r="J960" s="18" t="inlineStr"/>
      <c r="K960" s="18" t="inlineStr"/>
      <c r="L960" s="18" t="inlineStr">
        <is>
          <t>No</t>
        </is>
      </c>
      <c r="M960" s="18" t="inlineStr">
        <is>
          <t>No</t>
        </is>
      </c>
      <c r="N960" s="18" t="inlineStr"/>
      <c r="O960" s="18" t="inlineStr"/>
      <c r="P960" s="18" t="inlineStr">
        <is>
          <t>db/migrations/old/066_create_decisiones_disciplinarias.sql:16: Cargo del funcionario | db/migrations/old/067_create_decisiones_disciplinarias_v2.sql:14: Cargo del funcionario</t>
        </is>
      </c>
      <c r="Q960" s="18" t="inlineStr">
        <is>
          <t>Código fuente</t>
        </is>
      </c>
      <c r="R960" s="18" t="inlineStr">
        <is>
          <t>Cargo del funcionario que toma la decisión.</t>
        </is>
      </c>
      <c r="S960" s="18" t="inlineStr">
        <is>
          <t>Alta</t>
        </is>
      </c>
      <c r="T960" s="18" t="inlineStr">
        <is>
          <t>código: db/migrations/old/066_create_decisiones_disciplinarias.sql:16</t>
        </is>
      </c>
      <c r="U960" s="18" t="inlineStr"/>
      <c r="V960" s="19" t="inlineStr">
        <is>
          <t>Pendiente</t>
        </is>
      </c>
      <c r="W960" s="19" t="inlineStr"/>
      <c r="X960" s="19" t="inlineStr"/>
      <c r="Y960" s="20" t="n"/>
      <c r="Z960" s="19" t="inlineStr"/>
      <c r="AA960" s="18">
        <f>IF(OR(V960="Aprobada"),R960,IF(AND(OR(V960="Aprobada con ajuste",V960="Rechazada"),W960&lt;&gt;""),W960,""))</f>
        <v/>
      </c>
    </row>
    <row r="961">
      <c r="A961" s="18" t="inlineStr">
        <is>
          <t>C0960</t>
        </is>
      </c>
      <c r="B961" s="18" t="inlineStr">
        <is>
          <t>Gestión jurídica</t>
        </is>
      </c>
      <c r="C961" s="18" t="inlineStr">
        <is>
          <t>legal_management</t>
        </is>
      </c>
      <c r="D961" s="18" t="inlineStr">
        <is>
          <t>decisiones_disciplinarias</t>
        </is>
      </c>
      <c r="E961" s="18" t="n">
        <v>6</v>
      </c>
      <c r="F961" s="18" t="inlineStr">
        <is>
          <t>fecha</t>
        </is>
      </c>
      <c r="G961" s="18" t="inlineStr">
        <is>
          <t>date</t>
        </is>
      </c>
      <c r="H961" s="18" t="inlineStr">
        <is>
          <t>No</t>
        </is>
      </c>
      <c r="I961" s="18" t="inlineStr"/>
      <c r="J961" s="18" t="inlineStr"/>
      <c r="K961" s="18" t="inlineStr"/>
      <c r="L961" s="18" t="inlineStr">
        <is>
          <t>No</t>
        </is>
      </c>
      <c r="M961" s="18" t="inlineStr">
        <is>
          <t>No</t>
        </is>
      </c>
      <c r="N961" s="18" t="inlineStr"/>
      <c r="O961" s="18" t="inlineStr">
        <is>
          <t>idx_decisiones_fecha</t>
        </is>
      </c>
      <c r="P961" s="18" t="inlineStr">
        <is>
          <t>db/migrations/old/066_create_decisiones_disciplinarias.sql:17: Fecha de la decisión | db/migrations/old/067_create_decisiones_disciplinarias_v2.sql:15: Fecha de la decisión</t>
        </is>
      </c>
      <c r="Q961" s="18" t="inlineStr">
        <is>
          <t>Código fuente</t>
        </is>
      </c>
      <c r="R961" s="18" t="inlineStr">
        <is>
          <t>Fecha de la decisión. Valor por defecto: fecha actual.</t>
        </is>
      </c>
      <c r="S961" s="18" t="inlineStr">
        <is>
          <t>Alta</t>
        </is>
      </c>
      <c r="T961" s="18" t="inlineStr">
        <is>
          <t>código: db/migrations/old/066_create_decisiones_disciplinarias.sql:17</t>
        </is>
      </c>
      <c r="U961" s="18" t="inlineStr"/>
      <c r="V961" s="19" t="inlineStr">
        <is>
          <t>Pendiente</t>
        </is>
      </c>
      <c r="W961" s="19" t="inlineStr"/>
      <c r="X961" s="19" t="inlineStr"/>
      <c r="Y961" s="20" t="n"/>
      <c r="Z961" s="19" t="inlineStr"/>
      <c r="AA961" s="18">
        <f>IF(OR(V961="Aprobada"),R961,IF(AND(OR(V961="Aprobada con ajuste",V961="Rechazada"),W961&lt;&gt;""),W961,""))</f>
        <v/>
      </c>
    </row>
    <row r="962">
      <c r="A962" s="18" t="inlineStr">
        <is>
          <t>C0961</t>
        </is>
      </c>
      <c r="B962" s="18" t="inlineStr">
        <is>
          <t>Gestión jurídica</t>
        </is>
      </c>
      <c r="C962" s="18" t="inlineStr">
        <is>
          <t>legal_management</t>
        </is>
      </c>
      <c r="D962" s="18" t="inlineStr">
        <is>
          <t>documentos</t>
        </is>
      </c>
      <c r="E962" s="18" t="n">
        <v>157</v>
      </c>
      <c r="F962" s="18" t="inlineStr">
        <is>
          <t>nombre</t>
        </is>
      </c>
      <c r="G962" s="18" t="inlineStr">
        <is>
          <t>character varying(500)</t>
        </is>
      </c>
      <c r="H962" s="18" t="inlineStr">
        <is>
          <t>No</t>
        </is>
      </c>
      <c r="I962" s="18" t="inlineStr"/>
      <c r="J962" s="18" t="inlineStr"/>
      <c r="K962" s="18" t="inlineStr"/>
      <c r="L962" s="18" t="inlineStr">
        <is>
          <t>No</t>
        </is>
      </c>
      <c r="M962" s="18" t="inlineStr">
        <is>
          <t>No</t>
        </is>
      </c>
      <c r="N962" s="18" t="inlineStr"/>
      <c r="O962" s="18" t="inlineStr"/>
      <c r="P962" s="18" t="inlineStr">
        <is>
          <t>db/migrations/old/045_create_documentos_table.sql:13: Información del documento</t>
        </is>
      </c>
      <c r="Q962" s="18" t="inlineStr">
        <is>
          <t>Código fuente</t>
        </is>
      </c>
      <c r="R962" s="18" t="inlineStr">
        <is>
          <t>Nombre del documento asociado al expediente.</t>
        </is>
      </c>
      <c r="S962" s="18" t="inlineStr">
        <is>
          <t>Alta</t>
        </is>
      </c>
      <c r="T962" s="18" t="inlineStr">
        <is>
          <t>código: db/migrations/old/045_create_documentos_table.sql:13</t>
        </is>
      </c>
      <c r="U962" s="18" t="inlineStr"/>
      <c r="V962" s="19" t="inlineStr">
        <is>
          <t>Pendiente</t>
        </is>
      </c>
      <c r="W962" s="19" t="inlineStr"/>
      <c r="X962" s="19" t="inlineStr"/>
      <c r="Y962" s="20" t="n"/>
      <c r="Z962" s="19" t="inlineStr"/>
      <c r="AA962" s="18">
        <f>IF(OR(V962="Aprobada"),R962,IF(AND(OR(V962="Aprobada con ajuste",V962="Rechazada"),W962&lt;&gt;""),W962,""))</f>
        <v/>
      </c>
    </row>
    <row r="963">
      <c r="A963" s="18" t="inlineStr">
        <is>
          <t>C0962</t>
        </is>
      </c>
      <c r="B963" s="18" t="inlineStr">
        <is>
          <t>Gestión jurídica</t>
        </is>
      </c>
      <c r="C963" s="18" t="inlineStr">
        <is>
          <t>legal_management</t>
        </is>
      </c>
      <c r="D963" s="18" t="inlineStr">
        <is>
          <t>documentos</t>
        </is>
      </c>
      <c r="E963" s="18" t="n">
        <v>157</v>
      </c>
      <c r="F963" s="18" t="inlineStr">
        <is>
          <t>descripcion</t>
        </is>
      </c>
      <c r="G963" s="18" t="inlineStr">
        <is>
          <t>text</t>
        </is>
      </c>
      <c r="H963" s="18" t="inlineStr">
        <is>
          <t>Sí</t>
        </is>
      </c>
      <c r="I963" s="18" t="inlineStr"/>
      <c r="J963" s="18" t="inlineStr"/>
      <c r="K963" s="18" t="inlineStr"/>
      <c r="L963" s="18" t="inlineStr">
        <is>
          <t>No</t>
        </is>
      </c>
      <c r="M963" s="18" t="inlineStr">
        <is>
          <t>No</t>
        </is>
      </c>
      <c r="N963" s="18" t="inlineStr"/>
      <c r="O963" s="18" t="inlineStr"/>
      <c r="P963" s="18" t="inlineStr">
        <is>
          <t>Mapeada en legal-management-service/src/entities/documento.entity.ts:22 (Documento.descripcion)</t>
        </is>
      </c>
      <c r="Q963" s="18" t="inlineStr">
        <is>
          <t>Regla estructural</t>
        </is>
      </c>
      <c r="R963" s="18" t="inlineStr">
        <is>
          <t>Descripción del registro de documentos.</t>
        </is>
      </c>
      <c r="S963" s="18" t="inlineStr">
        <is>
          <t>Media</t>
        </is>
      </c>
      <c r="T963" s="18" t="inlineStr">
        <is>
          <t>Convención de nombre de la columna.</t>
        </is>
      </c>
      <c r="U963" s="18" t="inlineStr"/>
      <c r="V963" s="19" t="inlineStr">
        <is>
          <t>Pendiente</t>
        </is>
      </c>
      <c r="W963" s="19" t="inlineStr"/>
      <c r="X963" s="19" t="inlineStr"/>
      <c r="Y963" s="20" t="n"/>
      <c r="Z963" s="19" t="inlineStr"/>
      <c r="AA963" s="18">
        <f>IF(OR(V963="Aprobada"),R963,IF(AND(OR(V963="Aprobada con ajuste",V963="Rechazada"),W963&lt;&gt;""),W963,""))</f>
        <v/>
      </c>
    </row>
    <row r="964">
      <c r="A964" s="18" t="inlineStr">
        <is>
          <t>C0963</t>
        </is>
      </c>
      <c r="B964" s="18" t="inlineStr">
        <is>
          <t>Gestión jurídica</t>
        </is>
      </c>
      <c r="C964" s="18" t="inlineStr">
        <is>
          <t>legal_management</t>
        </is>
      </c>
      <c r="D964" s="18" t="inlineStr">
        <is>
          <t>documentos</t>
        </is>
      </c>
      <c r="E964" s="18" t="n">
        <v>157</v>
      </c>
      <c r="F964" s="18" t="inlineStr">
        <is>
          <t>archivo_nombre_original</t>
        </is>
      </c>
      <c r="G964" s="18" t="inlineStr">
        <is>
          <t>character varying(500)</t>
        </is>
      </c>
      <c r="H964" s="18" t="inlineStr">
        <is>
          <t>Sí</t>
        </is>
      </c>
      <c r="I964" s="18" t="inlineStr"/>
      <c r="J964" s="18" t="inlineStr"/>
      <c r="K964" s="18" t="inlineStr"/>
      <c r="L964" s="18" t="inlineStr">
        <is>
          <t>No</t>
        </is>
      </c>
      <c r="M964" s="18" t="inlineStr">
        <is>
          <t>No</t>
        </is>
      </c>
      <c r="N964" s="18" t="inlineStr"/>
      <c r="O964" s="18" t="inlineStr"/>
      <c r="P964" s="18" t="inlineStr">
        <is>
          <t>Mapeada en legal-management-service/src/entities/documento.entity.ts:28 (Documento.archivoNombreOriginal)</t>
        </is>
      </c>
      <c r="Q964" s="18" t="inlineStr">
        <is>
          <t>Propuesta semántica</t>
        </is>
      </c>
      <c r="R964" s="18" t="inlineStr">
        <is>
          <t>Nombre original del archivo cargado.</t>
        </is>
      </c>
      <c r="S964" s="18" t="inlineStr">
        <is>
          <t>Alta</t>
        </is>
      </c>
      <c r="T964" s="18" t="inlineStr">
        <is>
          <t>nombre + tipo + columnas vecinas</t>
        </is>
      </c>
      <c r="U964" s="18" t="inlineStr"/>
      <c r="V964" s="19" t="inlineStr">
        <is>
          <t>Pendiente</t>
        </is>
      </c>
      <c r="W964" s="19" t="inlineStr"/>
      <c r="X964" s="19" t="inlineStr"/>
      <c r="Y964" s="20" t="n"/>
      <c r="Z964" s="19" t="inlineStr"/>
      <c r="AA964" s="18">
        <f>IF(OR(V964="Aprobada"),R964,IF(AND(OR(V964="Aprobada con ajuste",V964="Rechazada"),W964&lt;&gt;""),W964,""))</f>
        <v/>
      </c>
    </row>
    <row r="965">
      <c r="A965" s="18" t="inlineStr">
        <is>
          <t>C0964</t>
        </is>
      </c>
      <c r="B965" s="18" t="inlineStr">
        <is>
          <t>Gestión jurídica</t>
        </is>
      </c>
      <c r="C965" s="18" t="inlineStr">
        <is>
          <t>legal_management</t>
        </is>
      </c>
      <c r="D965" s="18" t="inlineStr">
        <is>
          <t>documentos</t>
        </is>
      </c>
      <c r="E965" s="18" t="n">
        <v>157</v>
      </c>
      <c r="F965" s="18" t="inlineStr">
        <is>
          <t>archivo_tamano</t>
        </is>
      </c>
      <c r="G965" s="18" t="inlineStr">
        <is>
          <t>integer</t>
        </is>
      </c>
      <c r="H965" s="18" t="inlineStr">
        <is>
          <t>Sí</t>
        </is>
      </c>
      <c r="I965" s="18" t="inlineStr"/>
      <c r="J965" s="18" t="inlineStr"/>
      <c r="K965" s="18" t="inlineStr"/>
      <c r="L965" s="18" t="inlineStr">
        <is>
          <t>No</t>
        </is>
      </c>
      <c r="M965" s="18" t="inlineStr">
        <is>
          <t>No</t>
        </is>
      </c>
      <c r="N965" s="18" t="inlineStr"/>
      <c r="O965" s="18" t="inlineStr"/>
      <c r="P965" s="18" t="inlineStr">
        <is>
          <t>db/migrations/old/045_create_documentos_table.sql:20: Tamaño en bytes</t>
        </is>
      </c>
      <c r="Q965" s="18" t="inlineStr">
        <is>
          <t>Código fuente</t>
        </is>
      </c>
      <c r="R965" s="18" t="inlineStr">
        <is>
          <t>Tamaño del archivo en bytes.</t>
        </is>
      </c>
      <c r="S965" s="18" t="inlineStr">
        <is>
          <t>Alta</t>
        </is>
      </c>
      <c r="T965" s="18" t="inlineStr">
        <is>
          <t>código: db/migrations/old/045_create_documentos_table.sql:20</t>
        </is>
      </c>
      <c r="U965" s="18" t="inlineStr"/>
      <c r="V965" s="19" t="inlineStr">
        <is>
          <t>Pendiente</t>
        </is>
      </c>
      <c r="W965" s="19" t="inlineStr"/>
      <c r="X965" s="19" t="inlineStr"/>
      <c r="Y965" s="20" t="n"/>
      <c r="Z965" s="19" t="inlineStr"/>
      <c r="AA965" s="18">
        <f>IF(OR(V965="Aprobada"),R965,IF(AND(OR(V965="Aprobada con ajuste",V965="Rechazada"),W965&lt;&gt;""),W965,""))</f>
        <v/>
      </c>
    </row>
    <row r="966">
      <c r="A966" s="18" t="inlineStr">
        <is>
          <t>C0965</t>
        </is>
      </c>
      <c r="B966" s="18" t="inlineStr">
        <is>
          <t>Gestión jurídica</t>
        </is>
      </c>
      <c r="C966" s="18" t="inlineStr">
        <is>
          <t>legal_management</t>
        </is>
      </c>
      <c r="D966" s="18" t="inlineStr">
        <is>
          <t>documentos</t>
        </is>
      </c>
      <c r="E966" s="18" t="n">
        <v>157</v>
      </c>
      <c r="F966" s="18" t="inlineStr">
        <is>
          <t>archivo_mime_type</t>
        </is>
      </c>
      <c r="G966" s="18" t="inlineStr">
        <is>
          <t>character varying(100)</t>
        </is>
      </c>
      <c r="H966" s="18" t="inlineStr">
        <is>
          <t>Sí</t>
        </is>
      </c>
      <c r="I966" s="18" t="inlineStr"/>
      <c r="J966" s="18" t="inlineStr"/>
      <c r="K966" s="18" t="inlineStr"/>
      <c r="L966" s="18" t="inlineStr">
        <is>
          <t>No</t>
        </is>
      </c>
      <c r="M966" s="18" t="inlineStr">
        <is>
          <t>No</t>
        </is>
      </c>
      <c r="N966" s="18" t="inlineStr"/>
      <c r="O966" s="18" t="inlineStr"/>
      <c r="P966" s="18" t="inlineStr">
        <is>
          <t>Mapeada en legal-management-service/src/entities/documento.entity.ts:34 (Documento.archivoMimeType)</t>
        </is>
      </c>
      <c r="Q966" s="18" t="inlineStr">
        <is>
          <t>Propuesta semántica</t>
        </is>
      </c>
      <c r="R966" s="18" t="inlineStr">
        <is>
          <t>Tipo MIME del archivo.</t>
        </is>
      </c>
      <c r="S966" s="18" t="inlineStr">
        <is>
          <t>Alta</t>
        </is>
      </c>
      <c r="T966" s="18" t="inlineStr">
        <is>
          <t>nombre + tipo + columnas vecinas</t>
        </is>
      </c>
      <c r="U966" s="18" t="inlineStr"/>
      <c r="V966" s="19" t="inlineStr">
        <is>
          <t>Pendiente</t>
        </is>
      </c>
      <c r="W966" s="19" t="inlineStr"/>
      <c r="X966" s="19" t="inlineStr"/>
      <c r="Y966" s="20" t="n"/>
      <c r="Z966" s="19" t="inlineStr"/>
      <c r="AA966" s="18">
        <f>IF(OR(V966="Aprobada"),R966,IF(AND(OR(V966="Aprobada con ajuste",V966="Rechazada"),W966&lt;&gt;""),W966,""))</f>
        <v/>
      </c>
    </row>
    <row r="967">
      <c r="A967" s="18" t="inlineStr">
        <is>
          <t>C0966</t>
        </is>
      </c>
      <c r="B967" s="18" t="inlineStr">
        <is>
          <t>Gestión jurídica</t>
        </is>
      </c>
      <c r="C967" s="18" t="inlineStr">
        <is>
          <t>legal_management</t>
        </is>
      </c>
      <c r="D967" s="18" t="inlineStr">
        <is>
          <t>documentos</t>
        </is>
      </c>
      <c r="E967" s="18" t="n">
        <v>157</v>
      </c>
      <c r="F967" s="18" t="inlineStr">
        <is>
          <t>fecha_documento</t>
        </is>
      </c>
      <c r="G967" s="18" t="inlineStr">
        <is>
          <t>date</t>
        </is>
      </c>
      <c r="H967" s="18" t="inlineStr">
        <is>
          <t>Sí</t>
        </is>
      </c>
      <c r="I967" s="18" t="inlineStr"/>
      <c r="J967" s="18" t="inlineStr"/>
      <c r="K967" s="18" t="inlineStr"/>
      <c r="L967" s="18" t="inlineStr">
        <is>
          <t>No</t>
        </is>
      </c>
      <c r="M967" s="18" t="inlineStr">
        <is>
          <t>No</t>
        </is>
      </c>
      <c r="N967" s="18" t="inlineStr"/>
      <c r="O967" s="18" t="inlineStr">
        <is>
          <t>idx_documentos_fecha</t>
        </is>
      </c>
      <c r="P967" s="18" t="inlineStr">
        <is>
          <t>db/migrations/old/045_create_documentos_table.sql:24: Metadatos Fecha del documento (diferente a fecha de carga)</t>
        </is>
      </c>
      <c r="Q967" s="18" t="inlineStr">
        <is>
          <t>Código fuente</t>
        </is>
      </c>
      <c r="R967" s="18" t="inlineStr">
        <is>
          <t>Fecha del documento, distinta de la fecha de carga.</t>
        </is>
      </c>
      <c r="S967" s="18" t="inlineStr">
        <is>
          <t>Alta</t>
        </is>
      </c>
      <c r="T967" s="18" t="inlineStr">
        <is>
          <t>código: db/migrations/old/045_create_documentos_table.sql:24</t>
        </is>
      </c>
      <c r="U967" s="18" t="inlineStr"/>
      <c r="V967" s="19" t="inlineStr">
        <is>
          <t>Pendiente</t>
        </is>
      </c>
      <c r="W967" s="19" t="inlineStr"/>
      <c r="X967" s="19" t="inlineStr"/>
      <c r="Y967" s="20" t="n"/>
      <c r="Z967" s="19" t="inlineStr"/>
      <c r="AA967" s="18">
        <f>IF(OR(V967="Aprobada"),R967,IF(AND(OR(V967="Aprobada con ajuste",V967="Rechazada"),W967&lt;&gt;""),W967,""))</f>
        <v/>
      </c>
    </row>
    <row r="968">
      <c r="A968" s="18" t="inlineStr">
        <is>
          <t>C0967</t>
        </is>
      </c>
      <c r="B968" s="18" t="inlineStr">
        <is>
          <t>Gestión jurídica</t>
        </is>
      </c>
      <c r="C968" s="18" t="inlineStr">
        <is>
          <t>legal_management</t>
        </is>
      </c>
      <c r="D968" s="18" t="inlineStr">
        <is>
          <t>documentos</t>
        </is>
      </c>
      <c r="E968" s="18" t="n">
        <v>157</v>
      </c>
      <c r="F968" s="18" t="inlineStr">
        <is>
          <t>numero_folios</t>
        </is>
      </c>
      <c r="G968" s="18" t="inlineStr">
        <is>
          <t>integer</t>
        </is>
      </c>
      <c r="H968" s="18" t="inlineStr">
        <is>
          <t>Sí</t>
        </is>
      </c>
      <c r="I968" s="18" t="inlineStr"/>
      <c r="J968" s="18" t="inlineStr"/>
      <c r="K968" s="18" t="inlineStr"/>
      <c r="L968" s="18" t="inlineStr">
        <is>
          <t>No</t>
        </is>
      </c>
      <c r="M968" s="18" t="inlineStr">
        <is>
          <t>No</t>
        </is>
      </c>
      <c r="N968" s="18" t="inlineStr"/>
      <c r="O968" s="18" t="inlineStr"/>
      <c r="P968" s="18" t="inlineStr">
        <is>
          <t>Mapeada en legal-management-service/src/entities/documento.entity.ts:40 (Documento.numeroFolios)</t>
        </is>
      </c>
      <c r="Q968" s="18" t="inlineStr">
        <is>
          <t>Propuesta semántica</t>
        </is>
      </c>
      <c r="R968" s="18" t="inlineStr">
        <is>
          <t>Número de folios del documento.</t>
        </is>
      </c>
      <c r="S968" s="18" t="inlineStr">
        <is>
          <t>Alta</t>
        </is>
      </c>
      <c r="T968" s="18" t="inlineStr">
        <is>
          <t>nombre + tipo + columnas vecinas</t>
        </is>
      </c>
      <c r="U968" s="18" t="inlineStr"/>
      <c r="V968" s="19" t="inlineStr">
        <is>
          <t>Pendiente</t>
        </is>
      </c>
      <c r="W968" s="19" t="inlineStr"/>
      <c r="X968" s="19" t="inlineStr"/>
      <c r="Y968" s="20" t="n"/>
      <c r="Z968" s="19" t="inlineStr"/>
      <c r="AA968" s="18">
        <f>IF(OR(V968="Aprobada"),R968,IF(AND(OR(V968="Aprobada con ajuste",V968="Rechazada"),W968&lt;&gt;""),W968,""))</f>
        <v/>
      </c>
    </row>
    <row r="969">
      <c r="A969" s="18" t="inlineStr">
        <is>
          <t>C0968</t>
        </is>
      </c>
      <c r="B969" s="18" t="inlineStr">
        <is>
          <t>Gestión jurídica</t>
        </is>
      </c>
      <c r="C969" s="18" t="inlineStr">
        <is>
          <t>legal_management</t>
        </is>
      </c>
      <c r="D969" s="18" t="inlineStr">
        <is>
          <t>documentos</t>
        </is>
      </c>
      <c r="E969" s="18" t="n">
        <v>157</v>
      </c>
      <c r="F969" s="18" t="inlineStr">
        <is>
          <t>confidencial</t>
        </is>
      </c>
      <c r="G969" s="18" t="inlineStr">
        <is>
          <t>boolean</t>
        </is>
      </c>
      <c r="H969" s="18" t="inlineStr">
        <is>
          <t>Sí</t>
        </is>
      </c>
      <c r="I969" s="18" t="inlineStr"/>
      <c r="J969" s="18" t="inlineStr"/>
      <c r="K969" s="18" t="inlineStr"/>
      <c r="L969" s="18" t="inlineStr">
        <is>
          <t>No</t>
        </is>
      </c>
      <c r="M969" s="18" t="inlineStr">
        <is>
          <t>No</t>
        </is>
      </c>
      <c r="N969" s="18" t="inlineStr"/>
      <c r="O969" s="18" t="inlineStr"/>
      <c r="P969" s="18" t="inlineStr">
        <is>
          <t>Mapeada en legal-management-service/src/entities/documento.entity.ts:43 (Documento.confidencial)</t>
        </is>
      </c>
      <c r="Q969" s="18" t="inlineStr">
        <is>
          <t>Regla estructural</t>
        </is>
      </c>
      <c r="R969" s="18" t="inlineStr">
        <is>
          <t>Indica si aplica: confidencial.</t>
        </is>
      </c>
      <c r="S969" s="18" t="inlineStr">
        <is>
          <t>Media</t>
        </is>
      </c>
      <c r="T969" s="18" t="inlineStr">
        <is>
          <t>Convención de nombre de la columna.</t>
        </is>
      </c>
      <c r="U969" s="18" t="inlineStr"/>
      <c r="V969" s="19" t="inlineStr">
        <is>
          <t>Pendiente</t>
        </is>
      </c>
      <c r="W969" s="19" t="inlineStr"/>
      <c r="X969" s="19" t="inlineStr"/>
      <c r="Y969" s="20" t="n"/>
      <c r="Z969" s="19" t="inlineStr"/>
      <c r="AA969" s="18">
        <f>IF(OR(V969="Aprobada"),R969,IF(AND(OR(V969="Aprobada con ajuste",V969="Rechazada"),W969&lt;&gt;""),W969,""))</f>
        <v/>
      </c>
    </row>
    <row r="970">
      <c r="A970" s="18" t="inlineStr">
        <is>
          <t>C0969</t>
        </is>
      </c>
      <c r="B970" s="18" t="inlineStr">
        <is>
          <t>Gestión jurídica</t>
        </is>
      </c>
      <c r="C970" s="18" t="inlineStr">
        <is>
          <t>legal_management</t>
        </is>
      </c>
      <c r="D970" s="18" t="inlineStr">
        <is>
          <t>documentos</t>
        </is>
      </c>
      <c r="E970" s="18" t="n">
        <v>157</v>
      </c>
      <c r="F970" s="18" t="inlineStr">
        <is>
          <t>subido_por</t>
        </is>
      </c>
      <c r="G970" s="18" t="inlineStr">
        <is>
          <t>character varying(255)</t>
        </is>
      </c>
      <c r="H970" s="18" t="inlineStr">
        <is>
          <t>Sí</t>
        </is>
      </c>
      <c r="I970" s="18" t="inlineStr"/>
      <c r="J970" s="18" t="inlineStr"/>
      <c r="K970" s="18" t="inlineStr"/>
      <c r="L970" s="18" t="inlineStr">
        <is>
          <t>No</t>
        </is>
      </c>
      <c r="M970" s="18" t="inlineStr">
        <is>
          <t>No</t>
        </is>
      </c>
      <c r="N970" s="18" t="inlineStr"/>
      <c r="O970" s="18" t="inlineStr"/>
      <c r="P970" s="18" t="inlineStr">
        <is>
          <t>db/migrations/old/045_create_documentos_table.sql:29: Auditoría</t>
        </is>
      </c>
      <c r="Q970" s="18" t="inlineStr">
        <is>
          <t>Código fuente</t>
        </is>
      </c>
      <c r="R970" s="18" t="inlineStr">
        <is>
          <t>Usuario que cargó el documento.</t>
        </is>
      </c>
      <c r="S970" s="18" t="inlineStr">
        <is>
          <t>Media</t>
        </is>
      </c>
      <c r="T970" s="18" t="inlineStr">
        <is>
          <t>código: db/migrations/old/045_create_documentos_table.sql:29 (sección de auditoría)</t>
        </is>
      </c>
      <c r="U970" s="18" t="inlineStr">
        <is>
          <t>¿Guarda el identificador o el nombre del usuario?</t>
        </is>
      </c>
      <c r="V970" s="19" t="inlineStr">
        <is>
          <t>Pendiente</t>
        </is>
      </c>
      <c r="W970" s="19" t="inlineStr"/>
      <c r="X970" s="19" t="inlineStr"/>
      <c r="Y970" s="20" t="n"/>
      <c r="Z970" s="19" t="inlineStr"/>
      <c r="AA970" s="18">
        <f>IF(OR(V970="Aprobada"),R970,IF(AND(OR(V970="Aprobada con ajuste",V970="Rechazada"),W970&lt;&gt;""),W970,""))</f>
        <v/>
      </c>
    </row>
    <row r="971">
      <c r="A971" s="18" t="inlineStr">
        <is>
          <t>C0970</t>
        </is>
      </c>
      <c r="B971" s="18" t="inlineStr">
        <is>
          <t>Gestión jurídica</t>
        </is>
      </c>
      <c r="C971" s="18" t="inlineStr">
        <is>
          <t>legal_management</t>
        </is>
      </c>
      <c r="D971" s="18" t="inlineStr">
        <is>
          <t>documentos</t>
        </is>
      </c>
      <c r="E971" s="18" t="n">
        <v>157</v>
      </c>
      <c r="F971" s="18" t="inlineStr">
        <is>
          <t>categoria</t>
        </is>
      </c>
      <c r="G971" s="18" t="inlineStr">
        <is>
          <t>character varying(50)</t>
        </is>
      </c>
      <c r="H971" s="18" t="inlineStr">
        <is>
          <t>Sí</t>
        </is>
      </c>
      <c r="I971" s="18" t="inlineStr"/>
      <c r="J971" s="18" t="inlineStr"/>
      <c r="K971" s="18" t="inlineStr"/>
      <c r="L971" s="18" t="inlineStr">
        <is>
          <t>No</t>
        </is>
      </c>
      <c r="M971" s="18" t="inlineStr">
        <is>
          <t>No</t>
        </is>
      </c>
      <c r="N971" s="18" t="inlineStr"/>
      <c r="O971" s="18" t="inlineStr"/>
      <c r="P971" s="18" t="inlineStr">
        <is>
          <t>Mapeada en legal-management-service/src/entities/documento.entity.ts:49 (Documento.categoria)</t>
        </is>
      </c>
      <c r="Q971" s="18" t="inlineStr">
        <is>
          <t>Propuesta semántica</t>
        </is>
      </c>
      <c r="R971" s="18" t="inlineStr">
        <is>
          <t>Categoría del documento. Valor por defecto: documentos.</t>
        </is>
      </c>
      <c r="S971" s="18" t="inlineStr">
        <is>
          <t>Media</t>
        </is>
      </c>
      <c r="T971" s="18" t="inlineStr">
        <is>
          <t>nombre + tipo + columnas vecinas + defecto</t>
        </is>
      </c>
      <c r="U971" s="18" t="inlineStr">
        <is>
          <t>¿Qué otros valores admite categoria?</t>
        </is>
      </c>
      <c r="V971" s="19" t="inlineStr">
        <is>
          <t>Pendiente</t>
        </is>
      </c>
      <c r="W971" s="19" t="inlineStr"/>
      <c r="X971" s="19" t="inlineStr"/>
      <c r="Y971" s="20" t="n"/>
      <c r="Z971" s="19" t="inlineStr"/>
      <c r="AA971" s="18">
        <f>IF(OR(V971="Aprobada"),R971,IF(AND(OR(V971="Aprobada con ajuste",V971="Rechazada"),W971&lt;&gt;""),W971,""))</f>
        <v/>
      </c>
    </row>
    <row r="972">
      <c r="A972" s="18" t="inlineStr">
        <is>
          <t>C0971</t>
        </is>
      </c>
      <c r="B972" s="18" t="inlineStr">
        <is>
          <t>Gestión jurídica</t>
        </is>
      </c>
      <c r="C972" s="18" t="inlineStr">
        <is>
          <t>legal_management</t>
        </is>
      </c>
      <c r="D972" s="18" t="inlineStr">
        <is>
          <t>documentos_consulta</t>
        </is>
      </c>
      <c r="E972" s="18" t="n">
        <v>25</v>
      </c>
      <c r="F972" s="18" t="inlineStr">
        <is>
          <t>nombre</t>
        </is>
      </c>
      <c r="G972" s="18" t="inlineStr">
        <is>
          <t>character varying(255)</t>
        </is>
      </c>
      <c r="H972" s="18" t="inlineStr">
        <is>
          <t>No</t>
        </is>
      </c>
      <c r="I972" s="18" t="inlineStr"/>
      <c r="J972" s="18" t="inlineStr"/>
      <c r="K972" s="18" t="inlineStr"/>
      <c r="L972" s="18" t="inlineStr">
        <is>
          <t>No</t>
        </is>
      </c>
      <c r="M972" s="18" t="inlineStr">
        <is>
          <t>No</t>
        </is>
      </c>
      <c r="N972" s="18" t="inlineStr"/>
      <c r="O972" s="18" t="inlineStr"/>
      <c r="P972" s="18" t="inlineStr">
        <is>
          <t>Mapeada en legal-management-service/src/entities/documento-consulta.entity.ts:16 (DocumentoConsulta.nombre)</t>
        </is>
      </c>
      <c r="Q972" s="18" t="inlineStr">
        <is>
          <t>Regla estructural</t>
        </is>
      </c>
      <c r="R972" s="18" t="inlineStr">
        <is>
          <t>Nombre del registro de documentos_consulta.</t>
        </is>
      </c>
      <c r="S972" s="18" t="inlineStr">
        <is>
          <t>Media</t>
        </is>
      </c>
      <c r="T972" s="18" t="inlineStr">
        <is>
          <t>Convención de nombre de la columna.</t>
        </is>
      </c>
      <c r="U972" s="18" t="inlineStr"/>
      <c r="V972" s="19" t="inlineStr">
        <is>
          <t>Pendiente</t>
        </is>
      </c>
      <c r="W972" s="19" t="inlineStr"/>
      <c r="X972" s="19" t="inlineStr"/>
      <c r="Y972" s="20" t="n"/>
      <c r="Z972" s="19" t="inlineStr"/>
      <c r="AA972" s="18">
        <f>IF(OR(V972="Aprobada"),R972,IF(AND(OR(V972="Aprobada con ajuste",V972="Rechazada"),W972&lt;&gt;""),W972,""))</f>
        <v/>
      </c>
    </row>
    <row r="973">
      <c r="A973" s="18" t="inlineStr">
        <is>
          <t>C0972</t>
        </is>
      </c>
      <c r="B973" s="18" t="inlineStr">
        <is>
          <t>Gestión jurídica</t>
        </is>
      </c>
      <c r="C973" s="18" t="inlineStr">
        <is>
          <t>legal_management</t>
        </is>
      </c>
      <c r="D973" s="18" t="inlineStr">
        <is>
          <t>documentos_consulta</t>
        </is>
      </c>
      <c r="E973" s="18" t="n">
        <v>25</v>
      </c>
      <c r="F973" s="18" t="inlineStr">
        <is>
          <t>descripcion</t>
        </is>
      </c>
      <c r="G973" s="18" t="inlineStr">
        <is>
          <t>text</t>
        </is>
      </c>
      <c r="H973" s="18" t="inlineStr">
        <is>
          <t>Sí</t>
        </is>
      </c>
      <c r="I973" s="18" t="inlineStr"/>
      <c r="J973" s="18" t="inlineStr"/>
      <c r="K973" s="18" t="inlineStr"/>
      <c r="L973" s="18" t="inlineStr">
        <is>
          <t>No</t>
        </is>
      </c>
      <c r="M973" s="18" t="inlineStr">
        <is>
          <t>No</t>
        </is>
      </c>
      <c r="N973" s="18" t="inlineStr"/>
      <c r="O973" s="18" t="inlineStr"/>
      <c r="P973" s="18" t="inlineStr">
        <is>
          <t>Mapeada en legal-management-service/src/entities/documento-consulta.entity.ts:22 (DocumentoConsulta.descripcion)</t>
        </is>
      </c>
      <c r="Q973" s="18" t="inlineStr">
        <is>
          <t>Regla estructural</t>
        </is>
      </c>
      <c r="R973" s="18" t="inlineStr">
        <is>
          <t>Descripción del registro de documentos_consulta.</t>
        </is>
      </c>
      <c r="S973" s="18" t="inlineStr">
        <is>
          <t>Media</t>
        </is>
      </c>
      <c r="T973" s="18" t="inlineStr">
        <is>
          <t>Convención de nombre de la columna.</t>
        </is>
      </c>
      <c r="U973" s="18" t="inlineStr"/>
      <c r="V973" s="19" t="inlineStr">
        <is>
          <t>Pendiente</t>
        </is>
      </c>
      <c r="W973" s="19" t="inlineStr"/>
      <c r="X973" s="19" t="inlineStr"/>
      <c r="Y973" s="20" t="n"/>
      <c r="Z973" s="19" t="inlineStr"/>
      <c r="AA973" s="18">
        <f>IF(OR(V973="Aprobada"),R973,IF(AND(OR(V973="Aprobada con ajuste",V973="Rechazada"),W973&lt;&gt;""),W973,""))</f>
        <v/>
      </c>
    </row>
    <row r="974">
      <c r="A974" s="18" t="inlineStr">
        <is>
          <t>C0973</t>
        </is>
      </c>
      <c r="B974" s="18" t="inlineStr">
        <is>
          <t>Gestión jurídica</t>
        </is>
      </c>
      <c r="C974" s="18" t="inlineStr">
        <is>
          <t>legal_management</t>
        </is>
      </c>
      <c r="D974" s="18" t="inlineStr">
        <is>
          <t>documentos_consulta</t>
        </is>
      </c>
      <c r="E974" s="18" t="n">
        <v>25</v>
      </c>
      <c r="F974" s="18" t="inlineStr">
        <is>
          <t>archivo_url</t>
        </is>
      </c>
      <c r="G974" s="18" t="inlineStr">
        <is>
          <t>text</t>
        </is>
      </c>
      <c r="H974" s="18" t="inlineStr">
        <is>
          <t>Sí</t>
        </is>
      </c>
      <c r="I974" s="18" t="inlineStr"/>
      <c r="J974" s="18" t="inlineStr"/>
      <c r="K974" s="18" t="inlineStr"/>
      <c r="L974" s="18" t="inlineStr">
        <is>
          <t>No</t>
        </is>
      </c>
      <c r="M974" s="18" t="inlineStr">
        <is>
          <t>No</t>
        </is>
      </c>
      <c r="N974" s="18" t="inlineStr"/>
      <c r="O974" s="18" t="inlineStr"/>
      <c r="P974" s="18" t="inlineStr">
        <is>
          <t>Mapeada en legal-management-service/src/entities/documento-consulta.entity.ts:25 (DocumentoConsulta.archivoUrl)</t>
        </is>
      </c>
      <c r="Q974" s="18" t="inlineStr">
        <is>
          <t>Propuesta semántica</t>
        </is>
      </c>
      <c r="R974" s="18" t="inlineStr">
        <is>
          <t>URL del archivo del documento.</t>
        </is>
      </c>
      <c r="S974" s="18" t="inlineStr">
        <is>
          <t>Alta</t>
        </is>
      </c>
      <c r="T974" s="18" t="inlineStr">
        <is>
          <t>nombre + tipo + columnas vecinas</t>
        </is>
      </c>
      <c r="U974" s="18" t="inlineStr"/>
      <c r="V974" s="19" t="inlineStr">
        <is>
          <t>Pendiente</t>
        </is>
      </c>
      <c r="W974" s="19" t="inlineStr"/>
      <c r="X974" s="19" t="inlineStr"/>
      <c r="Y974" s="20" t="n"/>
      <c r="Z974" s="19" t="inlineStr"/>
      <c r="AA974" s="18">
        <f>IF(OR(V974="Aprobada"),R974,IF(AND(OR(V974="Aprobada con ajuste",V974="Rechazada"),W974&lt;&gt;""),W974,""))</f>
        <v/>
      </c>
    </row>
    <row r="975">
      <c r="A975" s="18" t="inlineStr">
        <is>
          <t>C0974</t>
        </is>
      </c>
      <c r="B975" s="18" t="inlineStr">
        <is>
          <t>Gestión jurídica</t>
        </is>
      </c>
      <c r="C975" s="18" t="inlineStr">
        <is>
          <t>legal_management</t>
        </is>
      </c>
      <c r="D975" s="18" t="inlineStr">
        <is>
          <t>documentos_consulta</t>
        </is>
      </c>
      <c r="E975" s="18" t="n">
        <v>25</v>
      </c>
      <c r="F975" s="18" t="inlineStr">
        <is>
          <t>archivo_nombre_original</t>
        </is>
      </c>
      <c r="G975" s="18" t="inlineStr">
        <is>
          <t>character varying(255)</t>
        </is>
      </c>
      <c r="H975" s="18" t="inlineStr">
        <is>
          <t>Sí</t>
        </is>
      </c>
      <c r="I975" s="18" t="inlineStr"/>
      <c r="J975" s="18" t="inlineStr"/>
      <c r="K975" s="18" t="inlineStr"/>
      <c r="L975" s="18" t="inlineStr">
        <is>
          <t>No</t>
        </is>
      </c>
      <c r="M975" s="18" t="inlineStr">
        <is>
          <t>No</t>
        </is>
      </c>
      <c r="N975" s="18" t="inlineStr"/>
      <c r="O975" s="18" t="inlineStr"/>
      <c r="P975" s="18" t="inlineStr">
        <is>
          <t>Mapeada en legal-management-service/src/entities/documento-consulta.entity.ts:28 (DocumentoConsulta.archivoNombreOriginal)</t>
        </is>
      </c>
      <c r="Q975" s="18" t="inlineStr">
        <is>
          <t>Propuesta semántica</t>
        </is>
      </c>
      <c r="R975" s="18" t="inlineStr">
        <is>
          <t>Nombre original del archivo cargado.</t>
        </is>
      </c>
      <c r="S975" s="18" t="inlineStr">
        <is>
          <t>Alta</t>
        </is>
      </c>
      <c r="T975" s="18" t="inlineStr">
        <is>
          <t>nombre + tipo + columnas vecinas</t>
        </is>
      </c>
      <c r="U975" s="18" t="inlineStr"/>
      <c r="V975" s="19" t="inlineStr">
        <is>
          <t>Pendiente</t>
        </is>
      </c>
      <c r="W975" s="19" t="inlineStr"/>
      <c r="X975" s="19" t="inlineStr"/>
      <c r="Y975" s="20" t="n"/>
      <c r="Z975" s="19" t="inlineStr"/>
      <c r="AA975" s="18">
        <f>IF(OR(V975="Aprobada"),R975,IF(AND(OR(V975="Aprobada con ajuste",V975="Rechazada"),W975&lt;&gt;""),W975,""))</f>
        <v/>
      </c>
    </row>
    <row r="976">
      <c r="A976" s="18" t="inlineStr">
        <is>
          <t>C0975</t>
        </is>
      </c>
      <c r="B976" s="18" t="inlineStr">
        <is>
          <t>Gestión jurídica</t>
        </is>
      </c>
      <c r="C976" s="18" t="inlineStr">
        <is>
          <t>legal_management</t>
        </is>
      </c>
      <c r="D976" s="18" t="inlineStr">
        <is>
          <t>documentos_consulta</t>
        </is>
      </c>
      <c r="E976" s="18" t="n">
        <v>25</v>
      </c>
      <c r="F976" s="18" t="inlineStr">
        <is>
          <t>tamano_bytes</t>
        </is>
      </c>
      <c r="G976" s="18" t="inlineStr">
        <is>
          <t>bigint</t>
        </is>
      </c>
      <c r="H976" s="18" t="inlineStr">
        <is>
          <t>Sí</t>
        </is>
      </c>
      <c r="I976" s="18" t="inlineStr"/>
      <c r="J976" s="18" t="inlineStr"/>
      <c r="K976" s="18" t="inlineStr"/>
      <c r="L976" s="18" t="inlineStr">
        <is>
          <t>No</t>
        </is>
      </c>
      <c r="M976" s="18" t="inlineStr">
        <is>
          <t>No</t>
        </is>
      </c>
      <c r="N976" s="18" t="inlineStr"/>
      <c r="O976" s="18" t="inlineStr"/>
      <c r="P976" s="18" t="inlineStr">
        <is>
          <t>Mapeada en legal-management-service/src/entities/documento-consulta.entity.ts:31 (DocumentoConsulta.tamanoBytes)</t>
        </is>
      </c>
      <c r="Q976" s="18" t="inlineStr">
        <is>
          <t>Regla estructural</t>
        </is>
      </c>
      <c r="R976" s="18" t="inlineStr">
        <is>
          <t>Tamaño del archivo en bytes.</t>
        </is>
      </c>
      <c r="S976" s="18" t="inlineStr">
        <is>
          <t>Media</t>
        </is>
      </c>
      <c r="T976" s="18" t="inlineStr">
        <is>
          <t>Convención de nombre de la columna.</t>
        </is>
      </c>
      <c r="U976" s="18" t="inlineStr"/>
      <c r="V976" s="19" t="inlineStr">
        <is>
          <t>Pendiente</t>
        </is>
      </c>
      <c r="W976" s="19" t="inlineStr"/>
      <c r="X976" s="19" t="inlineStr"/>
      <c r="Y976" s="20" t="n"/>
      <c r="Z976" s="19" t="inlineStr"/>
      <c r="AA976" s="18">
        <f>IF(OR(V976="Aprobada"),R976,IF(AND(OR(V976="Aprobada con ajuste",V976="Rechazada"),W976&lt;&gt;""),W976,""))</f>
        <v/>
      </c>
    </row>
    <row r="977">
      <c r="A977" s="18" t="inlineStr">
        <is>
          <t>C0976</t>
        </is>
      </c>
      <c r="B977" s="18" t="inlineStr">
        <is>
          <t>Gestión jurídica</t>
        </is>
      </c>
      <c r="C977" s="18" t="inlineStr">
        <is>
          <t>legal_management</t>
        </is>
      </c>
      <c r="D977" s="18" t="inlineStr">
        <is>
          <t>documentos_consulta</t>
        </is>
      </c>
      <c r="E977" s="18" t="n">
        <v>25</v>
      </c>
      <c r="F977" s="18" t="inlineStr">
        <is>
          <t>mime_type</t>
        </is>
      </c>
      <c r="G977" s="18" t="inlineStr">
        <is>
          <t>character varying(100)</t>
        </is>
      </c>
      <c r="H977" s="18" t="inlineStr">
        <is>
          <t>Sí</t>
        </is>
      </c>
      <c r="I977" s="18" t="inlineStr"/>
      <c r="J977" s="18" t="inlineStr"/>
      <c r="K977" s="18" t="inlineStr"/>
      <c r="L977" s="18" t="inlineStr">
        <is>
          <t>No</t>
        </is>
      </c>
      <c r="M977" s="18" t="inlineStr">
        <is>
          <t>No</t>
        </is>
      </c>
      <c r="N977" s="18" t="inlineStr"/>
      <c r="O977" s="18" t="inlineStr"/>
      <c r="P977" s="18" t="inlineStr">
        <is>
          <t>Mapeada en legal-management-service/src/entities/documento-consulta.entity.ts:34 (DocumentoConsulta.mimeType)</t>
        </is>
      </c>
      <c r="Q977" s="18" t="inlineStr">
        <is>
          <t>Regla estructural</t>
        </is>
      </c>
      <c r="R977" s="18" t="inlineStr">
        <is>
          <t>Tipo MIME del archivo.</t>
        </is>
      </c>
      <c r="S977" s="18" t="inlineStr">
        <is>
          <t>Media</t>
        </is>
      </c>
      <c r="T977" s="18" t="inlineStr">
        <is>
          <t>Convención de nombre de la columna.</t>
        </is>
      </c>
      <c r="U977" s="18" t="inlineStr"/>
      <c r="V977" s="19" t="inlineStr">
        <is>
          <t>Pendiente</t>
        </is>
      </c>
      <c r="W977" s="19" t="inlineStr"/>
      <c r="X977" s="19" t="inlineStr"/>
      <c r="Y977" s="20" t="n"/>
      <c r="Z977" s="19" t="inlineStr"/>
      <c r="AA977" s="18">
        <f>IF(OR(V977="Aprobada"),R977,IF(AND(OR(V977="Aprobada con ajuste",V977="Rechazada"),W977&lt;&gt;""),W977,""))</f>
        <v/>
      </c>
    </row>
    <row r="978">
      <c r="A978" s="18" t="inlineStr">
        <is>
          <t>C0977</t>
        </is>
      </c>
      <c r="B978" s="18" t="inlineStr">
        <is>
          <t>Gestión jurídica</t>
        </is>
      </c>
      <c r="C978" s="18" t="inlineStr">
        <is>
          <t>legal_management</t>
        </is>
      </c>
      <c r="D978" s="18" t="inlineStr">
        <is>
          <t>documentos_consulta</t>
        </is>
      </c>
      <c r="E978" s="18" t="n">
        <v>25</v>
      </c>
      <c r="F978" s="18" t="inlineStr">
        <is>
          <t>subido_por</t>
        </is>
      </c>
      <c r="G978" s="18" t="inlineStr">
        <is>
          <t>character varying(200)</t>
        </is>
      </c>
      <c r="H978" s="18" t="inlineStr">
        <is>
          <t>Sí</t>
        </is>
      </c>
      <c r="I978" s="18" t="inlineStr"/>
      <c r="J978" s="18" t="inlineStr"/>
      <c r="K978" s="18" t="inlineStr"/>
      <c r="L978" s="18" t="inlineStr">
        <is>
          <t>No</t>
        </is>
      </c>
      <c r="M978" s="18" t="inlineStr">
        <is>
          <t>No</t>
        </is>
      </c>
      <c r="N978" s="18" t="inlineStr"/>
      <c r="O978" s="18" t="inlineStr"/>
      <c r="P978" s="18" t="inlineStr">
        <is>
          <t>Mapeada en legal-management-service/src/entities/documento-consulta.entity.ts:37 (DocumentoConsulta.subidoPor)</t>
        </is>
      </c>
      <c r="Q978" s="18" t="inlineStr">
        <is>
          <t>Regla estructural</t>
        </is>
      </c>
      <c r="R978" s="18" t="inlineStr">
        <is>
          <t>Usuario que realizó la carga.</t>
        </is>
      </c>
      <c r="S978" s="18" t="inlineStr">
        <is>
          <t>Media</t>
        </is>
      </c>
      <c r="T978" s="18" t="inlineStr">
        <is>
          <t>Convención de nombre de la columna.</t>
        </is>
      </c>
      <c r="U978" s="18" t="inlineStr"/>
      <c r="V978" s="19" t="inlineStr">
        <is>
          <t>Pendiente</t>
        </is>
      </c>
      <c r="W978" s="19" t="inlineStr"/>
      <c r="X978" s="19" t="inlineStr"/>
      <c r="Y978" s="20" t="n"/>
      <c r="Z978" s="19" t="inlineStr"/>
      <c r="AA978" s="18">
        <f>IF(OR(V978="Aprobada"),R978,IF(AND(OR(V978="Aprobada con ajuste",V978="Rechazada"),W978&lt;&gt;""),W978,""))</f>
        <v/>
      </c>
    </row>
    <row r="979">
      <c r="A979" s="18" t="inlineStr">
        <is>
          <t>C0978</t>
        </is>
      </c>
      <c r="B979" s="18" t="inlineStr">
        <is>
          <t>Gestión jurídica</t>
        </is>
      </c>
      <c r="C979" s="18" t="inlineStr">
        <is>
          <t>legal_management</t>
        </is>
      </c>
      <c r="D979" s="18" t="inlineStr">
        <is>
          <t>documentos_consulta</t>
        </is>
      </c>
      <c r="E979" s="18" t="n">
        <v>25</v>
      </c>
      <c r="F979" s="18" t="inlineStr">
        <is>
          <t>fecha_documento</t>
        </is>
      </c>
      <c r="G979" s="18" t="inlineStr">
        <is>
          <t>date</t>
        </is>
      </c>
      <c r="H979" s="18" t="inlineStr">
        <is>
          <t>Sí</t>
        </is>
      </c>
      <c r="I979" s="18" t="inlineStr"/>
      <c r="J979" s="18" t="inlineStr"/>
      <c r="K979" s="18" t="inlineStr"/>
      <c r="L979" s="18" t="inlineStr">
        <is>
          <t>No</t>
        </is>
      </c>
      <c r="M979" s="18" t="inlineStr">
        <is>
          <t>No</t>
        </is>
      </c>
      <c r="N979" s="18" t="inlineStr"/>
      <c r="O979" s="18" t="inlineStr"/>
      <c r="P979" s="18" t="inlineStr">
        <is>
          <t>Mapeada en legal-management-service/src/entities/documento-consulta.entity.ts:43 (DocumentoConsulta.fechaDocumento)</t>
        </is>
      </c>
      <c r="Q979" s="18" t="inlineStr">
        <is>
          <t>Regla estructural</t>
        </is>
      </c>
      <c r="R979" s="18" t="inlineStr">
        <is>
          <t>Fecha de documento.</t>
        </is>
      </c>
      <c r="S979" s="18" t="inlineStr">
        <is>
          <t>Media</t>
        </is>
      </c>
      <c r="T979" s="18" t="inlineStr">
        <is>
          <t>Convención de nombre de la columna.</t>
        </is>
      </c>
      <c r="U979" s="18" t="inlineStr"/>
      <c r="V979" s="19" t="inlineStr">
        <is>
          <t>Pendiente</t>
        </is>
      </c>
      <c r="W979" s="19" t="inlineStr"/>
      <c r="X979" s="19" t="inlineStr"/>
      <c r="Y979" s="20" t="n"/>
      <c r="Z979" s="19" t="inlineStr"/>
      <c r="AA979" s="18">
        <f>IF(OR(V979="Aprobada"),R979,IF(AND(OR(V979="Aprobada con ajuste",V979="Rechazada"),W979&lt;&gt;""),W979,""))</f>
        <v/>
      </c>
    </row>
    <row r="980">
      <c r="A980" s="18" t="inlineStr">
        <is>
          <t>C0979</t>
        </is>
      </c>
      <c r="B980" s="18" t="inlineStr">
        <is>
          <t>Gestión jurídica</t>
        </is>
      </c>
      <c r="C980" s="18" t="inlineStr">
        <is>
          <t>legal_management</t>
        </is>
      </c>
      <c r="D980" s="18" t="inlineStr">
        <is>
          <t>documentos_oc</t>
        </is>
      </c>
      <c r="E980" s="18" t="n">
        <v>21</v>
      </c>
      <c r="F980" s="18" t="inlineStr">
        <is>
          <t>nombre</t>
        </is>
      </c>
      <c r="G980" s="18" t="inlineStr">
        <is>
          <t>character varying(255)</t>
        </is>
      </c>
      <c r="H980" s="18" t="inlineStr">
        <is>
          <t>No</t>
        </is>
      </c>
      <c r="I980" s="18" t="inlineStr"/>
      <c r="J980" s="18" t="inlineStr"/>
      <c r="K980" s="18" t="inlineStr"/>
      <c r="L980" s="18" t="inlineStr">
        <is>
          <t>No</t>
        </is>
      </c>
      <c r="M980" s="18" t="inlineStr">
        <is>
          <t>No</t>
        </is>
      </c>
      <c r="N980" s="18" t="inlineStr"/>
      <c r="O980" s="18" t="inlineStr"/>
      <c r="P980" s="18" t="inlineStr">
        <is>
          <t>Mapeada en legal-management-service/src/entities/documento-oc.entity.ts:16 (DocumentoOC.nombre)</t>
        </is>
      </c>
      <c r="Q980" s="18" t="inlineStr">
        <is>
          <t>Regla estructural</t>
        </is>
      </c>
      <c r="R980" s="18" t="inlineStr">
        <is>
          <t>Nombre del registro de documentos_oc.</t>
        </is>
      </c>
      <c r="S980" s="18" t="inlineStr">
        <is>
          <t>Media</t>
        </is>
      </c>
      <c r="T980" s="18" t="inlineStr">
        <is>
          <t>Convención de nombre de la columna.</t>
        </is>
      </c>
      <c r="U980" s="18" t="inlineStr"/>
      <c r="V980" s="19" t="inlineStr">
        <is>
          <t>Pendiente</t>
        </is>
      </c>
      <c r="W980" s="19" t="inlineStr"/>
      <c r="X980" s="19" t="inlineStr"/>
      <c r="Y980" s="20" t="n"/>
      <c r="Z980" s="19" t="inlineStr"/>
      <c r="AA980" s="18">
        <f>IF(OR(V980="Aprobada"),R980,IF(AND(OR(V980="Aprobada con ajuste",V980="Rechazada"),W980&lt;&gt;""),W980,""))</f>
        <v/>
      </c>
    </row>
    <row r="981">
      <c r="A981" s="18" t="inlineStr">
        <is>
          <t>C0980</t>
        </is>
      </c>
      <c r="B981" s="18" t="inlineStr">
        <is>
          <t>Gestión jurídica</t>
        </is>
      </c>
      <c r="C981" s="18" t="inlineStr">
        <is>
          <t>legal_management</t>
        </is>
      </c>
      <c r="D981" s="18" t="inlineStr">
        <is>
          <t>documentos_oc</t>
        </is>
      </c>
      <c r="E981" s="18" t="n">
        <v>21</v>
      </c>
      <c r="F981" s="18" t="inlineStr">
        <is>
          <t>tipo_documento</t>
        </is>
      </c>
      <c r="G981" s="18" t="inlineStr">
        <is>
          <t>character varying(50)</t>
        </is>
      </c>
      <c r="H981" s="18" t="inlineStr">
        <is>
          <t>Sí</t>
        </is>
      </c>
      <c r="I981" s="18" t="inlineStr">
        <is>
          <t>CHECK</t>
        </is>
      </c>
      <c r="J981" s="18" t="inlineStr">
        <is>
          <t>acuse, anexo, evidencia, informe, oficio, otro, respuesta</t>
        </is>
      </c>
      <c r="K981" s="18" t="inlineStr"/>
      <c r="L981" s="18" t="inlineStr">
        <is>
          <t>Sí</t>
        </is>
      </c>
      <c r="M981" s="18" t="inlineStr">
        <is>
          <t>No</t>
        </is>
      </c>
      <c r="N981" s="18" t="inlineStr"/>
      <c r="O981" s="18" t="inlineStr">
        <is>
          <t>idx_documentos_oc_tipo</t>
        </is>
      </c>
      <c r="P981" s="18" t="inlineStr">
        <is>
          <t>Mapeada en legal-management-service/src/entities/documento-oc.entity.ts:19 (DocumentoOC.tipoDocumento)</t>
        </is>
      </c>
      <c r="Q981" s="18" t="inlineStr">
        <is>
          <t>Propuesta semántica</t>
        </is>
      </c>
      <c r="R981" s="18" t="inlineStr">
        <is>
          <t>Tipo de documento. Valores permitidos: acuse, anexo, evidencia, informe, oficio, otro, respuesta. Valor por defecto: otro.</t>
        </is>
      </c>
      <c r="S981" s="18" t="inlineStr">
        <is>
          <t>Alta</t>
        </is>
      </c>
      <c r="T981" s="18" t="inlineStr">
        <is>
          <t>valores permitidos del CHECK + defecto</t>
        </is>
      </c>
      <c r="U981" s="18" t="inlineStr"/>
      <c r="V981" s="19" t="inlineStr">
        <is>
          <t>Pendiente</t>
        </is>
      </c>
      <c r="W981" s="19" t="inlineStr"/>
      <c r="X981" s="19" t="inlineStr"/>
      <c r="Y981" s="20" t="n"/>
      <c r="Z981" s="19" t="inlineStr"/>
      <c r="AA981" s="18">
        <f>IF(OR(V981="Aprobada"),R981,IF(AND(OR(V981="Aprobada con ajuste",V981="Rechazada"),W981&lt;&gt;""),W981,""))</f>
        <v/>
      </c>
    </row>
    <row r="982">
      <c r="A982" s="18" t="inlineStr">
        <is>
          <t>C0981</t>
        </is>
      </c>
      <c r="B982" s="18" t="inlineStr">
        <is>
          <t>Gestión jurídica</t>
        </is>
      </c>
      <c r="C982" s="18" t="inlineStr">
        <is>
          <t>legal_management</t>
        </is>
      </c>
      <c r="D982" s="18" t="inlineStr">
        <is>
          <t>documentos_oc</t>
        </is>
      </c>
      <c r="E982" s="18" t="n">
        <v>21</v>
      </c>
      <c r="F982" s="18" t="inlineStr">
        <is>
          <t>descripcion</t>
        </is>
      </c>
      <c r="G982" s="18" t="inlineStr">
        <is>
          <t>text</t>
        </is>
      </c>
      <c r="H982" s="18" t="inlineStr">
        <is>
          <t>Sí</t>
        </is>
      </c>
      <c r="I982" s="18" t="inlineStr"/>
      <c r="J982" s="18" t="inlineStr"/>
      <c r="K982" s="18" t="inlineStr"/>
      <c r="L982" s="18" t="inlineStr">
        <is>
          <t>No</t>
        </is>
      </c>
      <c r="M982" s="18" t="inlineStr">
        <is>
          <t>No</t>
        </is>
      </c>
      <c r="N982" s="18" t="inlineStr"/>
      <c r="O982" s="18" t="inlineStr"/>
      <c r="P982" s="18" t="inlineStr">
        <is>
          <t>Mapeada en legal-management-service/src/entities/documento-oc.entity.ts:22 (DocumentoOC.descripcion)</t>
        </is>
      </c>
      <c r="Q982" s="18" t="inlineStr">
        <is>
          <t>Regla estructural</t>
        </is>
      </c>
      <c r="R982" s="18" t="inlineStr">
        <is>
          <t>Descripción del registro de documentos_oc.</t>
        </is>
      </c>
      <c r="S982" s="18" t="inlineStr">
        <is>
          <t>Media</t>
        </is>
      </c>
      <c r="T982" s="18" t="inlineStr">
        <is>
          <t>Convención de nombre de la columna.</t>
        </is>
      </c>
      <c r="U982" s="18" t="inlineStr"/>
      <c r="V982" s="19" t="inlineStr">
        <is>
          <t>Pendiente</t>
        </is>
      </c>
      <c r="W982" s="19" t="inlineStr"/>
      <c r="X982" s="19" t="inlineStr"/>
      <c r="Y982" s="20" t="n"/>
      <c r="Z982" s="19" t="inlineStr"/>
      <c r="AA982" s="18">
        <f>IF(OR(V982="Aprobada"),R982,IF(AND(OR(V982="Aprobada con ajuste",V982="Rechazada"),W982&lt;&gt;""),W982,""))</f>
        <v/>
      </c>
    </row>
    <row r="983">
      <c r="A983" s="18" t="inlineStr">
        <is>
          <t>C0982</t>
        </is>
      </c>
      <c r="B983" s="18" t="inlineStr">
        <is>
          <t>Gestión jurídica</t>
        </is>
      </c>
      <c r="C983" s="18" t="inlineStr">
        <is>
          <t>legal_management</t>
        </is>
      </c>
      <c r="D983" s="18" t="inlineStr">
        <is>
          <t>documentos_oc</t>
        </is>
      </c>
      <c r="E983" s="18" t="n">
        <v>21</v>
      </c>
      <c r="F983" s="18" t="inlineStr">
        <is>
          <t>archivo_url</t>
        </is>
      </c>
      <c r="G983" s="18" t="inlineStr">
        <is>
          <t>text</t>
        </is>
      </c>
      <c r="H983" s="18" t="inlineStr">
        <is>
          <t>Sí</t>
        </is>
      </c>
      <c r="I983" s="18" t="inlineStr"/>
      <c r="J983" s="18" t="inlineStr"/>
      <c r="K983" s="18" t="inlineStr"/>
      <c r="L983" s="18" t="inlineStr">
        <is>
          <t>No</t>
        </is>
      </c>
      <c r="M983" s="18" t="inlineStr">
        <is>
          <t>No</t>
        </is>
      </c>
      <c r="N983" s="18" t="inlineStr"/>
      <c r="O983" s="18" t="inlineStr"/>
      <c r="P983" s="18" t="inlineStr">
        <is>
          <t>Mapeada en legal-management-service/src/entities/documento-oc.entity.ts:25 (DocumentoOC.archivoUrl)</t>
        </is>
      </c>
      <c r="Q983" s="18" t="inlineStr">
        <is>
          <t>Propuesta semántica</t>
        </is>
      </c>
      <c r="R983" s="18" t="inlineStr">
        <is>
          <t>URL del archivo del documento.</t>
        </is>
      </c>
      <c r="S983" s="18" t="inlineStr">
        <is>
          <t>Alta</t>
        </is>
      </c>
      <c r="T983" s="18" t="inlineStr">
        <is>
          <t>nombre + tipo + columnas vecinas</t>
        </is>
      </c>
      <c r="U983" s="18" t="inlineStr"/>
      <c r="V983" s="19" t="inlineStr">
        <is>
          <t>Pendiente</t>
        </is>
      </c>
      <c r="W983" s="19" t="inlineStr"/>
      <c r="X983" s="19" t="inlineStr"/>
      <c r="Y983" s="20" t="n"/>
      <c r="Z983" s="19" t="inlineStr"/>
      <c r="AA983" s="18">
        <f>IF(OR(V983="Aprobada"),R983,IF(AND(OR(V983="Aprobada con ajuste",V983="Rechazada"),W983&lt;&gt;""),W983,""))</f>
        <v/>
      </c>
    </row>
    <row r="984">
      <c r="A984" s="18" t="inlineStr">
        <is>
          <t>C0983</t>
        </is>
      </c>
      <c r="B984" s="18" t="inlineStr">
        <is>
          <t>Gestión jurídica</t>
        </is>
      </c>
      <c r="C984" s="18" t="inlineStr">
        <is>
          <t>legal_management</t>
        </is>
      </c>
      <c r="D984" s="18" t="inlineStr">
        <is>
          <t>documentos_oc</t>
        </is>
      </c>
      <c r="E984" s="18" t="n">
        <v>21</v>
      </c>
      <c r="F984" s="18" t="inlineStr">
        <is>
          <t>tamano_bytes</t>
        </is>
      </c>
      <c r="G984" s="18" t="inlineStr">
        <is>
          <t>bigint</t>
        </is>
      </c>
      <c r="H984" s="18" t="inlineStr">
        <is>
          <t>Sí</t>
        </is>
      </c>
      <c r="I984" s="18" t="inlineStr"/>
      <c r="J984" s="18" t="inlineStr"/>
      <c r="K984" s="18" t="inlineStr"/>
      <c r="L984" s="18" t="inlineStr">
        <is>
          <t>No</t>
        </is>
      </c>
      <c r="M984" s="18" t="inlineStr">
        <is>
          <t>No</t>
        </is>
      </c>
      <c r="N984" s="18" t="inlineStr"/>
      <c r="O984" s="18" t="inlineStr"/>
      <c r="P984" s="18" t="inlineStr">
        <is>
          <t>Mapeada en legal-management-service/src/entities/documento-oc.entity.ts:28 (DocumentoOC.tamanoBytes)</t>
        </is>
      </c>
      <c r="Q984" s="18" t="inlineStr">
        <is>
          <t>Regla estructural</t>
        </is>
      </c>
      <c r="R984" s="18" t="inlineStr">
        <is>
          <t>Tamaño del archivo en bytes.</t>
        </is>
      </c>
      <c r="S984" s="18" t="inlineStr">
        <is>
          <t>Media</t>
        </is>
      </c>
      <c r="T984" s="18" t="inlineStr">
        <is>
          <t>Convención de nombre de la columna.</t>
        </is>
      </c>
      <c r="U984" s="18" t="inlineStr"/>
      <c r="V984" s="19" t="inlineStr">
        <is>
          <t>Pendiente</t>
        </is>
      </c>
      <c r="W984" s="19" t="inlineStr"/>
      <c r="X984" s="19" t="inlineStr"/>
      <c r="Y984" s="20" t="n"/>
      <c r="Z984" s="19" t="inlineStr"/>
      <c r="AA984" s="18">
        <f>IF(OR(V984="Aprobada"),R984,IF(AND(OR(V984="Aprobada con ajuste",V984="Rechazada"),W984&lt;&gt;""),W984,""))</f>
        <v/>
      </c>
    </row>
    <row r="985">
      <c r="A985" s="18" t="inlineStr">
        <is>
          <t>C0984</t>
        </is>
      </c>
      <c r="B985" s="18" t="inlineStr">
        <is>
          <t>Gestión jurídica</t>
        </is>
      </c>
      <c r="C985" s="18" t="inlineStr">
        <is>
          <t>legal_management</t>
        </is>
      </c>
      <c r="D985" s="18" t="inlineStr">
        <is>
          <t>documentos_oc</t>
        </is>
      </c>
      <c r="E985" s="18" t="n">
        <v>21</v>
      </c>
      <c r="F985" s="18" t="inlineStr">
        <is>
          <t>mime_type</t>
        </is>
      </c>
      <c r="G985" s="18" t="inlineStr">
        <is>
          <t>character varying(100)</t>
        </is>
      </c>
      <c r="H985" s="18" t="inlineStr">
        <is>
          <t>Sí</t>
        </is>
      </c>
      <c r="I985" s="18" t="inlineStr"/>
      <c r="J985" s="18" t="inlineStr"/>
      <c r="K985" s="18" t="inlineStr"/>
      <c r="L985" s="18" t="inlineStr">
        <is>
          <t>No</t>
        </is>
      </c>
      <c r="M985" s="18" t="inlineStr">
        <is>
          <t>No</t>
        </is>
      </c>
      <c r="N985" s="18" t="inlineStr"/>
      <c r="O985" s="18" t="inlineStr"/>
      <c r="P985" s="18" t="inlineStr">
        <is>
          <t>Mapeada en legal-management-service/src/entities/documento-oc.entity.ts:31 (DocumentoOC.mimeType)</t>
        </is>
      </c>
      <c r="Q985" s="18" t="inlineStr">
        <is>
          <t>Regla estructural</t>
        </is>
      </c>
      <c r="R985" s="18" t="inlineStr">
        <is>
          <t>Tipo MIME del archivo.</t>
        </is>
      </c>
      <c r="S985" s="18" t="inlineStr">
        <is>
          <t>Media</t>
        </is>
      </c>
      <c r="T985" s="18" t="inlineStr">
        <is>
          <t>Convención de nombre de la columna.</t>
        </is>
      </c>
      <c r="U985" s="18" t="inlineStr"/>
      <c r="V985" s="19" t="inlineStr">
        <is>
          <t>Pendiente</t>
        </is>
      </c>
      <c r="W985" s="19" t="inlineStr"/>
      <c r="X985" s="19" t="inlineStr"/>
      <c r="Y985" s="20" t="n"/>
      <c r="Z985" s="19" t="inlineStr"/>
      <c r="AA985" s="18">
        <f>IF(OR(V985="Aprobada"),R985,IF(AND(OR(V985="Aprobada con ajuste",V985="Rechazada"),W985&lt;&gt;""),W985,""))</f>
        <v/>
      </c>
    </row>
    <row r="986">
      <c r="A986" s="18" t="inlineStr">
        <is>
          <t>C0985</t>
        </is>
      </c>
      <c r="B986" s="18" t="inlineStr">
        <is>
          <t>Gestión jurídica</t>
        </is>
      </c>
      <c r="C986" s="18" t="inlineStr">
        <is>
          <t>legal_management</t>
        </is>
      </c>
      <c r="D986" s="18" t="inlineStr">
        <is>
          <t>documentos_oc</t>
        </is>
      </c>
      <c r="E986" s="18" t="n">
        <v>21</v>
      </c>
      <c r="F986" s="18" t="inlineStr">
        <is>
          <t>subido_por</t>
        </is>
      </c>
      <c r="G986" s="18" t="inlineStr">
        <is>
          <t>character varying(200)</t>
        </is>
      </c>
      <c r="H986" s="18" t="inlineStr">
        <is>
          <t>Sí</t>
        </is>
      </c>
      <c r="I986" s="18" t="inlineStr"/>
      <c r="J986" s="18" t="inlineStr"/>
      <c r="K986" s="18" t="inlineStr"/>
      <c r="L986" s="18" t="inlineStr">
        <is>
          <t>No</t>
        </is>
      </c>
      <c r="M986" s="18" t="inlineStr">
        <is>
          <t>No</t>
        </is>
      </c>
      <c r="N986" s="18" t="inlineStr"/>
      <c r="O986" s="18" t="inlineStr"/>
      <c r="P986" s="18" t="inlineStr">
        <is>
          <t>Mapeada en legal-management-service/src/entities/documento-oc.entity.ts:34 (DocumentoOC.subidoPor)</t>
        </is>
      </c>
      <c r="Q986" s="18" t="inlineStr">
        <is>
          <t>Regla estructural</t>
        </is>
      </c>
      <c r="R986" s="18" t="inlineStr">
        <is>
          <t>Usuario que realizó la carga.</t>
        </is>
      </c>
      <c r="S986" s="18" t="inlineStr">
        <is>
          <t>Media</t>
        </is>
      </c>
      <c r="T986" s="18" t="inlineStr">
        <is>
          <t>Convención de nombre de la columna.</t>
        </is>
      </c>
      <c r="U986" s="18" t="inlineStr"/>
      <c r="V986" s="19" t="inlineStr">
        <is>
          <t>Pendiente</t>
        </is>
      </c>
      <c r="W986" s="19" t="inlineStr"/>
      <c r="X986" s="19" t="inlineStr"/>
      <c r="Y986" s="20" t="n"/>
      <c r="Z986" s="19" t="inlineStr"/>
      <c r="AA986" s="18">
        <f>IF(OR(V986="Aprobada"),R986,IF(AND(OR(V986="Aprobada con ajuste",V986="Rechazada"),W986&lt;&gt;""),W986,""))</f>
        <v/>
      </c>
    </row>
    <row r="987">
      <c r="A987" s="18" t="inlineStr">
        <is>
          <t>C0986</t>
        </is>
      </c>
      <c r="B987" s="18" t="inlineStr">
        <is>
          <t>Gestión jurídica</t>
        </is>
      </c>
      <c r="C987" s="18" t="inlineStr">
        <is>
          <t>legal_management</t>
        </is>
      </c>
      <c r="D987" s="18" t="inlineStr">
        <is>
          <t>documentos_oc</t>
        </is>
      </c>
      <c r="E987" s="18" t="n">
        <v>21</v>
      </c>
      <c r="F987" s="18" t="inlineStr">
        <is>
          <t>fecha_documento</t>
        </is>
      </c>
      <c r="G987" s="18" t="inlineStr">
        <is>
          <t>date</t>
        </is>
      </c>
      <c r="H987" s="18" t="inlineStr">
        <is>
          <t>Sí</t>
        </is>
      </c>
      <c r="I987" s="18" t="inlineStr"/>
      <c r="J987" s="18" t="inlineStr"/>
      <c r="K987" s="18" t="inlineStr"/>
      <c r="L987" s="18" t="inlineStr">
        <is>
          <t>No</t>
        </is>
      </c>
      <c r="M987" s="18" t="inlineStr">
        <is>
          <t>No</t>
        </is>
      </c>
      <c r="N987" s="18" t="inlineStr"/>
      <c r="O987" s="18" t="inlineStr"/>
      <c r="P987" s="18" t="inlineStr">
        <is>
          <t>Mapeada en legal-management-service/src/entities/documento-oc.entity.ts:37 (DocumentoOC.fechaDocumento)</t>
        </is>
      </c>
      <c r="Q987" s="18" t="inlineStr">
        <is>
          <t>Regla estructural</t>
        </is>
      </c>
      <c r="R987" s="18" t="inlineStr">
        <is>
          <t>Fecha de documento.</t>
        </is>
      </c>
      <c r="S987" s="18" t="inlineStr">
        <is>
          <t>Media</t>
        </is>
      </c>
      <c r="T987" s="18" t="inlineStr">
        <is>
          <t>Convención de nombre de la columna.</t>
        </is>
      </c>
      <c r="U987" s="18" t="inlineStr"/>
      <c r="V987" s="19" t="inlineStr">
        <is>
          <t>Pendiente</t>
        </is>
      </c>
      <c r="W987" s="19" t="inlineStr"/>
      <c r="X987" s="19" t="inlineStr"/>
      <c r="Y987" s="20" t="n"/>
      <c r="Z987" s="19" t="inlineStr"/>
      <c r="AA987" s="18">
        <f>IF(OR(V987="Aprobada"),R987,IF(AND(OR(V987="Aprobada con ajuste",V987="Rechazada"),W987&lt;&gt;""),W987,""))</f>
        <v/>
      </c>
    </row>
    <row r="988">
      <c r="A988" s="18" t="inlineStr">
        <is>
          <t>C0987</t>
        </is>
      </c>
      <c r="B988" s="18" t="inlineStr">
        <is>
          <t>Gestión jurídica</t>
        </is>
      </c>
      <c r="C988" s="18" t="inlineStr">
        <is>
          <t>legal_management</t>
        </is>
      </c>
      <c r="D988" s="18" t="inlineStr">
        <is>
          <t>evidencias</t>
        </is>
      </c>
      <c r="E988" s="18" t="n">
        <v>16</v>
      </c>
      <c r="F988" s="18" t="inlineStr">
        <is>
          <t>descripcion</t>
        </is>
      </c>
      <c r="G988" s="18" t="inlineStr">
        <is>
          <t>text</t>
        </is>
      </c>
      <c r="H988" s="18" t="inlineStr">
        <is>
          <t>Sí</t>
        </is>
      </c>
      <c r="I988" s="18" t="inlineStr"/>
      <c r="J988" s="18" t="inlineStr"/>
      <c r="K988" s="18" t="inlineStr"/>
      <c r="L988" s="18" t="inlineStr">
        <is>
          <t>No</t>
        </is>
      </c>
      <c r="M988" s="18" t="inlineStr">
        <is>
          <t>No</t>
        </is>
      </c>
      <c r="N988" s="18" t="inlineStr"/>
      <c r="O988" s="18" t="inlineStr"/>
      <c r="P988" s="18" t="inlineStr">
        <is>
          <t>Mapeada en legal-management-service/src/entities/evidencia.entity.ts:16 (Evidencia.descripcion)</t>
        </is>
      </c>
      <c r="Q988" s="18" t="inlineStr">
        <is>
          <t>Regla estructural</t>
        </is>
      </c>
      <c r="R988" s="18" t="inlineStr">
        <is>
          <t>Descripción del registro de evidencias.</t>
        </is>
      </c>
      <c r="S988" s="18" t="inlineStr">
        <is>
          <t>Media</t>
        </is>
      </c>
      <c r="T988" s="18" t="inlineStr">
        <is>
          <t>Convención de nombre de la columna.</t>
        </is>
      </c>
      <c r="U988" s="18" t="inlineStr"/>
      <c r="V988" s="19" t="inlineStr">
        <is>
          <t>Pendiente</t>
        </is>
      </c>
      <c r="W988" s="19" t="inlineStr"/>
      <c r="X988" s="19" t="inlineStr"/>
      <c r="Y988" s="20" t="n"/>
      <c r="Z988" s="19" t="inlineStr"/>
      <c r="AA988" s="18">
        <f>IF(OR(V988="Aprobada"),R988,IF(AND(OR(V988="Aprobada con ajuste",V988="Rechazada"),W988&lt;&gt;""),W988,""))</f>
        <v/>
      </c>
    </row>
    <row r="989">
      <c r="A989" s="18" t="inlineStr">
        <is>
          <t>C0988</t>
        </is>
      </c>
      <c r="B989" s="18" t="inlineStr">
        <is>
          <t>Gestión jurídica</t>
        </is>
      </c>
      <c r="C989" s="18" t="inlineStr">
        <is>
          <t>legal_management</t>
        </is>
      </c>
      <c r="D989" s="18" t="inlineStr">
        <is>
          <t>evidencias</t>
        </is>
      </c>
      <c r="E989" s="18" t="n">
        <v>16</v>
      </c>
      <c r="F989" s="18" t="inlineStr">
        <is>
          <t>aportado_por</t>
        </is>
      </c>
      <c r="G989" s="18" t="inlineStr">
        <is>
          <t>character varying(255)</t>
        </is>
      </c>
      <c r="H989" s="18" t="inlineStr">
        <is>
          <t>Sí</t>
        </is>
      </c>
      <c r="I989" s="18" t="inlineStr"/>
      <c r="J989" s="18" t="inlineStr"/>
      <c r="K989" s="18" t="inlineStr"/>
      <c r="L989" s="18" t="inlineStr">
        <is>
          <t>No</t>
        </is>
      </c>
      <c r="M989" s="18" t="inlineStr">
        <is>
          <t>No</t>
        </is>
      </c>
      <c r="N989" s="18" t="inlineStr"/>
      <c r="O989" s="18" t="inlineStr"/>
      <c r="P989" s="18" t="inlineStr">
        <is>
          <t>Mapeada en legal-management-service/src/entities/evidencia.entity.ts:19 (Evidencia.aportadoPor)</t>
        </is>
      </c>
      <c r="Q989" s="18" t="inlineStr">
        <is>
          <t>Propuesta semántica</t>
        </is>
      </c>
      <c r="R989" s="18" t="inlineStr">
        <is>
          <t>Persona que aportó la evidencia.</t>
        </is>
      </c>
      <c r="S989" s="18" t="inlineStr">
        <is>
          <t>Alta</t>
        </is>
      </c>
      <c r="T989" s="18" t="inlineStr">
        <is>
          <t>nombre + tipo + columnas vecinas</t>
        </is>
      </c>
      <c r="U989" s="18" t="inlineStr"/>
      <c r="V989" s="19" t="inlineStr">
        <is>
          <t>Pendiente</t>
        </is>
      </c>
      <c r="W989" s="19" t="inlineStr"/>
      <c r="X989" s="19" t="inlineStr"/>
      <c r="Y989" s="20" t="n"/>
      <c r="Z989" s="19" t="inlineStr"/>
      <c r="AA989" s="18">
        <f>IF(OR(V989="Aprobada"),R989,IF(AND(OR(V989="Aprobada con ajuste",V989="Rechazada"),W989&lt;&gt;""),W989,""))</f>
        <v/>
      </c>
    </row>
    <row r="990">
      <c r="A990" s="18" t="inlineStr">
        <is>
          <t>C0989</t>
        </is>
      </c>
      <c r="B990" s="18" t="inlineStr">
        <is>
          <t>Gestión jurídica</t>
        </is>
      </c>
      <c r="C990" s="18" t="inlineStr">
        <is>
          <t>legal_management</t>
        </is>
      </c>
      <c r="D990" s="18" t="inlineStr">
        <is>
          <t>evidencias</t>
        </is>
      </c>
      <c r="E990" s="18" t="n">
        <v>16</v>
      </c>
      <c r="F990" s="18" t="inlineStr">
        <is>
          <t>fecha_presentacion</t>
        </is>
      </c>
      <c r="G990" s="18" t="inlineStr">
        <is>
          <t>timestamp with time zone</t>
        </is>
      </c>
      <c r="H990" s="18" t="inlineStr">
        <is>
          <t>Sí</t>
        </is>
      </c>
      <c r="I990" s="18" t="inlineStr"/>
      <c r="J990" s="18" t="inlineStr"/>
      <c r="K990" s="18" t="inlineStr"/>
      <c r="L990" s="18" t="inlineStr">
        <is>
          <t>No</t>
        </is>
      </c>
      <c r="M990" s="18" t="inlineStr">
        <is>
          <t>No</t>
        </is>
      </c>
      <c r="N990" s="18" t="inlineStr"/>
      <c r="O990" s="18" t="inlineStr"/>
      <c r="P990" s="18" t="inlineStr">
        <is>
          <t>Mapeada en legal-management-service/src/entities/evidencia.entity.ts:22 (Evidencia.fechaPresentacion)</t>
        </is>
      </c>
      <c r="Q990" s="18" t="inlineStr">
        <is>
          <t>Regla estructural</t>
        </is>
      </c>
      <c r="R990" s="18" t="inlineStr">
        <is>
          <t>Fecha de presentación.</t>
        </is>
      </c>
      <c r="S990" s="18" t="inlineStr">
        <is>
          <t>Media</t>
        </is>
      </c>
      <c r="T990" s="18" t="inlineStr">
        <is>
          <t>Convención de nombre de la columna.</t>
        </is>
      </c>
      <c r="U990" s="18" t="inlineStr"/>
      <c r="V990" s="19" t="inlineStr">
        <is>
          <t>Pendiente</t>
        </is>
      </c>
      <c r="W990" s="19" t="inlineStr"/>
      <c r="X990" s="19" t="inlineStr"/>
      <c r="Y990" s="20" t="n"/>
      <c r="Z990" s="19" t="inlineStr"/>
      <c r="AA990" s="18">
        <f>IF(OR(V990="Aprobada"),R990,IF(AND(OR(V990="Aprobada con ajuste",V990="Rechazada"),W990&lt;&gt;""),W990,""))</f>
        <v/>
      </c>
    </row>
    <row r="991">
      <c r="A991" s="18" t="inlineStr">
        <is>
          <t>C0990</t>
        </is>
      </c>
      <c r="B991" s="18" t="inlineStr">
        <is>
          <t>Gestión jurídica</t>
        </is>
      </c>
      <c r="C991" s="18" t="inlineStr">
        <is>
          <t>legal_management</t>
        </is>
      </c>
      <c r="D991" s="18" t="inlineStr">
        <is>
          <t>evidencias</t>
        </is>
      </c>
      <c r="E991" s="18" t="n">
        <v>16</v>
      </c>
      <c r="F991" s="18" t="inlineStr">
        <is>
          <t>archivo_nombre</t>
        </is>
      </c>
      <c r="G991" s="18" t="inlineStr">
        <is>
          <t>character varying(255)</t>
        </is>
      </c>
      <c r="H991" s="18" t="inlineStr">
        <is>
          <t>Sí</t>
        </is>
      </c>
      <c r="I991" s="18" t="inlineStr"/>
      <c r="J991" s="18" t="inlineStr"/>
      <c r="K991" s="18" t="inlineStr"/>
      <c r="L991" s="18" t="inlineStr">
        <is>
          <t>No</t>
        </is>
      </c>
      <c r="M991" s="18" t="inlineStr">
        <is>
          <t>No</t>
        </is>
      </c>
      <c r="N991" s="18" t="inlineStr"/>
      <c r="O991" s="18" t="inlineStr"/>
      <c r="P991" s="18" t="inlineStr">
        <is>
          <t>Mapeada en legal-management-service/src/entities/evidencia.entity.ts:25 (Evidencia.archivoNombre)</t>
        </is>
      </c>
      <c r="Q991" s="18" t="inlineStr">
        <is>
          <t>Propuesta semántica</t>
        </is>
      </c>
      <c r="R991" s="18" t="inlineStr">
        <is>
          <t>Nombre del archivo de la evidencia.</t>
        </is>
      </c>
      <c r="S991" s="18" t="inlineStr">
        <is>
          <t>Alta</t>
        </is>
      </c>
      <c r="T991" s="18" t="inlineStr">
        <is>
          <t>nombre + tipo + columnas vecinas</t>
        </is>
      </c>
      <c r="U991" s="18" t="inlineStr"/>
      <c r="V991" s="19" t="inlineStr">
        <is>
          <t>Pendiente</t>
        </is>
      </c>
      <c r="W991" s="19" t="inlineStr"/>
      <c r="X991" s="19" t="inlineStr"/>
      <c r="Y991" s="20" t="n"/>
      <c r="Z991" s="19" t="inlineStr"/>
      <c r="AA991" s="18">
        <f>IF(OR(V991="Aprobada"),R991,IF(AND(OR(V991="Aprobada con ajuste",V991="Rechazada"),W991&lt;&gt;""),W991,""))</f>
        <v/>
      </c>
    </row>
    <row r="992">
      <c r="A992" s="18" t="inlineStr">
        <is>
          <t>C0991</t>
        </is>
      </c>
      <c r="B992" s="18" t="inlineStr">
        <is>
          <t>Gestión jurídica</t>
        </is>
      </c>
      <c r="C992" s="18" t="inlineStr">
        <is>
          <t>legal_management</t>
        </is>
      </c>
      <c r="D992" s="18" t="inlineStr">
        <is>
          <t>evidencias</t>
        </is>
      </c>
      <c r="E992" s="18" t="n">
        <v>16</v>
      </c>
      <c r="F992" s="18" t="inlineStr">
        <is>
          <t>archivo_url</t>
        </is>
      </c>
      <c r="G992" s="18" t="inlineStr">
        <is>
          <t>text</t>
        </is>
      </c>
      <c r="H992" s="18" t="inlineStr">
        <is>
          <t>Sí</t>
        </is>
      </c>
      <c r="I992" s="18" t="inlineStr"/>
      <c r="J992" s="18" t="inlineStr"/>
      <c r="K992" s="18" t="inlineStr"/>
      <c r="L992" s="18" t="inlineStr">
        <is>
          <t>No</t>
        </is>
      </c>
      <c r="M992" s="18" t="inlineStr">
        <is>
          <t>No</t>
        </is>
      </c>
      <c r="N992" s="18" t="inlineStr"/>
      <c r="O992" s="18" t="inlineStr"/>
      <c r="P992" s="18" t="inlineStr">
        <is>
          <t>Mapeada en legal-management-service/src/entities/evidencia.entity.ts:28 (Evidencia.archivoUrl)</t>
        </is>
      </c>
      <c r="Q992" s="18" t="inlineStr">
        <is>
          <t>Propuesta semántica</t>
        </is>
      </c>
      <c r="R992" s="18" t="inlineStr">
        <is>
          <t>URL del archivo de la evidencia.</t>
        </is>
      </c>
      <c r="S992" s="18" t="inlineStr">
        <is>
          <t>Alta</t>
        </is>
      </c>
      <c r="T992" s="18" t="inlineStr">
        <is>
          <t>nombre + tipo + columnas vecinas</t>
        </is>
      </c>
      <c r="U992" s="18" t="inlineStr"/>
      <c r="V992" s="19" t="inlineStr">
        <is>
          <t>Pendiente</t>
        </is>
      </c>
      <c r="W992" s="19" t="inlineStr"/>
      <c r="X992" s="19" t="inlineStr"/>
      <c r="Y992" s="20" t="n"/>
      <c r="Z992" s="19" t="inlineStr"/>
      <c r="AA992" s="18">
        <f>IF(OR(V992="Aprobada"),R992,IF(AND(OR(V992="Aprobada con ajuste",V992="Rechazada"),W992&lt;&gt;""),W992,""))</f>
        <v/>
      </c>
    </row>
    <row r="993">
      <c r="A993" s="18" t="inlineStr">
        <is>
          <t>C0992</t>
        </is>
      </c>
      <c r="B993" s="18" t="inlineStr">
        <is>
          <t>Gestión jurídica</t>
        </is>
      </c>
      <c r="C993" s="18" t="inlineStr">
        <is>
          <t>legal_management</t>
        </is>
      </c>
      <c r="D993" s="18" t="inlineStr">
        <is>
          <t>evidencias</t>
        </is>
      </c>
      <c r="E993" s="18" t="n">
        <v>16</v>
      </c>
      <c r="F993" s="18" t="inlineStr">
        <is>
          <t>archivo_tamano</t>
        </is>
      </c>
      <c r="G993" s="18" t="inlineStr">
        <is>
          <t>integer</t>
        </is>
      </c>
      <c r="H993" s="18" t="inlineStr">
        <is>
          <t>Sí</t>
        </is>
      </c>
      <c r="I993" s="18" t="inlineStr"/>
      <c r="J993" s="18" t="inlineStr"/>
      <c r="K993" s="18" t="inlineStr"/>
      <c r="L993" s="18" t="inlineStr">
        <is>
          <t>No</t>
        </is>
      </c>
      <c r="M993" s="18" t="inlineStr">
        <is>
          <t>No</t>
        </is>
      </c>
      <c r="N993" s="18" t="inlineStr"/>
      <c r="O993" s="18" t="inlineStr"/>
      <c r="P993" s="18" t="inlineStr">
        <is>
          <t>Mapeada en legal-management-service/src/entities/evidencia.entity.ts:31 (Evidencia.archivoTamano)</t>
        </is>
      </c>
      <c r="Q993" s="18" t="inlineStr">
        <is>
          <t>Propuesta semántica</t>
        </is>
      </c>
      <c r="R993" s="18" t="inlineStr">
        <is>
          <t>Tamaño del archivo de la evidencia.</t>
        </is>
      </c>
      <c r="S993" s="18" t="inlineStr">
        <is>
          <t>Media</t>
        </is>
      </c>
      <c r="T993" s="18" t="inlineStr">
        <is>
          <t>nombre + tipo + columnas vecinas</t>
        </is>
      </c>
      <c r="U993" s="18" t="inlineStr">
        <is>
          <t>¿La unidad del tamaño es bytes?</t>
        </is>
      </c>
      <c r="V993" s="19" t="inlineStr">
        <is>
          <t>Pendiente</t>
        </is>
      </c>
      <c r="W993" s="19" t="inlineStr"/>
      <c r="X993" s="19" t="inlineStr"/>
      <c r="Y993" s="20" t="n"/>
      <c r="Z993" s="19" t="inlineStr"/>
      <c r="AA993" s="18">
        <f>IF(OR(V993="Aprobada"),R993,IF(AND(OR(V993="Aprobada con ajuste",V993="Rechazada"),W993&lt;&gt;""),W993,""))</f>
        <v/>
      </c>
    </row>
    <row r="994">
      <c r="A994" s="18" t="inlineStr">
        <is>
          <t>C0993</t>
        </is>
      </c>
      <c r="B994" s="18" t="inlineStr">
        <is>
          <t>Gestión jurídica</t>
        </is>
      </c>
      <c r="C994" s="18" t="inlineStr">
        <is>
          <t>legal_management</t>
        </is>
      </c>
      <c r="D994" s="18" t="inlineStr">
        <is>
          <t>evidencias</t>
        </is>
      </c>
      <c r="E994" s="18" t="n">
        <v>16</v>
      </c>
      <c r="F994" s="18" t="inlineStr">
        <is>
          <t>tipo</t>
        </is>
      </c>
      <c r="G994" s="18" t="inlineStr">
        <is>
          <t>character varying(100)</t>
        </is>
      </c>
      <c r="H994" s="18" t="inlineStr">
        <is>
          <t>Sí</t>
        </is>
      </c>
      <c r="I994" s="18" t="inlineStr"/>
      <c r="J994" s="18" t="inlineStr"/>
      <c r="K994" s="18" t="inlineStr"/>
      <c r="L994" s="18" t="inlineStr">
        <is>
          <t>No</t>
        </is>
      </c>
      <c r="M994" s="18" t="inlineStr">
        <is>
          <t>No</t>
        </is>
      </c>
      <c r="N994" s="18" t="inlineStr"/>
      <c r="O994" s="18" t="inlineStr"/>
      <c r="P994" s="18" t="inlineStr">
        <is>
          <t>Mapeada en legal-management-service/src/entities/evidencia.entity.ts:34 (Evidencia.tipo)</t>
        </is>
      </c>
      <c r="Q994" s="18" t="inlineStr">
        <is>
          <t>Regla estructural</t>
        </is>
      </c>
      <c r="R994" s="18" t="inlineStr">
        <is>
          <t>Tipo del registro de evidencias.</t>
        </is>
      </c>
      <c r="S994" s="18" t="inlineStr">
        <is>
          <t>Media</t>
        </is>
      </c>
      <c r="T994" s="18" t="inlineStr">
        <is>
          <t>Convención de nombre de la columna.</t>
        </is>
      </c>
      <c r="U994" s="18" t="inlineStr"/>
      <c r="V994" s="19" t="inlineStr">
        <is>
          <t>Pendiente</t>
        </is>
      </c>
      <c r="W994" s="19" t="inlineStr"/>
      <c r="X994" s="19" t="inlineStr"/>
      <c r="Y994" s="20" t="n"/>
      <c r="Z994" s="19" t="inlineStr"/>
      <c r="AA994" s="18">
        <f>IF(OR(V994="Aprobada"),R994,IF(AND(OR(V994="Aprobada con ajuste",V994="Rechazada"),W994&lt;&gt;""),W994,""))</f>
        <v/>
      </c>
    </row>
    <row r="995">
      <c r="A995" s="18" t="inlineStr">
        <is>
          <t>C0994</t>
        </is>
      </c>
      <c r="B995" s="18" t="inlineStr">
        <is>
          <t>Gestión jurídica</t>
        </is>
      </c>
      <c r="C995" s="18" t="inlineStr">
        <is>
          <t>legal_management</t>
        </is>
      </c>
      <c r="D995" s="18" t="inlineStr">
        <is>
          <t>evidencias</t>
        </is>
      </c>
      <c r="E995" s="18" t="n">
        <v>16</v>
      </c>
      <c r="F995" s="18" t="inlineStr">
        <is>
          <t>prioridad</t>
        </is>
      </c>
      <c r="G995" s="18" t="inlineStr">
        <is>
          <t>character varying(20)</t>
        </is>
      </c>
      <c r="H995" s="18" t="inlineStr">
        <is>
          <t>Sí</t>
        </is>
      </c>
      <c r="I995" s="18" t="inlineStr">
        <is>
          <t>CHECK</t>
        </is>
      </c>
      <c r="J995" s="18" t="inlineStr">
        <is>
          <t>Alta, Baja, Media</t>
        </is>
      </c>
      <c r="K995" s="18" t="inlineStr"/>
      <c r="L995" s="18" t="inlineStr">
        <is>
          <t>Sí</t>
        </is>
      </c>
      <c r="M995" s="18" t="inlineStr">
        <is>
          <t>No</t>
        </is>
      </c>
      <c r="N995" s="18" t="inlineStr"/>
      <c r="O995" s="18" t="inlineStr"/>
      <c r="P995" s="18" t="inlineStr">
        <is>
          <t>Mapeada en legal-management-service/src/entities/evidencia.entity.ts:37 (Evidencia.prioridad)</t>
        </is>
      </c>
      <c r="Q995" s="18" t="inlineStr">
        <is>
          <t>Propuesta semántica</t>
        </is>
      </c>
      <c r="R995" s="18" t="inlineStr">
        <is>
          <t>Prioridad de la evidencia. Valores permitidos: Alta, Media, Baja.</t>
        </is>
      </c>
      <c r="S995" s="18" t="inlineStr">
        <is>
          <t>Alta</t>
        </is>
      </c>
      <c r="T995" s="18" t="inlineStr">
        <is>
          <t>valores permitidos del CHECK</t>
        </is>
      </c>
      <c r="U995" s="18" t="inlineStr"/>
      <c r="V995" s="19" t="inlineStr">
        <is>
          <t>Pendiente</t>
        </is>
      </c>
      <c r="W995" s="19" t="inlineStr"/>
      <c r="X995" s="19" t="inlineStr"/>
      <c r="Y995" s="20" t="n"/>
      <c r="Z995" s="19" t="inlineStr"/>
      <c r="AA995" s="18">
        <f>IF(OR(V995="Aprobada"),R995,IF(AND(OR(V995="Aprobada con ajuste",V995="Rechazada"),W995&lt;&gt;""),W995,""))</f>
        <v/>
      </c>
    </row>
    <row r="996">
      <c r="A996" s="18" t="inlineStr">
        <is>
          <t>C0995</t>
        </is>
      </c>
      <c r="B996" s="18" t="inlineStr">
        <is>
          <t>Gestión jurídica</t>
        </is>
      </c>
      <c r="C996" s="18" t="inlineStr">
        <is>
          <t>legal_management</t>
        </is>
      </c>
      <c r="D996" s="18" t="inlineStr">
        <is>
          <t>evidencias</t>
        </is>
      </c>
      <c r="E996" s="18" t="n">
        <v>16</v>
      </c>
      <c r="F996" s="18" t="inlineStr">
        <is>
          <t>estado</t>
        </is>
      </c>
      <c r="G996" s="18" t="inlineStr">
        <is>
          <t>character varying(50)</t>
        </is>
      </c>
      <c r="H996" s="18" t="inlineStr">
        <is>
          <t>Sí</t>
        </is>
      </c>
      <c r="I996" s="18" t="inlineStr">
        <is>
          <t>CHECK</t>
        </is>
      </c>
      <c r="J996" s="18" t="inlineStr">
        <is>
          <t>Admitida, En Revisión, Pendiente, Rechazada, Valida</t>
        </is>
      </c>
      <c r="K996" s="18" t="inlineStr"/>
      <c r="L996" s="18" t="inlineStr">
        <is>
          <t>Sí</t>
        </is>
      </c>
      <c r="M996" s="18" t="inlineStr">
        <is>
          <t>No</t>
        </is>
      </c>
      <c r="N996" s="18" t="inlineStr"/>
      <c r="O996" s="18" t="inlineStr"/>
      <c r="P996" s="18" t="inlineStr">
        <is>
          <t>Mapeada en legal-management-service/src/entities/evidencia.entity.ts:40 (Evidencia.estado)</t>
        </is>
      </c>
      <c r="Q996" s="18" t="inlineStr">
        <is>
          <t>Regla estructural</t>
        </is>
      </c>
      <c r="R996" s="18" t="inlineStr">
        <is>
          <t>Estado del registro de evidencias.</t>
        </is>
      </c>
      <c r="S996" s="18" t="inlineStr">
        <is>
          <t>Media</t>
        </is>
      </c>
      <c r="T996" s="18" t="inlineStr">
        <is>
          <t>Convención de nombre de la columna.</t>
        </is>
      </c>
      <c r="U996" s="18" t="inlineStr"/>
      <c r="V996" s="19" t="inlineStr">
        <is>
          <t>Pendiente</t>
        </is>
      </c>
      <c r="W996" s="19" t="inlineStr"/>
      <c r="X996" s="19" t="inlineStr"/>
      <c r="Y996" s="20" t="n"/>
      <c r="Z996" s="19" t="inlineStr"/>
      <c r="AA996" s="18">
        <f>IF(OR(V996="Aprobada"),R996,IF(AND(OR(V996="Aprobada con ajuste",V996="Rechazada"),W996&lt;&gt;""),W996,""))</f>
        <v/>
      </c>
    </row>
    <row r="997">
      <c r="A997" s="18" t="inlineStr">
        <is>
          <t>C0996</t>
        </is>
      </c>
      <c r="B997" s="18" t="inlineStr">
        <is>
          <t>Gestión jurídica</t>
        </is>
      </c>
      <c r="C997" s="18" t="inlineStr">
        <is>
          <t>legal_management</t>
        </is>
      </c>
      <c r="D997" s="18" t="inlineStr">
        <is>
          <t>excepciones_procesales</t>
        </is>
      </c>
      <c r="E997" s="18" t="n">
        <v>2</v>
      </c>
      <c r="F997" s="18" t="inlineStr">
        <is>
          <t>descripcion</t>
        </is>
      </c>
      <c r="G997" s="18" t="inlineStr">
        <is>
          <t>text</t>
        </is>
      </c>
      <c r="H997" s="18" t="inlineStr">
        <is>
          <t>No</t>
        </is>
      </c>
      <c r="I997" s="18" t="inlineStr"/>
      <c r="J997" s="18" t="inlineStr"/>
      <c r="K997" s="18" t="inlineStr"/>
      <c r="L997" s="18" t="inlineStr">
        <is>
          <t>No</t>
        </is>
      </c>
      <c r="M997" s="18" t="inlineStr">
        <is>
          <t>No</t>
        </is>
      </c>
      <c r="N997" s="18" t="inlineStr"/>
      <c r="O997" s="18" t="inlineStr"/>
      <c r="P997" s="18" t="inlineStr">
        <is>
          <t>Mapeada en legal-management-service/src/entities/excepcion-procesal.entity.ts:15 (ExcepcionProcesal.descripcion)</t>
        </is>
      </c>
      <c r="Q997" s="18" t="inlineStr">
        <is>
          <t>Regla estructural</t>
        </is>
      </c>
      <c r="R997" s="18" t="inlineStr">
        <is>
          <t>Descripción del registro de excepciones_procesales.</t>
        </is>
      </c>
      <c r="S997" s="18" t="inlineStr">
        <is>
          <t>Media</t>
        </is>
      </c>
      <c r="T997" s="18" t="inlineStr">
        <is>
          <t>Convención de nombre de la columna.</t>
        </is>
      </c>
      <c r="U997" s="18" t="inlineStr"/>
      <c r="V997" s="19" t="inlineStr">
        <is>
          <t>Pendiente</t>
        </is>
      </c>
      <c r="W997" s="19" t="inlineStr"/>
      <c r="X997" s="19" t="inlineStr"/>
      <c r="Y997" s="20" t="n"/>
      <c r="Z997" s="19" t="inlineStr"/>
      <c r="AA997" s="18">
        <f>IF(OR(V997="Aprobada"),R997,IF(AND(OR(V997="Aprobada con ajuste",V997="Rechazada"),W997&lt;&gt;""),W997,""))</f>
        <v/>
      </c>
    </row>
    <row r="998">
      <c r="A998" s="18" t="inlineStr">
        <is>
          <t>C0997</t>
        </is>
      </c>
      <c r="B998" s="18" t="inlineStr">
        <is>
          <t>Gestión jurídica</t>
        </is>
      </c>
      <c r="C998" s="18" t="inlineStr">
        <is>
          <t>legal_management</t>
        </is>
      </c>
      <c r="D998" s="18" t="inlineStr">
        <is>
          <t>excepciones_procesales</t>
        </is>
      </c>
      <c r="E998" s="18" t="n">
        <v>2</v>
      </c>
      <c r="F998" s="18" t="inlineStr">
        <is>
          <t>fundamento</t>
        </is>
      </c>
      <c r="G998" s="18" t="inlineStr">
        <is>
          <t>text</t>
        </is>
      </c>
      <c r="H998" s="18" t="inlineStr">
        <is>
          <t>Sí</t>
        </is>
      </c>
      <c r="I998" s="18" t="inlineStr"/>
      <c r="J998" s="18" t="inlineStr"/>
      <c r="K998" s="18" t="inlineStr"/>
      <c r="L998" s="18" t="inlineStr">
        <is>
          <t>No</t>
        </is>
      </c>
      <c r="M998" s="18" t="inlineStr">
        <is>
          <t>No</t>
        </is>
      </c>
      <c r="N998" s="18" t="inlineStr"/>
      <c r="O998" s="18" t="inlineStr"/>
      <c r="P998" s="18" t="inlineStr">
        <is>
          <t>Mapeada en legal-management-service/src/entities/excepcion-procesal.entity.ts:18 (ExcepcionProcesal.fundamento)</t>
        </is>
      </c>
      <c r="Q998" s="18" t="inlineStr">
        <is>
          <t>Propuesta semántica</t>
        </is>
      </c>
      <c r="R998" s="18" t="inlineStr">
        <is>
          <t>Fundamento de la excepción procesal.</t>
        </is>
      </c>
      <c r="S998" s="18" t="inlineStr">
        <is>
          <t>Alta</t>
        </is>
      </c>
      <c r="T998" s="18" t="inlineStr">
        <is>
          <t>nombre + tipo + columnas vecinas</t>
        </is>
      </c>
      <c r="U998" s="18" t="inlineStr"/>
      <c r="V998" s="19" t="inlineStr">
        <is>
          <t>Pendiente</t>
        </is>
      </c>
      <c r="W998" s="19" t="inlineStr"/>
      <c r="X998" s="19" t="inlineStr"/>
      <c r="Y998" s="20" t="n"/>
      <c r="Z998" s="19" t="inlineStr"/>
      <c r="AA998" s="18">
        <f>IF(OR(V998="Aprobada"),R998,IF(AND(OR(V998="Aprobada con ajuste",V998="Rechazada"),W998&lt;&gt;""),W998,""))</f>
        <v/>
      </c>
    </row>
    <row r="999">
      <c r="A999" s="18" t="inlineStr">
        <is>
          <t>C0998</t>
        </is>
      </c>
      <c r="B999" s="18" t="inlineStr">
        <is>
          <t>Gestión jurídica</t>
        </is>
      </c>
      <c r="C999" s="18" t="inlineStr">
        <is>
          <t>legal_management</t>
        </is>
      </c>
      <c r="D999" s="18" t="inlineStr">
        <is>
          <t>excepciones_procesales</t>
        </is>
      </c>
      <c r="E999" s="18" t="n">
        <v>2</v>
      </c>
      <c r="F999" s="18" t="inlineStr">
        <is>
          <t>resolucion</t>
        </is>
      </c>
      <c r="G999" s="18" t="inlineStr">
        <is>
          <t>text</t>
        </is>
      </c>
      <c r="H999" s="18" t="inlineStr">
        <is>
          <t>Sí</t>
        </is>
      </c>
      <c r="I999" s="18" t="inlineStr"/>
      <c r="J999" s="18" t="inlineStr"/>
      <c r="K999" s="18" t="inlineStr"/>
      <c r="L999" s="18" t="inlineStr">
        <is>
          <t>No</t>
        </is>
      </c>
      <c r="M999" s="18" t="inlineStr">
        <is>
          <t>No</t>
        </is>
      </c>
      <c r="N999" s="18" t="inlineStr"/>
      <c r="O999" s="18" t="inlineStr"/>
      <c r="P999" s="18" t="inlineStr">
        <is>
          <t>Mapeada en legal-management-service/src/entities/excepcion-procesal.entity.ts:24 (ExcepcionProcesal.resolucion)</t>
        </is>
      </c>
      <c r="Q999" s="18" t="inlineStr">
        <is>
          <t>Propuesta semántica</t>
        </is>
      </c>
      <c r="R999" s="18" t="inlineStr">
        <is>
          <t>Decisión adoptada sobre la excepción procesal.</t>
        </is>
      </c>
      <c r="S999" s="18" t="inlineStr">
        <is>
          <t>Alta</t>
        </is>
      </c>
      <c r="T999" s="18" t="inlineStr">
        <is>
          <t>nombre + tipo + columnas vecinas (fecha_resolucion)</t>
        </is>
      </c>
      <c r="U999" s="18" t="inlineStr"/>
      <c r="V999" s="19" t="inlineStr">
        <is>
          <t>Pendiente</t>
        </is>
      </c>
      <c r="W999" s="19" t="inlineStr"/>
      <c r="X999" s="19" t="inlineStr"/>
      <c r="Y999" s="20" t="n"/>
      <c r="Z999" s="19" t="inlineStr"/>
      <c r="AA999" s="18">
        <f>IF(OR(V999="Aprobada"),R999,IF(AND(OR(V999="Aprobada con ajuste",V999="Rechazada"),W999&lt;&gt;""),W999,""))</f>
        <v/>
      </c>
    </row>
    <row r="1000">
      <c r="A1000" s="18" t="inlineStr">
        <is>
          <t>C0999</t>
        </is>
      </c>
      <c r="B1000" s="18" t="inlineStr">
        <is>
          <t>Gestión jurídica</t>
        </is>
      </c>
      <c r="C1000" s="18" t="inlineStr">
        <is>
          <t>legal_management</t>
        </is>
      </c>
      <c r="D1000" s="18" t="inlineStr">
        <is>
          <t>excepciones_procesales</t>
        </is>
      </c>
      <c r="E1000" s="18" t="n">
        <v>2</v>
      </c>
      <c r="F1000" s="18" t="inlineStr">
        <is>
          <t>fecha_presentacion</t>
        </is>
      </c>
      <c r="G1000" s="18" t="inlineStr">
        <is>
          <t>date</t>
        </is>
      </c>
      <c r="H1000" s="18" t="inlineStr">
        <is>
          <t>No</t>
        </is>
      </c>
      <c r="I1000" s="18" t="inlineStr"/>
      <c r="J1000" s="18" t="inlineStr"/>
      <c r="K1000" s="18" t="inlineStr"/>
      <c r="L1000" s="18" t="inlineStr">
        <is>
          <t>No</t>
        </is>
      </c>
      <c r="M1000" s="18" t="inlineStr">
        <is>
          <t>No</t>
        </is>
      </c>
      <c r="N1000" s="18" t="inlineStr"/>
      <c r="O1000" s="18" t="inlineStr"/>
      <c r="P1000" s="18" t="inlineStr">
        <is>
          <t>Mapeada en legal-management-service/src/entities/excepcion-procesal.entity.ts:27 (ExcepcionProcesal.fechaPresentacion)</t>
        </is>
      </c>
      <c r="Q1000" s="18" t="inlineStr">
        <is>
          <t>Regla estructural</t>
        </is>
      </c>
      <c r="R1000" s="18" t="inlineStr">
        <is>
          <t>Fecha de presentación.</t>
        </is>
      </c>
      <c r="S1000" s="18" t="inlineStr">
        <is>
          <t>Media</t>
        </is>
      </c>
      <c r="T1000" s="18" t="inlineStr">
        <is>
          <t>Convención de nombre de la columna.</t>
        </is>
      </c>
      <c r="U1000" s="18" t="inlineStr"/>
      <c r="V1000" s="19" t="inlineStr">
        <is>
          <t>Pendiente</t>
        </is>
      </c>
      <c r="W1000" s="19" t="inlineStr"/>
      <c r="X1000" s="19" t="inlineStr"/>
      <c r="Y1000" s="20" t="n"/>
      <c r="Z1000" s="19" t="inlineStr"/>
      <c r="AA1000" s="18">
        <f>IF(OR(V1000="Aprobada"),R1000,IF(AND(OR(V1000="Aprobada con ajuste",V1000="Rechazada"),W1000&lt;&gt;""),W1000,""))</f>
        <v/>
      </c>
    </row>
    <row r="1001">
      <c r="A1001" s="18" t="inlineStr">
        <is>
          <t>C1000</t>
        </is>
      </c>
      <c r="B1001" s="18" t="inlineStr">
        <is>
          <t>Gestión jurídica</t>
        </is>
      </c>
      <c r="C1001" s="18" t="inlineStr">
        <is>
          <t>legal_management</t>
        </is>
      </c>
      <c r="D1001" s="18" t="inlineStr">
        <is>
          <t>excepciones_procesales</t>
        </is>
      </c>
      <c r="E1001" s="18" t="n">
        <v>2</v>
      </c>
      <c r="F1001" s="18" t="inlineStr">
        <is>
          <t>fecha_resolucion</t>
        </is>
      </c>
      <c r="G1001" s="18" t="inlineStr">
        <is>
          <t>date</t>
        </is>
      </c>
      <c r="H1001" s="18" t="inlineStr">
        <is>
          <t>Sí</t>
        </is>
      </c>
      <c r="I1001" s="18" t="inlineStr"/>
      <c r="J1001" s="18" t="inlineStr"/>
      <c r="K1001" s="18" t="inlineStr"/>
      <c r="L1001" s="18" t="inlineStr">
        <is>
          <t>No</t>
        </is>
      </c>
      <c r="M1001" s="18" t="inlineStr">
        <is>
          <t>No</t>
        </is>
      </c>
      <c r="N1001" s="18" t="inlineStr"/>
      <c r="O1001" s="18" t="inlineStr"/>
      <c r="P1001" s="18" t="inlineStr">
        <is>
          <t>Mapeada en legal-management-service/src/entities/excepcion-procesal.entity.ts:30 (ExcepcionProcesal.fechaResolucion)</t>
        </is>
      </c>
      <c r="Q1001" s="18" t="inlineStr">
        <is>
          <t>Regla estructural</t>
        </is>
      </c>
      <c r="R1001" s="18" t="inlineStr">
        <is>
          <t>Fecha de resolución.</t>
        </is>
      </c>
      <c r="S1001" s="18" t="inlineStr">
        <is>
          <t>Media</t>
        </is>
      </c>
      <c r="T1001" s="18" t="inlineStr">
        <is>
          <t>Convención de nombre de la columna.</t>
        </is>
      </c>
      <c r="U1001" s="18" t="inlineStr"/>
      <c r="V1001" s="19" t="inlineStr">
        <is>
          <t>Pendiente</t>
        </is>
      </c>
      <c r="W1001" s="19" t="inlineStr"/>
      <c r="X1001" s="19" t="inlineStr"/>
      <c r="Y1001" s="20" t="n"/>
      <c r="Z1001" s="19" t="inlineStr"/>
      <c r="AA1001" s="18">
        <f>IF(OR(V1001="Aprobada"),R1001,IF(AND(OR(V1001="Aprobada con ajuste",V1001="Rechazada"),W1001&lt;&gt;""),W1001,""))</f>
        <v/>
      </c>
    </row>
    <row r="1002">
      <c r="A1002" s="18" t="inlineStr">
        <is>
          <t>C1001</t>
        </is>
      </c>
      <c r="B1002" s="18" t="inlineStr">
        <is>
          <t>Gestión jurídica</t>
        </is>
      </c>
      <c r="C1002" s="18" t="inlineStr">
        <is>
          <t>legal_management</t>
        </is>
      </c>
      <c r="D1002" s="18" t="inlineStr">
        <is>
          <t>excepciones_procesales</t>
        </is>
      </c>
      <c r="E1002" s="18" t="n">
        <v>2</v>
      </c>
      <c r="F1002" s="18" t="inlineStr">
        <is>
          <t>presentado_por</t>
        </is>
      </c>
      <c r="G1002" s="18" t="inlineStr">
        <is>
          <t>character varying(255)</t>
        </is>
      </c>
      <c r="H1002" s="18" t="inlineStr">
        <is>
          <t>Sí</t>
        </is>
      </c>
      <c r="I1002" s="18" t="inlineStr"/>
      <c r="J1002" s="18" t="inlineStr"/>
      <c r="K1002" s="18" t="inlineStr"/>
      <c r="L1002" s="18" t="inlineStr">
        <is>
          <t>No</t>
        </is>
      </c>
      <c r="M1002" s="18" t="inlineStr">
        <is>
          <t>No</t>
        </is>
      </c>
      <c r="N1002" s="18" t="inlineStr"/>
      <c r="O1002" s="18" t="inlineStr"/>
      <c r="P1002" s="18" t="inlineStr">
        <is>
          <t>Mapeada en legal-management-service/src/entities/excepcion-procesal.entity.ts:33 (ExcepcionProcesal.presentadoPor)</t>
        </is>
      </c>
      <c r="Q1002" s="18" t="inlineStr">
        <is>
          <t>Propuesta semántica</t>
        </is>
      </c>
      <c r="R1002" s="18" t="inlineStr">
        <is>
          <t>Persona que presentó la excepción.</t>
        </is>
      </c>
      <c r="S1002" s="18" t="inlineStr">
        <is>
          <t>Alta</t>
        </is>
      </c>
      <c r="T1002" s="18" t="inlineStr">
        <is>
          <t>nombre + tipo + columnas vecinas</t>
        </is>
      </c>
      <c r="U1002" s="18" t="inlineStr"/>
      <c r="V1002" s="19" t="inlineStr">
        <is>
          <t>Pendiente</t>
        </is>
      </c>
      <c r="W1002" s="19" t="inlineStr"/>
      <c r="X1002" s="19" t="inlineStr"/>
      <c r="Y1002" s="20" t="n"/>
      <c r="Z1002" s="19" t="inlineStr"/>
      <c r="AA1002" s="18">
        <f>IF(OR(V1002="Aprobada"),R1002,IF(AND(OR(V1002="Aprobada con ajuste",V1002="Rechazada"),W1002&lt;&gt;""),W1002,""))</f>
        <v/>
      </c>
    </row>
    <row r="1003">
      <c r="A1003" s="18" t="inlineStr">
        <is>
          <t>C1002</t>
        </is>
      </c>
      <c r="B1003" s="18" t="inlineStr">
        <is>
          <t>Gestión jurídica</t>
        </is>
      </c>
      <c r="C1003" s="18" t="inlineStr">
        <is>
          <t>legal_management</t>
        </is>
      </c>
      <c r="D1003" s="18" t="inlineStr">
        <is>
          <t>expedientes</t>
        </is>
      </c>
      <c r="E1003" s="18" t="n">
        <v>91</v>
      </c>
      <c r="F1003" s="18" t="inlineStr">
        <is>
          <t>radicado</t>
        </is>
      </c>
      <c r="G1003" s="18" t="inlineStr">
        <is>
          <t>character varying(50)</t>
        </is>
      </c>
      <c r="H1003" s="18" t="inlineStr">
        <is>
          <t>No</t>
        </is>
      </c>
      <c r="I1003" s="18" t="inlineStr">
        <is>
          <t>Única</t>
        </is>
      </c>
      <c r="J1003" s="18" t="inlineStr"/>
      <c r="K1003" s="18" t="inlineStr"/>
      <c r="L1003" s="18" t="inlineStr">
        <is>
          <t>No</t>
        </is>
      </c>
      <c r="M1003" s="18" t="inlineStr">
        <is>
          <t>No</t>
        </is>
      </c>
      <c r="N1003" s="18" t="inlineStr"/>
      <c r="O1003" s="18" t="inlineStr">
        <is>
          <t>expedientes_radicado_key</t>
        </is>
      </c>
      <c r="P1003" s="18" t="inlineStr">
        <is>
          <t>Mapeada en legal-management-service/src/entities/expediente.entity.ts:42 (Expediente.radicado) | Validación: IsString, Length(23, 23, { message: 'El radicado debe tener 23 dígitos.' })</t>
        </is>
      </c>
      <c r="Q1003" s="18" t="inlineStr">
        <is>
          <t>Propuesta semántica</t>
        </is>
      </c>
      <c r="R1003" s="18" t="inlineStr">
        <is>
          <t>Número de radicado del expediente, de 23 dígitos. Es único en la tabla.</t>
        </is>
      </c>
      <c r="S1003" s="18" t="inlineStr">
        <is>
          <t>Alta</t>
        </is>
      </c>
      <c r="T1003" s="18" t="inlineStr">
        <is>
          <t>restricción única + validación Length(23, 23)</t>
        </is>
      </c>
      <c r="U1003" s="18" t="inlineStr"/>
      <c r="V1003" s="19" t="inlineStr">
        <is>
          <t>Pendiente</t>
        </is>
      </c>
      <c r="W1003" s="19" t="inlineStr"/>
      <c r="X1003" s="19" t="inlineStr"/>
      <c r="Y1003" s="20" t="n"/>
      <c r="Z1003" s="19" t="inlineStr"/>
      <c r="AA1003" s="18">
        <f>IF(OR(V1003="Aprobada"),R1003,IF(AND(OR(V1003="Aprobada con ajuste",V1003="Rechazada"),W1003&lt;&gt;""),W1003,""))</f>
        <v/>
      </c>
    </row>
    <row r="1004">
      <c r="A1004" s="18" t="inlineStr">
        <is>
          <t>C1003</t>
        </is>
      </c>
      <c r="B1004" s="18" t="inlineStr">
        <is>
          <t>Gestión jurídica</t>
        </is>
      </c>
      <c r="C1004" s="18" t="inlineStr">
        <is>
          <t>legal_management</t>
        </is>
      </c>
      <c r="D1004" s="18" t="inlineStr">
        <is>
          <t>expedientes</t>
        </is>
      </c>
      <c r="E1004" s="18" t="n">
        <v>91</v>
      </c>
      <c r="F1004" s="18" t="inlineStr">
        <is>
          <t>jurisdiccion</t>
        </is>
      </c>
      <c r="G1004" s="18" t="inlineStr">
        <is>
          <t>character varying(50)</t>
        </is>
      </c>
      <c r="H1004" s="18" t="inlineStr">
        <is>
          <t>No</t>
        </is>
      </c>
      <c r="I1004" s="18" t="inlineStr"/>
      <c r="J1004" s="18" t="inlineStr"/>
      <c r="K1004" s="18" t="inlineStr"/>
      <c r="L1004" s="18" t="inlineStr">
        <is>
          <t>No</t>
        </is>
      </c>
      <c r="M1004" s="18" t="inlineStr">
        <is>
          <t>No</t>
        </is>
      </c>
      <c r="N1004" s="18" t="inlineStr"/>
      <c r="O1004" s="18" t="inlineStr"/>
      <c r="P1004" s="18" t="inlineStr">
        <is>
          <t>legal-management-service/src/entities/expediente.entity.ts:45: CIVIL, PENAL, ADMINISTRATIVO | db/migrations/old/000a_legal_schema_init.sql:16: CIVIL, PENAL, ADMINISTRATIVO | db/init/old/01_legal_schema_init.sql:13: CIVIL, PENAL, ADMINISTRATIVO | Validación: IsString</t>
        </is>
      </c>
      <c r="Q1004" s="18" t="inlineStr">
        <is>
          <t>Código fuente</t>
        </is>
      </c>
      <c r="R1004" s="18" t="inlineStr">
        <is>
          <t>Jurisdicción del expediente. Valores: CIVIL, PENAL, ADMINISTRATIVO.</t>
        </is>
      </c>
      <c r="S1004" s="18" t="inlineStr">
        <is>
          <t>Alta</t>
        </is>
      </c>
      <c r="T1004" s="18" t="inlineStr">
        <is>
          <t>código: expediente.entity.ts:45</t>
        </is>
      </c>
      <c r="U1004" s="18" t="inlineStr"/>
      <c r="V1004" s="19" t="inlineStr">
        <is>
          <t>Pendiente</t>
        </is>
      </c>
      <c r="W1004" s="19" t="inlineStr"/>
      <c r="X1004" s="19" t="inlineStr"/>
      <c r="Y1004" s="20" t="n"/>
      <c r="Z1004" s="19" t="inlineStr"/>
      <c r="AA1004" s="18">
        <f>IF(OR(V1004="Aprobada"),R1004,IF(AND(OR(V1004="Aprobada con ajuste",V1004="Rechazada"),W1004&lt;&gt;""),W1004,""))</f>
        <v/>
      </c>
    </row>
    <row r="1005">
      <c r="A1005" s="18" t="inlineStr">
        <is>
          <t>C1004</t>
        </is>
      </c>
      <c r="B1005" s="18" t="inlineStr">
        <is>
          <t>Gestión jurídica</t>
        </is>
      </c>
      <c r="C1005" s="18" t="inlineStr">
        <is>
          <t>legal_management</t>
        </is>
      </c>
      <c r="D1005" s="18" t="inlineStr">
        <is>
          <t>expedientes</t>
        </is>
      </c>
      <c r="E1005" s="18" t="n">
        <v>91</v>
      </c>
      <c r="F1005" s="18" t="inlineStr">
        <is>
          <t>tipo_proceso</t>
        </is>
      </c>
      <c r="G1005" s="18" t="inlineStr">
        <is>
          <t>character varying(100)</t>
        </is>
      </c>
      <c r="H1005" s="18" t="inlineStr">
        <is>
          <t>No</t>
        </is>
      </c>
      <c r="I1005" s="18" t="inlineStr"/>
      <c r="J1005" s="18" t="inlineStr"/>
      <c r="K1005" s="18" t="inlineStr"/>
      <c r="L1005" s="18" t="inlineStr">
        <is>
          <t>No</t>
        </is>
      </c>
      <c r="M1005" s="18" t="inlineStr">
        <is>
          <t>No</t>
        </is>
      </c>
      <c r="N1005" s="18" t="inlineStr"/>
      <c r="O1005" s="18" t="inlineStr"/>
      <c r="P1005" s="18" t="inlineStr">
        <is>
          <t>db/migrations/old/000a_legal_schema_init.sql:17: REPARACION DIRECTA, NULIDAD, ETC | db/init/old/01_legal_schema_init.sql:14: REPARACION DIRECTA, NULIDAD, ETC</t>
        </is>
      </c>
      <c r="Q1005" s="18" t="inlineStr">
        <is>
          <t>Código fuente</t>
        </is>
      </c>
      <c r="R1005" s="18" t="inlineStr">
        <is>
          <t>Tipo de proceso judicial, por ejemplo REPARACION DIRECTA o NULIDAD.</t>
        </is>
      </c>
      <c r="S1005" s="18" t="inlineStr">
        <is>
          <t>Media</t>
        </is>
      </c>
      <c r="T1005" s="18" t="inlineStr">
        <is>
          <t>código: db/migrations/old/000a_legal_schema_init.sql:17</t>
        </is>
      </c>
      <c r="U1005" s="18" t="inlineStr">
        <is>
          <t>¿Cuál es la lista completa de tipos de proceso?</t>
        </is>
      </c>
      <c r="V1005" s="19" t="inlineStr">
        <is>
          <t>Pendiente</t>
        </is>
      </c>
      <c r="W1005" s="19" t="inlineStr"/>
      <c r="X1005" s="19" t="inlineStr"/>
      <c r="Y1005" s="20" t="n"/>
      <c r="Z1005" s="19" t="inlineStr"/>
      <c r="AA1005" s="18">
        <f>IF(OR(V1005="Aprobada"),R1005,IF(AND(OR(V1005="Aprobada con ajuste",V1005="Rechazada"),W1005&lt;&gt;""),W1005,""))</f>
        <v/>
      </c>
    </row>
    <row r="1006">
      <c r="A1006" s="18" t="inlineStr">
        <is>
          <t>C1005</t>
        </is>
      </c>
      <c r="B1006" s="18" t="inlineStr">
        <is>
          <t>Gestión jurídica</t>
        </is>
      </c>
      <c r="C1006" s="18" t="inlineStr">
        <is>
          <t>legal_management</t>
        </is>
      </c>
      <c r="D1006" s="18" t="inlineStr">
        <is>
          <t>expedientes</t>
        </is>
      </c>
      <c r="E1006" s="18" t="n">
        <v>91</v>
      </c>
      <c r="F1006" s="18" t="inlineStr">
        <is>
          <t>demandante</t>
        </is>
      </c>
      <c r="G1006" s="18" t="inlineStr">
        <is>
          <t>character varying(255)</t>
        </is>
      </c>
      <c r="H1006" s="18" t="inlineStr">
        <is>
          <t>No</t>
        </is>
      </c>
      <c r="I1006" s="18" t="inlineStr"/>
      <c r="J1006" s="18" t="inlineStr"/>
      <c r="K1006" s="18" t="inlineStr"/>
      <c r="L1006" s="18" t="inlineStr">
        <is>
          <t>No</t>
        </is>
      </c>
      <c r="M1006" s="18" t="inlineStr">
        <is>
          <t>No</t>
        </is>
      </c>
      <c r="N1006" s="18" t="inlineStr"/>
      <c r="O1006" s="18" t="inlineStr"/>
      <c r="P1006" s="18" t="inlineStr">
        <is>
          <t>Mapeada en legal-management-service/src/entities/expediente.entity.ts:51 (Expediente.demandante) | Validación: IsString</t>
        </is>
      </c>
      <c r="Q1006" s="18" t="inlineStr">
        <is>
          <t>Propuesta semántica</t>
        </is>
      </c>
      <c r="R1006" s="18" t="inlineStr">
        <is>
          <t>Nombre del demandante.</t>
        </is>
      </c>
      <c r="S1006" s="18" t="inlineStr">
        <is>
          <t>Alta</t>
        </is>
      </c>
      <c r="T1006" s="18" t="inlineStr">
        <is>
          <t>nombre + tipo + columnas vecinas</t>
        </is>
      </c>
      <c r="U1006" s="18" t="inlineStr"/>
      <c r="V1006" s="19" t="inlineStr">
        <is>
          <t>Pendiente</t>
        </is>
      </c>
      <c r="W1006" s="19" t="inlineStr"/>
      <c r="X1006" s="19" t="inlineStr"/>
      <c r="Y1006" s="20" t="n"/>
      <c r="Z1006" s="19" t="inlineStr"/>
      <c r="AA1006" s="18">
        <f>IF(OR(V1006="Aprobada"),R1006,IF(AND(OR(V1006="Aprobada con ajuste",V1006="Rechazada"),W1006&lt;&gt;""),W1006,""))</f>
        <v/>
      </c>
    </row>
    <row r="1007">
      <c r="A1007" s="18" t="inlineStr">
        <is>
          <t>C1006</t>
        </is>
      </c>
      <c r="B1007" s="18" t="inlineStr">
        <is>
          <t>Gestión jurídica</t>
        </is>
      </c>
      <c r="C1007" s="18" t="inlineStr">
        <is>
          <t>legal_management</t>
        </is>
      </c>
      <c r="D1007" s="18" t="inlineStr">
        <is>
          <t>expedientes</t>
        </is>
      </c>
      <c r="E1007" s="18" t="n">
        <v>91</v>
      </c>
      <c r="F1007" s="18" t="inlineStr">
        <is>
          <t>demandado</t>
        </is>
      </c>
      <c r="G1007" s="18" t="inlineStr">
        <is>
          <t>character varying(255)</t>
        </is>
      </c>
      <c r="H1007" s="18" t="inlineStr">
        <is>
          <t>No</t>
        </is>
      </c>
      <c r="I1007" s="18" t="inlineStr"/>
      <c r="J1007" s="18" t="inlineStr"/>
      <c r="K1007" s="18" t="inlineStr"/>
      <c r="L1007" s="18" t="inlineStr">
        <is>
          <t>No</t>
        </is>
      </c>
      <c r="M1007" s="18" t="inlineStr">
        <is>
          <t>No</t>
        </is>
      </c>
      <c r="N1007" s="18" t="inlineStr"/>
      <c r="O1007" s="18" t="inlineStr"/>
      <c r="P1007" s="18" t="inlineStr">
        <is>
          <t>Mapeada en legal-management-service/src/entities/expediente.entity.ts:54 (Expediente.demandado) | Validación: IsString</t>
        </is>
      </c>
      <c r="Q1007" s="18" t="inlineStr">
        <is>
          <t>Propuesta semántica</t>
        </is>
      </c>
      <c r="R1007" s="18" t="inlineStr">
        <is>
          <t>Nombre del demandado. Valor por defecto: ESAP.</t>
        </is>
      </c>
      <c r="S1007" s="18" t="inlineStr">
        <is>
          <t>Alta</t>
        </is>
      </c>
      <c r="T1007" s="18" t="inlineStr">
        <is>
          <t>nombre + tipo + columnas vecinas + defecto</t>
        </is>
      </c>
      <c r="U1007" s="18" t="inlineStr"/>
      <c r="V1007" s="19" t="inlineStr">
        <is>
          <t>Pendiente</t>
        </is>
      </c>
      <c r="W1007" s="19" t="inlineStr"/>
      <c r="X1007" s="19" t="inlineStr"/>
      <c r="Y1007" s="20" t="n"/>
      <c r="Z1007" s="19" t="inlineStr"/>
      <c r="AA1007" s="18">
        <f>IF(OR(V1007="Aprobada"),R1007,IF(AND(OR(V1007="Aprobada con ajuste",V1007="Rechazada"),W1007&lt;&gt;""),W1007,""))</f>
        <v/>
      </c>
    </row>
    <row r="1008">
      <c r="A1008" s="18" t="inlineStr">
        <is>
          <t>C1007</t>
        </is>
      </c>
      <c r="B1008" s="18" t="inlineStr">
        <is>
          <t>Gestión jurídica</t>
        </is>
      </c>
      <c r="C1008" s="18" t="inlineStr">
        <is>
          <t>legal_management</t>
        </is>
      </c>
      <c r="D1008" s="18" t="inlineStr">
        <is>
          <t>expedientes</t>
        </is>
      </c>
      <c r="E1008" s="18" t="n">
        <v>91</v>
      </c>
      <c r="F1008" s="18" t="inlineStr">
        <is>
          <t>estado</t>
        </is>
      </c>
      <c r="G1008" s="18" t="inlineStr">
        <is>
          <t>character varying(50)</t>
        </is>
      </c>
      <c r="H1008" s="18" t="inlineStr">
        <is>
          <t>No</t>
        </is>
      </c>
      <c r="I1008" s="18" t="inlineStr"/>
      <c r="J1008" s="18" t="inlineStr"/>
      <c r="K1008" s="18" t="inlineStr"/>
      <c r="L1008" s="18" t="inlineStr">
        <is>
          <t>No</t>
        </is>
      </c>
      <c r="M1008" s="18" t="inlineStr">
        <is>
          <t>No</t>
        </is>
      </c>
      <c r="N1008" s="18" t="inlineStr"/>
      <c r="O1008" s="18" t="inlineStr"/>
      <c r="P1008" s="18" t="inlineStr">
        <is>
          <t>legal-management-service/src/entities/expediente.entity.ts:57: RADICADO, EN_TRAMITE, FALLO... | db/migrations/old/000a_legal_schema_init.sql:20: RADICADO, EN_TRAMITE, FALLO, TRASLADO_DESCARGOS | db/init/old/01_legal_schema_init.sql:17: RADICADO, EN_TRAMITE, FALLO, TRASLADO_DESCARGOS</t>
        </is>
      </c>
      <c r="Q1008" s="18" t="inlineStr">
        <is>
          <t>Código fuente</t>
        </is>
      </c>
      <c r="R1008" s="18" t="inlineStr">
        <is>
          <t>Estado del expediente, por ejemplo RADICADO, EN_TRAMITE, FALLO o TRASLADO_DESCARGOS.</t>
        </is>
      </c>
      <c r="S1008" s="18" t="inlineStr">
        <is>
          <t>Media</t>
        </is>
      </c>
      <c r="T1008" s="18" t="inlineStr">
        <is>
          <t>código: db/migrations/old/000a_legal_schema_init.sql:20</t>
        </is>
      </c>
      <c r="U1008" s="18" t="inlineStr">
        <is>
          <t>¿Cuál es la lista completa de estados del expediente?</t>
        </is>
      </c>
      <c r="V1008" s="19" t="inlineStr">
        <is>
          <t>Pendiente</t>
        </is>
      </c>
      <c r="W1008" s="19" t="inlineStr"/>
      <c r="X1008" s="19" t="inlineStr"/>
      <c r="Y1008" s="20" t="n"/>
      <c r="Z1008" s="19" t="inlineStr"/>
      <c r="AA1008" s="18">
        <f>IF(OR(V1008="Aprobada"),R1008,IF(AND(OR(V1008="Aprobada con ajuste",V1008="Rechazada"),W1008&lt;&gt;""),W1008,""))</f>
        <v/>
      </c>
    </row>
    <row r="1009">
      <c r="A1009" s="18" t="inlineStr">
        <is>
          <t>C1008</t>
        </is>
      </c>
      <c r="B1009" s="18" t="inlineStr">
        <is>
          <t>Gestión jurídica</t>
        </is>
      </c>
      <c r="C1009" s="18" t="inlineStr">
        <is>
          <t>legal_management</t>
        </is>
      </c>
      <c r="D1009" s="18" t="inlineStr">
        <is>
          <t>expedientes</t>
        </is>
      </c>
      <c r="E1009" s="18" t="n">
        <v>91</v>
      </c>
      <c r="F1009" s="18" t="inlineStr">
        <is>
          <t>fecha_radicacion</t>
        </is>
      </c>
      <c r="G1009" s="18" t="inlineStr">
        <is>
          <t>timestamp without time zone</t>
        </is>
      </c>
      <c r="H1009" s="18" t="inlineStr">
        <is>
          <t>No</t>
        </is>
      </c>
      <c r="I1009" s="18" t="inlineStr"/>
      <c r="J1009" s="18" t="inlineStr"/>
      <c r="K1009" s="18" t="inlineStr"/>
      <c r="L1009" s="18" t="inlineStr">
        <is>
          <t>No</t>
        </is>
      </c>
      <c r="M1009" s="18" t="inlineStr">
        <is>
          <t>No</t>
        </is>
      </c>
      <c r="N1009" s="18" t="inlineStr"/>
      <c r="O1009" s="18" t="inlineStr"/>
      <c r="P1009" s="18" t="inlineStr">
        <is>
          <t>Mapeada en legal-management-service/src/entities/expediente.entity.ts:60 (Expediente.fechaRadicacion)</t>
        </is>
      </c>
      <c r="Q1009" s="18" t="inlineStr">
        <is>
          <t>Regla estructural</t>
        </is>
      </c>
      <c r="R1009" s="18" t="inlineStr">
        <is>
          <t>Fecha de radicación.</t>
        </is>
      </c>
      <c r="S1009" s="18" t="inlineStr">
        <is>
          <t>Media</t>
        </is>
      </c>
      <c r="T1009" s="18" t="inlineStr">
        <is>
          <t>Convención de nombre de la columna.</t>
        </is>
      </c>
      <c r="U1009" s="18" t="inlineStr"/>
      <c r="V1009" s="19" t="inlineStr">
        <is>
          <t>Pendiente</t>
        </is>
      </c>
      <c r="W1009" s="19" t="inlineStr"/>
      <c r="X1009" s="19" t="inlineStr"/>
      <c r="Y1009" s="20" t="n"/>
      <c r="Z1009" s="19" t="inlineStr"/>
      <c r="AA1009" s="18">
        <f>IF(OR(V1009="Aprobada"),R1009,IF(AND(OR(V1009="Aprobada con ajuste",V1009="Rechazada"),W1009&lt;&gt;""),W1009,""))</f>
        <v/>
      </c>
    </row>
    <row r="1010">
      <c r="A1010" s="18" t="inlineStr">
        <is>
          <t>C1009</t>
        </is>
      </c>
      <c r="B1010" s="18" t="inlineStr">
        <is>
          <t>Gestión jurídica</t>
        </is>
      </c>
      <c r="C1010" s="18" t="inlineStr">
        <is>
          <t>legal_management</t>
        </is>
      </c>
      <c r="D1010" s="18" t="inlineStr">
        <is>
          <t>expedientes</t>
        </is>
      </c>
      <c r="E1010" s="18" t="n">
        <v>91</v>
      </c>
      <c r="F1010" s="18" t="inlineStr">
        <is>
          <t>cuantia</t>
        </is>
      </c>
      <c r="G1010" s="18" t="inlineStr">
        <is>
          <t>numeric(15,2)</t>
        </is>
      </c>
      <c r="H1010" s="18" t="inlineStr">
        <is>
          <t>Sí</t>
        </is>
      </c>
      <c r="I1010" s="18" t="inlineStr"/>
      <c r="J1010" s="18" t="inlineStr"/>
      <c r="K1010" s="18" t="inlineStr"/>
      <c r="L1010" s="18" t="inlineStr">
        <is>
          <t>No</t>
        </is>
      </c>
      <c r="M1010" s="18" t="inlineStr">
        <is>
          <t>No</t>
        </is>
      </c>
      <c r="N1010" s="18" t="inlineStr"/>
      <c r="O1010" s="18" t="inlineStr"/>
      <c r="P1010" s="18" t="inlineStr">
        <is>
          <t>Mapeada en legal-management-service/src/entities/expediente.entity.ts:63 (Expediente.cuantia) | Validación: IsNumber, IsOptional</t>
        </is>
      </c>
      <c r="Q1010" s="18" t="inlineStr">
        <is>
          <t>Propuesta semántica</t>
        </is>
      </c>
      <c r="R1010" s="18" t="inlineStr">
        <is>
          <t>Cuantía del proceso.</t>
        </is>
      </c>
      <c r="S1010" s="18" t="inlineStr">
        <is>
          <t>Media</t>
        </is>
      </c>
      <c r="T1010" s="18" t="inlineStr">
        <is>
          <t>nombre + tipo + columnas vecinas</t>
        </is>
      </c>
      <c r="U1010" s="18" t="inlineStr">
        <is>
          <t>¿La cuantía se registra en pesos colombianos?</t>
        </is>
      </c>
      <c r="V1010" s="19" t="inlineStr">
        <is>
          <t>Pendiente</t>
        </is>
      </c>
      <c r="W1010" s="19" t="inlineStr"/>
      <c r="X1010" s="19" t="inlineStr"/>
      <c r="Y1010" s="20" t="n"/>
      <c r="Z1010" s="19" t="inlineStr"/>
      <c r="AA1010" s="18">
        <f>IF(OR(V1010="Aprobada"),R1010,IF(AND(OR(V1010="Aprobada con ajuste",V1010="Rechazada"),W1010&lt;&gt;""),W1010,""))</f>
        <v/>
      </c>
    </row>
    <row r="1011">
      <c r="A1011" s="18" t="inlineStr">
        <is>
          <t>C1010</t>
        </is>
      </c>
      <c r="B1011" s="18" t="inlineStr">
        <is>
          <t>Gestión jurídica</t>
        </is>
      </c>
      <c r="C1011" s="18" t="inlineStr">
        <is>
          <t>legal_management</t>
        </is>
      </c>
      <c r="D1011" s="18" t="inlineStr">
        <is>
          <t>expedientes</t>
        </is>
      </c>
      <c r="E1011" s="18" t="n">
        <v>91</v>
      </c>
      <c r="F1011" s="18" t="inlineStr">
        <is>
          <t>abogado_sustanciador</t>
        </is>
      </c>
      <c r="G1011" s="18" t="inlineStr">
        <is>
          <t>character varying(255)</t>
        </is>
      </c>
      <c r="H1011" s="18" t="inlineStr">
        <is>
          <t>Sí</t>
        </is>
      </c>
      <c r="I1011" s="18" t="inlineStr"/>
      <c r="J1011" s="18" t="inlineStr"/>
      <c r="K1011" s="18" t="inlineStr"/>
      <c r="L1011" s="18" t="inlineStr">
        <is>
          <t>No</t>
        </is>
      </c>
      <c r="M1011" s="18" t="inlineStr">
        <is>
          <t>No</t>
        </is>
      </c>
      <c r="N1011" s="18" t="inlineStr"/>
      <c r="O1011" s="18" t="inlineStr"/>
      <c r="P1011" s="18" t="inlineStr">
        <is>
          <t>db/migrations/old/000a_legal_schema_init.sql:25: Campos adicionales inferidos de UI | db/init/old/01_legal_schema_init.sql:22: Campos adicionales inferidos de UI</t>
        </is>
      </c>
      <c r="Q1011" s="18" t="inlineStr">
        <is>
          <t>Código fuente</t>
        </is>
      </c>
      <c r="R1011" s="18" t="inlineStr">
        <is>
          <t>Nombre del abogado sustanciador del expediente.</t>
        </is>
      </c>
      <c r="S1011" s="18" t="inlineStr">
        <is>
          <t>Media</t>
        </is>
      </c>
      <c r="T1011" s="18" t="inlineStr">
        <is>
          <t>nombre + tipo; código: 000a_legal_schema_init.sql:25 («campos inferidos de UI»)</t>
        </is>
      </c>
      <c r="U1011" s="18" t="inlineStr">
        <is>
          <t>¿Guarda el nombre o el identificador del abogado?</t>
        </is>
      </c>
      <c r="V1011" s="19" t="inlineStr">
        <is>
          <t>Pendiente</t>
        </is>
      </c>
      <c r="W1011" s="19" t="inlineStr"/>
      <c r="X1011" s="19" t="inlineStr"/>
      <c r="Y1011" s="20" t="n"/>
      <c r="Z1011" s="19" t="inlineStr"/>
      <c r="AA1011" s="18">
        <f>IF(OR(V1011="Aprobada"),R1011,IF(AND(OR(V1011="Aprobada con ajuste",V1011="Rechazada"),W1011&lt;&gt;""),W1011,""))</f>
        <v/>
      </c>
    </row>
    <row r="1012">
      <c r="A1012" s="18" t="inlineStr">
        <is>
          <t>C1011</t>
        </is>
      </c>
      <c r="B1012" s="18" t="inlineStr">
        <is>
          <t>Gestión jurídica</t>
        </is>
      </c>
      <c r="C1012" s="18" t="inlineStr">
        <is>
          <t>legal_management</t>
        </is>
      </c>
      <c r="D1012" s="18" t="inlineStr">
        <is>
          <t>expedientes</t>
        </is>
      </c>
      <c r="E1012" s="18" t="n">
        <v>91</v>
      </c>
      <c r="F1012" s="18" t="inlineStr">
        <is>
          <t>fecha_prescripcion</t>
        </is>
      </c>
      <c r="G1012" s="18" t="inlineStr">
        <is>
          <t>timestamp without time zone</t>
        </is>
      </c>
      <c r="H1012" s="18" t="inlineStr">
        <is>
          <t>Sí</t>
        </is>
      </c>
      <c r="I1012" s="18" t="inlineStr"/>
      <c r="J1012" s="18" t="inlineStr"/>
      <c r="K1012" s="18" t="inlineStr"/>
      <c r="L1012" s="18" t="inlineStr">
        <is>
          <t>No</t>
        </is>
      </c>
      <c r="M1012" s="18" t="inlineStr">
        <is>
          <t>No</t>
        </is>
      </c>
      <c r="N1012" s="18" t="inlineStr"/>
      <c r="O1012" s="18" t="inlineStr"/>
      <c r="P1012" s="18" t="inlineStr">
        <is>
          <t>Mapeada en legal-management-service/src/entities/expediente.entity.ts:85 (Expediente.fechaPrescripcion)</t>
        </is>
      </c>
      <c r="Q1012" s="18" t="inlineStr">
        <is>
          <t>Regla estructural</t>
        </is>
      </c>
      <c r="R1012" s="18" t="inlineStr">
        <is>
          <t>Fecha de prescripción.</t>
        </is>
      </c>
      <c r="S1012" s="18" t="inlineStr">
        <is>
          <t>Media</t>
        </is>
      </c>
      <c r="T1012" s="18" t="inlineStr">
        <is>
          <t>Convención de nombre de la columna.</t>
        </is>
      </c>
      <c r="U1012" s="18" t="inlineStr"/>
      <c r="V1012" s="19" t="inlineStr">
        <is>
          <t>Pendiente</t>
        </is>
      </c>
      <c r="W1012" s="19" t="inlineStr"/>
      <c r="X1012" s="19" t="inlineStr"/>
      <c r="Y1012" s="20" t="n"/>
      <c r="Z1012" s="19" t="inlineStr"/>
      <c r="AA1012" s="18">
        <f>IF(OR(V1012="Aprobada"),R1012,IF(AND(OR(V1012="Aprobada con ajuste",V1012="Rechazada"),W1012&lt;&gt;""),W1012,""))</f>
        <v/>
      </c>
    </row>
    <row r="1013">
      <c r="A1013" s="18" t="inlineStr">
        <is>
          <t>C1012</t>
        </is>
      </c>
      <c r="B1013" s="18" t="inlineStr">
        <is>
          <t>Gestión jurídica</t>
        </is>
      </c>
      <c r="C1013" s="18" t="inlineStr">
        <is>
          <t>legal_management</t>
        </is>
      </c>
      <c r="D1013" s="18" t="inlineStr">
        <is>
          <t>expedientes</t>
        </is>
      </c>
      <c r="E1013" s="18" t="n">
        <v>91</v>
      </c>
      <c r="F1013" s="18" t="inlineStr">
        <is>
          <t>riesgo_prescripcion</t>
        </is>
      </c>
      <c r="G1013" s="18" t="inlineStr">
        <is>
          <t>boolean</t>
        </is>
      </c>
      <c r="H1013" s="18" t="inlineStr">
        <is>
          <t>Sí</t>
        </is>
      </c>
      <c r="I1013" s="18" t="inlineStr"/>
      <c r="J1013" s="18" t="inlineStr"/>
      <c r="K1013" s="18" t="inlineStr"/>
      <c r="L1013" s="18" t="inlineStr">
        <is>
          <t>No</t>
        </is>
      </c>
      <c r="M1013" s="18" t="inlineStr">
        <is>
          <t>No</t>
        </is>
      </c>
      <c r="N1013" s="18" t="inlineStr"/>
      <c r="O1013" s="18" t="inlineStr"/>
      <c r="P1013" s="18" t="inlineStr">
        <is>
          <t>Mapeada en legal-management-service/src/entities/expediente.entity.ts:88 (Expediente.riesgoPrescripcion)</t>
        </is>
      </c>
      <c r="Q1013" s="18" t="inlineStr">
        <is>
          <t>Regla estructural</t>
        </is>
      </c>
      <c r="R1013" s="18" t="inlineStr">
        <is>
          <t>Indica si aplica: riesgo prescripción.</t>
        </is>
      </c>
      <c r="S1013" s="18" t="inlineStr">
        <is>
          <t>Media</t>
        </is>
      </c>
      <c r="T1013" s="18" t="inlineStr">
        <is>
          <t>Convención de nombre de la columna.</t>
        </is>
      </c>
      <c r="U1013" s="18" t="inlineStr"/>
      <c r="V1013" s="19" t="inlineStr">
        <is>
          <t>Pendiente</t>
        </is>
      </c>
      <c r="W1013" s="19" t="inlineStr"/>
      <c r="X1013" s="19" t="inlineStr"/>
      <c r="Y1013" s="20" t="n"/>
      <c r="Z1013" s="19" t="inlineStr"/>
      <c r="AA1013" s="18">
        <f>IF(OR(V1013="Aprobada"),R1013,IF(AND(OR(V1013="Aprobada con ajuste",V1013="Rechazada"),W1013&lt;&gt;""),W1013,""))</f>
        <v/>
      </c>
    </row>
    <row r="1014">
      <c r="A1014" s="18" t="inlineStr">
        <is>
          <t>C1013</t>
        </is>
      </c>
      <c r="B1014" s="18" t="inlineStr">
        <is>
          <t>Gestión jurídica</t>
        </is>
      </c>
      <c r="C1014" s="18" t="inlineStr">
        <is>
          <t>legal_management</t>
        </is>
      </c>
      <c r="D1014" s="18" t="inlineStr">
        <is>
          <t>expedientes</t>
        </is>
      </c>
      <c r="E1014" s="18" t="n">
        <v>91</v>
      </c>
      <c r="F1014" s="18" t="inlineStr">
        <is>
          <t>termino_procesal_dias</t>
        </is>
      </c>
      <c r="G1014" s="18" t="inlineStr">
        <is>
          <t>integer</t>
        </is>
      </c>
      <c r="H1014" s="18" t="inlineStr">
        <is>
          <t>Sí</t>
        </is>
      </c>
      <c r="I1014" s="18" t="inlineStr"/>
      <c r="J1014" s="18" t="inlineStr"/>
      <c r="K1014" s="18" t="inlineStr"/>
      <c r="L1014" s="18" t="inlineStr">
        <is>
          <t>No</t>
        </is>
      </c>
      <c r="M1014" s="18" t="inlineStr">
        <is>
          <t>No</t>
        </is>
      </c>
      <c r="N1014" s="18" t="inlineStr"/>
      <c r="O1014" s="18" t="inlineStr"/>
      <c r="P1014" s="18" t="inlineStr">
        <is>
          <t>Mapeada en legal-management-service/src/entities/expediente.entity.ts:91 (Expediente.terminoProcesalDias) | Validación: IsNumber, IsOptional</t>
        </is>
      </c>
      <c r="Q1014" s="18" t="inlineStr">
        <is>
          <t>Propuesta semántica</t>
        </is>
      </c>
      <c r="R1014" s="18" t="inlineStr">
        <is>
          <t>Días del término procesal.</t>
        </is>
      </c>
      <c r="S1014" s="18" t="inlineStr">
        <is>
          <t>Media</t>
        </is>
      </c>
      <c r="T1014" s="18" t="inlineStr">
        <is>
          <t>nombre + tipo + columnas vecinas (tipo_conteo_termino)</t>
        </is>
      </c>
      <c r="U1014" s="18" t="inlineStr">
        <is>
          <t>¿A qué término corresponde y se cuenta según tipo_conteo_termino?</t>
        </is>
      </c>
      <c r="V1014" s="19" t="inlineStr">
        <is>
          <t>Pendiente</t>
        </is>
      </c>
      <c r="W1014" s="19" t="inlineStr"/>
      <c r="X1014" s="19" t="inlineStr"/>
      <c r="Y1014" s="20" t="n"/>
      <c r="Z1014" s="19" t="inlineStr"/>
      <c r="AA1014" s="18">
        <f>IF(OR(V1014="Aprobada"),R1014,IF(AND(OR(V1014="Aprobada con ajuste",V1014="Rechazada"),W1014&lt;&gt;""),W1014,""))</f>
        <v/>
      </c>
    </row>
    <row r="1015">
      <c r="A1015" s="18" t="inlineStr">
        <is>
          <t>C1014</t>
        </is>
      </c>
      <c r="B1015" s="18" t="inlineStr">
        <is>
          <t>Gestión jurídica</t>
        </is>
      </c>
      <c r="C1015" s="18" t="inlineStr">
        <is>
          <t>legal_management</t>
        </is>
      </c>
      <c r="D1015" s="18" t="inlineStr">
        <is>
          <t>expedientes</t>
        </is>
      </c>
      <c r="E1015" s="18" t="n">
        <v>91</v>
      </c>
      <c r="F1015" s="18" t="inlineStr">
        <is>
          <t>ultima_actuacion</t>
        </is>
      </c>
      <c r="G1015" s="18" t="inlineStr">
        <is>
          <t>character varying(255)</t>
        </is>
      </c>
      <c r="H1015" s="18" t="inlineStr">
        <is>
          <t>Sí</t>
        </is>
      </c>
      <c r="I1015" s="18" t="inlineStr"/>
      <c r="J1015" s="18" t="inlineStr"/>
      <c r="K1015" s="18" t="inlineStr"/>
      <c r="L1015" s="18" t="inlineStr">
        <is>
          <t>No</t>
        </is>
      </c>
      <c r="M1015" s="18" t="inlineStr">
        <is>
          <t>No</t>
        </is>
      </c>
      <c r="N1015" s="18" t="inlineStr"/>
      <c r="O1015" s="18" t="inlineStr"/>
      <c r="P1015" s="18" t="inlineStr">
        <is>
          <t>Mapeada en legal-management-service/src/entities/expediente.entity.ts:97 (Expediente.ultimaActuacion)</t>
        </is>
      </c>
      <c r="Q1015" s="18" t="inlineStr">
        <is>
          <t>Propuesta semántica</t>
        </is>
      </c>
      <c r="R1015" s="18" t="inlineStr">
        <is>
          <t>Descripción de la última actuación registrada en el expediente.</t>
        </is>
      </c>
      <c r="S1015" s="18" t="inlineStr">
        <is>
          <t>Media</t>
        </is>
      </c>
      <c r="T1015" s="18" t="inlineStr">
        <is>
          <t>nombre + tipo + columnas vecinas</t>
        </is>
      </c>
      <c r="U1015" s="18" t="inlineStr">
        <is>
          <t>¿Se actualiza automáticamente a partir de la tabla actuaciones?</t>
        </is>
      </c>
      <c r="V1015" s="19" t="inlineStr">
        <is>
          <t>Pendiente</t>
        </is>
      </c>
      <c r="W1015" s="19" t="inlineStr"/>
      <c r="X1015" s="19" t="inlineStr"/>
      <c r="Y1015" s="20" t="n"/>
      <c r="Z1015" s="19" t="inlineStr"/>
      <c r="AA1015" s="18">
        <f>IF(OR(V1015="Aprobada"),R1015,IF(AND(OR(V1015="Aprobada con ajuste",V1015="Rechazada"),W1015&lt;&gt;""),W1015,""))</f>
        <v/>
      </c>
    </row>
    <row r="1016">
      <c r="A1016" s="18" t="inlineStr">
        <is>
          <t>C1015</t>
        </is>
      </c>
      <c r="B1016" s="18" t="inlineStr">
        <is>
          <t>Gestión jurídica</t>
        </is>
      </c>
      <c r="C1016" s="18" t="inlineStr">
        <is>
          <t>legal_management</t>
        </is>
      </c>
      <c r="D1016" s="18" t="inlineStr">
        <is>
          <t>expedientes</t>
        </is>
      </c>
      <c r="E1016" s="18" t="n">
        <v>91</v>
      </c>
      <c r="F1016" s="18" t="inlineStr">
        <is>
          <t>ubicacion_fisica</t>
        </is>
      </c>
      <c r="G1016" s="18" t="inlineStr">
        <is>
          <t>character varying(255)</t>
        </is>
      </c>
      <c r="H1016" s="18" t="inlineStr">
        <is>
          <t>Sí</t>
        </is>
      </c>
      <c r="I1016" s="18" t="inlineStr"/>
      <c r="J1016" s="18" t="inlineStr"/>
      <c r="K1016" s="18" t="inlineStr"/>
      <c r="L1016" s="18" t="inlineStr">
        <is>
          <t>No</t>
        </is>
      </c>
      <c r="M1016" s="18" t="inlineStr">
        <is>
          <t>No</t>
        </is>
      </c>
      <c r="N1016" s="18" t="inlineStr"/>
      <c r="O1016" s="18" t="inlineStr"/>
      <c r="P1016" s="18" t="inlineStr">
        <is>
          <t>Mapeada en legal-management-service/src/entities/expediente.entity.ts:100 (Expediente.ubicacionFisica)</t>
        </is>
      </c>
      <c r="Q1016" s="18" t="inlineStr">
        <is>
          <t>Propuesta semántica</t>
        </is>
      </c>
      <c r="R1016" s="18" t="inlineStr">
        <is>
          <t>Ubicación física del expediente.</t>
        </is>
      </c>
      <c r="S1016" s="18" t="inlineStr">
        <is>
          <t>Alta</t>
        </is>
      </c>
      <c r="T1016" s="18" t="inlineStr">
        <is>
          <t>nombre + tipo + columnas vecinas</t>
        </is>
      </c>
      <c r="U1016" s="18" t="inlineStr"/>
      <c r="V1016" s="19" t="inlineStr">
        <is>
          <t>Pendiente</t>
        </is>
      </c>
      <c r="W1016" s="19" t="inlineStr"/>
      <c r="X1016" s="19" t="inlineStr"/>
      <c r="Y1016" s="20" t="n"/>
      <c r="Z1016" s="19" t="inlineStr"/>
      <c r="AA1016" s="18">
        <f>IF(OR(V1016="Aprobada"),R1016,IF(AND(OR(V1016="Aprobada con ajuste",V1016="Rechazada"),W1016&lt;&gt;""),W1016,""))</f>
        <v/>
      </c>
    </row>
    <row r="1017">
      <c r="A1017" s="18" t="inlineStr">
        <is>
          <t>C1016</t>
        </is>
      </c>
      <c r="B1017" s="18" t="inlineStr">
        <is>
          <t>Gestión jurídica</t>
        </is>
      </c>
      <c r="C1017" s="18" t="inlineStr">
        <is>
          <t>legal_management</t>
        </is>
      </c>
      <c r="D1017" s="18" t="inlineStr">
        <is>
          <t>expedientes</t>
        </is>
      </c>
      <c r="E1017" s="18" t="n">
        <v>91</v>
      </c>
      <c r="F1017" s="18" t="inlineStr">
        <is>
          <t>sancion_proyectada</t>
        </is>
      </c>
      <c r="G1017" s="18" t="inlineStr">
        <is>
          <t>character varying</t>
        </is>
      </c>
      <c r="H1017" s="18" t="inlineStr">
        <is>
          <t>Sí</t>
        </is>
      </c>
      <c r="I1017" s="18" t="inlineStr"/>
      <c r="J1017" s="18" t="inlineStr"/>
      <c r="K1017" s="18" t="inlineStr"/>
      <c r="L1017" s="18" t="inlineStr">
        <is>
          <t>No</t>
        </is>
      </c>
      <c r="M1017" s="18" t="inlineStr">
        <is>
          <t>No</t>
        </is>
      </c>
      <c r="N1017" s="18" t="inlineStr"/>
      <c r="O1017" s="18" t="inlineStr"/>
      <c r="P1017" s="18" t="inlineStr">
        <is>
          <t>Mapeada en legal-management-service/src/entities/expediente.entity.ts:103 (Expediente.sancionProyectada)</t>
        </is>
      </c>
      <c r="Q1017" s="18" t="inlineStr">
        <is>
          <t>Propuesta semántica</t>
        </is>
      </c>
      <c r="R1017" s="18" t="inlineStr">
        <is>
          <t>Sanción proyectada en el proceso.</t>
        </is>
      </c>
      <c r="S1017" s="18" t="inlineStr">
        <is>
          <t>Media</t>
        </is>
      </c>
      <c r="T1017" s="18" t="inlineStr">
        <is>
          <t>nombre + tipo + columnas vecinas</t>
        </is>
      </c>
      <c r="U1017" s="18" t="inlineStr">
        <is>
          <t>¿Es texto libre o sale de un catálogo de sanciones?</t>
        </is>
      </c>
      <c r="V1017" s="19" t="inlineStr">
        <is>
          <t>Pendiente</t>
        </is>
      </c>
      <c r="W1017" s="19" t="inlineStr"/>
      <c r="X1017" s="19" t="inlineStr"/>
      <c r="Y1017" s="20" t="n"/>
      <c r="Z1017" s="19" t="inlineStr"/>
      <c r="AA1017" s="18">
        <f>IF(OR(V1017="Aprobada"),R1017,IF(AND(OR(V1017="Aprobada con ajuste",V1017="Rechazada"),W1017&lt;&gt;""),W1017,""))</f>
        <v/>
      </c>
    </row>
    <row r="1018">
      <c r="A1018" s="18" t="inlineStr">
        <is>
          <t>C1017</t>
        </is>
      </c>
      <c r="B1018" s="18" t="inlineStr">
        <is>
          <t>Gestión jurídica</t>
        </is>
      </c>
      <c r="C1018" s="18" t="inlineStr">
        <is>
          <t>legal_management</t>
        </is>
      </c>
      <c r="D1018" s="18" t="inlineStr">
        <is>
          <t>expedientes</t>
        </is>
      </c>
      <c r="E1018" s="18" t="n">
        <v>91</v>
      </c>
      <c r="F1018" s="18" t="inlineStr">
        <is>
          <t>hechos</t>
        </is>
      </c>
      <c r="G1018" s="18" t="inlineStr">
        <is>
          <t>text</t>
        </is>
      </c>
      <c r="H1018" s="18" t="inlineStr">
        <is>
          <t>Sí</t>
        </is>
      </c>
      <c r="I1018" s="18" t="inlineStr"/>
      <c r="J1018" s="18" t="inlineStr"/>
      <c r="K1018" s="18" t="inlineStr"/>
      <c r="L1018" s="18" t="inlineStr">
        <is>
          <t>No</t>
        </is>
      </c>
      <c r="M1018" s="18" t="inlineStr">
        <is>
          <t>No</t>
        </is>
      </c>
      <c r="N1018" s="18" t="inlineStr"/>
      <c r="O1018" s="18" t="inlineStr"/>
      <c r="P1018" s="18" t="inlineStr">
        <is>
          <t>Mapeada en legal-management-service/src/entities/expediente.entity.ts:197 (Expediente.hechos)</t>
        </is>
      </c>
      <c r="Q1018" s="18" t="inlineStr">
        <is>
          <t>Propuesta semántica</t>
        </is>
      </c>
      <c r="R1018" s="18" t="inlineStr">
        <is>
          <t>Descripción de los hechos del proceso.</t>
        </is>
      </c>
      <c r="S1018" s="18" t="inlineStr">
        <is>
          <t>Media</t>
        </is>
      </c>
      <c r="T1018" s="18" t="inlineStr">
        <is>
          <t>nombre + tipo + columnas vecinas (hechos_list)</t>
        </is>
      </c>
      <c r="U1018" s="18" t="inlineStr">
        <is>
          <t>¿Qué diferencia hay entre hechos y hechos_list?</t>
        </is>
      </c>
      <c r="V1018" s="19" t="inlineStr">
        <is>
          <t>Pendiente</t>
        </is>
      </c>
      <c r="W1018" s="19" t="inlineStr"/>
      <c r="X1018" s="19" t="inlineStr"/>
      <c r="Y1018" s="20" t="n"/>
      <c r="Z1018" s="19" t="inlineStr"/>
      <c r="AA1018" s="18">
        <f>IF(OR(V1018="Aprobada"),R1018,IF(AND(OR(V1018="Aprobada con ajuste",V1018="Rechazada"),W1018&lt;&gt;""),W1018,""))</f>
        <v/>
      </c>
    </row>
    <row r="1019">
      <c r="A1019" s="18" t="inlineStr">
        <is>
          <t>C1018</t>
        </is>
      </c>
      <c r="B1019" s="18" t="inlineStr">
        <is>
          <t>Gestión jurídica</t>
        </is>
      </c>
      <c r="C1019" s="18" t="inlineStr">
        <is>
          <t>legal_management</t>
        </is>
      </c>
      <c r="D1019" s="18" t="inlineStr">
        <is>
          <t>expedientes</t>
        </is>
      </c>
      <c r="E1019" s="18" t="n">
        <v>91</v>
      </c>
      <c r="F1019" s="18" t="inlineStr">
        <is>
          <t>fecha_limite_etapa</t>
        </is>
      </c>
      <c r="G1019" s="18" t="inlineStr">
        <is>
          <t>timestamp without time zone</t>
        </is>
      </c>
      <c r="H1019" s="18" t="inlineStr">
        <is>
          <t>Sí</t>
        </is>
      </c>
      <c r="I1019" s="18" t="inlineStr"/>
      <c r="J1019" s="18" t="inlineStr"/>
      <c r="K1019" s="18" t="inlineStr"/>
      <c r="L1019" s="18" t="inlineStr">
        <is>
          <t>No</t>
        </is>
      </c>
      <c r="M1019" s="18" t="inlineStr">
        <is>
          <t>No</t>
        </is>
      </c>
      <c r="N1019" s="18" t="inlineStr"/>
      <c r="O1019" s="18" t="inlineStr"/>
      <c r="P1019" s="18" t="inlineStr">
        <is>
          <t>Mapeada en legal-management-service/src/entities/expediente.entity.ts:225 (Expediente.fechaLimiteEtapa)</t>
        </is>
      </c>
      <c r="Q1019" s="18" t="inlineStr">
        <is>
          <t>Regla estructural</t>
        </is>
      </c>
      <c r="R1019" s="18" t="inlineStr">
        <is>
          <t>Fecha límite etapa.</t>
        </is>
      </c>
      <c r="S1019" s="18" t="inlineStr">
        <is>
          <t>Media</t>
        </is>
      </c>
      <c r="T1019" s="18" t="inlineStr">
        <is>
          <t>Convención de nombre de la columna.</t>
        </is>
      </c>
      <c r="U1019" s="18" t="inlineStr"/>
      <c r="V1019" s="19" t="inlineStr">
        <is>
          <t>Pendiente</t>
        </is>
      </c>
      <c r="W1019" s="19" t="inlineStr"/>
      <c r="X1019" s="19" t="inlineStr"/>
      <c r="Y1019" s="20" t="n"/>
      <c r="Z1019" s="19" t="inlineStr"/>
      <c r="AA1019" s="18">
        <f>IF(OR(V1019="Aprobada"),R1019,IF(AND(OR(V1019="Aprobada con ajuste",V1019="Rechazada"),W1019&lt;&gt;""),W1019,""))</f>
        <v/>
      </c>
    </row>
    <row r="1020">
      <c r="A1020" s="18" t="inlineStr">
        <is>
          <t>C1019</t>
        </is>
      </c>
      <c r="B1020" s="18" t="inlineStr">
        <is>
          <t>Gestión jurídica</t>
        </is>
      </c>
      <c r="C1020" s="18" t="inlineStr">
        <is>
          <t>legal_management</t>
        </is>
      </c>
      <c r="D1020" s="18" t="inlineStr">
        <is>
          <t>expedientes</t>
        </is>
      </c>
      <c r="E1020" s="18" t="n">
        <v>91</v>
      </c>
      <c r="F1020" s="18" t="inlineStr">
        <is>
          <t>medio_control</t>
        </is>
      </c>
      <c r="G1020" s="18" t="inlineStr">
        <is>
          <t>character varying(255)</t>
        </is>
      </c>
      <c r="H1020" s="18" t="inlineStr">
        <is>
          <t>Sí</t>
        </is>
      </c>
      <c r="I1020" s="18" t="inlineStr"/>
      <c r="J1020" s="18" t="inlineStr"/>
      <c r="K1020" s="18" t="inlineStr"/>
      <c r="L1020" s="18" t="inlineStr">
        <is>
          <t>No</t>
        </is>
      </c>
      <c r="M1020" s="18" t="inlineStr">
        <is>
          <t>No</t>
        </is>
      </c>
      <c r="N1020" s="18" t="inlineStr"/>
      <c r="O1020" s="18" t="inlineStr"/>
      <c r="P1020" s="18" t="inlineStr">
        <is>
          <t>Mapeada en legal-management-service/src/entities/expediente.entity.ts:106 (Expediente.medioControl) | Validación: IsString</t>
        </is>
      </c>
      <c r="Q1020" s="18" t="inlineStr">
        <is>
          <t>Propuesta semántica</t>
        </is>
      </c>
      <c r="R1020" s="18" t="inlineStr">
        <is>
          <t>Medio de control judicial del proceso.</t>
        </is>
      </c>
      <c r="S1020" s="18" t="inlineStr">
        <is>
          <t>Alta</t>
        </is>
      </c>
      <c r="T1020" s="18" t="inlineStr">
        <is>
          <t>nombre + tipo + columnas vecinas</t>
        </is>
      </c>
      <c r="U1020" s="18" t="inlineStr"/>
      <c r="V1020" s="19" t="inlineStr">
        <is>
          <t>Pendiente</t>
        </is>
      </c>
      <c r="W1020" s="19" t="inlineStr"/>
      <c r="X1020" s="19" t="inlineStr"/>
      <c r="Y1020" s="20" t="n"/>
      <c r="Z1020" s="19" t="inlineStr"/>
      <c r="AA1020" s="18">
        <f>IF(OR(V1020="Aprobada"),R1020,IF(AND(OR(V1020="Aprobada con ajuste",V1020="Rechazada"),W1020&lt;&gt;""),W1020,""))</f>
        <v/>
      </c>
    </row>
    <row r="1021">
      <c r="A1021" s="18" t="inlineStr">
        <is>
          <t>C1020</t>
        </is>
      </c>
      <c r="B1021" s="18" t="inlineStr">
        <is>
          <t>Gestión jurídica</t>
        </is>
      </c>
      <c r="C1021" s="18" t="inlineStr">
        <is>
          <t>legal_management</t>
        </is>
      </c>
      <c r="D1021" s="18" t="inlineStr">
        <is>
          <t>expedientes</t>
        </is>
      </c>
      <c r="E1021" s="18" t="n">
        <v>91</v>
      </c>
      <c r="F1021" s="18" t="inlineStr">
        <is>
          <t>juzgado_conocimiento</t>
        </is>
      </c>
      <c r="G1021" s="18" t="inlineStr">
        <is>
          <t>character varying(255)</t>
        </is>
      </c>
      <c r="H1021" s="18" t="inlineStr">
        <is>
          <t>Sí</t>
        </is>
      </c>
      <c r="I1021" s="18" t="inlineStr"/>
      <c r="J1021" s="18" t="inlineStr"/>
      <c r="K1021" s="18" t="inlineStr"/>
      <c r="L1021" s="18" t="inlineStr">
        <is>
          <t>No</t>
        </is>
      </c>
      <c r="M1021" s="18" t="inlineStr">
        <is>
          <t>No</t>
        </is>
      </c>
      <c r="N1021" s="18" t="inlineStr"/>
      <c r="O1021" s="18" t="inlineStr"/>
      <c r="P1021" s="18" t="inlineStr">
        <is>
          <t>Mapeada en legal-management-service/src/entities/expediente.entity.ts:109 (Expediente.juzgadoConocimiento) | Validación: IsString</t>
        </is>
      </c>
      <c r="Q1021" s="18" t="inlineStr">
        <is>
          <t>Propuesta semántica</t>
        </is>
      </c>
      <c r="R1021" s="18" t="inlineStr">
        <is>
          <t>Juzgado que conoce del proceso.</t>
        </is>
      </c>
      <c r="S1021" s="18" t="inlineStr">
        <is>
          <t>Alta</t>
        </is>
      </c>
      <c r="T1021" s="18" t="inlineStr">
        <is>
          <t>nombre + tipo + columnas vecinas</t>
        </is>
      </c>
      <c r="U1021" s="18" t="inlineStr"/>
      <c r="V1021" s="19" t="inlineStr">
        <is>
          <t>Pendiente</t>
        </is>
      </c>
      <c r="W1021" s="19" t="inlineStr"/>
      <c r="X1021" s="19" t="inlineStr"/>
      <c r="Y1021" s="20" t="n"/>
      <c r="Z1021" s="19" t="inlineStr"/>
      <c r="AA1021" s="18">
        <f>IF(OR(V1021="Aprobada"),R1021,IF(AND(OR(V1021="Aprobada con ajuste",V1021="Rechazada"),W1021&lt;&gt;""),W1021,""))</f>
        <v/>
      </c>
    </row>
    <row r="1022">
      <c r="A1022" s="18" t="inlineStr">
        <is>
          <t>C1021</t>
        </is>
      </c>
      <c r="B1022" s="18" t="inlineStr">
        <is>
          <t>Gestión jurídica</t>
        </is>
      </c>
      <c r="C1022" s="18" t="inlineStr">
        <is>
          <t>legal_management</t>
        </is>
      </c>
      <c r="D1022" s="18" t="inlineStr">
        <is>
          <t>expedientes</t>
        </is>
      </c>
      <c r="E1022" s="18" t="n">
        <v>91</v>
      </c>
      <c r="F1022" s="18" t="inlineStr">
        <is>
          <t>pretension_demandante</t>
        </is>
      </c>
      <c r="G1022" s="18" t="inlineStr">
        <is>
          <t>text</t>
        </is>
      </c>
      <c r="H1022" s="18" t="inlineStr">
        <is>
          <t>Sí</t>
        </is>
      </c>
      <c r="I1022" s="18" t="inlineStr"/>
      <c r="J1022" s="18" t="inlineStr"/>
      <c r="K1022" s="18" t="inlineStr"/>
      <c r="L1022" s="18" t="inlineStr">
        <is>
          <t>No</t>
        </is>
      </c>
      <c r="M1022" s="18" t="inlineStr">
        <is>
          <t>No</t>
        </is>
      </c>
      <c r="N1022" s="18" t="inlineStr"/>
      <c r="O1022" s="18" t="inlineStr"/>
      <c r="P1022" s="18" t="inlineStr">
        <is>
          <t>Mapeada en legal-management-service/src/entities/expediente.entity.ts:112 (Expediente.pretensionDemandante) | Validación: IsString</t>
        </is>
      </c>
      <c r="Q1022" s="18" t="inlineStr">
        <is>
          <t>Propuesta semántica</t>
        </is>
      </c>
      <c r="R1022" s="18" t="inlineStr">
        <is>
          <t>Pretensiones del demandante.</t>
        </is>
      </c>
      <c r="S1022" s="18" t="inlineStr">
        <is>
          <t>Alta</t>
        </is>
      </c>
      <c r="T1022" s="18" t="inlineStr">
        <is>
          <t>nombre + tipo + columnas vecinas</t>
        </is>
      </c>
      <c r="U1022" s="18" t="inlineStr"/>
      <c r="V1022" s="19" t="inlineStr">
        <is>
          <t>Pendiente</t>
        </is>
      </c>
      <c r="W1022" s="19" t="inlineStr"/>
      <c r="X1022" s="19" t="inlineStr"/>
      <c r="Y1022" s="20" t="n"/>
      <c r="Z1022" s="19" t="inlineStr"/>
      <c r="AA1022" s="18">
        <f>IF(OR(V1022="Aprobada"),R1022,IF(AND(OR(V1022="Aprobada con ajuste",V1022="Rechazada"),W1022&lt;&gt;""),W1022,""))</f>
        <v/>
      </c>
    </row>
    <row r="1023">
      <c r="A1023" s="18" t="inlineStr">
        <is>
          <t>C1022</t>
        </is>
      </c>
      <c r="B1023" s="18" t="inlineStr">
        <is>
          <t>Gestión jurídica</t>
        </is>
      </c>
      <c r="C1023" s="18" t="inlineStr">
        <is>
          <t>legal_management</t>
        </is>
      </c>
      <c r="D1023" s="18" t="inlineStr">
        <is>
          <t>expedientes</t>
        </is>
      </c>
      <c r="E1023" s="18" t="n">
        <v>91</v>
      </c>
      <c r="F1023" s="18" t="inlineStr">
        <is>
          <t>acto_administrativo_demandado</t>
        </is>
      </c>
      <c r="G1023" s="18" t="inlineStr">
        <is>
          <t>text</t>
        </is>
      </c>
      <c r="H1023" s="18" t="inlineStr">
        <is>
          <t>Sí</t>
        </is>
      </c>
      <c r="I1023" s="18" t="inlineStr"/>
      <c r="J1023" s="18" t="inlineStr"/>
      <c r="K1023" s="18" t="inlineStr"/>
      <c r="L1023" s="18" t="inlineStr">
        <is>
          <t>No</t>
        </is>
      </c>
      <c r="M1023" s="18" t="inlineStr">
        <is>
          <t>No</t>
        </is>
      </c>
      <c r="N1023" s="18" t="inlineStr"/>
      <c r="O1023" s="18" t="inlineStr"/>
      <c r="P1023" s="18" t="inlineStr">
        <is>
          <t>Mapeada en legal-management-service/src/entities/expediente.entity.ts:115 (Expediente.actoAdministrativoDemandado) | Validación: IsOptional, IsString</t>
        </is>
      </c>
      <c r="Q1023" s="18" t="inlineStr">
        <is>
          <t>Propuesta semántica</t>
        </is>
      </c>
      <c r="R1023" s="18" t="inlineStr">
        <is>
          <t>Acto administrativo demandado en el proceso.</t>
        </is>
      </c>
      <c r="S1023" s="18" t="inlineStr">
        <is>
          <t>Alta</t>
        </is>
      </c>
      <c r="T1023" s="18" t="inlineStr">
        <is>
          <t>nombre + tipo + columnas vecinas</t>
        </is>
      </c>
      <c r="U1023" s="18" t="inlineStr"/>
      <c r="V1023" s="19" t="inlineStr">
        <is>
          <t>Pendiente</t>
        </is>
      </c>
      <c r="W1023" s="19" t="inlineStr"/>
      <c r="X1023" s="19" t="inlineStr"/>
      <c r="Y1023" s="20" t="n"/>
      <c r="Z1023" s="19" t="inlineStr"/>
      <c r="AA1023" s="18">
        <f>IF(OR(V1023="Aprobada"),R1023,IF(AND(OR(V1023="Aprobada con ajuste",V1023="Rechazada"),W1023&lt;&gt;""),W1023,""))</f>
        <v/>
      </c>
    </row>
    <row r="1024">
      <c r="A1024" s="18" t="inlineStr">
        <is>
          <t>C1023</t>
        </is>
      </c>
      <c r="B1024" s="18" t="inlineStr">
        <is>
          <t>Gestión jurídica</t>
        </is>
      </c>
      <c r="C1024" s="18" t="inlineStr">
        <is>
          <t>legal_management</t>
        </is>
      </c>
      <c r="D1024" s="18" t="inlineStr">
        <is>
          <t>expedientes</t>
        </is>
      </c>
      <c r="E1024" s="18" t="n">
        <v>91</v>
      </c>
      <c r="F1024" s="18" t="inlineStr">
        <is>
          <t>fecha_notificacion</t>
        </is>
      </c>
      <c r="G1024" s="18" t="inlineStr">
        <is>
          <t>timestamp without time zone</t>
        </is>
      </c>
      <c r="H1024" s="18" t="inlineStr">
        <is>
          <t>Sí</t>
        </is>
      </c>
      <c r="I1024" s="18" t="inlineStr"/>
      <c r="J1024" s="18" t="inlineStr"/>
      <c r="K1024" s="18" t="inlineStr"/>
      <c r="L1024" s="18" t="inlineStr">
        <is>
          <t>No</t>
        </is>
      </c>
      <c r="M1024" s="18" t="inlineStr">
        <is>
          <t>No</t>
        </is>
      </c>
      <c r="N1024" s="18" t="inlineStr"/>
      <c r="O1024" s="18" t="inlineStr"/>
      <c r="P1024" s="18" t="inlineStr">
        <is>
          <t>Mapeada en legal-management-service/src/entities/expediente.entity.ts:118 (Expediente.fechaNotificacion) | Validación: IsDateString</t>
        </is>
      </c>
      <c r="Q1024" s="18" t="inlineStr">
        <is>
          <t>Regla estructural</t>
        </is>
      </c>
      <c r="R1024" s="18" t="inlineStr">
        <is>
          <t>Fecha de notificación.</t>
        </is>
      </c>
      <c r="S1024" s="18" t="inlineStr">
        <is>
          <t>Media</t>
        </is>
      </c>
      <c r="T1024" s="18" t="inlineStr">
        <is>
          <t>Convención de nombre de la columna.</t>
        </is>
      </c>
      <c r="U1024" s="18" t="inlineStr"/>
      <c r="V1024" s="19" t="inlineStr">
        <is>
          <t>Pendiente</t>
        </is>
      </c>
      <c r="W1024" s="19" t="inlineStr"/>
      <c r="X1024" s="19" t="inlineStr"/>
      <c r="Y1024" s="20" t="n"/>
      <c r="Z1024" s="19" t="inlineStr"/>
      <c r="AA1024" s="18">
        <f>IF(OR(V1024="Aprobada"),R1024,IF(AND(OR(V1024="Aprobada con ajuste",V1024="Rechazada"),W1024&lt;&gt;""),W1024,""))</f>
        <v/>
      </c>
    </row>
    <row r="1025">
      <c r="A1025" s="18" t="inlineStr">
        <is>
          <t>C1024</t>
        </is>
      </c>
      <c r="B1025" s="18" t="inlineStr">
        <is>
          <t>Gestión jurídica</t>
        </is>
      </c>
      <c r="C1025" s="18" t="inlineStr">
        <is>
          <t>legal_management</t>
        </is>
      </c>
      <c r="D1025" s="18" t="inlineStr">
        <is>
          <t>expedientes</t>
        </is>
      </c>
      <c r="E1025" s="18" t="n">
        <v>91</v>
      </c>
      <c r="F1025" s="18" t="inlineStr">
        <is>
          <t>fecha_vencimiento_termino</t>
        </is>
      </c>
      <c r="G1025" s="18" t="inlineStr">
        <is>
          <t>timestamp without time zone</t>
        </is>
      </c>
      <c r="H1025" s="18" t="inlineStr">
        <is>
          <t>Sí</t>
        </is>
      </c>
      <c r="I1025" s="18" t="inlineStr"/>
      <c r="J1025" s="18" t="inlineStr"/>
      <c r="K1025" s="18" t="inlineStr"/>
      <c r="L1025" s="18" t="inlineStr">
        <is>
          <t>No</t>
        </is>
      </c>
      <c r="M1025" s="18" t="inlineStr">
        <is>
          <t>No</t>
        </is>
      </c>
      <c r="N1025" s="18" t="inlineStr"/>
      <c r="O1025" s="18" t="inlineStr"/>
      <c r="P1025" s="18" t="inlineStr">
        <is>
          <t>Mapeada en legal-management-service/src/entities/expediente.entity.ts:121 (Expediente.fechaVencimientoTermino) | Validación: IsDateString, IsOptional</t>
        </is>
      </c>
      <c r="Q1025" s="18" t="inlineStr">
        <is>
          <t>Regla estructural</t>
        </is>
      </c>
      <c r="R1025" s="18" t="inlineStr">
        <is>
          <t>Fecha de vencimiento termino.</t>
        </is>
      </c>
      <c r="S1025" s="18" t="inlineStr">
        <is>
          <t>Media</t>
        </is>
      </c>
      <c r="T1025" s="18" t="inlineStr">
        <is>
          <t>Convención de nombre de la columna.</t>
        </is>
      </c>
      <c r="U1025" s="18" t="inlineStr"/>
      <c r="V1025" s="19" t="inlineStr">
        <is>
          <t>Pendiente</t>
        </is>
      </c>
      <c r="W1025" s="19" t="inlineStr"/>
      <c r="X1025" s="19" t="inlineStr"/>
      <c r="Y1025" s="20" t="n"/>
      <c r="Z1025" s="19" t="inlineStr"/>
      <c r="AA1025" s="18">
        <f>IF(OR(V1025="Aprobada"),R1025,IF(AND(OR(V1025="Aprobada con ajuste",V1025="Rechazada"),W1025&lt;&gt;""),W1025,""))</f>
        <v/>
      </c>
    </row>
    <row r="1026">
      <c r="A1026" s="18" t="inlineStr">
        <is>
          <t>C1025</t>
        </is>
      </c>
      <c r="B1026" s="18" t="inlineStr">
        <is>
          <t>Gestión jurídica</t>
        </is>
      </c>
      <c r="C1026" s="18" t="inlineStr">
        <is>
          <t>legal_management</t>
        </is>
      </c>
      <c r="D1026" s="18" t="inlineStr">
        <is>
          <t>expedientes</t>
        </is>
      </c>
      <c r="E1026" s="18" t="n">
        <v>91</v>
      </c>
      <c r="F1026" s="18" t="inlineStr">
        <is>
          <t>tipo_id_demandante</t>
        </is>
      </c>
      <c r="G1026" s="18" t="inlineStr">
        <is>
          <t>character varying(10)</t>
        </is>
      </c>
      <c r="H1026" s="18" t="inlineStr">
        <is>
          <t>Sí</t>
        </is>
      </c>
      <c r="I1026" s="18" t="inlineStr"/>
      <c r="J1026" s="18" t="inlineStr"/>
      <c r="K1026" s="18" t="inlineStr"/>
      <c r="L1026" s="18" t="inlineStr">
        <is>
          <t>No</t>
        </is>
      </c>
      <c r="M1026" s="18" t="inlineStr">
        <is>
          <t>No</t>
        </is>
      </c>
      <c r="N1026" s="18" t="inlineStr"/>
      <c r="O1026" s="18" t="inlineStr"/>
      <c r="P1026" s="18" t="inlineStr">
        <is>
          <t>Mapeada en legal-management-service/src/entities/expediente.entity.ts:124 (Expediente.tipoIdDemandante) | Validación: IsString</t>
        </is>
      </c>
      <c r="Q1026" s="18" t="inlineStr">
        <is>
          <t>Propuesta semántica</t>
        </is>
      </c>
      <c r="R1026" s="18" t="inlineStr">
        <is>
          <t>Tipo de documento de identificación del demandante.</t>
        </is>
      </c>
      <c r="S1026" s="18" t="inlineStr">
        <is>
          <t>Media</t>
        </is>
      </c>
      <c r="T1026" s="18" t="inlineStr">
        <is>
          <t>nombre + tipo + columnas vecinas</t>
        </is>
      </c>
      <c r="U1026" s="18" t="inlineStr">
        <is>
          <t>¿Qué valores admite (CC, NIT, CE…)?</t>
        </is>
      </c>
      <c r="V1026" s="19" t="inlineStr">
        <is>
          <t>Pendiente</t>
        </is>
      </c>
      <c r="W1026" s="19" t="inlineStr"/>
      <c r="X1026" s="19" t="inlineStr"/>
      <c r="Y1026" s="20" t="n"/>
      <c r="Z1026" s="19" t="inlineStr"/>
      <c r="AA1026" s="18">
        <f>IF(OR(V1026="Aprobada"),R1026,IF(AND(OR(V1026="Aprobada con ajuste",V1026="Rechazada"),W1026&lt;&gt;""),W1026,""))</f>
        <v/>
      </c>
    </row>
    <row r="1027">
      <c r="A1027" s="18" t="inlineStr">
        <is>
          <t>C1026</t>
        </is>
      </c>
      <c r="B1027" s="18" t="inlineStr">
        <is>
          <t>Gestión jurídica</t>
        </is>
      </c>
      <c r="C1027" s="18" t="inlineStr">
        <is>
          <t>legal_management</t>
        </is>
      </c>
      <c r="D1027" s="18" t="inlineStr">
        <is>
          <t>expedientes</t>
        </is>
      </c>
      <c r="E1027" s="18" t="n">
        <v>91</v>
      </c>
      <c r="F1027" s="18" t="inlineStr">
        <is>
          <t>numero_id_demandante</t>
        </is>
      </c>
      <c r="G1027" s="18" t="inlineStr">
        <is>
          <t>character varying(20)</t>
        </is>
      </c>
      <c r="H1027" s="18" t="inlineStr">
        <is>
          <t>Sí</t>
        </is>
      </c>
      <c r="I1027" s="18" t="inlineStr"/>
      <c r="J1027" s="18" t="inlineStr"/>
      <c r="K1027" s="18" t="inlineStr"/>
      <c r="L1027" s="18" t="inlineStr">
        <is>
          <t>No</t>
        </is>
      </c>
      <c r="M1027" s="18" t="inlineStr">
        <is>
          <t>No</t>
        </is>
      </c>
      <c r="N1027" s="18" t="inlineStr"/>
      <c r="O1027" s="18" t="inlineStr"/>
      <c r="P1027" s="18" t="inlineStr">
        <is>
          <t>Mapeada en legal-management-service/src/entities/expediente.entity.ts:127 (Expediente.numeroIdDemandante) | Validación: IsString</t>
        </is>
      </c>
      <c r="Q1027" s="18" t="inlineStr">
        <is>
          <t>Propuesta semántica</t>
        </is>
      </c>
      <c r="R1027" s="18" t="inlineStr">
        <is>
          <t>Número de documento de identificación del demandante.</t>
        </is>
      </c>
      <c r="S1027" s="18" t="inlineStr">
        <is>
          <t>Alta</t>
        </is>
      </c>
      <c r="T1027" s="18" t="inlineStr">
        <is>
          <t>nombre + tipo + columnas vecinas</t>
        </is>
      </c>
      <c r="U1027" s="18" t="inlineStr"/>
      <c r="V1027" s="19" t="inlineStr">
        <is>
          <t>Pendiente</t>
        </is>
      </c>
      <c r="W1027" s="19" t="inlineStr"/>
      <c r="X1027" s="19" t="inlineStr"/>
      <c r="Y1027" s="20" t="n"/>
      <c r="Z1027" s="19" t="inlineStr"/>
      <c r="AA1027" s="18">
        <f>IF(OR(V1027="Aprobada"),R1027,IF(AND(OR(V1027="Aprobada con ajuste",V1027="Rechazada"),W1027&lt;&gt;""),W1027,""))</f>
        <v/>
      </c>
    </row>
    <row r="1028">
      <c r="A1028" s="18" t="inlineStr">
        <is>
          <t>C1027</t>
        </is>
      </c>
      <c r="B1028" s="18" t="inlineStr">
        <is>
          <t>Gestión jurídica</t>
        </is>
      </c>
      <c r="C1028" s="18" t="inlineStr">
        <is>
          <t>legal_management</t>
        </is>
      </c>
      <c r="D1028" s="18" t="inlineStr">
        <is>
          <t>expedientes</t>
        </is>
      </c>
      <c r="E1028" s="18" t="n">
        <v>91</v>
      </c>
      <c r="F1028" s="18" t="inlineStr">
        <is>
          <t>tipo_id_demandado</t>
        </is>
      </c>
      <c r="G1028" s="18" t="inlineStr">
        <is>
          <t>character varying(10)</t>
        </is>
      </c>
      <c r="H1028" s="18" t="inlineStr">
        <is>
          <t>Sí</t>
        </is>
      </c>
      <c r="I1028" s="18" t="inlineStr"/>
      <c r="J1028" s="18" t="inlineStr"/>
      <c r="K1028" s="18" t="inlineStr"/>
      <c r="L1028" s="18" t="inlineStr">
        <is>
          <t>No</t>
        </is>
      </c>
      <c r="M1028" s="18" t="inlineStr">
        <is>
          <t>No</t>
        </is>
      </c>
      <c r="N1028" s="18" t="inlineStr"/>
      <c r="O1028" s="18" t="inlineStr"/>
      <c r="P1028" s="18" t="inlineStr">
        <is>
          <t>Mapeada en legal-management-service/src/entities/expediente.entity.ts:130 (Expediente.tipoIdDemandado) | Validación: IsString</t>
        </is>
      </c>
      <c r="Q1028" s="18" t="inlineStr">
        <is>
          <t>Propuesta semántica</t>
        </is>
      </c>
      <c r="R1028" s="18" t="inlineStr">
        <is>
          <t>Tipo de documento de identificación del demandado.</t>
        </is>
      </c>
      <c r="S1028" s="18" t="inlineStr">
        <is>
          <t>Media</t>
        </is>
      </c>
      <c r="T1028" s="18" t="inlineStr">
        <is>
          <t>nombre + tipo + columnas vecinas</t>
        </is>
      </c>
      <c r="U1028" s="18" t="inlineStr">
        <is>
          <t>¿Qué valores admite (CC, NIT, CE…)?</t>
        </is>
      </c>
      <c r="V1028" s="19" t="inlineStr">
        <is>
          <t>Pendiente</t>
        </is>
      </c>
      <c r="W1028" s="19" t="inlineStr"/>
      <c r="X1028" s="19" t="inlineStr"/>
      <c r="Y1028" s="20" t="n"/>
      <c r="Z1028" s="19" t="inlineStr"/>
      <c r="AA1028" s="18">
        <f>IF(OR(V1028="Aprobada"),R1028,IF(AND(OR(V1028="Aprobada con ajuste",V1028="Rechazada"),W1028&lt;&gt;""),W1028,""))</f>
        <v/>
      </c>
    </row>
    <row r="1029">
      <c r="A1029" s="18" t="inlineStr">
        <is>
          <t>C1028</t>
        </is>
      </c>
      <c r="B1029" s="18" t="inlineStr">
        <is>
          <t>Gestión jurídica</t>
        </is>
      </c>
      <c r="C1029" s="18" t="inlineStr">
        <is>
          <t>legal_management</t>
        </is>
      </c>
      <c r="D1029" s="18" t="inlineStr">
        <is>
          <t>expedientes</t>
        </is>
      </c>
      <c r="E1029" s="18" t="n">
        <v>91</v>
      </c>
      <c r="F1029" s="18" t="inlineStr">
        <is>
          <t>numero_id_demandado</t>
        </is>
      </c>
      <c r="G1029" s="18" t="inlineStr">
        <is>
          <t>character varying(20)</t>
        </is>
      </c>
      <c r="H1029" s="18" t="inlineStr">
        <is>
          <t>Sí</t>
        </is>
      </c>
      <c r="I1029" s="18" t="inlineStr"/>
      <c r="J1029" s="18" t="inlineStr"/>
      <c r="K1029" s="18" t="inlineStr"/>
      <c r="L1029" s="18" t="inlineStr">
        <is>
          <t>No</t>
        </is>
      </c>
      <c r="M1029" s="18" t="inlineStr">
        <is>
          <t>No</t>
        </is>
      </c>
      <c r="N1029" s="18" t="inlineStr"/>
      <c r="O1029" s="18" t="inlineStr"/>
      <c r="P1029" s="18" t="inlineStr">
        <is>
          <t>Mapeada en legal-management-service/src/entities/expediente.entity.ts:133 (Expediente.numeroIdDemandado) | Validación: IsString</t>
        </is>
      </c>
      <c r="Q1029" s="18" t="inlineStr">
        <is>
          <t>Propuesta semántica</t>
        </is>
      </c>
      <c r="R1029" s="18" t="inlineStr">
        <is>
          <t>Número de documento de identificación del demandado.</t>
        </is>
      </c>
      <c r="S1029" s="18" t="inlineStr">
        <is>
          <t>Alta</t>
        </is>
      </c>
      <c r="T1029" s="18" t="inlineStr">
        <is>
          <t>nombre + tipo + columnas vecinas</t>
        </is>
      </c>
      <c r="U1029" s="18" t="inlineStr"/>
      <c r="V1029" s="19" t="inlineStr">
        <is>
          <t>Pendiente</t>
        </is>
      </c>
      <c r="W1029" s="19" t="inlineStr"/>
      <c r="X1029" s="19" t="inlineStr"/>
      <c r="Y1029" s="20" t="n"/>
      <c r="Z1029" s="19" t="inlineStr"/>
      <c r="AA1029" s="18">
        <f>IF(OR(V1029="Aprobada"),R1029,IF(AND(OR(V1029="Aprobada con ajuste",V1029="Rechazada"),W1029&lt;&gt;""),W1029,""))</f>
        <v/>
      </c>
    </row>
    <row r="1030">
      <c r="A1030" s="18" t="inlineStr">
        <is>
          <t>C1029</t>
        </is>
      </c>
      <c r="B1030" s="18" t="inlineStr">
        <is>
          <t>Gestión jurídica</t>
        </is>
      </c>
      <c r="C1030" s="18" t="inlineStr">
        <is>
          <t>legal_management</t>
        </is>
      </c>
      <c r="D1030" s="18" t="inlineStr">
        <is>
          <t>expedientes</t>
        </is>
      </c>
      <c r="E1030" s="18" t="n">
        <v>91</v>
      </c>
      <c r="F1030" s="18" t="inlineStr">
        <is>
          <t>etapa_procesal</t>
        </is>
      </c>
      <c r="G1030" s="18" t="inlineStr">
        <is>
          <t>character varying(100)</t>
        </is>
      </c>
      <c r="H1030" s="18" t="inlineStr">
        <is>
          <t>Sí</t>
        </is>
      </c>
      <c r="I1030" s="18" t="inlineStr"/>
      <c r="J1030" s="18" t="inlineStr"/>
      <c r="K1030" s="18" t="inlineStr"/>
      <c r="L1030" s="18" t="inlineStr">
        <is>
          <t>No</t>
        </is>
      </c>
      <c r="M1030" s="18" t="inlineStr">
        <is>
          <t>No</t>
        </is>
      </c>
      <c r="N1030" s="18" t="inlineStr"/>
      <c r="O1030" s="18" t="inlineStr"/>
      <c r="P1030" s="18" t="inlineStr">
        <is>
          <t>Mapeada en legal-management-service/src/entities/expediente.entity.ts:159 (Expediente.etapaProcesal)</t>
        </is>
      </c>
      <c r="Q1030" s="18" t="inlineStr">
        <is>
          <t>Propuesta semántica</t>
        </is>
      </c>
      <c r="R1030" s="18" t="inlineStr">
        <is>
          <t>Etapa procesal del expediente. Valor por defecto: RADICACION.</t>
        </is>
      </c>
      <c r="S1030" s="18" t="inlineStr">
        <is>
          <t>Media</t>
        </is>
      </c>
      <c r="T1030" s="18" t="inlineStr">
        <is>
          <t>nombre + tipo + columnas vecinas + defecto</t>
        </is>
      </c>
      <c r="U1030" s="18" t="inlineStr">
        <is>
          <t>¿Qué valores admite etapa_procesal y en qué se diferencia de etapa?</t>
        </is>
      </c>
      <c r="V1030" s="19" t="inlineStr">
        <is>
          <t>Pendiente</t>
        </is>
      </c>
      <c r="W1030" s="19" t="inlineStr"/>
      <c r="X1030" s="19" t="inlineStr"/>
      <c r="Y1030" s="20" t="n"/>
      <c r="Z1030" s="19" t="inlineStr"/>
      <c r="AA1030" s="18">
        <f>IF(OR(V1030="Aprobada"),R1030,IF(AND(OR(V1030="Aprobada con ajuste",V1030="Rechazada"),W1030&lt;&gt;""),W1030,""))</f>
        <v/>
      </c>
    </row>
    <row r="1031">
      <c r="A1031" s="18" t="inlineStr">
        <is>
          <t>C1030</t>
        </is>
      </c>
      <c r="B1031" s="18" t="inlineStr">
        <is>
          <t>Gestión jurídica</t>
        </is>
      </c>
      <c r="C1031" s="18" t="inlineStr">
        <is>
          <t>legal_management</t>
        </is>
      </c>
      <c r="D1031" s="18" t="inlineStr">
        <is>
          <t>expedientes</t>
        </is>
      </c>
      <c r="E1031" s="18" t="n">
        <v>91</v>
      </c>
      <c r="F1031" s="18" t="inlineStr">
        <is>
          <t>documentos_iniciales_urls</t>
        </is>
      </c>
      <c r="G1031" s="18" t="inlineStr">
        <is>
          <t>text[]</t>
        </is>
      </c>
      <c r="H1031" s="18" t="inlineStr">
        <is>
          <t>Sí</t>
        </is>
      </c>
      <c r="I1031" s="18" t="inlineStr"/>
      <c r="J1031" s="18" t="inlineStr"/>
      <c r="K1031" s="18" t="inlineStr"/>
      <c r="L1031" s="18" t="inlineStr">
        <is>
          <t>No</t>
        </is>
      </c>
      <c r="M1031" s="18" t="inlineStr">
        <is>
          <t>No</t>
        </is>
      </c>
      <c r="N1031" s="18" t="inlineStr"/>
      <c r="O1031" s="18" t="inlineStr"/>
      <c r="P1031" s="18" t="inlineStr">
        <is>
          <t>db/migrations/old/000b_update_expediente_schema.sql:21: Array of URLs for initial docs | db/init/old/05_update_expediente_schema.sql:17: Array of URLs for initial docs | Validación: IsArray, IsOptional, IsString({ each: true })</t>
        </is>
      </c>
      <c r="Q1031" s="18" t="inlineStr">
        <is>
          <t>Código fuente</t>
        </is>
      </c>
      <c r="R1031" s="18" t="inlineStr">
        <is>
          <t>URL de los documentos iniciales del expediente, como arreglo.</t>
        </is>
      </c>
      <c r="S1031" s="18" t="inlineStr">
        <is>
          <t>Alta</t>
        </is>
      </c>
      <c r="T1031" s="18" t="inlineStr">
        <is>
          <t>código: db/migrations/old/000b_update_expediente_schema.sql:21</t>
        </is>
      </c>
      <c r="U1031" s="18" t="inlineStr"/>
      <c r="V1031" s="19" t="inlineStr">
        <is>
          <t>Pendiente</t>
        </is>
      </c>
      <c r="W1031" s="19" t="inlineStr"/>
      <c r="X1031" s="19" t="inlineStr"/>
      <c r="Y1031" s="20" t="n"/>
      <c r="Z1031" s="19" t="inlineStr"/>
      <c r="AA1031" s="18">
        <f>IF(OR(V1031="Aprobada"),R1031,IF(AND(OR(V1031="Aprobada con ajuste",V1031="Rechazada"),W1031&lt;&gt;""),W1031,""))</f>
        <v/>
      </c>
    </row>
    <row r="1032">
      <c r="A1032" s="18" t="inlineStr">
        <is>
          <t>C1031</t>
        </is>
      </c>
      <c r="B1032" s="18" t="inlineStr">
        <is>
          <t>Gestión jurídica</t>
        </is>
      </c>
      <c r="C1032" s="18" t="inlineStr">
        <is>
          <t>legal_management</t>
        </is>
      </c>
      <c r="D1032" s="18" t="inlineStr">
        <is>
          <t>expedientes</t>
        </is>
      </c>
      <c r="E1032" s="18" t="n">
        <v>91</v>
      </c>
      <c r="F1032" s="18" t="inlineStr">
        <is>
          <t>demandado_direccion</t>
        </is>
      </c>
      <c r="G1032" s="18" t="inlineStr">
        <is>
          <t>character varying(500)</t>
        </is>
      </c>
      <c r="H1032" s="18" t="inlineStr">
        <is>
          <t>Sí</t>
        </is>
      </c>
      <c r="I1032" s="18" t="inlineStr"/>
      <c r="J1032" s="18" t="inlineStr"/>
      <c r="K1032" s="18" t="inlineStr"/>
      <c r="L1032" s="18" t="inlineStr">
        <is>
          <t>No</t>
        </is>
      </c>
      <c r="M1032" s="18" t="inlineStr">
        <is>
          <t>No</t>
        </is>
      </c>
      <c r="N1032" s="18" t="inlineStr"/>
      <c r="O1032" s="18" t="inlineStr"/>
      <c r="P1032" s="18" t="inlineStr">
        <is>
          <t>legal-management-service/src/entities/expediente.entity.ts:150: Campos de contacto del demandado (opcional)</t>
        </is>
      </c>
      <c r="Q1032" s="18" t="inlineStr">
        <is>
          <t>Código fuente</t>
        </is>
      </c>
      <c r="R1032" s="18" t="inlineStr">
        <is>
          <t>Dirección de contacto del demandado; opcional.</t>
        </is>
      </c>
      <c r="S1032" s="18" t="inlineStr">
        <is>
          <t>Alta</t>
        </is>
      </c>
      <c r="T1032" s="18" t="inlineStr">
        <is>
          <t>código: legal-management-service/src/entities/expediente.entity.ts:150</t>
        </is>
      </c>
      <c r="U1032" s="18" t="inlineStr"/>
      <c r="V1032" s="19" t="inlineStr">
        <is>
          <t>Pendiente</t>
        </is>
      </c>
      <c r="W1032" s="19" t="inlineStr"/>
      <c r="X1032" s="19" t="inlineStr"/>
      <c r="Y1032" s="20" t="n"/>
      <c r="Z1032" s="19" t="inlineStr"/>
      <c r="AA1032" s="18">
        <f>IF(OR(V1032="Aprobada"),R1032,IF(AND(OR(V1032="Aprobada con ajuste",V1032="Rechazada"),W1032&lt;&gt;""),W1032,""))</f>
        <v/>
      </c>
    </row>
    <row r="1033">
      <c r="A1033" s="18" t="inlineStr">
        <is>
          <t>C1032</t>
        </is>
      </c>
      <c r="B1033" s="18" t="inlineStr">
        <is>
          <t>Gestión jurídica</t>
        </is>
      </c>
      <c r="C1033" s="18" t="inlineStr">
        <is>
          <t>legal_management</t>
        </is>
      </c>
      <c r="D1033" s="18" t="inlineStr">
        <is>
          <t>expedientes</t>
        </is>
      </c>
      <c r="E1033" s="18" t="n">
        <v>91</v>
      </c>
      <c r="F1033" s="18" t="inlineStr">
        <is>
          <t>demandado_telefono</t>
        </is>
      </c>
      <c r="G1033" s="18" t="inlineStr">
        <is>
          <t>character varying(50)</t>
        </is>
      </c>
      <c r="H1033" s="18" t="inlineStr">
        <is>
          <t>Sí</t>
        </is>
      </c>
      <c r="I1033" s="18" t="inlineStr"/>
      <c r="J1033" s="18" t="inlineStr"/>
      <c r="K1033" s="18" t="inlineStr"/>
      <c r="L1033" s="18" t="inlineStr">
        <is>
          <t>No</t>
        </is>
      </c>
      <c r="M1033" s="18" t="inlineStr">
        <is>
          <t>No</t>
        </is>
      </c>
      <c r="N1033" s="18" t="inlineStr"/>
      <c r="O1033" s="18" t="inlineStr"/>
      <c r="P1033" s="18" t="inlineStr">
        <is>
          <t>Mapeada en legal-management-service/src/entities/expediente.entity.ts:153 (Expediente.demandadoTelefono)</t>
        </is>
      </c>
      <c r="Q1033" s="18" t="inlineStr">
        <is>
          <t>Propuesta semántica</t>
        </is>
      </c>
      <c r="R1033" s="18" t="inlineStr">
        <is>
          <t>Teléfono del demandado.</t>
        </is>
      </c>
      <c r="S1033" s="18" t="inlineStr">
        <is>
          <t>Alta</t>
        </is>
      </c>
      <c r="T1033" s="18" t="inlineStr">
        <is>
          <t>nombre + tipo + columnas vecinas</t>
        </is>
      </c>
      <c r="U1033" s="18" t="inlineStr"/>
      <c r="V1033" s="19" t="inlineStr">
        <is>
          <t>Pendiente</t>
        </is>
      </c>
      <c r="W1033" s="19" t="inlineStr"/>
      <c r="X1033" s="19" t="inlineStr"/>
      <c r="Y1033" s="20" t="n"/>
      <c r="Z1033" s="19" t="inlineStr"/>
      <c r="AA1033" s="18">
        <f>IF(OR(V1033="Aprobada"),R1033,IF(AND(OR(V1033="Aprobada con ajuste",V1033="Rechazada"),W1033&lt;&gt;""),W1033,""))</f>
        <v/>
      </c>
    </row>
    <row r="1034">
      <c r="A1034" s="18" t="inlineStr">
        <is>
          <t>C1033</t>
        </is>
      </c>
      <c r="B1034" s="18" t="inlineStr">
        <is>
          <t>Gestión jurídica</t>
        </is>
      </c>
      <c r="C1034" s="18" t="inlineStr">
        <is>
          <t>legal_management</t>
        </is>
      </c>
      <c r="D1034" s="18" t="inlineStr">
        <is>
          <t>expedientes</t>
        </is>
      </c>
      <c r="E1034" s="18" t="n">
        <v>91</v>
      </c>
      <c r="F1034" s="18" t="inlineStr">
        <is>
          <t>demandado_email</t>
        </is>
      </c>
      <c r="G1034" s="18" t="inlineStr">
        <is>
          <t>character varying(255)</t>
        </is>
      </c>
      <c r="H1034" s="18" t="inlineStr">
        <is>
          <t>Sí</t>
        </is>
      </c>
      <c r="I1034" s="18" t="inlineStr"/>
      <c r="J1034" s="18" t="inlineStr"/>
      <c r="K1034" s="18" t="inlineStr"/>
      <c r="L1034" s="18" t="inlineStr">
        <is>
          <t>No</t>
        </is>
      </c>
      <c r="M1034" s="18" t="inlineStr">
        <is>
          <t>No</t>
        </is>
      </c>
      <c r="N1034" s="18" t="inlineStr"/>
      <c r="O1034" s="18" t="inlineStr"/>
      <c r="P1034" s="18" t="inlineStr">
        <is>
          <t>Mapeada en legal-management-service/src/entities/expediente.entity.ts:156 (Expediente.demandadoEmail)</t>
        </is>
      </c>
      <c r="Q1034" s="18" t="inlineStr">
        <is>
          <t>Propuesta semántica</t>
        </is>
      </c>
      <c r="R1034" s="18" t="inlineStr">
        <is>
          <t>Correo electrónico del demandado.</t>
        </is>
      </c>
      <c r="S1034" s="18" t="inlineStr">
        <is>
          <t>Alta</t>
        </is>
      </c>
      <c r="T1034" s="18" t="inlineStr">
        <is>
          <t>nombre + tipo + columnas vecinas</t>
        </is>
      </c>
      <c r="U1034" s="18" t="inlineStr"/>
      <c r="V1034" s="19" t="inlineStr">
        <is>
          <t>Pendiente</t>
        </is>
      </c>
      <c r="W1034" s="19" t="inlineStr"/>
      <c r="X1034" s="19" t="inlineStr"/>
      <c r="Y1034" s="20" t="n"/>
      <c r="Z1034" s="19" t="inlineStr"/>
      <c r="AA1034" s="18">
        <f>IF(OR(V1034="Aprobada"),R1034,IF(AND(OR(V1034="Aprobada con ajuste",V1034="Rechazada"),W1034&lt;&gt;""),W1034,""))</f>
        <v/>
      </c>
    </row>
    <row r="1035">
      <c r="A1035" s="18" t="inlineStr">
        <is>
          <t>C1034</t>
        </is>
      </c>
      <c r="B1035" s="18" t="inlineStr">
        <is>
          <t>Gestión jurídica</t>
        </is>
      </c>
      <c r="C1035" s="18" t="inlineStr">
        <is>
          <t>legal_management</t>
        </is>
      </c>
      <c r="D1035" s="18" t="inlineStr">
        <is>
          <t>expedientes</t>
        </is>
      </c>
      <c r="E1035" s="18" t="n">
        <v>91</v>
      </c>
      <c r="F1035" s="18" t="inlineStr">
        <is>
          <t>tipo_conteo_termino</t>
        </is>
      </c>
      <c r="G1035" s="18" t="inlineStr">
        <is>
          <t>character varying(20)</t>
        </is>
      </c>
      <c r="H1035" s="18" t="inlineStr">
        <is>
          <t>Sí</t>
        </is>
      </c>
      <c r="I1035" s="18" t="inlineStr"/>
      <c r="J1035" s="18" t="inlineStr"/>
      <c r="K1035" s="18" t="inlineStr"/>
      <c r="L1035" s="18" t="inlineStr">
        <is>
          <t>No</t>
        </is>
      </c>
      <c r="M1035" s="18" t="inlineStr">
        <is>
          <t>No</t>
        </is>
      </c>
      <c r="N1035" s="18" t="inlineStr"/>
      <c r="O1035" s="18" t="inlineStr"/>
      <c r="P1035" s="18" t="inlineStr">
        <is>
          <t>legal-management-service/src/entities/expediente.entity.ts:94: 'HABILES' (business days) or 'CALENDARIO' (calendar days) | Validación: IsOptional, IsString</t>
        </is>
      </c>
      <c r="Q1035" s="18" t="inlineStr">
        <is>
          <t>Código fuente</t>
        </is>
      </c>
      <c r="R1035" s="18" t="inlineStr">
        <is>
          <t>Tipo de conteo de los términos del expediente. Valores: HABILES (días hábiles), CALENDARIO (días calendario). Por defecto, HABILES.</t>
        </is>
      </c>
      <c r="S1035" s="18" t="inlineStr">
        <is>
          <t>Alta</t>
        </is>
      </c>
      <c r="T1035" s="18" t="inlineStr">
        <is>
          <t>código: expediente.entity.ts:94</t>
        </is>
      </c>
      <c r="U1035" s="18" t="inlineStr"/>
      <c r="V1035" s="19" t="inlineStr">
        <is>
          <t>Pendiente</t>
        </is>
      </c>
      <c r="W1035" s="19" t="inlineStr"/>
      <c r="X1035" s="19" t="inlineStr"/>
      <c r="Y1035" s="20" t="n"/>
      <c r="Z1035" s="19" t="inlineStr"/>
      <c r="AA1035" s="18">
        <f>IF(OR(V1035="Aprobada"),R1035,IF(AND(OR(V1035="Aprobada con ajuste",V1035="Rechazada"),W1035&lt;&gt;""),W1035,""))</f>
        <v/>
      </c>
    </row>
    <row r="1036">
      <c r="A1036" s="18" t="inlineStr">
        <is>
          <t>C1035</t>
        </is>
      </c>
      <c r="B1036" s="18" t="inlineStr">
        <is>
          <t>Gestión jurídica</t>
        </is>
      </c>
      <c r="C1036" s="18" t="inlineStr">
        <is>
          <t>legal_management</t>
        </is>
      </c>
      <c r="D1036" s="18" t="inlineStr">
        <is>
          <t>expedientes</t>
        </is>
      </c>
      <c r="E1036" s="18" t="n">
        <v>91</v>
      </c>
      <c r="F1036" s="18" t="inlineStr">
        <is>
          <t>nivel_riesgo</t>
        </is>
      </c>
      <c r="G1036" s="18" t="inlineStr">
        <is>
          <t>character varying(255)</t>
        </is>
      </c>
      <c r="H1036" s="18" t="inlineStr">
        <is>
          <t>Sí</t>
        </is>
      </c>
      <c r="I1036" s="18" t="inlineStr"/>
      <c r="J1036" s="18" t="inlineStr"/>
      <c r="K1036" s="18" t="inlineStr"/>
      <c r="L1036" s="18" t="inlineStr">
        <is>
          <t>No</t>
        </is>
      </c>
      <c r="M1036" s="18" t="inlineStr">
        <is>
          <t>No</t>
        </is>
      </c>
      <c r="N1036" s="18" t="inlineStr"/>
      <c r="O1036" s="18" t="inlineStr"/>
      <c r="P1036" s="18" t="inlineStr">
        <is>
          <t>legal-management-service/src/entities/expediente.entity.ts:67: Campos para Dashboard y Conciliación | Validación: IsOptional, IsString</t>
        </is>
      </c>
      <c r="Q1036" s="18" t="inlineStr">
        <is>
          <t>Código fuente</t>
        </is>
      </c>
      <c r="R1036" s="18" t="inlineStr">
        <is>
          <t>Nivel de riesgo del expediente, usado en el tablero y en conciliación.</t>
        </is>
      </c>
      <c r="S1036" s="18" t="inlineStr">
        <is>
          <t>Media</t>
        </is>
      </c>
      <c r="T1036" s="18" t="inlineStr">
        <is>
          <t>código: legal-management-service/src/entities/expediente.entity.ts:67</t>
        </is>
      </c>
      <c r="U1036" s="18" t="inlineStr">
        <is>
          <t>¿Qué valores toma el nivel de riesgo y quién lo asigna?</t>
        </is>
      </c>
      <c r="V1036" s="19" t="inlineStr">
        <is>
          <t>Pendiente</t>
        </is>
      </c>
      <c r="W1036" s="19" t="inlineStr"/>
      <c r="X1036" s="19" t="inlineStr"/>
      <c r="Y1036" s="20" t="n"/>
      <c r="Z1036" s="19" t="inlineStr"/>
      <c r="AA1036" s="18">
        <f>IF(OR(V1036="Aprobada"),R1036,IF(AND(OR(V1036="Aprobada con ajuste",V1036="Rechazada"),W1036&lt;&gt;""),W1036,""))</f>
        <v/>
      </c>
    </row>
    <row r="1037">
      <c r="A1037" s="18" t="inlineStr">
        <is>
          <t>C1036</t>
        </is>
      </c>
      <c r="B1037" s="18" t="inlineStr">
        <is>
          <t>Gestión jurídica</t>
        </is>
      </c>
      <c r="C1037" s="18" t="inlineStr">
        <is>
          <t>legal_management</t>
        </is>
      </c>
      <c r="D1037" s="18" t="inlineStr">
        <is>
          <t>expedientes</t>
        </is>
      </c>
      <c r="E1037" s="18" t="n">
        <v>91</v>
      </c>
      <c r="F1037" s="18" t="inlineStr">
        <is>
          <t>provision_contable</t>
        </is>
      </c>
      <c r="G1037" s="18" t="inlineStr">
        <is>
          <t>numeric(15,2)</t>
        </is>
      </c>
      <c r="H1037" s="18" t="inlineStr">
        <is>
          <t>Sí</t>
        </is>
      </c>
      <c r="I1037" s="18" t="inlineStr"/>
      <c r="J1037" s="18" t="inlineStr"/>
      <c r="K1037" s="18" t="inlineStr"/>
      <c r="L1037" s="18" t="inlineStr">
        <is>
          <t>No</t>
        </is>
      </c>
      <c r="M1037" s="18" t="inlineStr">
        <is>
          <t>No</t>
        </is>
      </c>
      <c r="N1037" s="18" t="inlineStr"/>
      <c r="O1037" s="18" t="inlineStr"/>
      <c r="P1037" s="18" t="inlineStr">
        <is>
          <t>Mapeada en legal-management-service/src/entities/expediente.entity.ts:70 (Expediente.provisionContable) | Validación: IsNumber, IsOptional</t>
        </is>
      </c>
      <c r="Q1037" s="18" t="inlineStr">
        <is>
          <t>Propuesta semántica</t>
        </is>
      </c>
      <c r="R1037" s="18" t="inlineStr">
        <is>
          <t>Valor de la provisión contable del proceso.</t>
        </is>
      </c>
      <c r="S1037" s="18" t="inlineStr">
        <is>
          <t>Media</t>
        </is>
      </c>
      <c r="T1037" s="18" t="inlineStr">
        <is>
          <t>nombre + tipo + columnas vecinas (fecha_estimacion_provision)</t>
        </is>
      </c>
      <c r="U1037" s="18" t="inlineStr">
        <is>
          <t>¿El valor se registra en pesos colombianos?</t>
        </is>
      </c>
      <c r="V1037" s="19" t="inlineStr">
        <is>
          <t>Pendiente</t>
        </is>
      </c>
      <c r="W1037" s="19" t="inlineStr"/>
      <c r="X1037" s="19" t="inlineStr"/>
      <c r="Y1037" s="20" t="n"/>
      <c r="Z1037" s="19" t="inlineStr"/>
      <c r="AA1037" s="18">
        <f>IF(OR(V1037="Aprobada"),R1037,IF(AND(OR(V1037="Aprobada con ajuste",V1037="Rechazada"),W1037&lt;&gt;""),W1037,""))</f>
        <v/>
      </c>
    </row>
    <row r="1038">
      <c r="A1038" s="18" t="inlineStr">
        <is>
          <t>C1037</t>
        </is>
      </c>
      <c r="B1038" s="18" t="inlineStr">
        <is>
          <t>Gestión jurídica</t>
        </is>
      </c>
      <c r="C1038" s="18" t="inlineStr">
        <is>
          <t>legal_management</t>
        </is>
      </c>
      <c r="D1038" s="18" t="inlineStr">
        <is>
          <t>expedientes</t>
        </is>
      </c>
      <c r="E1038" s="18" t="n">
        <v>91</v>
      </c>
      <c r="F1038" s="18" t="inlineStr">
        <is>
          <t>fecha_estimacion_provision</t>
        </is>
      </c>
      <c r="G1038" s="18" t="inlineStr">
        <is>
          <t>timestamp without time zone</t>
        </is>
      </c>
      <c r="H1038" s="18" t="inlineStr">
        <is>
          <t>Sí</t>
        </is>
      </c>
      <c r="I1038" s="18" t="inlineStr"/>
      <c r="J1038" s="18" t="inlineStr"/>
      <c r="K1038" s="18" t="inlineStr"/>
      <c r="L1038" s="18" t="inlineStr">
        <is>
          <t>No</t>
        </is>
      </c>
      <c r="M1038" s="18" t="inlineStr">
        <is>
          <t>No</t>
        </is>
      </c>
      <c r="N1038" s="18" t="inlineStr"/>
      <c r="O1038" s="18" t="inlineStr"/>
      <c r="P1038" s="18" t="inlineStr">
        <is>
          <t>Mapeada en legal-management-service/src/entities/expediente.entity.ts:73 (Expediente.fechaEstimacionProvision) | Validación: IsDateString, IsOptional</t>
        </is>
      </c>
      <c r="Q1038" s="18" t="inlineStr">
        <is>
          <t>Regla estructural</t>
        </is>
      </c>
      <c r="R1038" s="18" t="inlineStr">
        <is>
          <t>Fecha de estimación provisión.</t>
        </is>
      </c>
      <c r="S1038" s="18" t="inlineStr">
        <is>
          <t>Media</t>
        </is>
      </c>
      <c r="T1038" s="18" t="inlineStr">
        <is>
          <t>Convención de nombre de la columna.</t>
        </is>
      </c>
      <c r="U1038" s="18" t="inlineStr"/>
      <c r="V1038" s="19" t="inlineStr">
        <is>
          <t>Pendiente</t>
        </is>
      </c>
      <c r="W1038" s="19" t="inlineStr"/>
      <c r="X1038" s="19" t="inlineStr"/>
      <c r="Y1038" s="20" t="n"/>
      <c r="Z1038" s="19" t="inlineStr"/>
      <c r="AA1038" s="18">
        <f>IF(OR(V1038="Aprobada"),R1038,IF(AND(OR(V1038="Aprobada con ajuste",V1038="Rechazada"),W1038&lt;&gt;""),W1038,""))</f>
        <v/>
      </c>
    </row>
    <row r="1039">
      <c r="A1039" s="18" t="inlineStr">
        <is>
          <t>C1038</t>
        </is>
      </c>
      <c r="B1039" s="18" t="inlineStr">
        <is>
          <t>Gestión jurídica</t>
        </is>
      </c>
      <c r="C1039" s="18" t="inlineStr">
        <is>
          <t>legal_management</t>
        </is>
      </c>
      <c r="D1039" s="18" t="inlineStr">
        <is>
          <t>expedientes</t>
        </is>
      </c>
      <c r="E1039" s="18" t="n">
        <v>91</v>
      </c>
      <c r="F1039" s="18" t="inlineStr">
        <is>
          <t>observacion_provision</t>
        </is>
      </c>
      <c r="G1039" s="18" t="inlineStr">
        <is>
          <t>text</t>
        </is>
      </c>
      <c r="H1039" s="18" t="inlineStr">
        <is>
          <t>Sí</t>
        </is>
      </c>
      <c r="I1039" s="18" t="inlineStr"/>
      <c r="J1039" s="18" t="inlineStr"/>
      <c r="K1039" s="18" t="inlineStr"/>
      <c r="L1039" s="18" t="inlineStr">
        <is>
          <t>No</t>
        </is>
      </c>
      <c r="M1039" s="18" t="inlineStr">
        <is>
          <t>No</t>
        </is>
      </c>
      <c r="N1039" s="18" t="inlineStr"/>
      <c r="O1039" s="18" t="inlineStr"/>
      <c r="P1039" s="18" t="inlineStr">
        <is>
          <t>Mapeada en legal-management-service/src/entities/expediente.entity.ts:76 (Expediente.observacionProvision) | Validación: IsOptional, IsString</t>
        </is>
      </c>
      <c r="Q1039" s="18" t="inlineStr">
        <is>
          <t>Propuesta semántica</t>
        </is>
      </c>
      <c r="R1039" s="18" t="inlineStr">
        <is>
          <t>Observación sobre la provisión contable.</t>
        </is>
      </c>
      <c r="S1039" s="18" t="inlineStr">
        <is>
          <t>Alta</t>
        </is>
      </c>
      <c r="T1039" s="18" t="inlineStr">
        <is>
          <t>nombre + tipo + columnas vecinas</t>
        </is>
      </c>
      <c r="U1039" s="18" t="inlineStr"/>
      <c r="V1039" s="19" t="inlineStr">
        <is>
          <t>Pendiente</t>
        </is>
      </c>
      <c r="W1039" s="19" t="inlineStr"/>
      <c r="X1039" s="19" t="inlineStr"/>
      <c r="Y1039" s="20" t="n"/>
      <c r="Z1039" s="19" t="inlineStr"/>
      <c r="AA1039" s="18">
        <f>IF(OR(V1039="Aprobada"),R1039,IF(AND(OR(V1039="Aprobada con ajuste",V1039="Rechazada"),W1039&lt;&gt;""),W1039,""))</f>
        <v/>
      </c>
    </row>
    <row r="1040">
      <c r="A1040" s="18" t="inlineStr">
        <is>
          <t>C1039</t>
        </is>
      </c>
      <c r="B1040" s="18" t="inlineStr">
        <is>
          <t>Gestión jurídica</t>
        </is>
      </c>
      <c r="C1040" s="18" t="inlineStr">
        <is>
          <t>legal_management</t>
        </is>
      </c>
      <c r="D1040" s="18" t="inlineStr">
        <is>
          <t>expedientes</t>
        </is>
      </c>
      <c r="E1040" s="18" t="n">
        <v>91</v>
      </c>
      <c r="F1040" s="18" t="inlineStr">
        <is>
          <t>campos_adicionales</t>
        </is>
      </c>
      <c r="G1040" s="18" t="inlineStr">
        <is>
          <t>jsonb</t>
        </is>
      </c>
      <c r="H1040" s="18" t="inlineStr">
        <is>
          <t>Sí</t>
        </is>
      </c>
      <c r="I1040" s="18" t="inlineStr"/>
      <c r="J1040" s="18" t="inlineStr"/>
      <c r="K1040" s="18" t="inlineStr"/>
      <c r="L1040" s="18" t="inlineStr">
        <is>
          <t>No</t>
        </is>
      </c>
      <c r="M1040" s="18" t="inlineStr">
        <is>
          <t>No</t>
        </is>
      </c>
      <c r="N1040" s="18" t="inlineStr"/>
      <c r="O1040" s="18" t="inlineStr"/>
      <c r="P1040" s="18" t="inlineStr">
        <is>
          <t>Mapeada en legal-management-service/src/entities/expediente.entity.ts:217 (Expediente.camposAdicionales) | Validación: IsOptional</t>
        </is>
      </c>
      <c r="Q1040" s="18" t="inlineStr">
        <is>
          <t>Propuesta semántica</t>
        </is>
      </c>
      <c r="R1040" s="18" t="inlineStr">
        <is>
          <t>Campos adicionales del expediente, en formato JSON.</t>
        </is>
      </c>
      <c r="S1040" s="18" t="inlineStr">
        <is>
          <t>Baja</t>
        </is>
      </c>
      <c r="T1040" s="18" t="inlineStr">
        <is>
          <t>nombre + tipo + columnas vecinas</t>
        </is>
      </c>
      <c r="U1040" s="18" t="inlineStr">
        <is>
          <t>¿Qué estructura tiene campos_adicionales y según qué tipo de proceso?</t>
        </is>
      </c>
      <c r="V1040" s="19" t="inlineStr">
        <is>
          <t>Pendiente</t>
        </is>
      </c>
      <c r="W1040" s="19" t="inlineStr"/>
      <c r="X1040" s="19" t="inlineStr"/>
      <c r="Y1040" s="20" t="n"/>
      <c r="Z1040" s="19" t="inlineStr"/>
      <c r="AA1040" s="18">
        <f>IF(OR(V1040="Aprobada"),R1040,IF(AND(OR(V1040="Aprobada con ajuste",V1040="Rechazada"),W1040&lt;&gt;""),W1040,""))</f>
        <v/>
      </c>
    </row>
    <row r="1041">
      <c r="A1041" s="18" t="inlineStr">
        <is>
          <t>C1040</t>
        </is>
      </c>
      <c r="B1041" s="18" t="inlineStr">
        <is>
          <t>Gestión jurídica</t>
        </is>
      </c>
      <c r="C1041" s="18" t="inlineStr">
        <is>
          <t>legal_management</t>
        </is>
      </c>
      <c r="D1041" s="18" t="inlineStr">
        <is>
          <t>expedientes</t>
        </is>
      </c>
      <c r="E1041" s="18" t="n">
        <v>91</v>
      </c>
      <c r="F1041" s="18" t="inlineStr">
        <is>
          <t>origen</t>
        </is>
      </c>
      <c r="G1041" s="18" t="inlineStr">
        <is>
          <t>character varying(50)</t>
        </is>
      </c>
      <c r="H1041" s="18" t="inlineStr">
        <is>
          <t>Sí</t>
        </is>
      </c>
      <c r="I1041" s="18" t="inlineStr"/>
      <c r="J1041" s="18" t="inlineStr"/>
      <c r="K1041" s="18" t="inlineStr"/>
      <c r="L1041" s="18" t="inlineStr">
        <is>
          <t>No</t>
        </is>
      </c>
      <c r="M1041" s="18" t="inlineStr">
        <is>
          <t>No</t>
        </is>
      </c>
      <c r="N1041" s="18" t="inlineStr"/>
      <c r="O1041" s="18" t="inlineStr">
        <is>
          <t>idx_expedientes_origen</t>
        </is>
      </c>
      <c r="P1041" s="18" t="inlineStr">
        <is>
          <t>legal-management-service/src/entities/expediente.entity.ts:206: Origen del proceso (queja, denuncia, de oficio, etc.)</t>
        </is>
      </c>
      <c r="Q1041" s="18" t="inlineStr">
        <is>
          <t>Código fuente</t>
        </is>
      </c>
      <c r="R1041" s="18" t="inlineStr">
        <is>
          <t>Origen del proceso (por ejemplo, queja, denuncia, de oficio).</t>
        </is>
      </c>
      <c r="S1041" s="18" t="inlineStr">
        <is>
          <t>Alta</t>
        </is>
      </c>
      <c r="T1041" s="18" t="inlineStr">
        <is>
          <t>código: legal-management-service/src/entities/expediente.entity.ts:206</t>
        </is>
      </c>
      <c r="U1041" s="18" t="inlineStr"/>
      <c r="V1041" s="19" t="inlineStr">
        <is>
          <t>Pendiente</t>
        </is>
      </c>
      <c r="W1041" s="19" t="inlineStr"/>
      <c r="X1041" s="19" t="inlineStr"/>
      <c r="Y1041" s="20" t="n"/>
      <c r="Z1041" s="19" t="inlineStr"/>
      <c r="AA1041" s="18">
        <f>IF(OR(V1041="Aprobada"),R1041,IF(AND(OR(V1041="Aprobada con ajuste",V1041="Rechazada"),W1041&lt;&gt;""),W1041,""))</f>
        <v/>
      </c>
    </row>
    <row r="1042">
      <c r="A1042" s="18" t="inlineStr">
        <is>
          <t>C1041</t>
        </is>
      </c>
      <c r="B1042" s="18" t="inlineStr">
        <is>
          <t>Gestión jurídica</t>
        </is>
      </c>
      <c r="C1042" s="18" t="inlineStr">
        <is>
          <t>legal_management</t>
        </is>
      </c>
      <c r="D1042" s="18" t="inlineStr">
        <is>
          <t>expedientes</t>
        </is>
      </c>
      <c r="E1042" s="18" t="n">
        <v>91</v>
      </c>
      <c r="F1042" s="18" t="inlineStr">
        <is>
          <t>territorial</t>
        </is>
      </c>
      <c r="G1042" s="18" t="inlineStr">
        <is>
          <t>character varying(150)</t>
        </is>
      </c>
      <c r="H1042" s="18" t="inlineStr">
        <is>
          <t>Sí</t>
        </is>
      </c>
      <c r="I1042" s="18" t="inlineStr"/>
      <c r="J1042" s="18" t="inlineStr"/>
      <c r="K1042" s="18" t="inlineStr"/>
      <c r="L1042" s="18" t="inlineStr">
        <is>
          <t>No</t>
        </is>
      </c>
      <c r="M1042" s="18" t="inlineStr">
        <is>
          <t>No</t>
        </is>
      </c>
      <c r="N1042" s="18" t="inlineStr"/>
      <c r="O1042" s="18" t="inlineStr">
        <is>
          <t>idx_expedientes_territorial</t>
        </is>
      </c>
      <c r="P1042" s="18" t="inlineStr">
        <is>
          <t>legal-management-service/src/entities/expediente.entity.ts:211: Territorial asociada. Antes vivía dentro de campos_adicionales; ahora tiene columna propia (indexable/reporteable) con backfill en migración 369.</t>
        </is>
      </c>
      <c r="Q1042" s="18" t="inlineStr">
        <is>
          <t>Código fuente</t>
        </is>
      </c>
      <c r="R1042" s="18" t="inlineStr">
        <is>
          <t>Territorial asociada al expediente; antes se guardaba en campos_adicionales (migración 369).</t>
        </is>
      </c>
      <c r="S1042" s="18" t="inlineStr">
        <is>
          <t>Alta</t>
        </is>
      </c>
      <c r="T1042" s="18" t="inlineStr">
        <is>
          <t>código: legal-management-service/src/entities/expediente.entity.ts:211</t>
        </is>
      </c>
      <c r="U1042" s="18" t="inlineStr"/>
      <c r="V1042" s="19" t="inlineStr">
        <is>
          <t>Pendiente</t>
        </is>
      </c>
      <c r="W1042" s="19" t="inlineStr"/>
      <c r="X1042" s="19" t="inlineStr"/>
      <c r="Y1042" s="20" t="n"/>
      <c r="Z1042" s="19" t="inlineStr"/>
      <c r="AA1042" s="18">
        <f>IF(OR(V1042="Aprobada"),R1042,IF(AND(OR(V1042="Aprobada con ajuste",V1042="Rechazada"),W1042&lt;&gt;""),W1042,""))</f>
        <v/>
      </c>
    </row>
    <row r="1043">
      <c r="A1043" s="18" t="inlineStr">
        <is>
          <t>C1042</t>
        </is>
      </c>
      <c r="B1043" s="18" t="inlineStr">
        <is>
          <t>Gestión jurídica</t>
        </is>
      </c>
      <c r="C1043" s="18" t="inlineStr">
        <is>
          <t>legal_management</t>
        </is>
      </c>
      <c r="D1043" s="18" t="inlineStr">
        <is>
          <t>expedientes</t>
        </is>
      </c>
      <c r="E1043" s="18" t="n">
        <v>91</v>
      </c>
      <c r="F1043" s="18" t="inlineStr">
        <is>
          <t>presunta_conducta</t>
        </is>
      </c>
      <c r="G1043" s="18" t="inlineStr">
        <is>
          <t>text</t>
        </is>
      </c>
      <c r="H1043" s="18" t="inlineStr">
        <is>
          <t>Sí</t>
        </is>
      </c>
      <c r="I1043" s="18" t="inlineStr"/>
      <c r="J1043" s="18" t="inlineStr"/>
      <c r="K1043" s="18" t="inlineStr"/>
      <c r="L1043" s="18" t="inlineStr">
        <is>
          <t>No</t>
        </is>
      </c>
      <c r="M1043" s="18" t="inlineStr">
        <is>
          <t>No</t>
        </is>
      </c>
      <c r="N1043" s="18" t="inlineStr"/>
      <c r="O1043" s="18" t="inlineStr"/>
      <c r="P1043" s="18" t="inlineStr">
        <is>
          <t>Mapeada en legal-management-service/src/entities/expediente.entity.ts:214 (Expediente.presuntaConducta)</t>
        </is>
      </c>
      <c r="Q1043" s="18" t="inlineStr">
        <is>
          <t>Propuesta semántica</t>
        </is>
      </c>
      <c r="R1043" s="18" t="inlineStr">
        <is>
          <t>Descripción de la presunta conducta investigada.</t>
        </is>
      </c>
      <c r="S1043" s="18" t="inlineStr">
        <is>
          <t>Alta</t>
        </is>
      </c>
      <c r="T1043" s="18" t="inlineStr">
        <is>
          <t>nombre + tipo + columnas vecinas</t>
        </is>
      </c>
      <c r="U1043" s="18" t="inlineStr"/>
      <c r="V1043" s="19" t="inlineStr">
        <is>
          <t>Pendiente</t>
        </is>
      </c>
      <c r="W1043" s="19" t="inlineStr"/>
      <c r="X1043" s="19" t="inlineStr"/>
      <c r="Y1043" s="20" t="n"/>
      <c r="Z1043" s="19" t="inlineStr"/>
      <c r="AA1043" s="18">
        <f>IF(OR(V1043="Aprobada"),R1043,IF(AND(OR(V1043="Aprobada con ajuste",V1043="Rechazada"),W1043&lt;&gt;""),W1043,""))</f>
        <v/>
      </c>
    </row>
    <row r="1044">
      <c r="A1044" s="18" t="inlineStr">
        <is>
          <t>C1043</t>
        </is>
      </c>
      <c r="B1044" s="18" t="inlineStr">
        <is>
          <t>Gestión jurídica</t>
        </is>
      </c>
      <c r="C1044" s="18" t="inlineStr">
        <is>
          <t>legal_management</t>
        </is>
      </c>
      <c r="D1044" s="18" t="inlineStr">
        <is>
          <t>expedientes</t>
        </is>
      </c>
      <c r="E1044" s="18" t="n">
        <v>91</v>
      </c>
      <c r="F1044" s="18" t="inlineStr">
        <is>
          <t>hechos_list</t>
        </is>
      </c>
      <c r="G1044" s="18" t="inlineStr">
        <is>
          <t>jsonb</t>
        </is>
      </c>
      <c r="H1044" s="18" t="inlineStr">
        <is>
          <t>No</t>
        </is>
      </c>
      <c r="I1044" s="18" t="inlineStr"/>
      <c r="J1044" s="18" t="inlineStr"/>
      <c r="K1044" s="18" t="inlineStr"/>
      <c r="L1044" s="18" t="inlineStr">
        <is>
          <t>No</t>
        </is>
      </c>
      <c r="M1044" s="18" t="inlineStr">
        <is>
          <t>No</t>
        </is>
      </c>
      <c r="N1044" s="18" t="inlineStr"/>
      <c r="O1044" s="18" t="inlineStr"/>
      <c r="P1044" s="18" t="inlineStr">
        <is>
          <t>legal-management-service/src/entities/expediente.entity.ts:202: Múltiples hechos del proceso (uniformación juzgamiento). Se conserva `hechos` (texto) como representación concatenada para compatibilidad con vistas previas.</t>
        </is>
      </c>
      <c r="Q1044" s="18" t="inlineStr">
        <is>
          <t>Código fuente</t>
        </is>
      </c>
      <c r="R1044" s="18" t="inlineStr">
        <is>
          <t>Hechos del proceso, como arreglo JSON; la columna hechos conserva su versión concatenada en texto.</t>
        </is>
      </c>
      <c r="S1044" s="18" t="inlineStr">
        <is>
          <t>Alta</t>
        </is>
      </c>
      <c r="T1044" s="18" t="inlineStr">
        <is>
          <t>código: legal-management-service/src/entities/expediente.entity.ts:202</t>
        </is>
      </c>
      <c r="U1044" s="18" t="inlineStr"/>
      <c r="V1044" s="19" t="inlineStr">
        <is>
          <t>Pendiente</t>
        </is>
      </c>
      <c r="W1044" s="19" t="inlineStr"/>
      <c r="X1044" s="19" t="inlineStr"/>
      <c r="Y1044" s="20" t="n"/>
      <c r="Z1044" s="19" t="inlineStr"/>
      <c r="AA1044" s="18">
        <f>IF(OR(V1044="Aprobada"),R1044,IF(AND(OR(V1044="Aprobada con ajuste",V1044="Rechazada"),W1044&lt;&gt;""),W1044,""))</f>
        <v/>
      </c>
    </row>
    <row r="1045">
      <c r="A1045" s="18" t="inlineStr">
        <is>
          <t>C1044</t>
        </is>
      </c>
      <c r="B1045" s="18" t="inlineStr">
        <is>
          <t>Gestión jurídica</t>
        </is>
      </c>
      <c r="C1045" s="18" t="inlineStr">
        <is>
          <t>legal_management</t>
        </is>
      </c>
      <c r="D1045" s="18" t="inlineStr">
        <is>
          <t>expedientes</t>
        </is>
      </c>
      <c r="E1045" s="18" t="n">
        <v>91</v>
      </c>
      <c r="F1045" s="18" t="inlineStr">
        <is>
          <t>origen_comunicacion_id</t>
        </is>
      </c>
      <c r="G1045" s="18" t="inlineStr">
        <is>
          <t>uuid</t>
        </is>
      </c>
      <c r="H1045" s="18" t="inlineStr">
        <is>
          <t>Sí</t>
        </is>
      </c>
      <c r="I1045" s="18" t="inlineStr"/>
      <c r="J1045" s="18" t="inlineStr"/>
      <c r="K1045" s="18" t="inlineStr"/>
      <c r="L1045" s="18" t="inlineStr">
        <is>
          <t>No</t>
        </is>
      </c>
      <c r="M1045" s="18" t="inlineStr">
        <is>
          <t>No</t>
        </is>
      </c>
      <c r="N1045" s="18" t="inlineStr"/>
      <c r="O1045" s="18" t="inlineStr">
        <is>
          <t>idx_expedientes_origen_comunicacion</t>
        </is>
      </c>
      <c r="P1045" s="18" t="inlineStr">
        <is>
          <t>legal-management-service/src/entities/expediente.entity.ts:222: Trazabilidad inversa: comunicación (correo jurídico) que dio origen a este proceso cuando se crea desde el Centro de Comunicaciones → Clasificación IA.</t>
        </is>
      </c>
      <c r="Q1045" s="18" t="inlineStr">
        <is>
          <t>Código fuente</t>
        </is>
      </c>
      <c r="R1045" s="18" t="inlineStr">
        <is>
          <t>Identificador de la comunicación (correo jurídico) que dio origen al proceso cuando se crea desde el Centro de Comunicaciones (Clasificación IA).</t>
        </is>
      </c>
      <c r="S1045" s="18" t="inlineStr">
        <is>
          <t>Alta</t>
        </is>
      </c>
      <c r="T1045" s="18" t="inlineStr">
        <is>
          <t>código: legal-management-service/src/entities/expediente.entity.ts:222</t>
        </is>
      </c>
      <c r="U1045" s="18" t="inlineStr"/>
      <c r="V1045" s="19" t="inlineStr">
        <is>
          <t>Pendiente</t>
        </is>
      </c>
      <c r="W1045" s="19" t="inlineStr"/>
      <c r="X1045" s="19" t="inlineStr"/>
      <c r="Y1045" s="20" t="n"/>
      <c r="Z1045" s="19" t="inlineStr"/>
      <c r="AA1045" s="18">
        <f>IF(OR(V1045="Aprobada"),R1045,IF(AND(OR(V1045="Aprobada con ajuste",V1045="Rechazada"),W1045&lt;&gt;""),W1045,""))</f>
        <v/>
      </c>
    </row>
    <row r="1046">
      <c r="A1046" s="18" t="inlineStr">
        <is>
          <t>C1045</t>
        </is>
      </c>
      <c r="B1046" s="18" t="inlineStr">
        <is>
          <t>Gestión jurídica</t>
        </is>
      </c>
      <c r="C1046" s="18" t="inlineStr">
        <is>
          <t>legal_management</t>
        </is>
      </c>
      <c r="D1046" s="18" t="inlineStr">
        <is>
          <t>hallazgos</t>
        </is>
      </c>
      <c r="E1046" s="18" t="n">
        <v>0</v>
      </c>
      <c r="F1046" s="18" t="inlineStr">
        <is>
          <t>codigo_hallazgo</t>
        </is>
      </c>
      <c r="G1046" s="18" t="inlineStr">
        <is>
          <t>character varying(50)</t>
        </is>
      </c>
      <c r="H1046" s="18" t="inlineStr">
        <is>
          <t>No</t>
        </is>
      </c>
      <c r="I1046" s="18" t="inlineStr">
        <is>
          <t>Única</t>
        </is>
      </c>
      <c r="J1046" s="18" t="inlineStr"/>
      <c r="K1046" s="18" t="inlineStr"/>
      <c r="L1046" s="18" t="inlineStr">
        <is>
          <t>No</t>
        </is>
      </c>
      <c r="M1046" s="18" t="inlineStr">
        <is>
          <t>No</t>
        </is>
      </c>
      <c r="N1046" s="18" t="inlineStr"/>
      <c r="O1046" s="18" t="inlineStr">
        <is>
          <t>hallazgos_codigo_hallazgo_key</t>
        </is>
      </c>
      <c r="P1046" s="18" t="inlineStr">
        <is>
          <t>Mapeada en legal-management-service/src/entities/hallazgo.entity.ts:20 (Hallazgo.codigoHallazgo)</t>
        </is>
      </c>
      <c r="Q1046" s="18" t="inlineStr">
        <is>
          <t>Propuesta semántica</t>
        </is>
      </c>
      <c r="R1046" s="18" t="inlineStr">
        <is>
          <t>Código único del hallazgo.</t>
        </is>
      </c>
      <c r="S1046" s="18" t="inlineStr">
        <is>
          <t>Media</t>
        </is>
      </c>
      <c r="T1046" s="18" t="inlineStr">
        <is>
          <t>nombre + tipo + restricción única</t>
        </is>
      </c>
      <c r="U1046" s="18" t="inlineStr">
        <is>
          <t>¿El código lo asigna el organismo de control o lo genera el sistema, y con qué formato?</t>
        </is>
      </c>
      <c r="V1046" s="19" t="inlineStr">
        <is>
          <t>Pendiente</t>
        </is>
      </c>
      <c r="W1046" s="19" t="inlineStr"/>
      <c r="X1046" s="19" t="inlineStr"/>
      <c r="Y1046" s="20" t="n"/>
      <c r="Z1046" s="19" t="inlineStr"/>
      <c r="AA1046" s="18">
        <f>IF(OR(V1046="Aprobada"),R1046,IF(AND(OR(V1046="Aprobada con ajuste",V1046="Rechazada"),W1046&lt;&gt;""),W1046,""))</f>
        <v/>
      </c>
    </row>
    <row r="1047">
      <c r="A1047" s="18" t="inlineStr">
        <is>
          <t>C1046</t>
        </is>
      </c>
      <c r="B1047" s="18" t="inlineStr">
        <is>
          <t>Gestión jurídica</t>
        </is>
      </c>
      <c r="C1047" s="18" t="inlineStr">
        <is>
          <t>legal_management</t>
        </is>
      </c>
      <c r="D1047" s="18" t="inlineStr">
        <is>
          <t>hallazgos</t>
        </is>
      </c>
      <c r="E1047" s="18" t="n">
        <v>0</v>
      </c>
      <c r="F1047" s="18" t="inlineStr">
        <is>
          <t>numero_interno</t>
        </is>
      </c>
      <c r="G1047" s="18" t="inlineStr">
        <is>
          <t>character varying(50)</t>
        </is>
      </c>
      <c r="H1047" s="18" t="inlineStr">
        <is>
          <t>Sí</t>
        </is>
      </c>
      <c r="I1047" s="18" t="inlineStr"/>
      <c r="J1047" s="18" t="inlineStr"/>
      <c r="K1047" s="18" t="inlineStr"/>
      <c r="L1047" s="18" t="inlineStr">
        <is>
          <t>No</t>
        </is>
      </c>
      <c r="M1047" s="18" t="inlineStr">
        <is>
          <t>No</t>
        </is>
      </c>
      <c r="N1047" s="18" t="inlineStr"/>
      <c r="O1047" s="18" t="inlineStr"/>
      <c r="P1047" s="18" t="inlineStr">
        <is>
          <t>Mapeada en legal-management-service/src/entities/hallazgo.entity.ts:23 (Hallazgo.numeroInterno)</t>
        </is>
      </c>
      <c r="Q1047" s="18" t="inlineStr">
        <is>
          <t>Propuesta semántica</t>
        </is>
      </c>
      <c r="R1047" s="18" t="inlineStr">
        <is>
          <t>Número interno asignado al hallazgo por la entidad.</t>
        </is>
      </c>
      <c r="S1047" s="18" t="inlineStr">
        <is>
          <t>Media</t>
        </is>
      </c>
      <c r="T1047" s="18" t="inlineStr">
        <is>
          <t>nombre + tipo + columnas vecinas</t>
        </is>
      </c>
      <c r="U1047" s="18" t="inlineStr">
        <is>
          <t>¿Quién asigna el número interno y en qué se diferencia de codigo_hallazgo?</t>
        </is>
      </c>
      <c r="V1047" s="19" t="inlineStr">
        <is>
          <t>Pendiente</t>
        </is>
      </c>
      <c r="W1047" s="19" t="inlineStr"/>
      <c r="X1047" s="19" t="inlineStr"/>
      <c r="Y1047" s="20" t="n"/>
      <c r="Z1047" s="19" t="inlineStr"/>
      <c r="AA1047" s="18">
        <f>IF(OR(V1047="Aprobada"),R1047,IF(AND(OR(V1047="Aprobada con ajuste",V1047="Rechazada"),W1047&lt;&gt;""),W1047,""))</f>
        <v/>
      </c>
    </row>
    <row r="1048">
      <c r="A1048" s="18" t="inlineStr">
        <is>
          <t>C1047</t>
        </is>
      </c>
      <c r="B1048" s="18" t="inlineStr">
        <is>
          <t>Gestión jurídica</t>
        </is>
      </c>
      <c r="C1048" s="18" t="inlineStr">
        <is>
          <t>legal_management</t>
        </is>
      </c>
      <c r="D1048" s="18" t="inlineStr">
        <is>
          <t>hallazgos</t>
        </is>
      </c>
      <c r="E1048" s="18" t="n">
        <v>0</v>
      </c>
      <c r="F1048" s="18" t="inlineStr">
        <is>
          <t>tipo_hallazgo</t>
        </is>
      </c>
      <c r="G1048" s="18" t="inlineStr">
        <is>
          <t>character varying(30)</t>
        </is>
      </c>
      <c r="H1048" s="18" t="inlineStr">
        <is>
          <t>Sí</t>
        </is>
      </c>
      <c r="I1048" s="18" t="inlineStr">
        <is>
          <t>CHECK</t>
        </is>
      </c>
      <c r="J1048" s="18" t="inlineStr">
        <is>
          <t>ADMINISTRATIVO, DISCIPLINARIO, FISCAL, PENAL</t>
        </is>
      </c>
      <c r="K1048" s="18" t="inlineStr"/>
      <c r="L1048" s="18" t="inlineStr">
        <is>
          <t>Sí</t>
        </is>
      </c>
      <c r="M1048" s="18" t="inlineStr">
        <is>
          <t>No</t>
        </is>
      </c>
      <c r="N1048" s="18" t="inlineStr"/>
      <c r="O1048" s="18" t="inlineStr"/>
      <c r="P1048" s="18" t="inlineStr">
        <is>
          <t>Mapeada en legal-management-service/src/entities/hallazgo.entity.ts:26 (Hallazgo.tipoHallazgo)</t>
        </is>
      </c>
      <c r="Q1048" s="18" t="inlineStr">
        <is>
          <t>Propuesta semántica</t>
        </is>
      </c>
      <c r="R1048" s="18" t="inlineStr">
        <is>
          <t>Tipo de hallazgo según su incidencia. Valores permitidos: ADMINISTRATIVO, DISCIPLINARIO, FISCAL, PENAL. Por defecto, ADMINISTRATIVO.</t>
        </is>
      </c>
      <c r="S1048" s="18" t="inlineStr">
        <is>
          <t>Alta</t>
        </is>
      </c>
      <c r="T1048" s="18" t="inlineStr">
        <is>
          <t>valores permitidos del CHECK</t>
        </is>
      </c>
      <c r="U1048" s="18" t="inlineStr"/>
      <c r="V1048" s="19" t="inlineStr">
        <is>
          <t>Pendiente</t>
        </is>
      </c>
      <c r="W1048" s="19" t="inlineStr"/>
      <c r="X1048" s="19" t="inlineStr"/>
      <c r="Y1048" s="20" t="n"/>
      <c r="Z1048" s="19" t="inlineStr"/>
      <c r="AA1048" s="18">
        <f>IF(OR(V1048="Aprobada"),R1048,IF(AND(OR(V1048="Aprobada con ajuste",V1048="Rechazada"),W1048&lt;&gt;""),W1048,""))</f>
        <v/>
      </c>
    </row>
    <row r="1049">
      <c r="A1049" s="18" t="inlineStr">
        <is>
          <t>C1048</t>
        </is>
      </c>
      <c r="B1049" s="18" t="inlineStr">
        <is>
          <t>Gestión jurídica</t>
        </is>
      </c>
      <c r="C1049" s="18" t="inlineStr">
        <is>
          <t>legal_management</t>
        </is>
      </c>
      <c r="D1049" s="18" t="inlineStr">
        <is>
          <t>hallazgos</t>
        </is>
      </c>
      <c r="E1049" s="18" t="n">
        <v>0</v>
      </c>
      <c r="F1049" s="18" t="inlineStr">
        <is>
          <t>titulo</t>
        </is>
      </c>
      <c r="G1049" s="18" t="inlineStr">
        <is>
          <t>character varying(300)</t>
        </is>
      </c>
      <c r="H1049" s="18" t="inlineStr">
        <is>
          <t>No</t>
        </is>
      </c>
      <c r="I1049" s="18" t="inlineStr"/>
      <c r="J1049" s="18" t="inlineStr"/>
      <c r="K1049" s="18" t="inlineStr"/>
      <c r="L1049" s="18" t="inlineStr">
        <is>
          <t>No</t>
        </is>
      </c>
      <c r="M1049" s="18" t="inlineStr">
        <is>
          <t>Sí</t>
        </is>
      </c>
      <c r="N1049" s="18" t="inlineStr">
        <is>
          <t>Vista control_interno.v_auditorias_kanban_completo</t>
        </is>
      </c>
      <c r="O1049" s="18" t="inlineStr"/>
      <c r="P1049" s="18" t="inlineStr">
        <is>
          <t>Mapeada en legal-management-service/src/entities/hallazgo.entity.ts:29 (Hallazgo.titulo)</t>
        </is>
      </c>
      <c r="Q1049" s="18" t="inlineStr">
        <is>
          <t>Propuesta semántica</t>
        </is>
      </c>
      <c r="R1049" s="18" t="inlineStr">
        <is>
          <t>Título del hallazgo.</t>
        </is>
      </c>
      <c r="S1049" s="18" t="inlineStr">
        <is>
          <t>Alta</t>
        </is>
      </c>
      <c r="T1049" s="18" t="inlineStr">
        <is>
          <t>nombre + tipo</t>
        </is>
      </c>
      <c r="U1049" s="18" t="inlineStr"/>
      <c r="V1049" s="19" t="inlineStr">
        <is>
          <t>Pendiente</t>
        </is>
      </c>
      <c r="W1049" s="19" t="inlineStr"/>
      <c r="X1049" s="19" t="inlineStr"/>
      <c r="Y1049" s="20" t="n"/>
      <c r="Z1049" s="19" t="inlineStr"/>
      <c r="AA1049" s="18">
        <f>IF(OR(V1049="Aprobada"),R1049,IF(AND(OR(V1049="Aprobada con ajuste",V1049="Rechazada"),W1049&lt;&gt;""),W1049,""))</f>
        <v/>
      </c>
    </row>
    <row r="1050">
      <c r="A1050" s="18" t="inlineStr">
        <is>
          <t>C1049</t>
        </is>
      </c>
      <c r="B1050" s="18" t="inlineStr">
        <is>
          <t>Gestión jurídica</t>
        </is>
      </c>
      <c r="C1050" s="18" t="inlineStr">
        <is>
          <t>legal_management</t>
        </is>
      </c>
      <c r="D1050" s="18" t="inlineStr">
        <is>
          <t>hallazgos</t>
        </is>
      </c>
      <c r="E1050" s="18" t="n">
        <v>0</v>
      </c>
      <c r="F1050" s="18" t="inlineStr">
        <is>
          <t>descripcion</t>
        </is>
      </c>
      <c r="G1050" s="18" t="inlineStr">
        <is>
          <t>text</t>
        </is>
      </c>
      <c r="H1050" s="18" t="inlineStr">
        <is>
          <t>No</t>
        </is>
      </c>
      <c r="I1050" s="18" t="inlineStr"/>
      <c r="J1050" s="18" t="inlineStr"/>
      <c r="K1050" s="18" t="inlineStr"/>
      <c r="L1050" s="18" t="inlineStr">
        <is>
          <t>No</t>
        </is>
      </c>
      <c r="M1050" s="18" t="inlineStr">
        <is>
          <t>Sí</t>
        </is>
      </c>
      <c r="N1050" s="18" t="inlineStr">
        <is>
          <t>Vista control_interno.v_auditorias_kanban_completo</t>
        </is>
      </c>
      <c r="O1050" s="18" t="inlineStr"/>
      <c r="P1050" s="18" t="inlineStr">
        <is>
          <t>Mapeada en legal-management-service/src/entities/hallazgo.entity.ts:32 (Hallazgo.descripcion)</t>
        </is>
      </c>
      <c r="Q1050" s="18" t="inlineStr">
        <is>
          <t>Regla estructural</t>
        </is>
      </c>
      <c r="R1050" s="18" t="inlineStr">
        <is>
          <t>Descripción del registro de hallazgos.</t>
        </is>
      </c>
      <c r="S1050" s="18" t="inlineStr">
        <is>
          <t>Media</t>
        </is>
      </c>
      <c r="T1050" s="18" t="inlineStr">
        <is>
          <t>Convención de nombre de la columna.</t>
        </is>
      </c>
      <c r="U1050" s="18" t="inlineStr"/>
      <c r="V1050" s="19" t="inlineStr">
        <is>
          <t>Pendiente</t>
        </is>
      </c>
      <c r="W1050" s="19" t="inlineStr"/>
      <c r="X1050" s="19" t="inlineStr"/>
      <c r="Y1050" s="20" t="n"/>
      <c r="Z1050" s="19" t="inlineStr"/>
      <c r="AA1050" s="18">
        <f>IF(OR(V1050="Aprobada"),R1050,IF(AND(OR(V1050="Aprobada con ajuste",V1050="Rechazada"),W1050&lt;&gt;""),W1050,""))</f>
        <v/>
      </c>
    </row>
    <row r="1051">
      <c r="A1051" s="18" t="inlineStr">
        <is>
          <t>C1050</t>
        </is>
      </c>
      <c r="B1051" s="18" t="inlineStr">
        <is>
          <t>Gestión jurídica</t>
        </is>
      </c>
      <c r="C1051" s="18" t="inlineStr">
        <is>
          <t>legal_management</t>
        </is>
      </c>
      <c r="D1051" s="18" t="inlineStr">
        <is>
          <t>hallazgos</t>
        </is>
      </c>
      <c r="E1051" s="18" t="n">
        <v>0</v>
      </c>
      <c r="F1051" s="18" t="inlineStr">
        <is>
          <t>causa_raiz</t>
        </is>
      </c>
      <c r="G1051" s="18" t="inlineStr">
        <is>
          <t>text</t>
        </is>
      </c>
      <c r="H1051" s="18" t="inlineStr">
        <is>
          <t>Sí</t>
        </is>
      </c>
      <c r="I1051" s="18" t="inlineStr"/>
      <c r="J1051" s="18" t="inlineStr"/>
      <c r="K1051" s="18" t="inlineStr"/>
      <c r="L1051" s="18" t="inlineStr">
        <is>
          <t>No</t>
        </is>
      </c>
      <c r="M1051" s="18" t="inlineStr">
        <is>
          <t>No</t>
        </is>
      </c>
      <c r="N1051" s="18" t="inlineStr"/>
      <c r="O1051" s="18" t="inlineStr"/>
      <c r="P1051" s="18" t="inlineStr">
        <is>
          <t>Mapeada en legal-management-service/src/entities/hallazgo.entity.ts:35 (Hallazgo.causaRaiz)</t>
        </is>
      </c>
      <c r="Q1051" s="18" t="inlineStr">
        <is>
          <t>Propuesta semántica</t>
        </is>
      </c>
      <c r="R1051" s="18" t="inlineStr">
        <is>
          <t>Causa raíz identificada para el hallazgo.</t>
        </is>
      </c>
      <c r="S1051" s="18" t="inlineStr">
        <is>
          <t>Alta</t>
        </is>
      </c>
      <c r="T1051" s="18" t="inlineStr">
        <is>
          <t>nombre + tipo + columnas vecinas</t>
        </is>
      </c>
      <c r="U1051" s="18" t="inlineStr"/>
      <c r="V1051" s="19" t="inlineStr">
        <is>
          <t>Pendiente</t>
        </is>
      </c>
      <c r="W1051" s="19" t="inlineStr"/>
      <c r="X1051" s="19" t="inlineStr"/>
      <c r="Y1051" s="20" t="n"/>
      <c r="Z1051" s="19" t="inlineStr"/>
      <c r="AA1051" s="18">
        <f>IF(OR(V1051="Aprobada"),R1051,IF(AND(OR(V1051="Aprobada con ajuste",V1051="Rechazada"),W1051&lt;&gt;""),W1051,""))</f>
        <v/>
      </c>
    </row>
    <row r="1052">
      <c r="A1052" s="18" t="inlineStr">
        <is>
          <t>C1051</t>
        </is>
      </c>
      <c r="B1052" s="18" t="inlineStr">
        <is>
          <t>Gestión jurídica</t>
        </is>
      </c>
      <c r="C1052" s="18" t="inlineStr">
        <is>
          <t>legal_management</t>
        </is>
      </c>
      <c r="D1052" s="18" t="inlineStr">
        <is>
          <t>hallazgos</t>
        </is>
      </c>
      <c r="E1052" s="18" t="n">
        <v>0</v>
      </c>
      <c r="F1052" s="18" t="inlineStr">
        <is>
          <t>efecto</t>
        </is>
      </c>
      <c r="G1052" s="18" t="inlineStr">
        <is>
          <t>text</t>
        </is>
      </c>
      <c r="H1052" s="18" t="inlineStr">
        <is>
          <t>Sí</t>
        </is>
      </c>
      <c r="I1052" s="18" t="inlineStr"/>
      <c r="J1052" s="18" t="inlineStr"/>
      <c r="K1052" s="18" t="inlineStr"/>
      <c r="L1052" s="18" t="inlineStr">
        <is>
          <t>No</t>
        </is>
      </c>
      <c r="M1052" s="18" t="inlineStr">
        <is>
          <t>No</t>
        </is>
      </c>
      <c r="N1052" s="18" t="inlineStr"/>
      <c r="O1052" s="18" t="inlineStr"/>
      <c r="P1052" s="18" t="inlineStr">
        <is>
          <t>Mapeada en legal-management-service/src/entities/hallazgo.entity.ts:38 (Hallazgo.efecto)</t>
        </is>
      </c>
      <c r="Q1052" s="18" t="inlineStr">
        <is>
          <t>Propuesta semántica</t>
        </is>
      </c>
      <c r="R1052" s="18" t="inlineStr">
        <is>
          <t>Efecto o consecuencia del hallazgo.</t>
        </is>
      </c>
      <c r="S1052" s="18" t="inlineStr">
        <is>
          <t>Alta</t>
        </is>
      </c>
      <c r="T1052" s="18" t="inlineStr">
        <is>
          <t>nombre + tipo + columnas vecinas</t>
        </is>
      </c>
      <c r="U1052" s="18" t="inlineStr"/>
      <c r="V1052" s="19" t="inlineStr">
        <is>
          <t>Pendiente</t>
        </is>
      </c>
      <c r="W1052" s="19" t="inlineStr"/>
      <c r="X1052" s="19" t="inlineStr"/>
      <c r="Y1052" s="20" t="n"/>
      <c r="Z1052" s="19" t="inlineStr"/>
      <c r="AA1052" s="18">
        <f>IF(OR(V1052="Aprobada"),R1052,IF(AND(OR(V1052="Aprobada con ajuste",V1052="Rechazada"),W1052&lt;&gt;""),W1052,""))</f>
        <v/>
      </c>
    </row>
    <row r="1053">
      <c r="A1053" s="18" t="inlineStr">
        <is>
          <t>C1052</t>
        </is>
      </c>
      <c r="B1053" s="18" t="inlineStr">
        <is>
          <t>Gestión jurídica</t>
        </is>
      </c>
      <c r="C1053" s="18" t="inlineStr">
        <is>
          <t>legal_management</t>
        </is>
      </c>
      <c r="D1053" s="18" t="inlineStr">
        <is>
          <t>hallazgos</t>
        </is>
      </c>
      <c r="E1053" s="18" t="n">
        <v>0</v>
      </c>
      <c r="F1053" s="18" t="inlineStr">
        <is>
          <t>area_responsable</t>
        </is>
      </c>
      <c r="G1053" s="18" t="inlineStr">
        <is>
          <t>character varying(150)</t>
        </is>
      </c>
      <c r="H1053" s="18" t="inlineStr">
        <is>
          <t>Sí</t>
        </is>
      </c>
      <c r="I1053" s="18" t="inlineStr"/>
      <c r="J1053" s="18" t="inlineStr"/>
      <c r="K1053" s="18" t="inlineStr"/>
      <c r="L1053" s="18" t="inlineStr">
        <is>
          <t>No</t>
        </is>
      </c>
      <c r="M1053" s="18" t="inlineStr">
        <is>
          <t>No</t>
        </is>
      </c>
      <c r="N1053" s="18" t="inlineStr"/>
      <c r="O1053" s="18" t="inlineStr"/>
      <c r="P1053" s="18" t="inlineStr">
        <is>
          <t>Mapeada en legal-management-service/src/entities/hallazgo.entity.ts:41 (Hallazgo.areaResponsable)</t>
        </is>
      </c>
      <c r="Q1053" s="18" t="inlineStr">
        <is>
          <t>Propuesta semántica</t>
        </is>
      </c>
      <c r="R1053" s="18" t="inlineStr">
        <is>
          <t>Nombre del área responsable de atender el hallazgo.</t>
        </is>
      </c>
      <c r="S1053" s="18" t="inlineStr">
        <is>
          <t>Media</t>
        </is>
      </c>
      <c r="T1053" s="18" t="inlineStr">
        <is>
          <t>nombre + tipo + columnas vecinas</t>
        </is>
      </c>
      <c r="U1053" s="18" t="inlineStr">
        <is>
          <t>¿El área se registra como texto libre o se toma de un catálogo de dependencias?</t>
        </is>
      </c>
      <c r="V1053" s="19" t="inlineStr">
        <is>
          <t>Pendiente</t>
        </is>
      </c>
      <c r="W1053" s="19" t="inlineStr"/>
      <c r="X1053" s="19" t="inlineStr"/>
      <c r="Y1053" s="20" t="n"/>
      <c r="Z1053" s="19" t="inlineStr"/>
      <c r="AA1053" s="18">
        <f>IF(OR(V1053="Aprobada"),R1053,IF(AND(OR(V1053="Aprobada con ajuste",V1053="Rechazada"),W1053&lt;&gt;""),W1053,""))</f>
        <v/>
      </c>
    </row>
    <row r="1054">
      <c r="A1054" s="18" t="inlineStr">
        <is>
          <t>C1053</t>
        </is>
      </c>
      <c r="B1054" s="18" t="inlineStr">
        <is>
          <t>Gestión jurídica</t>
        </is>
      </c>
      <c r="C1054" s="18" t="inlineStr">
        <is>
          <t>legal_management</t>
        </is>
      </c>
      <c r="D1054" s="18" t="inlineStr">
        <is>
          <t>hallazgos</t>
        </is>
      </c>
      <c r="E1054" s="18" t="n">
        <v>0</v>
      </c>
      <c r="F1054" s="18" t="inlineStr">
        <is>
          <t>funcionario_responsable</t>
        </is>
      </c>
      <c r="G1054" s="18" t="inlineStr">
        <is>
          <t>character varying(200)</t>
        </is>
      </c>
      <c r="H1054" s="18" t="inlineStr">
        <is>
          <t>Sí</t>
        </is>
      </c>
      <c r="I1054" s="18" t="inlineStr"/>
      <c r="J1054" s="18" t="inlineStr"/>
      <c r="K1054" s="18" t="inlineStr"/>
      <c r="L1054" s="18" t="inlineStr">
        <is>
          <t>No</t>
        </is>
      </c>
      <c r="M1054" s="18" t="inlineStr">
        <is>
          <t>No</t>
        </is>
      </c>
      <c r="N1054" s="18" t="inlineStr"/>
      <c r="O1054" s="18" t="inlineStr"/>
      <c r="P1054" s="18" t="inlineStr">
        <is>
          <t>Mapeada en legal-management-service/src/entities/hallazgo.entity.ts:44 (Hallazgo.funcionarioResponsable)</t>
        </is>
      </c>
      <c r="Q1054" s="18" t="inlineStr">
        <is>
          <t>Propuesta semántica</t>
        </is>
      </c>
      <c r="R1054" s="18" t="inlineStr">
        <is>
          <t>Nombre del funcionario responsable de atender el hallazgo.</t>
        </is>
      </c>
      <c r="S1054" s="18" t="inlineStr">
        <is>
          <t>Media</t>
        </is>
      </c>
      <c r="T1054" s="18" t="inlineStr">
        <is>
          <t>nombre + tipo + columnas vecinas</t>
        </is>
      </c>
      <c r="U1054" s="18" t="inlineStr">
        <is>
          <t>¿Se guarda el nombre completo del funcionario o un identificador de usuario?</t>
        </is>
      </c>
      <c r="V1054" s="19" t="inlineStr">
        <is>
          <t>Pendiente</t>
        </is>
      </c>
      <c r="W1054" s="19" t="inlineStr"/>
      <c r="X1054" s="19" t="inlineStr"/>
      <c r="Y1054" s="20" t="n"/>
      <c r="Z1054" s="19" t="inlineStr"/>
      <c r="AA1054" s="18">
        <f>IF(OR(V1054="Aprobada"),R1054,IF(AND(OR(V1054="Aprobada con ajuste",V1054="Rechazada"),W1054&lt;&gt;""),W1054,""))</f>
        <v/>
      </c>
    </row>
    <row r="1055">
      <c r="A1055" s="18" t="inlineStr">
        <is>
          <t>C1054</t>
        </is>
      </c>
      <c r="B1055" s="18" t="inlineStr">
        <is>
          <t>Gestión jurídica</t>
        </is>
      </c>
      <c r="C1055" s="18" t="inlineStr">
        <is>
          <t>legal_management</t>
        </is>
      </c>
      <c r="D1055" s="18" t="inlineStr">
        <is>
          <t>hallazgos</t>
        </is>
      </c>
      <c r="E1055" s="18" t="n">
        <v>0</v>
      </c>
      <c r="F1055" s="18" t="inlineStr">
        <is>
          <t>accion_correctiva</t>
        </is>
      </c>
      <c r="G1055" s="18" t="inlineStr">
        <is>
          <t>text</t>
        </is>
      </c>
      <c r="H1055" s="18" t="inlineStr">
        <is>
          <t>No</t>
        </is>
      </c>
      <c r="I1055" s="18" t="inlineStr"/>
      <c r="J1055" s="18" t="inlineStr"/>
      <c r="K1055" s="18" t="inlineStr"/>
      <c r="L1055" s="18" t="inlineStr">
        <is>
          <t>No</t>
        </is>
      </c>
      <c r="M1055" s="18" t="inlineStr">
        <is>
          <t>No</t>
        </is>
      </c>
      <c r="N1055" s="18" t="inlineStr"/>
      <c r="O1055" s="18" t="inlineStr"/>
      <c r="P1055" s="18" t="inlineStr">
        <is>
          <t>Mapeada en legal-management-service/src/entities/hallazgo.entity.ts:47 (Hallazgo.accionCorrectiva)</t>
        </is>
      </c>
      <c r="Q1055" s="18" t="inlineStr">
        <is>
          <t>Propuesta semántica</t>
        </is>
      </c>
      <c r="R1055" s="18" t="inlineStr">
        <is>
          <t>Acción correctiva definida para subsanar el hallazgo.</t>
        </is>
      </c>
      <c r="S1055" s="18" t="inlineStr">
        <is>
          <t>Alta</t>
        </is>
      </c>
      <c r="T1055" s="18" t="inlineStr">
        <is>
          <t>nombre + tipo + columnas vecinas</t>
        </is>
      </c>
      <c r="U1055" s="18" t="inlineStr"/>
      <c r="V1055" s="19" t="inlineStr">
        <is>
          <t>Pendiente</t>
        </is>
      </c>
      <c r="W1055" s="19" t="inlineStr"/>
      <c r="X1055" s="19" t="inlineStr"/>
      <c r="Y1055" s="20" t="n"/>
      <c r="Z1055" s="19" t="inlineStr"/>
      <c r="AA1055" s="18">
        <f>IF(OR(V1055="Aprobada"),R1055,IF(AND(OR(V1055="Aprobada con ajuste",V1055="Rechazada"),W1055&lt;&gt;""),W1055,""))</f>
        <v/>
      </c>
    </row>
    <row r="1056">
      <c r="A1056" s="18" t="inlineStr">
        <is>
          <t>C1055</t>
        </is>
      </c>
      <c r="B1056" s="18" t="inlineStr">
        <is>
          <t>Gestión jurídica</t>
        </is>
      </c>
      <c r="C1056" s="18" t="inlineStr">
        <is>
          <t>legal_management</t>
        </is>
      </c>
      <c r="D1056" s="18" t="inlineStr">
        <is>
          <t>hallazgos</t>
        </is>
      </c>
      <c r="E1056" s="18" t="n">
        <v>0</v>
      </c>
      <c r="F1056" s="18" t="inlineStr">
        <is>
          <t>fecha_compromiso</t>
        </is>
      </c>
      <c r="G1056" s="18" t="inlineStr">
        <is>
          <t>date</t>
        </is>
      </c>
      <c r="H1056" s="18" t="inlineStr">
        <is>
          <t>No</t>
        </is>
      </c>
      <c r="I1056" s="18" t="inlineStr"/>
      <c r="J1056" s="18" t="inlineStr"/>
      <c r="K1056" s="18" t="inlineStr"/>
      <c r="L1056" s="18" t="inlineStr">
        <is>
          <t>No</t>
        </is>
      </c>
      <c r="M1056" s="18" t="inlineStr">
        <is>
          <t>No</t>
        </is>
      </c>
      <c r="N1056" s="18" t="inlineStr"/>
      <c r="O1056" s="18" t="inlineStr">
        <is>
          <t>idx_hallazgos_fecha</t>
        </is>
      </c>
      <c r="P1056" s="18" t="inlineStr">
        <is>
          <t>Mapeada en legal-management-service/src/entities/hallazgo.entity.ts:50 (Hallazgo.fechaCompromiso)</t>
        </is>
      </c>
      <c r="Q1056" s="18" t="inlineStr">
        <is>
          <t>Regla estructural</t>
        </is>
      </c>
      <c r="R1056" s="18" t="inlineStr">
        <is>
          <t>Fecha de compromiso.</t>
        </is>
      </c>
      <c r="S1056" s="18" t="inlineStr">
        <is>
          <t>Media</t>
        </is>
      </c>
      <c r="T1056" s="18" t="inlineStr">
        <is>
          <t>Convención de nombre de la columna.</t>
        </is>
      </c>
      <c r="U1056" s="18" t="inlineStr"/>
      <c r="V1056" s="19" t="inlineStr">
        <is>
          <t>Pendiente</t>
        </is>
      </c>
      <c r="W1056" s="19" t="inlineStr"/>
      <c r="X1056" s="19" t="inlineStr"/>
      <c r="Y1056" s="20" t="n"/>
      <c r="Z1056" s="19" t="inlineStr"/>
      <c r="AA1056" s="18">
        <f>IF(OR(V1056="Aprobada"),R1056,IF(AND(OR(V1056="Aprobada con ajuste",V1056="Rechazada"),W1056&lt;&gt;""),W1056,""))</f>
        <v/>
      </c>
    </row>
    <row r="1057">
      <c r="A1057" s="18" t="inlineStr">
        <is>
          <t>C1056</t>
        </is>
      </c>
      <c r="B1057" s="18" t="inlineStr">
        <is>
          <t>Gestión jurídica</t>
        </is>
      </c>
      <c r="C1057" s="18" t="inlineStr">
        <is>
          <t>legal_management</t>
        </is>
      </c>
      <c r="D1057" s="18" t="inlineStr">
        <is>
          <t>hallazgos</t>
        </is>
      </c>
      <c r="E1057" s="18" t="n">
        <v>0</v>
      </c>
      <c r="F1057" s="18" t="inlineStr">
        <is>
          <t>indicador_cumplimiento</t>
        </is>
      </c>
      <c r="G1057" s="18" t="inlineStr">
        <is>
          <t>text</t>
        </is>
      </c>
      <c r="H1057" s="18" t="inlineStr">
        <is>
          <t>Sí</t>
        </is>
      </c>
      <c r="I1057" s="18" t="inlineStr"/>
      <c r="J1057" s="18" t="inlineStr"/>
      <c r="K1057" s="18" t="inlineStr"/>
      <c r="L1057" s="18" t="inlineStr">
        <is>
          <t>No</t>
        </is>
      </c>
      <c r="M1057" s="18" t="inlineStr">
        <is>
          <t>No</t>
        </is>
      </c>
      <c r="N1057" s="18" t="inlineStr"/>
      <c r="O1057" s="18" t="inlineStr"/>
      <c r="P1057" s="18" t="inlineStr">
        <is>
          <t>Mapeada en legal-management-service/src/entities/hallazgo.entity.ts:53 (Hallazgo.indicadorCumplimiento)</t>
        </is>
      </c>
      <c r="Q1057" s="18" t="inlineStr">
        <is>
          <t>Propuesta semántica</t>
        </is>
      </c>
      <c r="R1057" s="18" t="inlineStr">
        <is>
          <t>Indicador con el que se mide el cumplimiento de la acción correctiva.</t>
        </is>
      </c>
      <c r="S1057" s="18" t="inlineStr">
        <is>
          <t>Media</t>
        </is>
      </c>
      <c r="T1057" s="18" t="inlineStr">
        <is>
          <t>nombre + tipo + columnas vecinas</t>
        </is>
      </c>
      <c r="U1057" s="18" t="inlineStr">
        <is>
          <t>¿El indicador es una descripción libre o una fórmula de cálculo?</t>
        </is>
      </c>
      <c r="V1057" s="19" t="inlineStr">
        <is>
          <t>Pendiente</t>
        </is>
      </c>
      <c r="W1057" s="19" t="inlineStr"/>
      <c r="X1057" s="19" t="inlineStr"/>
      <c r="Y1057" s="20" t="n"/>
      <c r="Z1057" s="19" t="inlineStr"/>
      <c r="AA1057" s="18">
        <f>IF(OR(V1057="Aprobada"),R1057,IF(AND(OR(V1057="Aprobada con ajuste",V1057="Rechazada"),W1057&lt;&gt;""),W1057,""))</f>
        <v/>
      </c>
    </row>
    <row r="1058">
      <c r="A1058" s="18" t="inlineStr">
        <is>
          <t>C1057</t>
        </is>
      </c>
      <c r="B1058" s="18" t="inlineStr">
        <is>
          <t>Gestión jurídica</t>
        </is>
      </c>
      <c r="C1058" s="18" t="inlineStr">
        <is>
          <t>legal_management</t>
        </is>
      </c>
      <c r="D1058" s="18" t="inlineStr">
        <is>
          <t>hallazgos</t>
        </is>
      </c>
      <c r="E1058" s="18" t="n">
        <v>0</v>
      </c>
      <c r="F1058" s="18" t="inlineStr">
        <is>
          <t>meta_indicador</t>
        </is>
      </c>
      <c r="G1058" s="18" t="inlineStr">
        <is>
          <t>character varying(100)</t>
        </is>
      </c>
      <c r="H1058" s="18" t="inlineStr">
        <is>
          <t>Sí</t>
        </is>
      </c>
      <c r="I1058" s="18" t="inlineStr"/>
      <c r="J1058" s="18" t="inlineStr"/>
      <c r="K1058" s="18" t="inlineStr"/>
      <c r="L1058" s="18" t="inlineStr">
        <is>
          <t>No</t>
        </is>
      </c>
      <c r="M1058" s="18" t="inlineStr">
        <is>
          <t>No</t>
        </is>
      </c>
      <c r="N1058" s="18" t="inlineStr"/>
      <c r="O1058" s="18" t="inlineStr"/>
      <c r="P1058" s="18" t="inlineStr">
        <is>
          <t>Mapeada en legal-management-service/src/entities/hallazgo.entity.ts:56 (Hallazgo.metaIndicador)</t>
        </is>
      </c>
      <c r="Q1058" s="18" t="inlineStr">
        <is>
          <t>Propuesta semántica</t>
        </is>
      </c>
      <c r="R1058" s="18" t="inlineStr">
        <is>
          <t>Meta del indicador de cumplimiento.</t>
        </is>
      </c>
      <c r="S1058" s="18" t="inlineStr">
        <is>
          <t>Media</t>
        </is>
      </c>
      <c r="T1058" s="18" t="inlineStr">
        <is>
          <t>nombre + tipo + columnas vecinas</t>
        </is>
      </c>
      <c r="U1058" s="18" t="inlineStr">
        <is>
          <t>¿En qué unidad se expresa la meta (porcentaje, cantidad, texto libre)?</t>
        </is>
      </c>
      <c r="V1058" s="19" t="inlineStr">
        <is>
          <t>Pendiente</t>
        </is>
      </c>
      <c r="W1058" s="19" t="inlineStr"/>
      <c r="X1058" s="19" t="inlineStr"/>
      <c r="Y1058" s="20" t="n"/>
      <c r="Z1058" s="19" t="inlineStr"/>
      <c r="AA1058" s="18">
        <f>IF(OR(V1058="Aprobada"),R1058,IF(AND(OR(V1058="Aprobada con ajuste",V1058="Rechazada"),W1058&lt;&gt;""),W1058,""))</f>
        <v/>
      </c>
    </row>
    <row r="1059">
      <c r="A1059" s="18" t="inlineStr">
        <is>
          <t>C1058</t>
        </is>
      </c>
      <c r="B1059" s="18" t="inlineStr">
        <is>
          <t>Gestión jurídica</t>
        </is>
      </c>
      <c r="C1059" s="18" t="inlineStr">
        <is>
          <t>legal_management</t>
        </is>
      </c>
      <c r="D1059" s="18" t="inlineStr">
        <is>
          <t>hallazgos</t>
        </is>
      </c>
      <c r="E1059" s="18" t="n">
        <v>0</v>
      </c>
      <c r="F1059" s="18" t="inlineStr">
        <is>
          <t>estado</t>
        </is>
      </c>
      <c r="G1059" s="18" t="inlineStr">
        <is>
          <t>character varying(30)</t>
        </is>
      </c>
      <c r="H1059" s="18" t="inlineStr">
        <is>
          <t>Sí</t>
        </is>
      </c>
      <c r="I1059" s="18" t="inlineStr">
        <is>
          <t>CHECK</t>
        </is>
      </c>
      <c r="J1059" s="18" t="inlineStr">
        <is>
          <t>ABIERTO, CERRADO, EN_CURSO, EN_REVISION, RECHAZADO</t>
        </is>
      </c>
      <c r="K1059" s="18" t="inlineStr"/>
      <c r="L1059" s="18" t="inlineStr">
        <is>
          <t>Sí</t>
        </is>
      </c>
      <c r="M1059" s="18" t="inlineStr">
        <is>
          <t>Sí</t>
        </is>
      </c>
      <c r="N1059" s="18" t="inlineStr">
        <is>
          <t>Vista control_interno.v_auditorias_kanban_completo; Vista control_interno.v_auditorias_por_estado</t>
        </is>
      </c>
      <c r="O1059" s="18" t="inlineStr">
        <is>
          <t>idx_hallazgos_estado</t>
        </is>
      </c>
      <c r="P1059" s="18" t="inlineStr">
        <is>
          <t>Mapeada en legal-management-service/src/entities/hallazgo.entity.ts:59 (Hallazgo.estado)</t>
        </is>
      </c>
      <c r="Q1059" s="18" t="inlineStr">
        <is>
          <t>Regla estructural</t>
        </is>
      </c>
      <c r="R1059" s="18" t="inlineStr">
        <is>
          <t>Estado del registro de hallazgos.</t>
        </is>
      </c>
      <c r="S1059" s="18" t="inlineStr">
        <is>
          <t>Media</t>
        </is>
      </c>
      <c r="T1059" s="18" t="inlineStr">
        <is>
          <t>Convención de nombre de la columna.</t>
        </is>
      </c>
      <c r="U1059" s="18" t="inlineStr"/>
      <c r="V1059" s="19" t="inlineStr">
        <is>
          <t>Pendiente</t>
        </is>
      </c>
      <c r="W1059" s="19" t="inlineStr"/>
      <c r="X1059" s="19" t="inlineStr"/>
      <c r="Y1059" s="20" t="n"/>
      <c r="Z1059" s="19" t="inlineStr"/>
      <c r="AA1059" s="18">
        <f>IF(OR(V1059="Aprobada"),R1059,IF(AND(OR(V1059="Aprobada con ajuste",V1059="Rechazada"),W1059&lt;&gt;""),W1059,""))</f>
        <v/>
      </c>
    </row>
    <row r="1060">
      <c r="A1060" s="18" t="inlineStr">
        <is>
          <t>C1059</t>
        </is>
      </c>
      <c r="B1060" s="18" t="inlineStr">
        <is>
          <t>Gestión jurídica</t>
        </is>
      </c>
      <c r="C1060" s="18" t="inlineStr">
        <is>
          <t>legal_management</t>
        </is>
      </c>
      <c r="D1060" s="18" t="inlineStr">
        <is>
          <t>hallazgos</t>
        </is>
      </c>
      <c r="E1060" s="18" t="n">
        <v>0</v>
      </c>
      <c r="F1060" s="18" t="inlineStr">
        <is>
          <t>porcentaje_avance</t>
        </is>
      </c>
      <c r="G1060" s="18" t="inlineStr">
        <is>
          <t>integer</t>
        </is>
      </c>
      <c r="H1060" s="18" t="inlineStr">
        <is>
          <t>Sí</t>
        </is>
      </c>
      <c r="I1060" s="18" t="inlineStr">
        <is>
          <t>CHECK</t>
        </is>
      </c>
      <c r="J1060" s="18" t="inlineStr"/>
      <c r="K1060" s="18" t="inlineStr"/>
      <c r="L1060" s="18" t="inlineStr">
        <is>
          <t>No</t>
        </is>
      </c>
      <c r="M1060" s="18" t="inlineStr">
        <is>
          <t>No</t>
        </is>
      </c>
      <c r="N1060" s="18" t="inlineStr"/>
      <c r="O1060" s="18" t="inlineStr"/>
      <c r="P1060" s="18" t="inlineStr">
        <is>
          <t>Mapeada en legal-management-service/src/entities/hallazgo.entity.ts:62 (Hallazgo.porcentajeAvance)</t>
        </is>
      </c>
      <c r="Q1060" s="18" t="inlineStr">
        <is>
          <t>Propuesta semántica</t>
        </is>
      </c>
      <c r="R1060" s="18" t="inlineStr">
        <is>
          <t>Porcentaje de avance de la acción correctiva (0 a 100). Por defecto, 0.</t>
        </is>
      </c>
      <c r="S1060" s="18" t="inlineStr">
        <is>
          <t>Media</t>
        </is>
      </c>
      <c r="T1060" s="18" t="inlineStr">
        <is>
          <t>nombre + tipo + defecto</t>
        </is>
      </c>
      <c r="U1060" s="18" t="inlineStr">
        <is>
          <t>¿Se calcula a partir de los reportes de avance o se registra manualmente?</t>
        </is>
      </c>
      <c r="V1060" s="19" t="inlineStr">
        <is>
          <t>Pendiente</t>
        </is>
      </c>
      <c r="W1060" s="19" t="inlineStr"/>
      <c r="X1060" s="19" t="inlineStr"/>
      <c r="Y1060" s="20" t="n"/>
      <c r="Z1060" s="19" t="inlineStr"/>
      <c r="AA1060" s="18">
        <f>IF(OR(V1060="Aprobada"),R1060,IF(AND(OR(V1060="Aprobada con ajuste",V1060="Rechazada"),W1060&lt;&gt;""),W1060,""))</f>
        <v/>
      </c>
    </row>
    <row r="1061">
      <c r="A1061" s="18" t="inlineStr">
        <is>
          <t>C1060</t>
        </is>
      </c>
      <c r="B1061" s="18" t="inlineStr">
        <is>
          <t>Gestión jurídica</t>
        </is>
      </c>
      <c r="C1061" s="18" t="inlineStr">
        <is>
          <t>legal_management</t>
        </is>
      </c>
      <c r="D1061" s="18" t="inlineStr">
        <is>
          <t>hallazgos</t>
        </is>
      </c>
      <c r="E1061" s="18" t="n">
        <v>0</v>
      </c>
      <c r="F1061" s="18" t="inlineStr">
        <is>
          <t>fecha_ultimo_reporte</t>
        </is>
      </c>
      <c r="G1061" s="18" t="inlineStr">
        <is>
          <t>timestamp without time zone</t>
        </is>
      </c>
      <c r="H1061" s="18" t="inlineStr">
        <is>
          <t>Sí</t>
        </is>
      </c>
      <c r="I1061" s="18" t="inlineStr"/>
      <c r="J1061" s="18" t="inlineStr"/>
      <c r="K1061" s="18" t="inlineStr"/>
      <c r="L1061" s="18" t="inlineStr">
        <is>
          <t>No</t>
        </is>
      </c>
      <c r="M1061" s="18" t="inlineStr">
        <is>
          <t>No</t>
        </is>
      </c>
      <c r="N1061" s="18" t="inlineStr"/>
      <c r="O1061" s="18" t="inlineStr"/>
      <c r="P1061" s="18" t="inlineStr">
        <is>
          <t>Mapeada en legal-management-service/src/entities/hallazgo.entity.ts:65 (Hallazgo.fechaUltimoReporte)</t>
        </is>
      </c>
      <c r="Q1061" s="18" t="inlineStr">
        <is>
          <t>Regla estructural</t>
        </is>
      </c>
      <c r="R1061" s="18" t="inlineStr">
        <is>
          <t>Fecha de último reporte.</t>
        </is>
      </c>
      <c r="S1061" s="18" t="inlineStr">
        <is>
          <t>Media</t>
        </is>
      </c>
      <c r="T1061" s="18" t="inlineStr">
        <is>
          <t>Convención de nombre de la columna.</t>
        </is>
      </c>
      <c r="U1061" s="18" t="inlineStr"/>
      <c r="V1061" s="19" t="inlineStr">
        <is>
          <t>Pendiente</t>
        </is>
      </c>
      <c r="W1061" s="19" t="inlineStr"/>
      <c r="X1061" s="19" t="inlineStr"/>
      <c r="Y1061" s="20" t="n"/>
      <c r="Z1061" s="19" t="inlineStr"/>
      <c r="AA1061" s="18">
        <f>IF(OR(V1061="Aprobada"),R1061,IF(AND(OR(V1061="Aprobada con ajuste",V1061="Rechazada"),W1061&lt;&gt;""),W1061,""))</f>
        <v/>
      </c>
    </row>
    <row r="1062">
      <c r="A1062" s="18" t="inlineStr">
        <is>
          <t>C1061</t>
        </is>
      </c>
      <c r="B1062" s="18" t="inlineStr">
        <is>
          <t>Gestión jurídica</t>
        </is>
      </c>
      <c r="C1062" s="18" t="inlineStr">
        <is>
          <t>legal_management</t>
        </is>
      </c>
      <c r="D1062" s="18" t="inlineStr">
        <is>
          <t>hallazgos</t>
        </is>
      </c>
      <c r="E1062" s="18" t="n">
        <v>0</v>
      </c>
      <c r="F1062" s="18" t="inlineStr">
        <is>
          <t>fecha_proximo_reporte</t>
        </is>
      </c>
      <c r="G1062" s="18" t="inlineStr">
        <is>
          <t>date</t>
        </is>
      </c>
      <c r="H1062" s="18" t="inlineStr">
        <is>
          <t>Sí</t>
        </is>
      </c>
      <c r="I1062" s="18" t="inlineStr"/>
      <c r="J1062" s="18" t="inlineStr"/>
      <c r="K1062" s="18" t="inlineStr"/>
      <c r="L1062" s="18" t="inlineStr">
        <is>
          <t>No</t>
        </is>
      </c>
      <c r="M1062" s="18" t="inlineStr">
        <is>
          <t>No</t>
        </is>
      </c>
      <c r="N1062" s="18" t="inlineStr"/>
      <c r="O1062" s="18" t="inlineStr"/>
      <c r="P1062" s="18" t="inlineStr">
        <is>
          <t>Mapeada en legal-management-service/src/entities/hallazgo.entity.ts:68 (Hallazgo.fechaProximoReporte)</t>
        </is>
      </c>
      <c r="Q1062" s="18" t="inlineStr">
        <is>
          <t>Regla estructural</t>
        </is>
      </c>
      <c r="R1062" s="18" t="inlineStr">
        <is>
          <t>Fecha de proximo reporte.</t>
        </is>
      </c>
      <c r="S1062" s="18" t="inlineStr">
        <is>
          <t>Media</t>
        </is>
      </c>
      <c r="T1062" s="18" t="inlineStr">
        <is>
          <t>Convención de nombre de la columna.</t>
        </is>
      </c>
      <c r="U1062" s="18" t="inlineStr"/>
      <c r="V1062" s="19" t="inlineStr">
        <is>
          <t>Pendiente</t>
        </is>
      </c>
      <c r="W1062" s="19" t="inlineStr"/>
      <c r="X1062" s="19" t="inlineStr"/>
      <c r="Y1062" s="20" t="n"/>
      <c r="Z1062" s="19" t="inlineStr"/>
      <c r="AA1062" s="18">
        <f>IF(OR(V1062="Aprobada"),R1062,IF(AND(OR(V1062="Aprobada con ajuste",V1062="Rechazada"),W1062&lt;&gt;""),W1062,""))</f>
        <v/>
      </c>
    </row>
    <row r="1063">
      <c r="A1063" s="18" t="inlineStr">
        <is>
          <t>C1062</t>
        </is>
      </c>
      <c r="B1063" s="18" t="inlineStr">
        <is>
          <t>Gestión jurídica</t>
        </is>
      </c>
      <c r="C1063" s="18" t="inlineStr">
        <is>
          <t>legal_management</t>
        </is>
      </c>
      <c r="D1063" s="18" t="inlineStr">
        <is>
          <t>hallazgos</t>
        </is>
      </c>
      <c r="E1063" s="18" t="n">
        <v>0</v>
      </c>
      <c r="F1063" s="18" t="inlineStr">
        <is>
          <t>periodicidad_reporte</t>
        </is>
      </c>
      <c r="G1063" s="18" t="inlineStr">
        <is>
          <t>character varying(20)</t>
        </is>
      </c>
      <c r="H1063" s="18" t="inlineStr">
        <is>
          <t>Sí</t>
        </is>
      </c>
      <c r="I1063" s="18" t="inlineStr">
        <is>
          <t>CHECK</t>
        </is>
      </c>
      <c r="J1063" s="18" t="inlineStr">
        <is>
          <t>ANUAL, MENSUAL, SEMESTRAL, TRIMESTRAL</t>
        </is>
      </c>
      <c r="K1063" s="18" t="inlineStr"/>
      <c r="L1063" s="18" t="inlineStr">
        <is>
          <t>Sí</t>
        </is>
      </c>
      <c r="M1063" s="18" t="inlineStr">
        <is>
          <t>No</t>
        </is>
      </c>
      <c r="N1063" s="18" t="inlineStr"/>
      <c r="O1063" s="18" t="inlineStr"/>
      <c r="P1063" s="18" t="inlineStr">
        <is>
          <t>Mapeada en legal-management-service/src/entities/hallazgo.entity.ts:71 (Hallazgo.periodicidadReporte)</t>
        </is>
      </c>
      <c r="Q1063" s="18" t="inlineStr">
        <is>
          <t>Propuesta semántica</t>
        </is>
      </c>
      <c r="R1063" s="18" t="inlineStr">
        <is>
          <t>Periodicidad con que se reporta el avance del hallazgo. Valores permitidos: ANUAL, MENSUAL, SEMESTRAL, TRIMESTRAL. Por defecto, TRIMESTRAL.</t>
        </is>
      </c>
      <c r="S1063" s="18" t="inlineStr">
        <is>
          <t>Alta</t>
        </is>
      </c>
      <c r="T1063" s="18" t="inlineStr">
        <is>
          <t>valores permitidos del CHECK</t>
        </is>
      </c>
      <c r="U1063" s="18" t="inlineStr"/>
      <c r="V1063" s="19" t="inlineStr">
        <is>
          <t>Pendiente</t>
        </is>
      </c>
      <c r="W1063" s="19" t="inlineStr"/>
      <c r="X1063" s="19" t="inlineStr"/>
      <c r="Y1063" s="20" t="n"/>
      <c r="Z1063" s="19" t="inlineStr"/>
      <c r="AA1063" s="18">
        <f>IF(OR(V1063="Aprobada"),R1063,IF(AND(OR(V1063="Aprobada con ajuste",V1063="Rechazada"),W1063&lt;&gt;""),W1063,""))</f>
        <v/>
      </c>
    </row>
    <row r="1064">
      <c r="A1064" s="18" t="inlineStr">
        <is>
          <t>C1063</t>
        </is>
      </c>
      <c r="B1064" s="18" t="inlineStr">
        <is>
          <t>Gestión jurídica</t>
        </is>
      </c>
      <c r="C1064" s="18" t="inlineStr">
        <is>
          <t>legal_management</t>
        </is>
      </c>
      <c r="D1064" s="18" t="inlineStr">
        <is>
          <t>hallazgos</t>
        </is>
      </c>
      <c r="E1064" s="18" t="n">
        <v>0</v>
      </c>
      <c r="F1064" s="18" t="inlineStr">
        <is>
          <t>documento_plan_url</t>
        </is>
      </c>
      <c r="G1064" s="18" t="inlineStr">
        <is>
          <t>text</t>
        </is>
      </c>
      <c r="H1064" s="18" t="inlineStr">
        <is>
          <t>Sí</t>
        </is>
      </c>
      <c r="I1064" s="18" t="inlineStr"/>
      <c r="J1064" s="18" t="inlineStr"/>
      <c r="K1064" s="18" t="inlineStr"/>
      <c r="L1064" s="18" t="inlineStr">
        <is>
          <t>No</t>
        </is>
      </c>
      <c r="M1064" s="18" t="inlineStr">
        <is>
          <t>No</t>
        </is>
      </c>
      <c r="N1064" s="18" t="inlineStr"/>
      <c r="O1064" s="18" t="inlineStr"/>
      <c r="P1064" s="18" t="inlineStr">
        <is>
          <t>Mapeada en legal-management-service/src/entities/hallazgo.entity.ts:74 (Hallazgo.documentoPlanUrl)</t>
        </is>
      </c>
      <c r="Q1064" s="18" t="inlineStr">
        <is>
          <t>Propuesta semántica</t>
        </is>
      </c>
      <c r="R1064" s="18" t="inlineStr">
        <is>
          <t>URL del documento del plan de mejoramiento asociado al hallazgo.</t>
        </is>
      </c>
      <c r="S1064" s="18" t="inlineStr">
        <is>
          <t>Media</t>
        </is>
      </c>
      <c r="T1064" s="18" t="inlineStr">
        <is>
          <t>nombre + tipo + columnas vecinas</t>
        </is>
      </c>
      <c r="U1064" s="18" t="inlineStr">
        <is>
          <t>¿La URL apunta al almacenamiento de la plataforma o a un sistema externo?</t>
        </is>
      </c>
      <c r="V1064" s="19" t="inlineStr">
        <is>
          <t>Pendiente</t>
        </is>
      </c>
      <c r="W1064" s="19" t="inlineStr"/>
      <c r="X1064" s="19" t="inlineStr"/>
      <c r="Y1064" s="20" t="n"/>
      <c r="Z1064" s="19" t="inlineStr"/>
      <c r="AA1064" s="18">
        <f>IF(OR(V1064="Aprobada"),R1064,IF(AND(OR(V1064="Aprobada con ajuste",V1064="Rechazada"),W1064&lt;&gt;""),W1064,""))</f>
        <v/>
      </c>
    </row>
    <row r="1065">
      <c r="A1065" s="18" t="inlineStr">
        <is>
          <t>C1064</t>
        </is>
      </c>
      <c r="B1065" s="18" t="inlineStr">
        <is>
          <t>Gestión jurídica</t>
        </is>
      </c>
      <c r="C1065" s="18" t="inlineStr">
        <is>
          <t>legal_management</t>
        </is>
      </c>
      <c r="D1065" s="18" t="inlineStr">
        <is>
          <t>historial_consultas</t>
        </is>
      </c>
      <c r="E1065" s="18" t="n">
        <v>0</v>
      </c>
      <c r="F1065" s="18" t="inlineStr">
        <is>
          <t>accion</t>
        </is>
      </c>
      <c r="G1065" s="18" t="inlineStr">
        <is>
          <t>character varying(100)</t>
        </is>
      </c>
      <c r="H1065" s="18" t="inlineStr">
        <is>
          <t>No</t>
        </is>
      </c>
      <c r="I1065" s="18" t="inlineStr"/>
      <c r="J1065" s="18" t="inlineStr"/>
      <c r="K1065" s="18" t="inlineStr"/>
      <c r="L1065" s="18" t="inlineStr">
        <is>
          <t>No</t>
        </is>
      </c>
      <c r="M1065" s="18" t="inlineStr">
        <is>
          <t>No</t>
        </is>
      </c>
      <c r="N1065" s="18" t="inlineStr"/>
      <c r="O1065" s="18" t="inlineStr"/>
      <c r="P1065" s="18" t="inlineStr"/>
      <c r="Q1065" s="18" t="inlineStr">
        <is>
          <t>Propuesta semántica</t>
        </is>
      </c>
      <c r="R1065" s="18" t="inlineStr">
        <is>
          <t>Acción registrada sobre la consulta.</t>
        </is>
      </c>
      <c r="S1065" s="18" t="inlineStr">
        <is>
          <t>Media</t>
        </is>
      </c>
      <c r="T1065" s="18" t="inlineStr">
        <is>
          <t>nombre + tipo + columnas vecinas</t>
        </is>
      </c>
      <c r="U1065" s="18" t="inlineStr">
        <is>
          <t>¿Qué valores toma la acción (creación, cambio de estado, respuesta…)?</t>
        </is>
      </c>
      <c r="V1065" s="19" t="inlineStr">
        <is>
          <t>Pendiente</t>
        </is>
      </c>
      <c r="W1065" s="19" t="inlineStr"/>
      <c r="X1065" s="19" t="inlineStr"/>
      <c r="Y1065" s="20" t="n"/>
      <c r="Z1065" s="19" t="inlineStr"/>
      <c r="AA1065" s="18">
        <f>IF(OR(V1065="Aprobada"),R1065,IF(AND(OR(V1065="Aprobada con ajuste",V1065="Rechazada"),W1065&lt;&gt;""),W1065,""))</f>
        <v/>
      </c>
    </row>
    <row r="1066">
      <c r="A1066" s="18" t="inlineStr">
        <is>
          <t>C1065</t>
        </is>
      </c>
      <c r="B1066" s="18" t="inlineStr">
        <is>
          <t>Gestión jurídica</t>
        </is>
      </c>
      <c r="C1066" s="18" t="inlineStr">
        <is>
          <t>legal_management</t>
        </is>
      </c>
      <c r="D1066" s="18" t="inlineStr">
        <is>
          <t>historial_consultas</t>
        </is>
      </c>
      <c r="E1066" s="18" t="n">
        <v>0</v>
      </c>
      <c r="F1066" s="18" t="inlineStr">
        <is>
          <t>descripcion</t>
        </is>
      </c>
      <c r="G1066" s="18" t="inlineStr">
        <is>
          <t>text</t>
        </is>
      </c>
      <c r="H1066" s="18" t="inlineStr">
        <is>
          <t>Sí</t>
        </is>
      </c>
      <c r="I1066" s="18" t="inlineStr"/>
      <c r="J1066" s="18" t="inlineStr"/>
      <c r="K1066" s="18" t="inlineStr"/>
      <c r="L1066" s="18" t="inlineStr">
        <is>
          <t>No</t>
        </is>
      </c>
      <c r="M1066" s="18" t="inlineStr">
        <is>
          <t>No</t>
        </is>
      </c>
      <c r="N1066" s="18" t="inlineStr"/>
      <c r="O1066" s="18" t="inlineStr"/>
      <c r="P1066" s="18" t="inlineStr"/>
      <c r="Q1066" s="18" t="inlineStr">
        <is>
          <t>Regla estructural</t>
        </is>
      </c>
      <c r="R1066" s="18" t="inlineStr">
        <is>
          <t>Descripción del registro de historial_consultas.</t>
        </is>
      </c>
      <c r="S1066" s="18" t="inlineStr">
        <is>
          <t>Media</t>
        </is>
      </c>
      <c r="T1066" s="18" t="inlineStr">
        <is>
          <t>Convención de nombre de la columna.</t>
        </is>
      </c>
      <c r="U1066" s="18" t="inlineStr"/>
      <c r="V1066" s="19" t="inlineStr">
        <is>
          <t>Pendiente</t>
        </is>
      </c>
      <c r="W1066" s="19" t="inlineStr"/>
      <c r="X1066" s="19" t="inlineStr"/>
      <c r="Y1066" s="20" t="n"/>
      <c r="Z1066" s="19" t="inlineStr"/>
      <c r="AA1066" s="18">
        <f>IF(OR(V1066="Aprobada"),R1066,IF(AND(OR(V1066="Aprobada con ajuste",V1066="Rechazada"),W1066&lt;&gt;""),W1066,""))</f>
        <v/>
      </c>
    </row>
    <row r="1067">
      <c r="A1067" s="18" t="inlineStr">
        <is>
          <t>C1066</t>
        </is>
      </c>
      <c r="B1067" s="18" t="inlineStr">
        <is>
          <t>Gestión jurídica</t>
        </is>
      </c>
      <c r="C1067" s="18" t="inlineStr">
        <is>
          <t>legal_management</t>
        </is>
      </c>
      <c r="D1067" s="18" t="inlineStr">
        <is>
          <t>historial_consultas</t>
        </is>
      </c>
      <c r="E1067" s="18" t="n">
        <v>0</v>
      </c>
      <c r="F1067" s="18" t="inlineStr">
        <is>
          <t>estado_anterior</t>
        </is>
      </c>
      <c r="G1067" s="18" t="inlineStr">
        <is>
          <t>character varying(30)</t>
        </is>
      </c>
      <c r="H1067" s="18" t="inlineStr">
        <is>
          <t>Sí</t>
        </is>
      </c>
      <c r="I1067" s="18" t="inlineStr"/>
      <c r="J1067" s="18" t="inlineStr"/>
      <c r="K1067" s="18" t="inlineStr"/>
      <c r="L1067" s="18" t="inlineStr">
        <is>
          <t>No</t>
        </is>
      </c>
      <c r="M1067" s="18" t="inlineStr">
        <is>
          <t>No</t>
        </is>
      </c>
      <c r="N1067" s="18" t="inlineStr"/>
      <c r="O1067" s="18" t="inlineStr"/>
      <c r="P1067" s="18" t="inlineStr"/>
      <c r="Q1067" s="18" t="inlineStr">
        <is>
          <t>Propuesta semántica</t>
        </is>
      </c>
      <c r="R1067" s="18" t="inlineStr">
        <is>
          <t>Estado de la consulta antes de la acción.</t>
        </is>
      </c>
      <c r="S1067" s="18" t="inlineStr">
        <is>
          <t>Alta</t>
        </is>
      </c>
      <c r="T1067" s="18" t="inlineStr">
        <is>
          <t>nombre + tipo + columnas vecinas</t>
        </is>
      </c>
      <c r="U1067" s="18" t="inlineStr"/>
      <c r="V1067" s="19" t="inlineStr">
        <is>
          <t>Pendiente</t>
        </is>
      </c>
      <c r="W1067" s="19" t="inlineStr"/>
      <c r="X1067" s="19" t="inlineStr"/>
      <c r="Y1067" s="20" t="n"/>
      <c r="Z1067" s="19" t="inlineStr"/>
      <c r="AA1067" s="18">
        <f>IF(OR(V1067="Aprobada"),R1067,IF(AND(OR(V1067="Aprobada con ajuste",V1067="Rechazada"),W1067&lt;&gt;""),W1067,""))</f>
        <v/>
      </c>
    </row>
    <row r="1068">
      <c r="A1068" s="18" t="inlineStr">
        <is>
          <t>C1067</t>
        </is>
      </c>
      <c r="B1068" s="18" t="inlineStr">
        <is>
          <t>Gestión jurídica</t>
        </is>
      </c>
      <c r="C1068" s="18" t="inlineStr">
        <is>
          <t>legal_management</t>
        </is>
      </c>
      <c r="D1068" s="18" t="inlineStr">
        <is>
          <t>historial_consultas</t>
        </is>
      </c>
      <c r="E1068" s="18" t="n">
        <v>0</v>
      </c>
      <c r="F1068" s="18" t="inlineStr">
        <is>
          <t>estado_nuevo</t>
        </is>
      </c>
      <c r="G1068" s="18" t="inlineStr">
        <is>
          <t>character varying(30)</t>
        </is>
      </c>
      <c r="H1068" s="18" t="inlineStr">
        <is>
          <t>Sí</t>
        </is>
      </c>
      <c r="I1068" s="18" t="inlineStr"/>
      <c r="J1068" s="18" t="inlineStr"/>
      <c r="K1068" s="18" t="inlineStr"/>
      <c r="L1068" s="18" t="inlineStr">
        <is>
          <t>No</t>
        </is>
      </c>
      <c r="M1068" s="18" t="inlineStr">
        <is>
          <t>No</t>
        </is>
      </c>
      <c r="N1068" s="18" t="inlineStr"/>
      <c r="O1068" s="18" t="inlineStr"/>
      <c r="P1068" s="18" t="inlineStr"/>
      <c r="Q1068" s="18" t="inlineStr">
        <is>
          <t>Propuesta semántica</t>
        </is>
      </c>
      <c r="R1068" s="18" t="inlineStr">
        <is>
          <t>Estado de la consulta después de la acción.</t>
        </is>
      </c>
      <c r="S1068" s="18" t="inlineStr">
        <is>
          <t>Alta</t>
        </is>
      </c>
      <c r="T1068" s="18" t="inlineStr">
        <is>
          <t>nombre + tipo + columnas vecinas</t>
        </is>
      </c>
      <c r="U1068" s="18" t="inlineStr"/>
      <c r="V1068" s="19" t="inlineStr">
        <is>
          <t>Pendiente</t>
        </is>
      </c>
      <c r="W1068" s="19" t="inlineStr"/>
      <c r="X1068" s="19" t="inlineStr"/>
      <c r="Y1068" s="20" t="n"/>
      <c r="Z1068" s="19" t="inlineStr"/>
      <c r="AA1068" s="18">
        <f>IF(OR(V1068="Aprobada"),R1068,IF(AND(OR(V1068="Aprobada con ajuste",V1068="Rechazada"),W1068&lt;&gt;""),W1068,""))</f>
        <v/>
      </c>
    </row>
    <row r="1069">
      <c r="A1069" s="18" t="inlineStr">
        <is>
          <t>C1068</t>
        </is>
      </c>
      <c r="B1069" s="18" t="inlineStr">
        <is>
          <t>Gestión jurídica</t>
        </is>
      </c>
      <c r="C1069" s="18" t="inlineStr">
        <is>
          <t>legal_management</t>
        </is>
      </c>
      <c r="D1069" s="18" t="inlineStr">
        <is>
          <t>historial_consultas</t>
        </is>
      </c>
      <c r="E1069" s="18" t="n">
        <v>0</v>
      </c>
      <c r="F1069" s="18" t="inlineStr">
        <is>
          <t>usuario_nombre</t>
        </is>
      </c>
      <c r="G1069" s="18" t="inlineStr">
        <is>
          <t>character varying(150)</t>
        </is>
      </c>
      <c r="H1069" s="18" t="inlineStr">
        <is>
          <t>Sí</t>
        </is>
      </c>
      <c r="I1069" s="18" t="inlineStr"/>
      <c r="J1069" s="18" t="inlineStr"/>
      <c r="K1069" s="18" t="inlineStr"/>
      <c r="L1069" s="18" t="inlineStr">
        <is>
          <t>No</t>
        </is>
      </c>
      <c r="M1069" s="18" t="inlineStr">
        <is>
          <t>No</t>
        </is>
      </c>
      <c r="N1069" s="18" t="inlineStr"/>
      <c r="O1069" s="18" t="inlineStr"/>
      <c r="P1069" s="18" t="inlineStr"/>
      <c r="Q1069" s="18" t="inlineStr">
        <is>
          <t>Propuesta semántica</t>
        </is>
      </c>
      <c r="R1069" s="18" t="inlineStr">
        <is>
          <t>Nombre del usuario que realizó la acción.</t>
        </is>
      </c>
      <c r="S1069" s="18" t="inlineStr">
        <is>
          <t>Alta</t>
        </is>
      </c>
      <c r="T1069" s="18" t="inlineStr">
        <is>
          <t>nombre + tipo + columnas vecinas</t>
        </is>
      </c>
      <c r="U1069" s="18" t="inlineStr"/>
      <c r="V1069" s="19" t="inlineStr">
        <is>
          <t>Pendiente</t>
        </is>
      </c>
      <c r="W1069" s="19" t="inlineStr"/>
      <c r="X1069" s="19" t="inlineStr"/>
      <c r="Y1069" s="20" t="n"/>
      <c r="Z1069" s="19" t="inlineStr"/>
      <c r="AA1069" s="18">
        <f>IF(OR(V1069="Aprobada"),R1069,IF(AND(OR(V1069="Aprobada con ajuste",V1069="Rechazada"),W1069&lt;&gt;""),W1069,""))</f>
        <v/>
      </c>
    </row>
    <row r="1070">
      <c r="A1070" s="18" t="inlineStr">
        <is>
          <t>C1069</t>
        </is>
      </c>
      <c r="B1070" s="18" t="inlineStr">
        <is>
          <t>Gestión jurídica</t>
        </is>
      </c>
      <c r="C1070" s="18" t="inlineStr">
        <is>
          <t>legal_management</t>
        </is>
      </c>
      <c r="D1070" s="18" t="inlineStr">
        <is>
          <t>historial_consultas</t>
        </is>
      </c>
      <c r="E1070" s="18" t="n">
        <v>0</v>
      </c>
      <c r="F1070" s="18" t="inlineStr">
        <is>
          <t>fecha</t>
        </is>
      </c>
      <c r="G1070" s="18" t="inlineStr">
        <is>
          <t>timestamp without time zone</t>
        </is>
      </c>
      <c r="H1070" s="18" t="inlineStr">
        <is>
          <t>Sí</t>
        </is>
      </c>
      <c r="I1070" s="18" t="inlineStr"/>
      <c r="J1070" s="18" t="inlineStr"/>
      <c r="K1070" s="18" t="inlineStr"/>
      <c r="L1070" s="18" t="inlineStr">
        <is>
          <t>No</t>
        </is>
      </c>
      <c r="M1070" s="18" t="inlineStr">
        <is>
          <t>No</t>
        </is>
      </c>
      <c r="N1070" s="18" t="inlineStr"/>
      <c r="O1070" s="18" t="inlineStr"/>
      <c r="P1070" s="18" t="inlineStr"/>
      <c r="Q1070" s="18" t="inlineStr">
        <is>
          <t>Propuesta semántica</t>
        </is>
      </c>
      <c r="R1070" s="18" t="inlineStr">
        <is>
          <t>Fecha y hora en que se registró la acción. Por defecto, la fecha y hora de inserción.</t>
        </is>
      </c>
      <c r="S1070" s="18" t="inlineStr">
        <is>
          <t>Alta</t>
        </is>
      </c>
      <c r="T1070" s="18" t="inlineStr">
        <is>
          <t>nombre + tipo + defecto</t>
        </is>
      </c>
      <c r="U1070" s="18" t="inlineStr"/>
      <c r="V1070" s="19" t="inlineStr">
        <is>
          <t>Pendiente</t>
        </is>
      </c>
      <c r="W1070" s="19" t="inlineStr"/>
      <c r="X1070" s="19" t="inlineStr"/>
      <c r="Y1070" s="20" t="n"/>
      <c r="Z1070" s="19" t="inlineStr"/>
      <c r="AA1070" s="18">
        <f>IF(OR(V1070="Aprobada"),R1070,IF(AND(OR(V1070="Aprobada con ajuste",V1070="Rechazada"),W1070&lt;&gt;""),W1070,""))</f>
        <v/>
      </c>
    </row>
    <row r="1071">
      <c r="A1071" s="18" t="inlineStr">
        <is>
          <t>C1070</t>
        </is>
      </c>
      <c r="B1071" s="18" t="inlineStr">
        <is>
          <t>Gestión jurídica</t>
        </is>
      </c>
      <c r="C1071" s="18" t="inlineStr">
        <is>
          <t>legal_management</t>
        </is>
      </c>
      <c r="D1071" s="18" t="inlineStr">
        <is>
          <t>notas_expediente</t>
        </is>
      </c>
      <c r="E1071" s="18" t="n">
        <v>3</v>
      </c>
      <c r="F1071" s="18" t="inlineStr">
        <is>
          <t>contenido</t>
        </is>
      </c>
      <c r="G1071" s="18" t="inlineStr">
        <is>
          <t>text</t>
        </is>
      </c>
      <c r="H1071" s="18" t="inlineStr">
        <is>
          <t>No</t>
        </is>
      </c>
      <c r="I1071" s="18" t="inlineStr"/>
      <c r="J1071" s="18" t="inlineStr"/>
      <c r="K1071" s="18" t="inlineStr"/>
      <c r="L1071" s="18" t="inlineStr">
        <is>
          <t>No</t>
        </is>
      </c>
      <c r="M1071" s="18" t="inlineStr">
        <is>
          <t>No</t>
        </is>
      </c>
      <c r="N1071" s="18" t="inlineStr"/>
      <c r="O1071" s="18" t="inlineStr"/>
      <c r="P1071" s="18" t="inlineStr">
        <is>
          <t>db/migrations/old/054_create_tareas_notas_expediente.sql:50: Datos de la nota | Validación: IsNotEmpty, IsString</t>
        </is>
      </c>
      <c r="Q1071" s="18" t="inlineStr">
        <is>
          <t>Código fuente</t>
        </is>
      </c>
      <c r="R1071" s="18" t="inlineStr">
        <is>
          <t>Contenido de la nota del expediente.</t>
        </is>
      </c>
      <c r="S1071" s="18" t="inlineStr">
        <is>
          <t>Alta</t>
        </is>
      </c>
      <c r="T1071" s="18" t="inlineStr">
        <is>
          <t>código: db/migrations/old/054_create_tareas_notas_expediente.sql:50</t>
        </is>
      </c>
      <c r="U1071" s="18" t="inlineStr"/>
      <c r="V1071" s="19" t="inlineStr">
        <is>
          <t>Pendiente</t>
        </is>
      </c>
      <c r="W1071" s="19" t="inlineStr"/>
      <c r="X1071" s="19" t="inlineStr"/>
      <c r="Y1071" s="20" t="n"/>
      <c r="Z1071" s="19" t="inlineStr"/>
      <c r="AA1071" s="18">
        <f>IF(OR(V1071="Aprobada"),R1071,IF(AND(OR(V1071="Aprobada con ajuste",V1071="Rechazada"),W1071&lt;&gt;""),W1071,""))</f>
        <v/>
      </c>
    </row>
    <row r="1072">
      <c r="A1072" s="18" t="inlineStr">
        <is>
          <t>C1071</t>
        </is>
      </c>
      <c r="B1072" s="18" t="inlineStr">
        <is>
          <t>Gestión jurídica</t>
        </is>
      </c>
      <c r="C1072" s="18" t="inlineStr">
        <is>
          <t>legal_management</t>
        </is>
      </c>
      <c r="D1072" s="18" t="inlineStr">
        <is>
          <t>notas_expediente</t>
        </is>
      </c>
      <c r="E1072" s="18" t="n">
        <v>3</v>
      </c>
      <c r="F1072" s="18" t="inlineStr">
        <is>
          <t>autor_id</t>
        </is>
      </c>
      <c r="G1072" s="18" t="inlineStr">
        <is>
          <t>uuid</t>
        </is>
      </c>
      <c r="H1072" s="18" t="inlineStr">
        <is>
          <t>Sí</t>
        </is>
      </c>
      <c r="I1072" s="18" t="inlineStr"/>
      <c r="J1072" s="18" t="inlineStr"/>
      <c r="K1072" s="18" t="inlineStr"/>
      <c r="L1072" s="18" t="inlineStr">
        <is>
          <t>No</t>
        </is>
      </c>
      <c r="M1072" s="18" t="inlineStr">
        <is>
          <t>No</t>
        </is>
      </c>
      <c r="N1072" s="18" t="inlineStr"/>
      <c r="O1072" s="18" t="inlineStr"/>
      <c r="P1072" s="18" t="inlineStr">
        <is>
          <t>db/migrations/old/054_create_tareas_notas_expediente.sql:54: Autor</t>
        </is>
      </c>
      <c r="Q1072" s="18" t="inlineStr">
        <is>
          <t>Código fuente</t>
        </is>
      </c>
      <c r="R1072" s="18" t="inlineStr">
        <is>
          <t>Identificador del autor de la nota.</t>
        </is>
      </c>
      <c r="S1072" s="18" t="inlineStr">
        <is>
          <t>Alta</t>
        </is>
      </c>
      <c r="T1072" s="18" t="inlineStr">
        <is>
          <t>código: db/migrations/old/054_create_tareas_notas_expediente.sql:54</t>
        </is>
      </c>
      <c r="U1072" s="18" t="inlineStr"/>
      <c r="V1072" s="19" t="inlineStr">
        <is>
          <t>Pendiente</t>
        </is>
      </c>
      <c r="W1072" s="19" t="inlineStr"/>
      <c r="X1072" s="19" t="inlineStr"/>
      <c r="Y1072" s="20" t="n"/>
      <c r="Z1072" s="19" t="inlineStr"/>
      <c r="AA1072" s="18">
        <f>IF(OR(V1072="Aprobada"),R1072,IF(AND(OR(V1072="Aprobada con ajuste",V1072="Rechazada"),W1072&lt;&gt;""),W1072,""))</f>
        <v/>
      </c>
    </row>
    <row r="1073">
      <c r="A1073" s="18" t="inlineStr">
        <is>
          <t>C1072</t>
        </is>
      </c>
      <c r="B1073" s="18" t="inlineStr">
        <is>
          <t>Gestión jurídica</t>
        </is>
      </c>
      <c r="C1073" s="18" t="inlineStr">
        <is>
          <t>legal_management</t>
        </is>
      </c>
      <c r="D1073" s="18" t="inlineStr">
        <is>
          <t>notas_expediente</t>
        </is>
      </c>
      <c r="E1073" s="18" t="n">
        <v>3</v>
      </c>
      <c r="F1073" s="18" t="inlineStr">
        <is>
          <t>autor_nombre</t>
        </is>
      </c>
      <c r="G1073" s="18" t="inlineStr">
        <is>
          <t>character varying(255)</t>
        </is>
      </c>
      <c r="H1073" s="18" t="inlineStr">
        <is>
          <t>Sí</t>
        </is>
      </c>
      <c r="I1073" s="18" t="inlineStr"/>
      <c r="J1073" s="18" t="inlineStr"/>
      <c r="K1073" s="18" t="inlineStr"/>
      <c r="L1073" s="18" t="inlineStr">
        <is>
          <t>No</t>
        </is>
      </c>
      <c r="M1073" s="18" t="inlineStr">
        <is>
          <t>No</t>
        </is>
      </c>
      <c r="N1073" s="18" t="inlineStr"/>
      <c r="O1073" s="18" t="inlineStr"/>
      <c r="P1073" s="18" t="inlineStr">
        <is>
          <t>db/migrations/old/054_create_tareas_notas_expediente.sql:55: Backup or display name</t>
        </is>
      </c>
      <c r="Q1073" s="18" t="inlineStr">
        <is>
          <t>Código fuente</t>
        </is>
      </c>
      <c r="R1073" s="18" t="inlineStr">
        <is>
          <t>Nombre del autor de la nota, para mostrar o como respaldo.</t>
        </is>
      </c>
      <c r="S1073" s="18" t="inlineStr">
        <is>
          <t>Alta</t>
        </is>
      </c>
      <c r="T1073" s="18" t="inlineStr">
        <is>
          <t>código: db/migrations/old/054_create_tareas_notas_expediente.sql:55</t>
        </is>
      </c>
      <c r="U1073" s="18" t="inlineStr"/>
      <c r="V1073" s="19" t="inlineStr">
        <is>
          <t>Pendiente</t>
        </is>
      </c>
      <c r="W1073" s="19" t="inlineStr"/>
      <c r="X1073" s="19" t="inlineStr"/>
      <c r="Y1073" s="20" t="n"/>
      <c r="Z1073" s="19" t="inlineStr"/>
      <c r="AA1073" s="18">
        <f>IF(OR(V1073="Aprobada"),R1073,IF(AND(OR(V1073="Aprobada con ajuste",V1073="Rechazada"),W1073&lt;&gt;""),W1073,""))</f>
        <v/>
      </c>
    </row>
    <row r="1074">
      <c r="A1074" s="18" t="inlineStr">
        <is>
          <t>C1073</t>
        </is>
      </c>
      <c r="B1074" s="18" t="inlineStr">
        <is>
          <t>Gestión jurídica</t>
        </is>
      </c>
      <c r="C1074" s="18" t="inlineStr">
        <is>
          <t>legal_management</t>
        </is>
      </c>
      <c r="D1074" s="18" t="inlineStr">
        <is>
          <t>oficios_enviados</t>
        </is>
      </c>
      <c r="E1074" s="18" t="n">
        <v>4</v>
      </c>
      <c r="F1074" s="18" t="inlineStr">
        <is>
          <t>numero</t>
        </is>
      </c>
      <c r="G1074" s="18" t="inlineStr">
        <is>
          <t>character varying(50)</t>
        </is>
      </c>
      <c r="H1074" s="18" t="inlineStr">
        <is>
          <t>No</t>
        </is>
      </c>
      <c r="I1074" s="18" t="inlineStr"/>
      <c r="J1074" s="18" t="inlineStr"/>
      <c r="K1074" s="18" t="inlineStr"/>
      <c r="L1074" s="18" t="inlineStr">
        <is>
          <t>No</t>
        </is>
      </c>
      <c r="M1074" s="18" t="inlineStr">
        <is>
          <t>No</t>
        </is>
      </c>
      <c r="N1074" s="18" t="inlineStr"/>
      <c r="O1074" s="18" t="inlineStr"/>
      <c r="P1074" s="18" t="inlineStr">
        <is>
          <t>Mapeada en legal-management-service/src/entities/oficio-enviado.entity.ts:8 (OficioEnviado.numero)</t>
        </is>
      </c>
      <c r="Q1074" s="18" t="inlineStr">
        <is>
          <t>Regla estructural</t>
        </is>
      </c>
      <c r="R1074" s="18" t="inlineStr">
        <is>
          <t>Número asignado al registro.</t>
        </is>
      </c>
      <c r="S1074" s="18" t="inlineStr">
        <is>
          <t>Media</t>
        </is>
      </c>
      <c r="T1074" s="18" t="inlineStr">
        <is>
          <t>Convención de nombre de la columna.</t>
        </is>
      </c>
      <c r="U1074" s="18" t="inlineStr"/>
      <c r="V1074" s="19" t="inlineStr">
        <is>
          <t>Pendiente</t>
        </is>
      </c>
      <c r="W1074" s="19" t="inlineStr"/>
      <c r="X1074" s="19" t="inlineStr"/>
      <c r="Y1074" s="20" t="n"/>
      <c r="Z1074" s="19" t="inlineStr"/>
      <c r="AA1074" s="18">
        <f>IF(OR(V1074="Aprobada"),R1074,IF(AND(OR(V1074="Aprobada con ajuste",V1074="Rechazada"),W1074&lt;&gt;""),W1074,""))</f>
        <v/>
      </c>
    </row>
    <row r="1075">
      <c r="A1075" s="18" t="inlineStr">
        <is>
          <t>C1074</t>
        </is>
      </c>
      <c r="B1075" s="18" t="inlineStr">
        <is>
          <t>Gestión jurídica</t>
        </is>
      </c>
      <c r="C1075" s="18" t="inlineStr">
        <is>
          <t>legal_management</t>
        </is>
      </c>
      <c r="D1075" s="18" t="inlineStr">
        <is>
          <t>oficios_enviados</t>
        </is>
      </c>
      <c r="E1075" s="18" t="n">
        <v>4</v>
      </c>
      <c r="F1075" s="18" t="inlineStr">
        <is>
          <t>expediente_id</t>
        </is>
      </c>
      <c r="G1075" s="18" t="inlineStr">
        <is>
          <t>character varying(100)</t>
        </is>
      </c>
      <c r="H1075" s="18" t="inlineStr">
        <is>
          <t>No</t>
        </is>
      </c>
      <c r="I1075" s="18" t="inlineStr"/>
      <c r="J1075" s="18" t="inlineStr"/>
      <c r="K1075" s="18" t="inlineStr"/>
      <c r="L1075" s="18" t="inlineStr">
        <is>
          <t>No</t>
        </is>
      </c>
      <c r="M1075" s="18" t="inlineStr">
        <is>
          <t>No</t>
        </is>
      </c>
      <c r="N1075" s="18" t="inlineStr"/>
      <c r="O1075" s="18" t="inlineStr">
        <is>
          <t>idx_oficios_expediente</t>
        </is>
      </c>
      <c r="P1075" s="18" t="inlineStr">
        <is>
          <t>Mapeada en legal-management-service/src/entities/oficio-enviado.entity.ts:11 (OficioEnviado.expedienteId)</t>
        </is>
      </c>
      <c r="Q1075" s="18" t="inlineStr">
        <is>
          <t>Propuesta semántica</t>
        </is>
      </c>
      <c r="R1075" s="18" t="inlineStr">
        <is>
          <t>Identificador del expediente al que corresponde el oficio.</t>
        </is>
      </c>
      <c r="S1075" s="18" t="inlineStr">
        <is>
          <t>Media</t>
        </is>
      </c>
      <c r="T1075" s="18" t="inlineStr">
        <is>
          <t>nombre + tipo + índice + columnas vecinas</t>
        </is>
      </c>
      <c r="U1075" s="18" t="inlineStr">
        <is>
          <t>¿A qué tabla de expedientes corresponde este identificador, según el valor de modulo?</t>
        </is>
      </c>
      <c r="V1075" s="19" t="inlineStr">
        <is>
          <t>Pendiente</t>
        </is>
      </c>
      <c r="W1075" s="19" t="inlineStr"/>
      <c r="X1075" s="19" t="inlineStr"/>
      <c r="Y1075" s="20" t="n"/>
      <c r="Z1075" s="19" t="inlineStr"/>
      <c r="AA1075" s="18">
        <f>IF(OR(V1075="Aprobada"),R1075,IF(AND(OR(V1075="Aprobada con ajuste",V1075="Rechazada"),W1075&lt;&gt;""),W1075,""))</f>
        <v/>
      </c>
    </row>
    <row r="1076">
      <c r="A1076" s="18" t="inlineStr">
        <is>
          <t>C1075</t>
        </is>
      </c>
      <c r="B1076" s="18" t="inlineStr">
        <is>
          <t>Gestión jurídica</t>
        </is>
      </c>
      <c r="C1076" s="18" t="inlineStr">
        <is>
          <t>legal_management</t>
        </is>
      </c>
      <c r="D1076" s="18" t="inlineStr">
        <is>
          <t>oficios_enviados</t>
        </is>
      </c>
      <c r="E1076" s="18" t="n">
        <v>4</v>
      </c>
      <c r="F1076" s="18" t="inlineStr">
        <is>
          <t>modulo</t>
        </is>
      </c>
      <c r="G1076" s="18" t="inlineStr">
        <is>
          <t>character varying(50)</t>
        </is>
      </c>
      <c r="H1076" s="18" t="inlineStr">
        <is>
          <t>Sí</t>
        </is>
      </c>
      <c r="I1076" s="18" t="inlineStr"/>
      <c r="J1076" s="18" t="inlineStr"/>
      <c r="K1076" s="18" t="inlineStr"/>
      <c r="L1076" s="18" t="inlineStr">
        <is>
          <t>No</t>
        </is>
      </c>
      <c r="M1076" s="18" t="inlineStr">
        <is>
          <t>No</t>
        </is>
      </c>
      <c r="N1076" s="18" t="inlineStr"/>
      <c r="O1076" s="18" t="inlineStr">
        <is>
          <t>idx_oficios_modulo</t>
        </is>
      </c>
      <c r="P1076" s="18" t="inlineStr">
        <is>
          <t>db/migrations/119_create_oficios_enviados.sql:13: 'juzgamiento-disciplinario', 'defensa-judicial', 'procesos-coactivos', etc.</t>
        </is>
      </c>
      <c r="Q1076" s="18" t="inlineStr">
        <is>
          <t>Código fuente</t>
        </is>
      </c>
      <c r="R1076" s="18" t="inlineStr">
        <is>
          <t>Módulo desde el que se envía el oficio (por ejemplo, juzgamiento-disciplinario, defensa-judicial, procesos-coactivos).</t>
        </is>
      </c>
      <c r="S1076" s="18" t="inlineStr">
        <is>
          <t>Alta</t>
        </is>
      </c>
      <c r="T1076" s="18" t="inlineStr">
        <is>
          <t>código: db/migrations/119_create_oficios_enviados.sql:13</t>
        </is>
      </c>
      <c r="U1076" s="18" t="inlineStr"/>
      <c r="V1076" s="19" t="inlineStr">
        <is>
          <t>Pendiente</t>
        </is>
      </c>
      <c r="W1076" s="19" t="inlineStr"/>
      <c r="X1076" s="19" t="inlineStr"/>
      <c r="Y1076" s="20" t="n"/>
      <c r="Z1076" s="19" t="inlineStr"/>
      <c r="AA1076" s="18">
        <f>IF(OR(V1076="Aprobada"),R1076,IF(AND(OR(V1076="Aprobada con ajuste",V1076="Rechazada"),W1076&lt;&gt;""),W1076,""))</f>
        <v/>
      </c>
    </row>
    <row r="1077">
      <c r="A1077" s="18" t="inlineStr">
        <is>
          <t>C1076</t>
        </is>
      </c>
      <c r="B1077" s="18" t="inlineStr">
        <is>
          <t>Gestión jurídica</t>
        </is>
      </c>
      <c r="C1077" s="18" t="inlineStr">
        <is>
          <t>legal_management</t>
        </is>
      </c>
      <c r="D1077" s="18" t="inlineStr">
        <is>
          <t>oficios_enviados</t>
        </is>
      </c>
      <c r="E1077" s="18" t="n">
        <v>4</v>
      </c>
      <c r="F1077" s="18" t="inlineStr">
        <is>
          <t>asunto</t>
        </is>
      </c>
      <c r="G1077" s="18" t="inlineStr">
        <is>
          <t>character varying(500)</t>
        </is>
      </c>
      <c r="H1077" s="18" t="inlineStr">
        <is>
          <t>No</t>
        </is>
      </c>
      <c r="I1077" s="18" t="inlineStr"/>
      <c r="J1077" s="18" t="inlineStr"/>
      <c r="K1077" s="18" t="inlineStr"/>
      <c r="L1077" s="18" t="inlineStr">
        <is>
          <t>No</t>
        </is>
      </c>
      <c r="M1077" s="18" t="inlineStr">
        <is>
          <t>No</t>
        </is>
      </c>
      <c r="N1077" s="18" t="inlineStr"/>
      <c r="O1077" s="18" t="inlineStr"/>
      <c r="P1077" s="18" t="inlineStr">
        <is>
          <t>Mapeada en legal-management-service/src/entities/oficio-enviado.entity.ts:17 (OficioEnviado.asunto)</t>
        </is>
      </c>
      <c r="Q1077" s="18" t="inlineStr">
        <is>
          <t>Propuesta semántica</t>
        </is>
      </c>
      <c r="R1077" s="18" t="inlineStr">
        <is>
          <t>Asunto del oficio.</t>
        </is>
      </c>
      <c r="S1077" s="18" t="inlineStr">
        <is>
          <t>Alta</t>
        </is>
      </c>
      <c r="T1077" s="18" t="inlineStr">
        <is>
          <t>nombre + tipo</t>
        </is>
      </c>
      <c r="U1077" s="18" t="inlineStr"/>
      <c r="V1077" s="19" t="inlineStr">
        <is>
          <t>Pendiente</t>
        </is>
      </c>
      <c r="W1077" s="19" t="inlineStr"/>
      <c r="X1077" s="19" t="inlineStr"/>
      <c r="Y1077" s="20" t="n"/>
      <c r="Z1077" s="19" t="inlineStr"/>
      <c r="AA1077" s="18">
        <f>IF(OR(V1077="Aprobada"),R1077,IF(AND(OR(V1077="Aprobada con ajuste",V1077="Rechazada"),W1077&lt;&gt;""),W1077,""))</f>
        <v/>
      </c>
    </row>
    <row r="1078">
      <c r="A1078" s="18" t="inlineStr">
        <is>
          <t>C1077</t>
        </is>
      </c>
      <c r="B1078" s="18" t="inlineStr">
        <is>
          <t>Gestión jurídica</t>
        </is>
      </c>
      <c r="C1078" s="18" t="inlineStr">
        <is>
          <t>legal_management</t>
        </is>
      </c>
      <c r="D1078" s="18" t="inlineStr">
        <is>
          <t>oficios_enviados</t>
        </is>
      </c>
      <c r="E1078" s="18" t="n">
        <v>4</v>
      </c>
      <c r="F1078" s="18" t="inlineStr">
        <is>
          <t>destinatario</t>
        </is>
      </c>
      <c r="G1078" s="18" t="inlineStr">
        <is>
          <t>character varying(300)</t>
        </is>
      </c>
      <c r="H1078" s="18" t="inlineStr">
        <is>
          <t>No</t>
        </is>
      </c>
      <c r="I1078" s="18" t="inlineStr"/>
      <c r="J1078" s="18" t="inlineStr"/>
      <c r="K1078" s="18" t="inlineStr"/>
      <c r="L1078" s="18" t="inlineStr">
        <is>
          <t>No</t>
        </is>
      </c>
      <c r="M1078" s="18" t="inlineStr">
        <is>
          <t>No</t>
        </is>
      </c>
      <c r="N1078" s="18" t="inlineStr"/>
      <c r="O1078" s="18" t="inlineStr"/>
      <c r="P1078" s="18" t="inlineStr">
        <is>
          <t>Mapeada en legal-management-service/src/entities/oficio-enviado.entity.ts:20 (OficioEnviado.destinatario)</t>
        </is>
      </c>
      <c r="Q1078" s="18" t="inlineStr">
        <is>
          <t>Propuesta semántica</t>
        </is>
      </c>
      <c r="R1078" s="18" t="inlineStr">
        <is>
          <t>Nombre del destinatario del oficio.</t>
        </is>
      </c>
      <c r="S1078" s="18" t="inlineStr">
        <is>
          <t>Alta</t>
        </is>
      </c>
      <c r="T1078" s="18" t="inlineStr">
        <is>
          <t>nombre + tipo + columnas vecinas</t>
        </is>
      </c>
      <c r="U1078" s="18" t="inlineStr"/>
      <c r="V1078" s="19" t="inlineStr">
        <is>
          <t>Pendiente</t>
        </is>
      </c>
      <c r="W1078" s="19" t="inlineStr"/>
      <c r="X1078" s="19" t="inlineStr"/>
      <c r="Y1078" s="20" t="n"/>
      <c r="Z1078" s="19" t="inlineStr"/>
      <c r="AA1078" s="18">
        <f>IF(OR(V1078="Aprobada"),R1078,IF(AND(OR(V1078="Aprobada con ajuste",V1078="Rechazada"),W1078&lt;&gt;""),W1078,""))</f>
        <v/>
      </c>
    </row>
    <row r="1079">
      <c r="A1079" s="18" t="inlineStr">
        <is>
          <t>C1078</t>
        </is>
      </c>
      <c r="B1079" s="18" t="inlineStr">
        <is>
          <t>Gestión jurídica</t>
        </is>
      </c>
      <c r="C1079" s="18" t="inlineStr">
        <is>
          <t>legal_management</t>
        </is>
      </c>
      <c r="D1079" s="18" t="inlineStr">
        <is>
          <t>oficios_enviados</t>
        </is>
      </c>
      <c r="E1079" s="18" t="n">
        <v>4</v>
      </c>
      <c r="F1079" s="18" t="inlineStr">
        <is>
          <t>destinatario_email</t>
        </is>
      </c>
      <c r="G1079" s="18" t="inlineStr">
        <is>
          <t>character varying(200)</t>
        </is>
      </c>
      <c r="H1079" s="18" t="inlineStr">
        <is>
          <t>Sí</t>
        </is>
      </c>
      <c r="I1079" s="18" t="inlineStr"/>
      <c r="J1079" s="18" t="inlineStr"/>
      <c r="K1079" s="18" t="inlineStr"/>
      <c r="L1079" s="18" t="inlineStr">
        <is>
          <t>No</t>
        </is>
      </c>
      <c r="M1079" s="18" t="inlineStr">
        <is>
          <t>No</t>
        </is>
      </c>
      <c r="N1079" s="18" t="inlineStr"/>
      <c r="O1079" s="18" t="inlineStr"/>
      <c r="P1079" s="18" t="inlineStr">
        <is>
          <t>Mapeada en legal-management-service/src/entities/oficio-enviado.entity.ts:23 (OficioEnviado.destinatarioEmail)</t>
        </is>
      </c>
      <c r="Q1079" s="18" t="inlineStr">
        <is>
          <t>Propuesta semántica</t>
        </is>
      </c>
      <c r="R1079" s="18" t="inlineStr">
        <is>
          <t>Correo electrónico del destinatario del oficio.</t>
        </is>
      </c>
      <c r="S1079" s="18" t="inlineStr">
        <is>
          <t>Alta</t>
        </is>
      </c>
      <c r="T1079" s="18" t="inlineStr">
        <is>
          <t>nombre + tipo + columnas vecinas</t>
        </is>
      </c>
      <c r="U1079" s="18" t="inlineStr"/>
      <c r="V1079" s="19" t="inlineStr">
        <is>
          <t>Pendiente</t>
        </is>
      </c>
      <c r="W1079" s="19" t="inlineStr"/>
      <c r="X1079" s="19" t="inlineStr"/>
      <c r="Y1079" s="20" t="n"/>
      <c r="Z1079" s="19" t="inlineStr"/>
      <c r="AA1079" s="18">
        <f>IF(OR(V1079="Aprobada"),R1079,IF(AND(OR(V1079="Aprobada con ajuste",V1079="Rechazada"),W1079&lt;&gt;""),W1079,""))</f>
        <v/>
      </c>
    </row>
    <row r="1080">
      <c r="A1080" s="18" t="inlineStr">
        <is>
          <t>C1079</t>
        </is>
      </c>
      <c r="B1080" s="18" t="inlineStr">
        <is>
          <t>Gestión jurídica</t>
        </is>
      </c>
      <c r="C1080" s="18" t="inlineStr">
        <is>
          <t>legal_management</t>
        </is>
      </c>
      <c r="D1080" s="18" t="inlineStr">
        <is>
          <t>oficios_enviados</t>
        </is>
      </c>
      <c r="E1080" s="18" t="n">
        <v>4</v>
      </c>
      <c r="F1080" s="18" t="inlineStr">
        <is>
          <t>contenido</t>
        </is>
      </c>
      <c r="G1080" s="18" t="inlineStr">
        <is>
          <t>text</t>
        </is>
      </c>
      <c r="H1080" s="18" t="inlineStr">
        <is>
          <t>No</t>
        </is>
      </c>
      <c r="I1080" s="18" t="inlineStr"/>
      <c r="J1080" s="18" t="inlineStr"/>
      <c r="K1080" s="18" t="inlineStr"/>
      <c r="L1080" s="18" t="inlineStr">
        <is>
          <t>No</t>
        </is>
      </c>
      <c r="M1080" s="18" t="inlineStr">
        <is>
          <t>No</t>
        </is>
      </c>
      <c r="N1080" s="18" t="inlineStr"/>
      <c r="O1080" s="18" t="inlineStr"/>
      <c r="P1080" s="18" t="inlineStr">
        <is>
          <t>Mapeada en legal-management-service/src/entities/oficio-enviado.entity.ts:26 (OficioEnviado.contenido) | Validación: IsNotEmpty, IsString</t>
        </is>
      </c>
      <c r="Q1080" s="18" t="inlineStr">
        <is>
          <t>Propuesta semántica</t>
        </is>
      </c>
      <c r="R1080" s="18" t="inlineStr">
        <is>
          <t>Contenido del oficio en texto. Obligatorio.</t>
        </is>
      </c>
      <c r="S1080" s="18" t="inlineStr">
        <is>
          <t>Alta</t>
        </is>
      </c>
      <c r="T1080" s="18" t="inlineStr">
        <is>
          <t>nombre + tipo + validaciones IsNotEmpty, IsString</t>
        </is>
      </c>
      <c r="U1080" s="18" t="inlineStr"/>
      <c r="V1080" s="19" t="inlineStr">
        <is>
          <t>Pendiente</t>
        </is>
      </c>
      <c r="W1080" s="19" t="inlineStr"/>
      <c r="X1080" s="19" t="inlineStr"/>
      <c r="Y1080" s="20" t="n"/>
      <c r="Z1080" s="19" t="inlineStr"/>
      <c r="AA1080" s="18">
        <f>IF(OR(V1080="Aprobada"),R1080,IF(AND(OR(V1080="Aprobada con ajuste",V1080="Rechazada"),W1080&lt;&gt;""),W1080,""))</f>
        <v/>
      </c>
    </row>
    <row r="1081">
      <c r="A1081" s="18" t="inlineStr">
        <is>
          <t>C1080</t>
        </is>
      </c>
      <c r="B1081" s="18" t="inlineStr">
        <is>
          <t>Gestión jurídica</t>
        </is>
      </c>
      <c r="C1081" s="18" t="inlineStr">
        <is>
          <t>legal_management</t>
        </is>
      </c>
      <c r="D1081" s="18" t="inlineStr">
        <is>
          <t>oficios_enviados</t>
        </is>
      </c>
      <c r="E1081" s="18" t="n">
        <v>4</v>
      </c>
      <c r="F1081" s="18" t="inlineStr">
        <is>
          <t>contenido_html</t>
        </is>
      </c>
      <c r="G1081" s="18" t="inlineStr">
        <is>
          <t>text</t>
        </is>
      </c>
      <c r="H1081" s="18" t="inlineStr">
        <is>
          <t>Sí</t>
        </is>
      </c>
      <c r="I1081" s="18" t="inlineStr"/>
      <c r="J1081" s="18" t="inlineStr"/>
      <c r="K1081" s="18" t="inlineStr"/>
      <c r="L1081" s="18" t="inlineStr">
        <is>
          <t>No</t>
        </is>
      </c>
      <c r="M1081" s="18" t="inlineStr">
        <is>
          <t>No</t>
        </is>
      </c>
      <c r="N1081" s="18" t="inlineStr"/>
      <c r="O1081" s="18" t="inlineStr"/>
      <c r="P1081" s="18" t="inlineStr">
        <is>
          <t>db/migrations/119_create_oficios_enviados.sql:18: HTML content as sent via email (template rendered)</t>
        </is>
      </c>
      <c r="Q1081" s="18" t="inlineStr">
        <is>
          <t>Código fuente</t>
        </is>
      </c>
      <c r="R1081" s="18" t="inlineStr">
        <is>
          <t>Contenido HTML del oficio tal como se envió por correo, con la plantilla aplicada.</t>
        </is>
      </c>
      <c r="S1081" s="18" t="inlineStr">
        <is>
          <t>Alta</t>
        </is>
      </c>
      <c r="T1081" s="18" t="inlineStr">
        <is>
          <t>código: db/migrations/119_create_oficios_enviados.sql:18</t>
        </is>
      </c>
      <c r="U1081" s="18" t="inlineStr"/>
      <c r="V1081" s="19" t="inlineStr">
        <is>
          <t>Pendiente</t>
        </is>
      </c>
      <c r="W1081" s="19" t="inlineStr"/>
      <c r="X1081" s="19" t="inlineStr"/>
      <c r="Y1081" s="20" t="n"/>
      <c r="Z1081" s="19" t="inlineStr"/>
      <c r="AA1081" s="18">
        <f>IF(OR(V1081="Aprobada"),R1081,IF(AND(OR(V1081="Aprobada con ajuste",V1081="Rechazada"),W1081&lt;&gt;""),W1081,""))</f>
        <v/>
      </c>
    </row>
    <row r="1082">
      <c r="A1082" s="18" t="inlineStr">
        <is>
          <t>C1081</t>
        </is>
      </c>
      <c r="B1082" s="18" t="inlineStr">
        <is>
          <t>Gestión jurídica</t>
        </is>
      </c>
      <c r="C1082" s="18" t="inlineStr">
        <is>
          <t>legal_management</t>
        </is>
      </c>
      <c r="D1082" s="18" t="inlineStr">
        <is>
          <t>oficios_enviados</t>
        </is>
      </c>
      <c r="E1082" s="18" t="n">
        <v>4</v>
      </c>
      <c r="F1082" s="18" t="inlineStr">
        <is>
          <t>firma</t>
        </is>
      </c>
      <c r="G1082" s="18" t="inlineStr">
        <is>
          <t>character varying(200)</t>
        </is>
      </c>
      <c r="H1082" s="18" t="inlineStr">
        <is>
          <t>Sí</t>
        </is>
      </c>
      <c r="I1082" s="18" t="inlineStr"/>
      <c r="J1082" s="18" t="inlineStr"/>
      <c r="K1082" s="18" t="inlineStr"/>
      <c r="L1082" s="18" t="inlineStr">
        <is>
          <t>No</t>
        </is>
      </c>
      <c r="M1082" s="18" t="inlineStr">
        <is>
          <t>No</t>
        </is>
      </c>
      <c r="N1082" s="18" t="inlineStr"/>
      <c r="O1082" s="18" t="inlineStr"/>
      <c r="P1082" s="18" t="inlineStr">
        <is>
          <t>Mapeada en legal-management-service/src/entities/oficio-enviado.entity.ts:32 (OficioEnviado.firma)</t>
        </is>
      </c>
      <c r="Q1082" s="18" t="inlineStr">
        <is>
          <t>Propuesta semántica</t>
        </is>
      </c>
      <c r="R1082" s="18" t="inlineStr">
        <is>
          <t>Firma o nombre del firmante del oficio.</t>
        </is>
      </c>
      <c r="S1082" s="18" t="inlineStr">
        <is>
          <t>Media</t>
        </is>
      </c>
      <c r="T1082" s="18" t="inlineStr">
        <is>
          <t>nombre + tipo + columnas vecinas</t>
        </is>
      </c>
      <c r="U1082" s="18" t="inlineStr">
        <is>
          <t>¿La firma guarda el nombre y cargo del firmante o una referencia a una imagen de firma?</t>
        </is>
      </c>
      <c r="V1082" s="19" t="inlineStr">
        <is>
          <t>Pendiente</t>
        </is>
      </c>
      <c r="W1082" s="19" t="inlineStr"/>
      <c r="X1082" s="19" t="inlineStr"/>
      <c r="Y1082" s="20" t="n"/>
      <c r="Z1082" s="19" t="inlineStr"/>
      <c r="AA1082" s="18">
        <f>IF(OR(V1082="Aprobada"),R1082,IF(AND(OR(V1082="Aprobada con ajuste",V1082="Rechazada"),W1082&lt;&gt;""),W1082,""))</f>
        <v/>
      </c>
    </row>
    <row r="1083">
      <c r="A1083" s="18" t="inlineStr">
        <is>
          <t>C1082</t>
        </is>
      </c>
      <c r="B1083" s="18" t="inlineStr">
        <is>
          <t>Gestión jurídica</t>
        </is>
      </c>
      <c r="C1083" s="18" t="inlineStr">
        <is>
          <t>legal_management</t>
        </is>
      </c>
      <c r="D1083" s="18" t="inlineStr">
        <is>
          <t>oficios_enviados</t>
        </is>
      </c>
      <c r="E1083" s="18" t="n">
        <v>4</v>
      </c>
      <c r="F1083" s="18" t="inlineStr">
        <is>
          <t>plantilla</t>
        </is>
      </c>
      <c r="G1083" s="18" t="inlineStr">
        <is>
          <t>character varying(50)</t>
        </is>
      </c>
      <c r="H1083" s="18" t="inlineStr">
        <is>
          <t>Sí</t>
        </is>
      </c>
      <c r="I1083" s="18" t="inlineStr"/>
      <c r="J1083" s="18" t="inlineStr"/>
      <c r="K1083" s="18" t="inlineStr"/>
      <c r="L1083" s="18" t="inlineStr">
        <is>
          <t>No</t>
        </is>
      </c>
      <c r="M1083" s="18" t="inlineStr">
        <is>
          <t>No</t>
        </is>
      </c>
      <c r="N1083" s="18" t="inlineStr"/>
      <c r="O1083" s="18" t="inlineStr"/>
      <c r="P1083" s="18" t="inlineStr">
        <is>
          <t>db/migrations/119_create_oficios_enviados.sql:20: 'prorroga', 'remision', 'contestacion', 'solicitudPruebas', 'oficioBlanco'</t>
        </is>
      </c>
      <c r="Q1083" s="18" t="inlineStr">
        <is>
          <t>Código fuente</t>
        </is>
      </c>
      <c r="R1083" s="18" t="inlineStr">
        <is>
          <t>Plantilla usada en el oficio. Valores: prorroga, remision, contestacion, solicitudPruebas, oficioBlanco.</t>
        </is>
      </c>
      <c r="S1083" s="18" t="inlineStr">
        <is>
          <t>Alta</t>
        </is>
      </c>
      <c r="T1083" s="18" t="inlineStr">
        <is>
          <t>código: db/migrations/119_create_oficios_enviados.sql:20</t>
        </is>
      </c>
      <c r="U1083" s="18" t="inlineStr"/>
      <c r="V1083" s="19" t="inlineStr">
        <is>
          <t>Pendiente</t>
        </is>
      </c>
      <c r="W1083" s="19" t="inlineStr"/>
      <c r="X1083" s="19" t="inlineStr"/>
      <c r="Y1083" s="20" t="n"/>
      <c r="Z1083" s="19" t="inlineStr"/>
      <c r="AA1083" s="18">
        <f>IF(OR(V1083="Aprobada"),R1083,IF(AND(OR(V1083="Aprobada con ajuste",V1083="Rechazada"),W1083&lt;&gt;""),W1083,""))</f>
        <v/>
      </c>
    </row>
    <row r="1084">
      <c r="A1084" s="18" t="inlineStr">
        <is>
          <t>C1083</t>
        </is>
      </c>
      <c r="B1084" s="18" t="inlineStr">
        <is>
          <t>Gestión jurídica</t>
        </is>
      </c>
      <c r="C1084" s="18" t="inlineStr">
        <is>
          <t>legal_management</t>
        </is>
      </c>
      <c r="D1084" s="18" t="inlineStr">
        <is>
          <t>oficios_enviados</t>
        </is>
      </c>
      <c r="E1084" s="18" t="n">
        <v>4</v>
      </c>
      <c r="F1084" s="18" t="inlineStr">
        <is>
          <t>estado</t>
        </is>
      </c>
      <c r="G1084" s="18" t="inlineStr">
        <is>
          <t>character varying(30)</t>
        </is>
      </c>
      <c r="H1084" s="18" t="inlineStr">
        <is>
          <t>Sí</t>
        </is>
      </c>
      <c r="I1084" s="18" t="inlineStr"/>
      <c r="J1084" s="18" t="inlineStr"/>
      <c r="K1084" s="18" t="inlineStr"/>
      <c r="L1084" s="18" t="inlineStr">
        <is>
          <t>No</t>
        </is>
      </c>
      <c r="M1084" s="18" t="inlineStr">
        <is>
          <t>No</t>
        </is>
      </c>
      <c r="N1084" s="18" t="inlineStr"/>
      <c r="O1084" s="18" t="inlineStr"/>
      <c r="P1084" s="18" t="inlineStr">
        <is>
          <t>Mapeada en legal-management-service/src/entities/oficio-enviado.entity.ts:38 (OficioEnviado.estado)</t>
        </is>
      </c>
      <c r="Q1084" s="18" t="inlineStr">
        <is>
          <t>Regla estructural</t>
        </is>
      </c>
      <c r="R1084" s="18" t="inlineStr">
        <is>
          <t>Estado del registro de oficios_enviados.</t>
        </is>
      </c>
      <c r="S1084" s="18" t="inlineStr">
        <is>
          <t>Media</t>
        </is>
      </c>
      <c r="T1084" s="18" t="inlineStr">
        <is>
          <t>Convención de nombre de la columna.</t>
        </is>
      </c>
      <c r="U1084" s="18" t="inlineStr"/>
      <c r="V1084" s="19" t="inlineStr">
        <is>
          <t>Pendiente</t>
        </is>
      </c>
      <c r="W1084" s="19" t="inlineStr"/>
      <c r="X1084" s="19" t="inlineStr"/>
      <c r="Y1084" s="20" t="n"/>
      <c r="Z1084" s="19" t="inlineStr"/>
      <c r="AA1084" s="18">
        <f>IF(OR(V1084="Aprobada"),R1084,IF(AND(OR(V1084="Aprobada con ajuste",V1084="Rechazada"),W1084&lt;&gt;""),W1084,""))</f>
        <v/>
      </c>
    </row>
    <row r="1085">
      <c r="A1085" s="18" t="inlineStr">
        <is>
          <t>C1084</t>
        </is>
      </c>
      <c r="B1085" s="18" t="inlineStr">
        <is>
          <t>Gestión jurídica</t>
        </is>
      </c>
      <c r="C1085" s="18" t="inlineStr">
        <is>
          <t>legal_management</t>
        </is>
      </c>
      <c r="D1085" s="18" t="inlineStr">
        <is>
          <t>oficios_enviados</t>
        </is>
      </c>
      <c r="E1085" s="18" t="n">
        <v>4</v>
      </c>
      <c r="F1085" s="18" t="inlineStr">
        <is>
          <t>fecha_envio</t>
        </is>
      </c>
      <c r="G1085" s="18" t="inlineStr">
        <is>
          <t>timestamp without time zone</t>
        </is>
      </c>
      <c r="H1085" s="18" t="inlineStr">
        <is>
          <t>Sí</t>
        </is>
      </c>
      <c r="I1085" s="18" t="inlineStr"/>
      <c r="J1085" s="18" t="inlineStr"/>
      <c r="K1085" s="18" t="inlineStr"/>
      <c r="L1085" s="18" t="inlineStr">
        <is>
          <t>No</t>
        </is>
      </c>
      <c r="M1085" s="18" t="inlineStr">
        <is>
          <t>No</t>
        </is>
      </c>
      <c r="N1085" s="18" t="inlineStr"/>
      <c r="O1085" s="18" t="inlineStr">
        <is>
          <t>idx_oficios_fecha</t>
        </is>
      </c>
      <c r="P1085" s="18" t="inlineStr">
        <is>
          <t>Mapeada en legal-management-service/src/entities/oficio-enviado.entity.ts:41 (OficioEnviado.fechaEnvio)</t>
        </is>
      </c>
      <c r="Q1085" s="18" t="inlineStr">
        <is>
          <t>Regla estructural</t>
        </is>
      </c>
      <c r="R1085" s="18" t="inlineStr">
        <is>
          <t>Fecha de envio.</t>
        </is>
      </c>
      <c r="S1085" s="18" t="inlineStr">
        <is>
          <t>Media</t>
        </is>
      </c>
      <c r="T1085" s="18" t="inlineStr">
        <is>
          <t>Convención de nombre de la columna.</t>
        </is>
      </c>
      <c r="U1085" s="18" t="inlineStr"/>
      <c r="V1085" s="19" t="inlineStr">
        <is>
          <t>Pendiente</t>
        </is>
      </c>
      <c r="W1085" s="19" t="inlineStr"/>
      <c r="X1085" s="19" t="inlineStr"/>
      <c r="Y1085" s="20" t="n"/>
      <c r="Z1085" s="19" t="inlineStr"/>
      <c r="AA1085" s="18">
        <f>IF(OR(V1085="Aprobada"),R1085,IF(AND(OR(V1085="Aprobada con ajuste",V1085="Rechazada"),W1085&lt;&gt;""),W1085,""))</f>
        <v/>
      </c>
    </row>
    <row r="1086">
      <c r="A1086" s="18" t="inlineStr">
        <is>
          <t>C1085</t>
        </is>
      </c>
      <c r="B1086" s="18" t="inlineStr">
        <is>
          <t>Gestión jurídica</t>
        </is>
      </c>
      <c r="C1086" s="18" t="inlineStr">
        <is>
          <t>legal_management</t>
        </is>
      </c>
      <c r="D1086" s="18" t="inlineStr">
        <is>
          <t>oficios_enviados</t>
        </is>
      </c>
      <c r="E1086" s="18" t="n">
        <v>4</v>
      </c>
      <c r="F1086" s="18" t="inlineStr">
        <is>
          <t>archivos_adjuntos</t>
        </is>
      </c>
      <c r="G1086" s="18" t="inlineStr">
        <is>
          <t>jsonb</t>
        </is>
      </c>
      <c r="H1086" s="18" t="inlineStr">
        <is>
          <t>Sí</t>
        </is>
      </c>
      <c r="I1086" s="18" t="inlineStr"/>
      <c r="J1086" s="18" t="inlineStr"/>
      <c r="K1086" s="18" t="inlineStr"/>
      <c r="L1086" s="18" t="inlineStr">
        <is>
          <t>No</t>
        </is>
      </c>
      <c r="M1086" s="18" t="inlineStr">
        <is>
          <t>No</t>
        </is>
      </c>
      <c r="N1086" s="18" t="inlineStr"/>
      <c r="O1086" s="18" t="inlineStr"/>
      <c r="P1086" s="18" t="inlineStr">
        <is>
          <t>db/migrations/119_create_oficios_enviados.sql:23: Array of {nombre, url, tipo, size}</t>
        </is>
      </c>
      <c r="Q1086" s="18" t="inlineStr">
        <is>
          <t>Código fuente</t>
        </is>
      </c>
      <c r="R1086" s="18" t="inlineStr">
        <is>
          <t>Archivos adjuntos del oficio, como arreglo JSON de objetos {nombre, url, tipo, size}.</t>
        </is>
      </c>
      <c r="S1086" s="18" t="inlineStr">
        <is>
          <t>Alta</t>
        </is>
      </c>
      <c r="T1086" s="18" t="inlineStr">
        <is>
          <t>código: db/migrations/119_create_oficios_enviados.sql:23</t>
        </is>
      </c>
      <c r="U1086" s="18" t="inlineStr"/>
      <c r="V1086" s="19" t="inlineStr">
        <is>
          <t>Pendiente</t>
        </is>
      </c>
      <c r="W1086" s="19" t="inlineStr"/>
      <c r="X1086" s="19" t="inlineStr"/>
      <c r="Y1086" s="20" t="n"/>
      <c r="Z1086" s="19" t="inlineStr"/>
      <c r="AA1086" s="18">
        <f>IF(OR(V1086="Aprobada"),R1086,IF(AND(OR(V1086="Aprobada con ajuste",V1086="Rechazada"),W1086&lt;&gt;""),W1086,""))</f>
        <v/>
      </c>
    </row>
    <row r="1087">
      <c r="A1087" s="18" t="inlineStr">
        <is>
          <t>C1086</t>
        </is>
      </c>
      <c r="B1087" s="18" t="inlineStr">
        <is>
          <t>Gestión jurídica</t>
        </is>
      </c>
      <c r="C1087" s="18" t="inlineStr">
        <is>
          <t>legal_management</t>
        </is>
      </c>
      <c r="D1087" s="18" t="inlineStr">
        <is>
          <t>oficios_enviados</t>
        </is>
      </c>
      <c r="E1087" s="18" t="n">
        <v>4</v>
      </c>
      <c r="F1087" s="18" t="inlineStr">
        <is>
          <t>graph_message_id</t>
        </is>
      </c>
      <c r="G1087" s="18" t="inlineStr">
        <is>
          <t>character varying(200)</t>
        </is>
      </c>
      <c r="H1087" s="18" t="inlineStr">
        <is>
          <t>Sí</t>
        </is>
      </c>
      <c r="I1087" s="18" t="inlineStr"/>
      <c r="J1087" s="18" t="inlineStr"/>
      <c r="K1087" s="18" t="inlineStr"/>
      <c r="L1087" s="18" t="inlineStr">
        <is>
          <t>No</t>
        </is>
      </c>
      <c r="M1087" s="18" t="inlineStr">
        <is>
          <t>No</t>
        </is>
      </c>
      <c r="N1087" s="18" t="inlineStr"/>
      <c r="O1087" s="18" t="inlineStr"/>
      <c r="P1087" s="18" t="inlineStr">
        <is>
          <t>db/migrations/119_create_oficios_enviados.sql:24: Microsoft Graph message ID if sent via email</t>
        </is>
      </c>
      <c r="Q1087" s="18" t="inlineStr">
        <is>
          <t>Código fuente</t>
        </is>
      </c>
      <c r="R1087" s="18" t="inlineStr">
        <is>
          <t>Identificador del mensaje en Microsoft Graph cuando el oficio se envió por correo.</t>
        </is>
      </c>
      <c r="S1087" s="18" t="inlineStr">
        <is>
          <t>Alta</t>
        </is>
      </c>
      <c r="T1087" s="18" t="inlineStr">
        <is>
          <t>código: db/migrations/119_create_oficios_enviados.sql:24</t>
        </is>
      </c>
      <c r="U1087" s="18" t="inlineStr"/>
      <c r="V1087" s="19" t="inlineStr">
        <is>
          <t>Pendiente</t>
        </is>
      </c>
      <c r="W1087" s="19" t="inlineStr"/>
      <c r="X1087" s="19" t="inlineStr"/>
      <c r="Y1087" s="20" t="n"/>
      <c r="Z1087" s="19" t="inlineStr"/>
      <c r="AA1087" s="18">
        <f>IF(OR(V1087="Aprobada"),R1087,IF(AND(OR(V1087="Aprobada con ajuste",V1087="Rechazada"),W1087&lt;&gt;""),W1087,""))</f>
        <v/>
      </c>
    </row>
    <row r="1088">
      <c r="A1088" s="18" t="inlineStr">
        <is>
          <t>C1087</t>
        </is>
      </c>
      <c r="B1088" s="18" t="inlineStr">
        <is>
          <t>Gestión jurídica</t>
        </is>
      </c>
      <c r="C1088" s="18" t="inlineStr">
        <is>
          <t>legal_management</t>
        </is>
      </c>
      <c r="D1088" s="18" t="inlineStr">
        <is>
          <t>organismos_control</t>
        </is>
      </c>
      <c r="E1088" s="18" t="n">
        <v>9</v>
      </c>
      <c r="F1088" s="18" t="inlineStr">
        <is>
          <t>sigla</t>
        </is>
      </c>
      <c r="G1088" s="18" t="inlineStr">
        <is>
          <t>character varying(20)</t>
        </is>
      </c>
      <c r="H1088" s="18" t="inlineStr">
        <is>
          <t>No</t>
        </is>
      </c>
      <c r="I1088" s="18" t="inlineStr">
        <is>
          <t>Única</t>
        </is>
      </c>
      <c r="J1088" s="18" t="inlineStr"/>
      <c r="K1088" s="18" t="inlineStr"/>
      <c r="L1088" s="18" t="inlineStr">
        <is>
          <t>No</t>
        </is>
      </c>
      <c r="M1088" s="18" t="inlineStr">
        <is>
          <t>No</t>
        </is>
      </c>
      <c r="N1088" s="18" t="inlineStr"/>
      <c r="O1088" s="18" t="inlineStr">
        <is>
          <t>organismos_control_sigla_key</t>
        </is>
      </c>
      <c r="P1088" s="18" t="inlineStr">
        <is>
          <t>Mapeada en legal-management-service/src/entities/organismo-control-legal.entity.ts:8 (OrganismoControlOC.sigla)</t>
        </is>
      </c>
      <c r="Q1088" s="18" t="inlineStr">
        <is>
          <t>Propuesta semántica</t>
        </is>
      </c>
      <c r="R1088" s="18" t="inlineStr">
        <is>
          <t>Sigla única del organismo de control.</t>
        </is>
      </c>
      <c r="S1088" s="18" t="inlineStr">
        <is>
          <t>Alta</t>
        </is>
      </c>
      <c r="T1088" s="18" t="inlineStr">
        <is>
          <t>nombre + tipo + restricción única</t>
        </is>
      </c>
      <c r="U1088" s="18" t="inlineStr"/>
      <c r="V1088" s="19" t="inlineStr">
        <is>
          <t>Pendiente</t>
        </is>
      </c>
      <c r="W1088" s="19" t="inlineStr"/>
      <c r="X1088" s="19" t="inlineStr"/>
      <c r="Y1088" s="20" t="n"/>
      <c r="Z1088" s="19" t="inlineStr"/>
      <c r="AA1088" s="18">
        <f>IF(OR(V1088="Aprobada"),R1088,IF(AND(OR(V1088="Aprobada con ajuste",V1088="Rechazada"),W1088&lt;&gt;""),W1088,""))</f>
        <v/>
      </c>
    </row>
    <row r="1089">
      <c r="A1089" s="18" t="inlineStr">
        <is>
          <t>C1088</t>
        </is>
      </c>
      <c r="B1089" s="18" t="inlineStr">
        <is>
          <t>Gestión jurídica</t>
        </is>
      </c>
      <c r="C1089" s="18" t="inlineStr">
        <is>
          <t>legal_management</t>
        </is>
      </c>
      <c r="D1089" s="18" t="inlineStr">
        <is>
          <t>organismos_control</t>
        </is>
      </c>
      <c r="E1089" s="18" t="n">
        <v>9</v>
      </c>
      <c r="F1089" s="18" t="inlineStr">
        <is>
          <t>nombre</t>
        </is>
      </c>
      <c r="G1089" s="18" t="inlineStr">
        <is>
          <t>character varying(200)</t>
        </is>
      </c>
      <c r="H1089" s="18" t="inlineStr">
        <is>
          <t>No</t>
        </is>
      </c>
      <c r="I1089" s="18" t="inlineStr"/>
      <c r="J1089" s="18" t="inlineStr"/>
      <c r="K1089" s="18" t="inlineStr"/>
      <c r="L1089" s="18" t="inlineStr">
        <is>
          <t>No</t>
        </is>
      </c>
      <c r="M1089" s="18" t="inlineStr">
        <is>
          <t>No</t>
        </is>
      </c>
      <c r="N1089" s="18" t="inlineStr"/>
      <c r="O1089" s="18" t="inlineStr"/>
      <c r="P1089" s="18" t="inlineStr">
        <is>
          <t>Mapeada en legal-management-service/src/entities/organismo-control-legal.entity.ts:11 (OrganismoControlOC.nombre)</t>
        </is>
      </c>
      <c r="Q1089" s="18" t="inlineStr">
        <is>
          <t>Regla estructural</t>
        </is>
      </c>
      <c r="R1089" s="18" t="inlineStr">
        <is>
          <t>Nombre del registro de organismos_control.</t>
        </is>
      </c>
      <c r="S1089" s="18" t="inlineStr">
        <is>
          <t>Media</t>
        </is>
      </c>
      <c r="T1089" s="18" t="inlineStr">
        <is>
          <t>Convención de nombre de la columna.</t>
        </is>
      </c>
      <c r="U1089" s="18" t="inlineStr"/>
      <c r="V1089" s="19" t="inlineStr">
        <is>
          <t>Pendiente</t>
        </is>
      </c>
      <c r="W1089" s="19" t="inlineStr"/>
      <c r="X1089" s="19" t="inlineStr"/>
      <c r="Y1089" s="20" t="n"/>
      <c r="Z1089" s="19" t="inlineStr"/>
      <c r="AA1089" s="18">
        <f>IF(OR(V1089="Aprobada"),R1089,IF(AND(OR(V1089="Aprobada con ajuste",V1089="Rechazada"),W1089&lt;&gt;""),W1089,""))</f>
        <v/>
      </c>
    </row>
    <row r="1090">
      <c r="A1090" s="18" t="inlineStr">
        <is>
          <t>C1089</t>
        </is>
      </c>
      <c r="B1090" s="18" t="inlineStr">
        <is>
          <t>Gestión jurídica</t>
        </is>
      </c>
      <c r="C1090" s="18" t="inlineStr">
        <is>
          <t>legal_management</t>
        </is>
      </c>
      <c r="D1090" s="18" t="inlineStr">
        <is>
          <t>organismos_control</t>
        </is>
      </c>
      <c r="E1090" s="18" t="n">
        <v>9</v>
      </c>
      <c r="F1090" s="18" t="inlineStr">
        <is>
          <t>descripcion</t>
        </is>
      </c>
      <c r="G1090" s="18" t="inlineStr">
        <is>
          <t>text</t>
        </is>
      </c>
      <c r="H1090" s="18" t="inlineStr">
        <is>
          <t>Sí</t>
        </is>
      </c>
      <c r="I1090" s="18" t="inlineStr"/>
      <c r="J1090" s="18" t="inlineStr"/>
      <c r="K1090" s="18" t="inlineStr"/>
      <c r="L1090" s="18" t="inlineStr">
        <is>
          <t>No</t>
        </is>
      </c>
      <c r="M1090" s="18" t="inlineStr">
        <is>
          <t>No</t>
        </is>
      </c>
      <c r="N1090" s="18" t="inlineStr"/>
      <c r="O1090" s="18" t="inlineStr"/>
      <c r="P1090" s="18" t="inlineStr">
        <is>
          <t>Mapeada en legal-management-service/src/entities/organismo-control-legal.entity.ts:14 (OrganismoControlOC.descripcion)</t>
        </is>
      </c>
      <c r="Q1090" s="18" t="inlineStr">
        <is>
          <t>Regla estructural</t>
        </is>
      </c>
      <c r="R1090" s="18" t="inlineStr">
        <is>
          <t>Descripción del registro de organismos_control.</t>
        </is>
      </c>
      <c r="S1090" s="18" t="inlineStr">
        <is>
          <t>Media</t>
        </is>
      </c>
      <c r="T1090" s="18" t="inlineStr">
        <is>
          <t>Convención de nombre de la columna.</t>
        </is>
      </c>
      <c r="U1090" s="18" t="inlineStr"/>
      <c r="V1090" s="19" t="inlineStr">
        <is>
          <t>Pendiente</t>
        </is>
      </c>
      <c r="W1090" s="19" t="inlineStr"/>
      <c r="X1090" s="19" t="inlineStr"/>
      <c r="Y1090" s="20" t="n"/>
      <c r="Z1090" s="19" t="inlineStr"/>
      <c r="AA1090" s="18">
        <f>IF(OR(V1090="Aprobada"),R1090,IF(AND(OR(V1090="Aprobada con ajuste",V1090="Rechazada"),W1090&lt;&gt;""),W1090,""))</f>
        <v/>
      </c>
    </row>
    <row r="1091">
      <c r="A1091" s="18" t="inlineStr">
        <is>
          <t>C1090</t>
        </is>
      </c>
      <c r="B1091" s="18" t="inlineStr">
        <is>
          <t>Gestión jurídica</t>
        </is>
      </c>
      <c r="C1091" s="18" t="inlineStr">
        <is>
          <t>legal_management</t>
        </is>
      </c>
      <c r="D1091" s="18" t="inlineStr">
        <is>
          <t>organismos_control</t>
        </is>
      </c>
      <c r="E1091" s="18" t="n">
        <v>9</v>
      </c>
      <c r="F1091" s="18" t="inlineStr">
        <is>
          <t>activo</t>
        </is>
      </c>
      <c r="G1091" s="18" t="inlineStr">
        <is>
          <t>boolean</t>
        </is>
      </c>
      <c r="H1091" s="18" t="inlineStr">
        <is>
          <t>Sí</t>
        </is>
      </c>
      <c r="I1091" s="18" t="inlineStr"/>
      <c r="J1091" s="18" t="inlineStr"/>
      <c r="K1091" s="18" t="inlineStr"/>
      <c r="L1091" s="18" t="inlineStr">
        <is>
          <t>No</t>
        </is>
      </c>
      <c r="M1091" s="18" t="inlineStr">
        <is>
          <t>No</t>
        </is>
      </c>
      <c r="N1091" s="18" t="inlineStr"/>
      <c r="O1091" s="18" t="inlineStr"/>
      <c r="P1091" s="18" t="inlineStr">
        <is>
          <t>Mapeada en legal-management-service/src/entities/organismo-control-legal.entity.ts:20 (OrganismoControlOC.activo)</t>
        </is>
      </c>
      <c r="Q1091" s="18" t="inlineStr">
        <is>
          <t>Regla estructural</t>
        </is>
      </c>
      <c r="R1091" s="18" t="inlineStr">
        <is>
          <t>Indica si el registro está activo.</t>
        </is>
      </c>
      <c r="S1091" s="18" t="inlineStr">
        <is>
          <t>Media</t>
        </is>
      </c>
      <c r="T1091" s="18" t="inlineStr">
        <is>
          <t>Convención de nombre de la columna.</t>
        </is>
      </c>
      <c r="U1091" s="18" t="inlineStr"/>
      <c r="V1091" s="19" t="inlineStr">
        <is>
          <t>Pendiente</t>
        </is>
      </c>
      <c r="W1091" s="19" t="inlineStr"/>
      <c r="X1091" s="19" t="inlineStr"/>
      <c r="Y1091" s="20" t="n"/>
      <c r="Z1091" s="19" t="inlineStr"/>
      <c r="AA1091" s="18">
        <f>IF(OR(V1091="Aprobada"),R1091,IF(AND(OR(V1091="Aprobada con ajuste",V1091="Rechazada"),W1091&lt;&gt;""),W1091,""))</f>
        <v/>
      </c>
    </row>
    <row r="1092">
      <c r="A1092" s="18" t="inlineStr">
        <is>
          <t>C1091</t>
        </is>
      </c>
      <c r="B1092" s="18" t="inlineStr">
        <is>
          <t>Gestión jurídica</t>
        </is>
      </c>
      <c r="C1092" s="18" t="inlineStr">
        <is>
          <t>legal_management</t>
        </is>
      </c>
      <c r="D1092" s="18" t="inlineStr">
        <is>
          <t>organismos_control</t>
        </is>
      </c>
      <c r="E1092" s="18" t="n">
        <v>9</v>
      </c>
      <c r="F1092" s="18" t="inlineStr">
        <is>
          <t>correos</t>
        </is>
      </c>
      <c r="G1092" s="18" t="inlineStr">
        <is>
          <t>jsonb</t>
        </is>
      </c>
      <c r="H1092" s="18" t="inlineStr">
        <is>
          <t>No</t>
        </is>
      </c>
      <c r="I1092" s="18" t="inlineStr"/>
      <c r="J1092" s="18" t="inlineStr"/>
      <c r="K1092" s="18" t="inlineStr"/>
      <c r="L1092" s="18" t="inlineStr">
        <is>
          <t>No</t>
        </is>
      </c>
      <c r="M1092" s="18" t="inlineStr">
        <is>
          <t>No</t>
        </is>
      </c>
      <c r="N1092" s="18" t="inlineStr"/>
      <c r="O1092" s="18" t="inlineStr"/>
      <c r="P1092" s="18" t="inlineStr">
        <is>
          <t>Mapeada en legal-management-service/src/entities/organismo-control-legal.entity.ts:17 (OrganismoControlOC.correos)</t>
        </is>
      </c>
      <c r="Q1092" s="18" t="inlineStr">
        <is>
          <t>Propuesta semántica</t>
        </is>
      </c>
      <c r="R1092" s="18" t="inlineStr">
        <is>
          <t>Lista de correos electrónicos del organismo de control, en formato JSON. Por defecto, lista vacía.</t>
        </is>
      </c>
      <c r="S1092" s="18" t="inlineStr">
        <is>
          <t>Alta</t>
        </is>
      </c>
      <c r="T1092" s="18" t="inlineStr">
        <is>
          <t>nombre + tipo + defecto</t>
        </is>
      </c>
      <c r="U1092" s="18" t="inlineStr"/>
      <c r="V1092" s="19" t="inlineStr">
        <is>
          <t>Pendiente</t>
        </is>
      </c>
      <c r="W1092" s="19" t="inlineStr"/>
      <c r="X1092" s="19" t="inlineStr"/>
      <c r="Y1092" s="20" t="n"/>
      <c r="Z1092" s="19" t="inlineStr"/>
      <c r="AA1092" s="18">
        <f>IF(OR(V1092="Aprobada"),R1092,IF(AND(OR(V1092="Aprobada con ajuste",V1092="Rechazada"),W1092&lt;&gt;""),W1092,""))</f>
        <v/>
      </c>
    </row>
    <row r="1093">
      <c r="A1093" s="18" t="inlineStr">
        <is>
          <t>C1092</t>
        </is>
      </c>
      <c r="B1093" s="18" t="inlineStr">
        <is>
          <t>Gestión jurídica</t>
        </is>
      </c>
      <c r="C1093" s="18" t="inlineStr">
        <is>
          <t>legal_management</t>
        </is>
      </c>
      <c r="D1093" s="18" t="inlineStr">
        <is>
          <t>pagos_coactivos</t>
        </is>
      </c>
      <c r="E1093" s="18" t="n">
        <v>10</v>
      </c>
      <c r="F1093" s="18" t="inlineStr">
        <is>
          <t>valor</t>
        </is>
      </c>
      <c r="G1093" s="18" t="inlineStr">
        <is>
          <t>numeric(15,2)</t>
        </is>
      </c>
      <c r="H1093" s="18" t="inlineStr">
        <is>
          <t>No</t>
        </is>
      </c>
      <c r="I1093" s="18" t="inlineStr"/>
      <c r="J1093" s="18" t="inlineStr"/>
      <c r="K1093" s="18" t="inlineStr"/>
      <c r="L1093" s="18" t="inlineStr">
        <is>
          <t>No</t>
        </is>
      </c>
      <c r="M1093" s="18" t="inlineStr">
        <is>
          <t>No</t>
        </is>
      </c>
      <c r="N1093" s="18" t="inlineStr"/>
      <c r="O1093" s="18" t="inlineStr"/>
      <c r="P1093" s="18" t="inlineStr">
        <is>
          <t>Mapeada en legal-management-service/src/entities/pago-coactivo.entity.ts:16 (PagoCoactivo.valor)</t>
        </is>
      </c>
      <c r="Q1093" s="18" t="inlineStr">
        <is>
          <t>Propuesta semántica</t>
        </is>
      </c>
      <c r="R1093" s="18" t="inlineStr">
        <is>
          <t>Valor total del pago registrado en el proceso coactivo.</t>
        </is>
      </c>
      <c r="S1093" s="18" t="inlineStr">
        <is>
          <t>Alta</t>
        </is>
      </c>
      <c r="T1093" s="18" t="inlineStr">
        <is>
          <t>nombre + tipo + columnas vecinas</t>
        </is>
      </c>
      <c r="U1093" s="18" t="inlineStr"/>
      <c r="V1093" s="19" t="inlineStr">
        <is>
          <t>Pendiente</t>
        </is>
      </c>
      <c r="W1093" s="19" t="inlineStr"/>
      <c r="X1093" s="19" t="inlineStr"/>
      <c r="Y1093" s="20" t="n"/>
      <c r="Z1093" s="19" t="inlineStr"/>
      <c r="AA1093" s="18">
        <f>IF(OR(V1093="Aprobada"),R1093,IF(AND(OR(V1093="Aprobada con ajuste",V1093="Rechazada"),W1093&lt;&gt;""),W1093,""))</f>
        <v/>
      </c>
    </row>
    <row r="1094">
      <c r="A1094" s="18" t="inlineStr">
        <is>
          <t>C1093</t>
        </is>
      </c>
      <c r="B1094" s="18" t="inlineStr">
        <is>
          <t>Gestión jurídica</t>
        </is>
      </c>
      <c r="C1094" s="18" t="inlineStr">
        <is>
          <t>legal_management</t>
        </is>
      </c>
      <c r="D1094" s="18" t="inlineStr">
        <is>
          <t>pagos_coactivos</t>
        </is>
      </c>
      <c r="E1094" s="18" t="n">
        <v>10</v>
      </c>
      <c r="F1094" s="18" t="inlineStr">
        <is>
          <t>fecha_pago</t>
        </is>
      </c>
      <c r="G1094" s="18" t="inlineStr">
        <is>
          <t>timestamp without time zone</t>
        </is>
      </c>
      <c r="H1094" s="18" t="inlineStr">
        <is>
          <t>No</t>
        </is>
      </c>
      <c r="I1094" s="18" t="inlineStr"/>
      <c r="J1094" s="18" t="inlineStr"/>
      <c r="K1094" s="18" t="inlineStr"/>
      <c r="L1094" s="18" t="inlineStr">
        <is>
          <t>No</t>
        </is>
      </c>
      <c r="M1094" s="18" t="inlineStr">
        <is>
          <t>No</t>
        </is>
      </c>
      <c r="N1094" s="18" t="inlineStr"/>
      <c r="O1094" s="18" t="inlineStr"/>
      <c r="P1094" s="18" t="inlineStr">
        <is>
          <t>Mapeada en legal-management-service/src/entities/pago-coactivo.entity.ts:48 (PagoCoactivo.fechaPago)</t>
        </is>
      </c>
      <c r="Q1094" s="18" t="inlineStr">
        <is>
          <t>Regla estructural</t>
        </is>
      </c>
      <c r="R1094" s="18" t="inlineStr">
        <is>
          <t>Fecha de pago.</t>
        </is>
      </c>
      <c r="S1094" s="18" t="inlineStr">
        <is>
          <t>Media</t>
        </is>
      </c>
      <c r="T1094" s="18" t="inlineStr">
        <is>
          <t>Convención de nombre de la columna.</t>
        </is>
      </c>
      <c r="U1094" s="18" t="inlineStr"/>
      <c r="V1094" s="19" t="inlineStr">
        <is>
          <t>Pendiente</t>
        </is>
      </c>
      <c r="W1094" s="19" t="inlineStr"/>
      <c r="X1094" s="19" t="inlineStr"/>
      <c r="Y1094" s="20" t="n"/>
      <c r="Z1094" s="19" t="inlineStr"/>
      <c r="AA1094" s="18">
        <f>IF(OR(V1094="Aprobada"),R1094,IF(AND(OR(V1094="Aprobada con ajuste",V1094="Rechazada"),W1094&lt;&gt;""),W1094,""))</f>
        <v/>
      </c>
    </row>
    <row r="1095">
      <c r="A1095" s="18" t="inlineStr">
        <is>
          <t>C1094</t>
        </is>
      </c>
      <c r="B1095" s="18" t="inlineStr">
        <is>
          <t>Gestión jurídica</t>
        </is>
      </c>
      <c r="C1095" s="18" t="inlineStr">
        <is>
          <t>legal_management</t>
        </is>
      </c>
      <c r="D1095" s="18" t="inlineStr">
        <is>
          <t>pagos_coactivos</t>
        </is>
      </c>
      <c r="E1095" s="18" t="n">
        <v>10</v>
      </c>
      <c r="F1095" s="18" t="inlineStr">
        <is>
          <t>soporte_url</t>
        </is>
      </c>
      <c r="G1095" s="18" t="inlineStr">
        <is>
          <t>text</t>
        </is>
      </c>
      <c r="H1095" s="18" t="inlineStr">
        <is>
          <t>Sí</t>
        </is>
      </c>
      <c r="I1095" s="18" t="inlineStr"/>
      <c r="J1095" s="18" t="inlineStr"/>
      <c r="K1095" s="18" t="inlineStr"/>
      <c r="L1095" s="18" t="inlineStr">
        <is>
          <t>No</t>
        </is>
      </c>
      <c r="M1095" s="18" t="inlineStr">
        <is>
          <t>No</t>
        </is>
      </c>
      <c r="N1095" s="18" t="inlineStr"/>
      <c r="O1095" s="18" t="inlineStr"/>
      <c r="P1095" s="18" t="inlineStr">
        <is>
          <t>Mapeada en legal-management-service/src/entities/pago-coactivo.entity.ts:51 (PagoCoactivo.soporteUrl)</t>
        </is>
      </c>
      <c r="Q1095" s="18" t="inlineStr">
        <is>
          <t>Propuesta semántica</t>
        </is>
      </c>
      <c r="R1095" s="18" t="inlineStr">
        <is>
          <t>URL del soporte del pago.</t>
        </is>
      </c>
      <c r="S1095" s="18" t="inlineStr">
        <is>
          <t>Alta</t>
        </is>
      </c>
      <c r="T1095" s="18" t="inlineStr">
        <is>
          <t>nombre + tipo</t>
        </is>
      </c>
      <c r="U1095" s="18" t="inlineStr"/>
      <c r="V1095" s="19" t="inlineStr">
        <is>
          <t>Pendiente</t>
        </is>
      </c>
      <c r="W1095" s="19" t="inlineStr"/>
      <c r="X1095" s="19" t="inlineStr"/>
      <c r="Y1095" s="20" t="n"/>
      <c r="Z1095" s="19" t="inlineStr"/>
      <c r="AA1095" s="18">
        <f>IF(OR(V1095="Aprobada"),R1095,IF(AND(OR(V1095="Aprobada con ajuste",V1095="Rechazada"),W1095&lt;&gt;""),W1095,""))</f>
        <v/>
      </c>
    </row>
    <row r="1096">
      <c r="A1096" s="18" t="inlineStr">
        <is>
          <t>C1095</t>
        </is>
      </c>
      <c r="B1096" s="18" t="inlineStr">
        <is>
          <t>Gestión jurídica</t>
        </is>
      </c>
      <c r="C1096" s="18" t="inlineStr">
        <is>
          <t>legal_management</t>
        </is>
      </c>
      <c r="D1096" s="18" t="inlineStr">
        <is>
          <t>pagos_coactivos</t>
        </is>
      </c>
      <c r="E1096" s="18" t="n">
        <v>10</v>
      </c>
      <c r="F1096" s="18" t="inlineStr">
        <is>
          <t>origen</t>
        </is>
      </c>
      <c r="G1096" s="18" t="inlineStr">
        <is>
          <t>character varying(50)</t>
        </is>
      </c>
      <c r="H1096" s="18" t="inlineStr">
        <is>
          <t>Sí</t>
        </is>
      </c>
      <c r="I1096" s="18" t="inlineStr"/>
      <c r="J1096" s="18" t="inlineStr"/>
      <c r="K1096" s="18" t="inlineStr"/>
      <c r="L1096" s="18" t="inlineStr">
        <is>
          <t>No</t>
        </is>
      </c>
      <c r="M1096" s="18" t="inlineStr">
        <is>
          <t>No</t>
        </is>
      </c>
      <c r="N1096" s="18" t="inlineStr"/>
      <c r="O1096" s="18" t="inlineStr"/>
      <c r="P1096" s="18" t="inlineStr">
        <is>
          <t>legal-management-service/src/entities/pago-coactivo.entity.ts:54: BANCO, MANUAL | db/migrations/old/103_create_pagos_historial_coactivos.sql:13: BANCO, MANUAL, etc.</t>
        </is>
      </c>
      <c r="Q1096" s="18" t="inlineStr">
        <is>
          <t>Código fuente</t>
        </is>
      </c>
      <c r="R1096" s="18" t="inlineStr">
        <is>
          <t>Origen del registro del pago. Valores: BANCO, MANUAL. Por defecto, MANUAL.</t>
        </is>
      </c>
      <c r="S1096" s="18" t="inlineStr">
        <is>
          <t>Alta</t>
        </is>
      </c>
      <c r="T1096" s="18" t="inlineStr">
        <is>
          <t>código: pago-coactivo.entity.ts:54</t>
        </is>
      </c>
      <c r="U1096" s="18" t="inlineStr"/>
      <c r="V1096" s="19" t="inlineStr">
        <is>
          <t>Pendiente</t>
        </is>
      </c>
      <c r="W1096" s="19" t="inlineStr"/>
      <c r="X1096" s="19" t="inlineStr"/>
      <c r="Y1096" s="20" t="n"/>
      <c r="Z1096" s="19" t="inlineStr"/>
      <c r="AA1096" s="18">
        <f>IF(OR(V1096="Aprobada"),R1096,IF(AND(OR(V1096="Aprobada con ajuste",V1096="Rechazada"),W1096&lt;&gt;""),W1096,""))</f>
        <v/>
      </c>
    </row>
    <row r="1097">
      <c r="A1097" s="18" t="inlineStr">
        <is>
          <t>C1096</t>
        </is>
      </c>
      <c r="B1097" s="18" t="inlineStr">
        <is>
          <t>Gestión jurídica</t>
        </is>
      </c>
      <c r="C1097" s="18" t="inlineStr">
        <is>
          <t>legal_management</t>
        </is>
      </c>
      <c r="D1097" s="18" t="inlineStr">
        <is>
          <t>pagos_coactivos</t>
        </is>
      </c>
      <c r="E1097" s="18" t="n">
        <v>10</v>
      </c>
      <c r="F1097" s="18" t="inlineStr">
        <is>
          <t>observaciones</t>
        </is>
      </c>
      <c r="G1097" s="18" t="inlineStr">
        <is>
          <t>text</t>
        </is>
      </c>
      <c r="H1097" s="18" t="inlineStr">
        <is>
          <t>Sí</t>
        </is>
      </c>
      <c r="I1097" s="18" t="inlineStr"/>
      <c r="J1097" s="18" t="inlineStr"/>
      <c r="K1097" s="18" t="inlineStr"/>
      <c r="L1097" s="18" t="inlineStr">
        <is>
          <t>No</t>
        </is>
      </c>
      <c r="M1097" s="18" t="inlineStr">
        <is>
          <t>No</t>
        </is>
      </c>
      <c r="N1097" s="18" t="inlineStr"/>
      <c r="O1097" s="18" t="inlineStr"/>
      <c r="P1097" s="18" t="inlineStr">
        <is>
          <t>Mapeada en legal-management-service/src/entities/pago-coactivo.entity.ts:57 (PagoCoactivo.observaciones)</t>
        </is>
      </c>
      <c r="Q1097" s="18" t="inlineStr">
        <is>
          <t>Regla estructural</t>
        </is>
      </c>
      <c r="R1097" s="18" t="inlineStr">
        <is>
          <t>Observaciones registradas sobre el registro.</t>
        </is>
      </c>
      <c r="S1097" s="18" t="inlineStr">
        <is>
          <t>Media</t>
        </is>
      </c>
      <c r="T1097" s="18" t="inlineStr">
        <is>
          <t>Convención de nombre de la columna.</t>
        </is>
      </c>
      <c r="U1097" s="18" t="inlineStr"/>
      <c r="V1097" s="19" t="inlineStr">
        <is>
          <t>Pendiente</t>
        </is>
      </c>
      <c r="W1097" s="19" t="inlineStr"/>
      <c r="X1097" s="19" t="inlineStr"/>
      <c r="Y1097" s="20" t="n"/>
      <c r="Z1097" s="19" t="inlineStr"/>
      <c r="AA1097" s="18">
        <f>IF(OR(V1097="Aprobada"),R1097,IF(AND(OR(V1097="Aprobada con ajuste",V1097="Rechazada"),W1097&lt;&gt;""),W1097,""))</f>
        <v/>
      </c>
    </row>
    <row r="1098">
      <c r="A1098" s="18" t="inlineStr">
        <is>
          <t>C1097</t>
        </is>
      </c>
      <c r="B1098" s="18" t="inlineStr">
        <is>
          <t>Gestión jurídica</t>
        </is>
      </c>
      <c r="C1098" s="18" t="inlineStr">
        <is>
          <t>legal_management</t>
        </is>
      </c>
      <c r="D1098" s="18" t="inlineStr">
        <is>
          <t>pagos_coactivos</t>
        </is>
      </c>
      <c r="E1098" s="18" t="n">
        <v>10</v>
      </c>
      <c r="F1098" s="18" t="inlineStr">
        <is>
          <t>abono_capital</t>
        </is>
      </c>
      <c r="G1098" s="18" t="inlineStr">
        <is>
          <t>numeric(15,2)</t>
        </is>
      </c>
      <c r="H1098" s="18" t="inlineStr">
        <is>
          <t>Sí</t>
        </is>
      </c>
      <c r="I1098" s="18" t="inlineStr"/>
      <c r="J1098" s="18" t="inlineStr"/>
      <c r="K1098" s="18" t="inlineStr"/>
      <c r="L1098" s="18" t="inlineStr">
        <is>
          <t>No</t>
        </is>
      </c>
      <c r="M1098" s="18" t="inlineStr">
        <is>
          <t>No</t>
        </is>
      </c>
      <c r="N1098" s="18" t="inlineStr"/>
      <c r="O1098" s="18" t="inlineStr"/>
      <c r="P1098" s="18" t="inlineStr">
        <is>
          <t>Mapeada en legal-management-service/src/entities/pago-coactivo.entity.ts:24 (PagoCoactivo.abonoCapital)</t>
        </is>
      </c>
      <c r="Q1098" s="18" t="inlineStr">
        <is>
          <t>Propuesta semántica</t>
        </is>
      </c>
      <c r="R1098" s="18" t="inlineStr">
        <is>
          <t>Parte del pago abonada al capital de la obligación. Por defecto, 0.</t>
        </is>
      </c>
      <c r="S1098" s="18" t="inlineStr">
        <is>
          <t>Alta</t>
        </is>
      </c>
      <c r="T1098" s="18" t="inlineStr">
        <is>
          <t>nombre + tipo + columnas vecinas</t>
        </is>
      </c>
      <c r="U1098" s="18" t="inlineStr"/>
      <c r="V1098" s="19" t="inlineStr">
        <is>
          <t>Pendiente</t>
        </is>
      </c>
      <c r="W1098" s="19" t="inlineStr"/>
      <c r="X1098" s="19" t="inlineStr"/>
      <c r="Y1098" s="20" t="n"/>
      <c r="Z1098" s="19" t="inlineStr"/>
      <c r="AA1098" s="18">
        <f>IF(OR(V1098="Aprobada"),R1098,IF(AND(OR(V1098="Aprobada con ajuste",V1098="Rechazada"),W1098&lt;&gt;""),W1098,""))</f>
        <v/>
      </c>
    </row>
    <row r="1099">
      <c r="A1099" s="18" t="inlineStr">
        <is>
          <t>C1098</t>
        </is>
      </c>
      <c r="B1099" s="18" t="inlineStr">
        <is>
          <t>Gestión jurídica</t>
        </is>
      </c>
      <c r="C1099" s="18" t="inlineStr">
        <is>
          <t>legal_management</t>
        </is>
      </c>
      <c r="D1099" s="18" t="inlineStr">
        <is>
          <t>pagos_coactivos</t>
        </is>
      </c>
      <c r="E1099" s="18" t="n">
        <v>10</v>
      </c>
      <c r="F1099" s="18" t="inlineStr">
        <is>
          <t>abono_intereses</t>
        </is>
      </c>
      <c r="G1099" s="18" t="inlineStr">
        <is>
          <t>numeric(15,2)</t>
        </is>
      </c>
      <c r="H1099" s="18" t="inlineStr">
        <is>
          <t>Sí</t>
        </is>
      </c>
      <c r="I1099" s="18" t="inlineStr"/>
      <c r="J1099" s="18" t="inlineStr"/>
      <c r="K1099" s="18" t="inlineStr"/>
      <c r="L1099" s="18" t="inlineStr">
        <is>
          <t>No</t>
        </is>
      </c>
      <c r="M1099" s="18" t="inlineStr">
        <is>
          <t>No</t>
        </is>
      </c>
      <c r="N1099" s="18" t="inlineStr"/>
      <c r="O1099" s="18" t="inlineStr"/>
      <c r="P1099" s="18" t="inlineStr">
        <is>
          <t>Mapeada en legal-management-service/src/entities/pago-coactivo.entity.ts:32 (PagoCoactivo.abonoIntereses)</t>
        </is>
      </c>
      <c r="Q1099" s="18" t="inlineStr">
        <is>
          <t>Propuesta semántica</t>
        </is>
      </c>
      <c r="R1099" s="18" t="inlineStr">
        <is>
          <t>Parte del pago abonada a los intereses de la obligación. Por defecto, 0.</t>
        </is>
      </c>
      <c r="S1099" s="18" t="inlineStr">
        <is>
          <t>Alta</t>
        </is>
      </c>
      <c r="T1099" s="18" t="inlineStr">
        <is>
          <t>nombre + tipo + columnas vecinas</t>
        </is>
      </c>
      <c r="U1099" s="18" t="inlineStr"/>
      <c r="V1099" s="19" t="inlineStr">
        <is>
          <t>Pendiente</t>
        </is>
      </c>
      <c r="W1099" s="19" t="inlineStr"/>
      <c r="X1099" s="19" t="inlineStr"/>
      <c r="Y1099" s="20" t="n"/>
      <c r="Z1099" s="19" t="inlineStr"/>
      <c r="AA1099" s="18">
        <f>IF(OR(V1099="Aprobada"),R1099,IF(AND(OR(V1099="Aprobada con ajuste",V1099="Rechazada"),W1099&lt;&gt;""),W1099,""))</f>
        <v/>
      </c>
    </row>
    <row r="1100">
      <c r="A1100" s="18" t="inlineStr">
        <is>
          <t>C1099</t>
        </is>
      </c>
      <c r="B1100" s="18" t="inlineStr">
        <is>
          <t>Gestión jurídica</t>
        </is>
      </c>
      <c r="C1100" s="18" t="inlineStr">
        <is>
          <t>legal_management</t>
        </is>
      </c>
      <c r="D1100" s="18" t="inlineStr">
        <is>
          <t>pagos_coactivos</t>
        </is>
      </c>
      <c r="E1100" s="18" t="n">
        <v>10</v>
      </c>
      <c r="F1100" s="18" t="inlineStr">
        <is>
          <t>abono_costas</t>
        </is>
      </c>
      <c r="G1100" s="18" t="inlineStr">
        <is>
          <t>numeric(15,2)</t>
        </is>
      </c>
      <c r="H1100" s="18" t="inlineStr">
        <is>
          <t>Sí</t>
        </is>
      </c>
      <c r="I1100" s="18" t="inlineStr"/>
      <c r="J1100" s="18" t="inlineStr"/>
      <c r="K1100" s="18" t="inlineStr"/>
      <c r="L1100" s="18" t="inlineStr">
        <is>
          <t>No</t>
        </is>
      </c>
      <c r="M1100" s="18" t="inlineStr">
        <is>
          <t>No</t>
        </is>
      </c>
      <c r="N1100" s="18" t="inlineStr"/>
      <c r="O1100" s="18" t="inlineStr"/>
      <c r="P1100" s="18" t="inlineStr">
        <is>
          <t>Mapeada en legal-management-service/src/entities/pago-coactivo.entity.ts:40 (PagoCoactivo.abonoCostas)</t>
        </is>
      </c>
      <c r="Q1100" s="18" t="inlineStr">
        <is>
          <t>Propuesta semántica</t>
        </is>
      </c>
      <c r="R1100" s="18" t="inlineStr">
        <is>
          <t>Parte del pago abonada a las costas del proceso. Por defecto, 0.</t>
        </is>
      </c>
      <c r="S1100" s="18" t="inlineStr">
        <is>
          <t>Alta</t>
        </is>
      </c>
      <c r="T1100" s="18" t="inlineStr">
        <is>
          <t>nombre + tipo + columnas vecinas</t>
        </is>
      </c>
      <c r="U1100" s="18" t="inlineStr"/>
      <c r="V1100" s="19" t="inlineStr">
        <is>
          <t>Pendiente</t>
        </is>
      </c>
      <c r="W1100" s="19" t="inlineStr"/>
      <c r="X1100" s="19" t="inlineStr"/>
      <c r="Y1100" s="20" t="n"/>
      <c r="Z1100" s="19" t="inlineStr"/>
      <c r="AA1100" s="18">
        <f>IF(OR(V1100="Aprobada"),R1100,IF(AND(OR(V1100="Aprobada con ajuste",V1100="Rechazada"),W1100&lt;&gt;""),W1100,""))</f>
        <v/>
      </c>
    </row>
    <row r="1101">
      <c r="A1101" s="18" t="inlineStr">
        <is>
          <t>C1100</t>
        </is>
      </c>
      <c r="B1101" s="18" t="inlineStr">
        <is>
          <t>Gestión jurídica</t>
        </is>
      </c>
      <c r="C1101" s="18" t="inlineStr">
        <is>
          <t>legal_management</t>
        </is>
      </c>
      <c r="D1101" s="18" t="inlineStr">
        <is>
          <t>pei_indicadores</t>
        </is>
      </c>
      <c r="E1101" s="18" t="n">
        <v>24</v>
      </c>
      <c r="F1101" s="18" t="inlineStr">
        <is>
          <t>nombre</t>
        </is>
      </c>
      <c r="G1101" s="18" t="inlineStr">
        <is>
          <t>character varying(255)</t>
        </is>
      </c>
      <c r="H1101" s="18" t="inlineStr">
        <is>
          <t>No</t>
        </is>
      </c>
      <c r="I1101" s="18" t="inlineStr"/>
      <c r="J1101" s="18" t="inlineStr"/>
      <c r="K1101" s="18" t="inlineStr"/>
      <c r="L1101" s="18" t="inlineStr">
        <is>
          <t>No</t>
        </is>
      </c>
      <c r="M1101" s="18" t="inlineStr">
        <is>
          <t>No</t>
        </is>
      </c>
      <c r="N1101" s="18" t="inlineStr"/>
      <c r="O1101" s="18" t="inlineStr"/>
      <c r="P1101" s="18" t="inlineStr">
        <is>
          <t>db/migrations/old/053_create_pei_module.sql:6: Ej: "Eficiencia en Defensa Judicial"</t>
        </is>
      </c>
      <c r="Q1101" s="18" t="inlineStr">
        <is>
          <t>Código fuente</t>
        </is>
      </c>
      <c r="R1101" s="18" t="inlineStr">
        <is>
          <t>Nombre del indicador del PEI (por ejemplo, «Eficiencia en Defensa Judicial»).</t>
        </is>
      </c>
      <c r="S1101" s="18" t="inlineStr">
        <is>
          <t>Alta</t>
        </is>
      </c>
      <c r="T1101" s="18" t="inlineStr">
        <is>
          <t>código: db/migrations/old/053_create_pei_module.sql:6</t>
        </is>
      </c>
      <c r="U1101" s="18" t="inlineStr"/>
      <c r="V1101" s="19" t="inlineStr">
        <is>
          <t>Pendiente</t>
        </is>
      </c>
      <c r="W1101" s="19" t="inlineStr"/>
      <c r="X1101" s="19" t="inlineStr"/>
      <c r="Y1101" s="20" t="n"/>
      <c r="Z1101" s="19" t="inlineStr"/>
      <c r="AA1101" s="18">
        <f>IF(OR(V1101="Aprobada"),R1101,IF(AND(OR(V1101="Aprobada con ajuste",V1101="Rechazada"),W1101&lt;&gt;""),W1101,""))</f>
        <v/>
      </c>
    </row>
    <row r="1102">
      <c r="A1102" s="18" t="inlineStr">
        <is>
          <t>C1101</t>
        </is>
      </c>
      <c r="B1102" s="18" t="inlineStr">
        <is>
          <t>Gestión jurídica</t>
        </is>
      </c>
      <c r="C1102" s="18" t="inlineStr">
        <is>
          <t>legal_management</t>
        </is>
      </c>
      <c r="D1102" s="18" t="inlineStr">
        <is>
          <t>pei_indicadores</t>
        </is>
      </c>
      <c r="E1102" s="18" t="n">
        <v>24</v>
      </c>
      <c r="F1102" s="18" t="inlineStr">
        <is>
          <t>descripcion</t>
        </is>
      </c>
      <c r="G1102" s="18" t="inlineStr">
        <is>
          <t>text</t>
        </is>
      </c>
      <c r="H1102" s="18" t="inlineStr">
        <is>
          <t>Sí</t>
        </is>
      </c>
      <c r="I1102" s="18" t="inlineStr"/>
      <c r="J1102" s="18" t="inlineStr"/>
      <c r="K1102" s="18" t="inlineStr"/>
      <c r="L1102" s="18" t="inlineStr">
        <is>
          <t>No</t>
        </is>
      </c>
      <c r="M1102" s="18" t="inlineStr">
        <is>
          <t>No</t>
        </is>
      </c>
      <c r="N1102" s="18" t="inlineStr"/>
      <c r="O1102" s="18" t="inlineStr"/>
      <c r="P1102" s="18" t="inlineStr">
        <is>
          <t>Mapeada en legal-management-service/src/entities/pei-indicador.entity.ts:12 (PeiIndicador.descripcion)</t>
        </is>
      </c>
      <c r="Q1102" s="18" t="inlineStr">
        <is>
          <t>Regla estructural</t>
        </is>
      </c>
      <c r="R1102" s="18" t="inlineStr">
        <is>
          <t>Descripción del registro de pei_indicadores.</t>
        </is>
      </c>
      <c r="S1102" s="18" t="inlineStr">
        <is>
          <t>Media</t>
        </is>
      </c>
      <c r="T1102" s="18" t="inlineStr">
        <is>
          <t>Convención de nombre de la columna.</t>
        </is>
      </c>
      <c r="U1102" s="18" t="inlineStr"/>
      <c r="V1102" s="19" t="inlineStr">
        <is>
          <t>Pendiente</t>
        </is>
      </c>
      <c r="W1102" s="19" t="inlineStr"/>
      <c r="X1102" s="19" t="inlineStr"/>
      <c r="Y1102" s="20" t="n"/>
      <c r="Z1102" s="19" t="inlineStr"/>
      <c r="AA1102" s="18">
        <f>IF(OR(V1102="Aprobada"),R1102,IF(AND(OR(V1102="Aprobada con ajuste",V1102="Rechazada"),W1102&lt;&gt;""),W1102,""))</f>
        <v/>
      </c>
    </row>
    <row r="1103">
      <c r="A1103" s="18" t="inlineStr">
        <is>
          <t>C1102</t>
        </is>
      </c>
      <c r="B1103" s="18" t="inlineStr">
        <is>
          <t>Gestión jurídica</t>
        </is>
      </c>
      <c r="C1103" s="18" t="inlineStr">
        <is>
          <t>legal_management</t>
        </is>
      </c>
      <c r="D1103" s="18" t="inlineStr">
        <is>
          <t>pei_indicadores</t>
        </is>
      </c>
      <c r="E1103" s="18" t="n">
        <v>24</v>
      </c>
      <c r="F1103" s="18" t="inlineStr">
        <is>
          <t>eje_estrategico</t>
        </is>
      </c>
      <c r="G1103" s="18" t="inlineStr">
        <is>
          <t>character varying(50)</t>
        </is>
      </c>
      <c r="H1103" s="18" t="inlineStr">
        <is>
          <t>No</t>
        </is>
      </c>
      <c r="I1103" s="18" t="inlineStr"/>
      <c r="J1103" s="18" t="inlineStr"/>
      <c r="K1103" s="18" t="inlineStr"/>
      <c r="L1103" s="18" t="inlineStr">
        <is>
          <t>No</t>
        </is>
      </c>
      <c r="M1103" s="18" t="inlineStr">
        <is>
          <t>No</t>
        </is>
      </c>
      <c r="N1103" s="18" t="inlineStr"/>
      <c r="O1103" s="18" t="inlineStr">
        <is>
          <t>idx_pei_eje</t>
        </is>
      </c>
      <c r="P1103" s="18" t="inlineStr">
        <is>
          <t>legal-management-service/src/entities/pei-indicador.entity.ts:15: 'GESTION', 'TALENTO', 'TRANSPARENCIA', 'TECNOLOGIA' | db/migrations/old/053_create_pei_module.sql:10: Clasificación 'GESTION', 'TALENTO', 'TRANSPARENCIA', 'TECNOLOGIA'</t>
        </is>
      </c>
      <c r="Q1103" s="18" t="inlineStr">
        <is>
          <t>Código fuente</t>
        </is>
      </c>
      <c r="R1103" s="18" t="inlineStr">
        <is>
          <t>Eje estratégico del indicador. Valores: GESTION, TALENTO, TRANSPARENCIA, TECNOLOGIA.</t>
        </is>
      </c>
      <c r="S1103" s="18" t="inlineStr">
        <is>
          <t>Alta</t>
        </is>
      </c>
      <c r="T1103" s="18" t="inlineStr">
        <is>
          <t>código: pei-indicador.entity.ts:15</t>
        </is>
      </c>
      <c r="U1103" s="18" t="inlineStr"/>
      <c r="V1103" s="19" t="inlineStr">
        <is>
          <t>Pendiente</t>
        </is>
      </c>
      <c r="W1103" s="19" t="inlineStr"/>
      <c r="X1103" s="19" t="inlineStr"/>
      <c r="Y1103" s="20" t="n"/>
      <c r="Z1103" s="19" t="inlineStr"/>
      <c r="AA1103" s="18">
        <f>IF(OR(V1103="Aprobada"),R1103,IF(AND(OR(V1103="Aprobada con ajuste",V1103="Rechazada"),W1103&lt;&gt;""),W1103,""))</f>
        <v/>
      </c>
    </row>
    <row r="1104">
      <c r="A1104" s="18" t="inlineStr">
        <is>
          <t>C1103</t>
        </is>
      </c>
      <c r="B1104" s="18" t="inlineStr">
        <is>
          <t>Gestión jurídica</t>
        </is>
      </c>
      <c r="C1104" s="18" t="inlineStr">
        <is>
          <t>legal_management</t>
        </is>
      </c>
      <c r="D1104" s="18" t="inlineStr">
        <is>
          <t>pei_indicadores</t>
        </is>
      </c>
      <c r="E1104" s="18" t="n">
        <v>24</v>
      </c>
      <c r="F1104" s="18" t="inlineStr">
        <is>
          <t>meta_objetivo</t>
        </is>
      </c>
      <c r="G1104" s="18" t="inlineStr">
        <is>
          <t>numeric(10,2)</t>
        </is>
      </c>
      <c r="H1104" s="18" t="inlineStr">
        <is>
          <t>No</t>
        </is>
      </c>
      <c r="I1104" s="18" t="inlineStr"/>
      <c r="J1104" s="18" t="inlineStr"/>
      <c r="K1104" s="18" t="inlineStr"/>
      <c r="L1104" s="18" t="inlineStr">
        <is>
          <t>No</t>
        </is>
      </c>
      <c r="M1104" s="18" t="inlineStr">
        <is>
          <t>No</t>
        </is>
      </c>
      <c r="N1104" s="18" t="inlineStr"/>
      <c r="O1104" s="18" t="inlineStr"/>
      <c r="P1104" s="18" t="inlineStr">
        <is>
          <t>db/migrations/old/053_create_pei_module.sql:13: Metas Numéricas Ej: 100.00</t>
        </is>
      </c>
      <c r="Q1104" s="18" t="inlineStr">
        <is>
          <t>Código fuente</t>
        </is>
      </c>
      <c r="R1104" s="18" t="inlineStr">
        <is>
          <t>Meta numérica del indicador, por ejemplo 100.00.</t>
        </is>
      </c>
      <c r="S1104" s="18" t="inlineStr">
        <is>
          <t>Media</t>
        </is>
      </c>
      <c r="T1104" s="18" t="inlineStr">
        <is>
          <t>código: db/migrations/old/053_create_pei_module.sql:13</t>
        </is>
      </c>
      <c r="U1104" s="18" t="inlineStr">
        <is>
          <t>¿La meta se expresa en la unidad indicada en unidad_medida?</t>
        </is>
      </c>
      <c r="V1104" s="19" t="inlineStr">
        <is>
          <t>Pendiente</t>
        </is>
      </c>
      <c r="W1104" s="19" t="inlineStr"/>
      <c r="X1104" s="19" t="inlineStr"/>
      <c r="Y1104" s="20" t="n"/>
      <c r="Z1104" s="19" t="inlineStr"/>
      <c r="AA1104" s="18">
        <f>IF(OR(V1104="Aprobada"),R1104,IF(AND(OR(V1104="Aprobada con ajuste",V1104="Rechazada"),W1104&lt;&gt;""),W1104,""))</f>
        <v/>
      </c>
    </row>
    <row r="1105">
      <c r="A1105" s="18" t="inlineStr">
        <is>
          <t>C1104</t>
        </is>
      </c>
      <c r="B1105" s="18" t="inlineStr">
        <is>
          <t>Gestión jurídica</t>
        </is>
      </c>
      <c r="C1105" s="18" t="inlineStr">
        <is>
          <t>legal_management</t>
        </is>
      </c>
      <c r="D1105" s="18" t="inlineStr">
        <is>
          <t>pei_indicadores</t>
        </is>
      </c>
      <c r="E1105" s="18" t="n">
        <v>24</v>
      </c>
      <c r="F1105" s="18" t="inlineStr">
        <is>
          <t>unidad_medida</t>
        </is>
      </c>
      <c r="G1105" s="18" t="inlineStr">
        <is>
          <t>character varying(20)</t>
        </is>
      </c>
      <c r="H1105" s="18" t="inlineStr">
        <is>
          <t>Sí</t>
        </is>
      </c>
      <c r="I1105" s="18" t="inlineStr"/>
      <c r="J1105" s="18" t="inlineStr"/>
      <c r="K1105" s="18" t="inlineStr"/>
      <c r="L1105" s="18" t="inlineStr">
        <is>
          <t>No</t>
        </is>
      </c>
      <c r="M1105" s="18" t="inlineStr">
        <is>
          <t>No</t>
        </is>
      </c>
      <c r="N1105" s="18" t="inlineStr"/>
      <c r="O1105" s="18" t="inlineStr"/>
      <c r="P1105" s="18" t="inlineStr">
        <is>
          <t>db/migrations/old/053_create_pei_module.sql:14: 'PORCENTAJE', 'NUMERO', 'MONEDA'</t>
        </is>
      </c>
      <c r="Q1105" s="18" t="inlineStr">
        <is>
          <t>Código fuente</t>
        </is>
      </c>
      <c r="R1105" s="18" t="inlineStr">
        <is>
          <t>Unidad de medida de la meta. Valores: PORCENTAJE, NUMERO, MONEDA; valor por defecto PORCENTAJE.</t>
        </is>
      </c>
      <c r="S1105" s="18" t="inlineStr">
        <is>
          <t>Alta</t>
        </is>
      </c>
      <c r="T1105" s="18" t="inlineStr">
        <is>
          <t>código: db/migrations/old/053_create_pei_module.sql:14</t>
        </is>
      </c>
      <c r="U1105" s="18" t="inlineStr"/>
      <c r="V1105" s="19" t="inlineStr">
        <is>
          <t>Pendiente</t>
        </is>
      </c>
      <c r="W1105" s="19" t="inlineStr"/>
      <c r="X1105" s="19" t="inlineStr"/>
      <c r="Y1105" s="20" t="n"/>
      <c r="Z1105" s="19" t="inlineStr"/>
      <c r="AA1105" s="18">
        <f>IF(OR(V1105="Aprobada"),R1105,IF(AND(OR(V1105="Aprobada con ajuste",V1105="Rechazada"),W1105&lt;&gt;""),W1105,""))</f>
        <v/>
      </c>
    </row>
    <row r="1106">
      <c r="A1106" s="18" t="inlineStr">
        <is>
          <t>C1105</t>
        </is>
      </c>
      <c r="B1106" s="18" t="inlineStr">
        <is>
          <t>Gestión jurídica</t>
        </is>
      </c>
      <c r="C1106" s="18" t="inlineStr">
        <is>
          <t>legal_management</t>
        </is>
      </c>
      <c r="D1106" s="18" t="inlineStr">
        <is>
          <t>pei_indicadores</t>
        </is>
      </c>
      <c r="E1106" s="18" t="n">
        <v>24</v>
      </c>
      <c r="F1106" s="18" t="inlineStr">
        <is>
          <t>fecha_inicio</t>
        </is>
      </c>
      <c r="G1106" s="18" t="inlineStr">
        <is>
          <t>date</t>
        </is>
      </c>
      <c r="H1106" s="18" t="inlineStr">
        <is>
          <t>No</t>
        </is>
      </c>
      <c r="I1106" s="18" t="inlineStr"/>
      <c r="J1106" s="18" t="inlineStr"/>
      <c r="K1106" s="18" t="inlineStr"/>
      <c r="L1106" s="18" t="inlineStr">
        <is>
          <t>No</t>
        </is>
      </c>
      <c r="M1106" s="18" t="inlineStr">
        <is>
          <t>No</t>
        </is>
      </c>
      <c r="N1106" s="18" t="inlineStr"/>
      <c r="O1106" s="18" t="inlineStr"/>
      <c r="P1106" s="18" t="inlineStr">
        <is>
          <t>legal-management-service/src/entities/pei-indicador.entity.ts:24: TypeORM maps date types to string by default or Date | db/migrations/old/053_create_pei_module.sql:17: Plazos</t>
        </is>
      </c>
      <c r="Q1106" s="18" t="inlineStr">
        <is>
          <t>Código fuente</t>
        </is>
      </c>
      <c r="R1106" s="18" t="inlineStr">
        <is>
          <t>Fecha de inicio del plazo del indicador.</t>
        </is>
      </c>
      <c r="S1106" s="18" t="inlineStr">
        <is>
          <t>Alta</t>
        </is>
      </c>
      <c r="T1106" s="18" t="inlineStr">
        <is>
          <t>código: db/migrations/old/053_create_pei_module.sql:17</t>
        </is>
      </c>
      <c r="U1106" s="18" t="inlineStr"/>
      <c r="V1106" s="19" t="inlineStr">
        <is>
          <t>Pendiente</t>
        </is>
      </c>
      <c r="W1106" s="19" t="inlineStr"/>
      <c r="X1106" s="19" t="inlineStr"/>
      <c r="Y1106" s="20" t="n"/>
      <c r="Z1106" s="19" t="inlineStr"/>
      <c r="AA1106" s="18">
        <f>IF(OR(V1106="Aprobada"),R1106,IF(AND(OR(V1106="Aprobada con ajuste",V1106="Rechazada"),W1106&lt;&gt;""),W1106,""))</f>
        <v/>
      </c>
    </row>
    <row r="1107">
      <c r="A1107" s="18" t="inlineStr">
        <is>
          <t>C1106</t>
        </is>
      </c>
      <c r="B1107" s="18" t="inlineStr">
        <is>
          <t>Gestión jurídica</t>
        </is>
      </c>
      <c r="C1107" s="18" t="inlineStr">
        <is>
          <t>legal_management</t>
        </is>
      </c>
      <c r="D1107" s="18" t="inlineStr">
        <is>
          <t>pei_indicadores</t>
        </is>
      </c>
      <c r="E1107" s="18" t="n">
        <v>24</v>
      </c>
      <c r="F1107" s="18" t="inlineStr">
        <is>
          <t>fecha_fin</t>
        </is>
      </c>
      <c r="G1107" s="18" t="inlineStr">
        <is>
          <t>date</t>
        </is>
      </c>
      <c r="H1107" s="18" t="inlineStr">
        <is>
          <t>No</t>
        </is>
      </c>
      <c r="I1107" s="18" t="inlineStr"/>
      <c r="J1107" s="18" t="inlineStr"/>
      <c r="K1107" s="18" t="inlineStr"/>
      <c r="L1107" s="18" t="inlineStr">
        <is>
          <t>No</t>
        </is>
      </c>
      <c r="M1107" s="18" t="inlineStr">
        <is>
          <t>No</t>
        </is>
      </c>
      <c r="N1107" s="18" t="inlineStr"/>
      <c r="O1107" s="18" t="inlineStr"/>
      <c r="P1107" s="18" t="inlineStr">
        <is>
          <t>Mapeada en legal-management-service/src/entities/pei-indicador.entity.ts:27 (PeiIndicador.fechaFin)</t>
        </is>
      </c>
      <c r="Q1107" s="18" t="inlineStr">
        <is>
          <t>Regla estructural</t>
        </is>
      </c>
      <c r="R1107" s="18" t="inlineStr">
        <is>
          <t>Fecha de finalización.</t>
        </is>
      </c>
      <c r="S1107" s="18" t="inlineStr">
        <is>
          <t>Media</t>
        </is>
      </c>
      <c r="T1107" s="18" t="inlineStr">
        <is>
          <t>Convención de nombre de la columna.</t>
        </is>
      </c>
      <c r="U1107" s="18" t="inlineStr"/>
      <c r="V1107" s="19" t="inlineStr">
        <is>
          <t>Pendiente</t>
        </is>
      </c>
      <c r="W1107" s="19" t="inlineStr"/>
      <c r="X1107" s="19" t="inlineStr"/>
      <c r="Y1107" s="20" t="n"/>
      <c r="Z1107" s="19" t="inlineStr"/>
      <c r="AA1107" s="18">
        <f>IF(OR(V1107="Aprobada"),R1107,IF(AND(OR(V1107="Aprobada con ajuste",V1107="Rechazada"),W1107&lt;&gt;""),W1107,""))</f>
        <v/>
      </c>
    </row>
    <row r="1108">
      <c r="A1108" s="18" t="inlineStr">
        <is>
          <t>C1107</t>
        </is>
      </c>
      <c r="B1108" s="18" t="inlineStr">
        <is>
          <t>Gestión jurídica</t>
        </is>
      </c>
      <c r="C1108" s="18" t="inlineStr">
        <is>
          <t>legal_management</t>
        </is>
      </c>
      <c r="D1108" s="18" t="inlineStr">
        <is>
          <t>pei_indicadores</t>
        </is>
      </c>
      <c r="E1108" s="18" t="n">
        <v>24</v>
      </c>
      <c r="F1108" s="18" t="inlineStr">
        <is>
          <t>frecuencia_medicion</t>
        </is>
      </c>
      <c r="G1108" s="18" t="inlineStr">
        <is>
          <t>character varying(20)</t>
        </is>
      </c>
      <c r="H1108" s="18" t="inlineStr">
        <is>
          <t>Sí</t>
        </is>
      </c>
      <c r="I1108" s="18" t="inlineStr"/>
      <c r="J1108" s="18" t="inlineStr"/>
      <c r="K1108" s="18" t="inlineStr"/>
      <c r="L1108" s="18" t="inlineStr">
        <is>
          <t>No</t>
        </is>
      </c>
      <c r="M1108" s="18" t="inlineStr">
        <is>
          <t>No</t>
        </is>
      </c>
      <c r="N1108" s="18" t="inlineStr"/>
      <c r="O1108" s="18" t="inlineStr"/>
      <c r="P1108" s="18" t="inlineStr">
        <is>
          <t>Mapeada en legal-management-service/src/entities/pei-indicador.entity.ts:30 (PeiIndicador.frecuenciaMedicion)</t>
        </is>
      </c>
      <c r="Q1108" s="18" t="inlineStr">
        <is>
          <t>Propuesta semántica</t>
        </is>
      </c>
      <c r="R1108" s="18" t="inlineStr">
        <is>
          <t>Frecuencia de medición del indicador. Por defecto, MENSUAL.</t>
        </is>
      </c>
      <c r="S1108" s="18" t="inlineStr">
        <is>
          <t>Media</t>
        </is>
      </c>
      <c r="T1108" s="18" t="inlineStr">
        <is>
          <t>nombre + tipo + defecto</t>
        </is>
      </c>
      <c r="U1108" s="18" t="inlineStr">
        <is>
          <t>¿Qué valores admite la frecuencia además de MENSUAL?</t>
        </is>
      </c>
      <c r="V1108" s="19" t="inlineStr">
        <is>
          <t>Pendiente</t>
        </is>
      </c>
      <c r="W1108" s="19" t="inlineStr"/>
      <c r="X1108" s="19" t="inlineStr"/>
      <c r="Y1108" s="20" t="n"/>
      <c r="Z1108" s="19" t="inlineStr"/>
      <c r="AA1108" s="18">
        <f>IF(OR(V1108="Aprobada"),R1108,IF(AND(OR(V1108="Aprobada con ajuste",V1108="Rechazada"),W1108&lt;&gt;""),W1108,""))</f>
        <v/>
      </c>
    </row>
    <row r="1109">
      <c r="A1109" s="18" t="inlineStr">
        <is>
          <t>C1108</t>
        </is>
      </c>
      <c r="B1109" s="18" t="inlineStr">
        <is>
          <t>Gestión jurídica</t>
        </is>
      </c>
      <c r="C1109" s="18" t="inlineStr">
        <is>
          <t>legal_management</t>
        </is>
      </c>
      <c r="D1109" s="18" t="inlineStr">
        <is>
          <t>pei_indicadores</t>
        </is>
      </c>
      <c r="E1109" s="18" t="n">
        <v>24</v>
      </c>
      <c r="F1109" s="18" t="inlineStr">
        <is>
          <t>responsable_id</t>
        </is>
      </c>
      <c r="G1109" s="18" t="inlineStr">
        <is>
          <t>uuid</t>
        </is>
      </c>
      <c r="H1109" s="18" t="inlineStr">
        <is>
          <t>Sí</t>
        </is>
      </c>
      <c r="I1109" s="18" t="inlineStr"/>
      <c r="J1109" s="18" t="inlineStr"/>
      <c r="K1109" s="18" t="inlineStr"/>
      <c r="L1109" s="18" t="inlineStr">
        <is>
          <t>No</t>
        </is>
      </c>
      <c r="M1109" s="18" t="inlineStr">
        <is>
          <t>No</t>
        </is>
      </c>
      <c r="N1109" s="18" t="inlineStr"/>
      <c r="O1109" s="18" t="inlineStr"/>
      <c r="P1109" s="18" t="inlineStr">
        <is>
          <t>db/migrations/old/053_create_pei_module.sql:22: Responsable Changed to UUID to match existing user system if applicable, or keep INT if external. Using UUID for consistency with 'users' usually.</t>
        </is>
      </c>
      <c r="Q1109" s="18" t="inlineStr">
        <is>
          <t>Código fuente</t>
        </is>
      </c>
      <c r="R1109" s="18" t="inlineStr">
        <is>
          <t>Identificador (UUID) del usuario responsable del indicador.</t>
        </is>
      </c>
      <c r="S1109" s="18" t="inlineStr">
        <is>
          <t>Media</t>
        </is>
      </c>
      <c r="T1109" s="18" t="inlineStr">
        <is>
          <t>código: db/migrations/old/053_create_pei_module.sql:22</t>
        </is>
      </c>
      <c r="U1109" s="18" t="inlineStr">
        <is>
          <t>¿Referencia a auth."user", a auth.personas o a la tabla de abogados?</t>
        </is>
      </c>
      <c r="V1109" s="19" t="inlineStr">
        <is>
          <t>Pendiente</t>
        </is>
      </c>
      <c r="W1109" s="19" t="inlineStr"/>
      <c r="X1109" s="19" t="inlineStr"/>
      <c r="Y1109" s="20" t="n"/>
      <c r="Z1109" s="19" t="inlineStr"/>
      <c r="AA1109" s="18">
        <f>IF(OR(V1109="Aprobada"),R1109,IF(AND(OR(V1109="Aprobada con ajuste",V1109="Rechazada"),W1109&lt;&gt;""),W1109,""))</f>
        <v/>
      </c>
    </row>
    <row r="1110">
      <c r="A1110" s="18" t="inlineStr">
        <is>
          <t>C1109</t>
        </is>
      </c>
      <c r="B1110" s="18" t="inlineStr">
        <is>
          <t>Gestión jurídica</t>
        </is>
      </c>
      <c r="C1110" s="18" t="inlineStr">
        <is>
          <t>legal_management</t>
        </is>
      </c>
      <c r="D1110" s="18" t="inlineStr">
        <is>
          <t>pei_indicadores</t>
        </is>
      </c>
      <c r="E1110" s="18" t="n">
        <v>24</v>
      </c>
      <c r="F1110" s="18" t="inlineStr">
        <is>
          <t>responsable_nombre</t>
        </is>
      </c>
      <c r="G1110" s="18" t="inlineStr">
        <is>
          <t>character varying(200)</t>
        </is>
      </c>
      <c r="H1110" s="18" t="inlineStr">
        <is>
          <t>Sí</t>
        </is>
      </c>
      <c r="I1110" s="18" t="inlineStr"/>
      <c r="J1110" s="18" t="inlineStr"/>
      <c r="K1110" s="18" t="inlineStr"/>
      <c r="L1110" s="18" t="inlineStr">
        <is>
          <t>No</t>
        </is>
      </c>
      <c r="M1110" s="18" t="inlineStr">
        <is>
          <t>No</t>
        </is>
      </c>
      <c r="N1110" s="18" t="inlineStr"/>
      <c r="O1110" s="18" t="inlineStr"/>
      <c r="P1110" s="18" t="inlineStr">
        <is>
          <t>db/migrations/old/053_create_pei_module.sql:23: Snapshot for display</t>
        </is>
      </c>
      <c r="Q1110" s="18" t="inlineStr">
        <is>
          <t>Código fuente</t>
        </is>
      </c>
      <c r="R1110" s="18" t="inlineStr">
        <is>
          <t>Nombre del responsable del indicador, copiado para mostrar.</t>
        </is>
      </c>
      <c r="S1110" s="18" t="inlineStr">
        <is>
          <t>Alta</t>
        </is>
      </c>
      <c r="T1110" s="18" t="inlineStr">
        <is>
          <t>código: db/migrations/old/053_create_pei_module.sql:23</t>
        </is>
      </c>
      <c r="U1110" s="18" t="inlineStr"/>
      <c r="V1110" s="19" t="inlineStr">
        <is>
          <t>Pendiente</t>
        </is>
      </c>
      <c r="W1110" s="19" t="inlineStr"/>
      <c r="X1110" s="19" t="inlineStr"/>
      <c r="Y1110" s="20" t="n"/>
      <c r="Z1110" s="19" t="inlineStr"/>
      <c r="AA1110" s="18">
        <f>IF(OR(V1110="Aprobada"),R1110,IF(AND(OR(V1110="Aprobada con ajuste",V1110="Rechazada"),W1110&lt;&gt;""),W1110,""))</f>
        <v/>
      </c>
    </row>
    <row r="1111">
      <c r="A1111" s="18" t="inlineStr">
        <is>
          <t>C1110</t>
        </is>
      </c>
      <c r="B1111" s="18" t="inlineStr">
        <is>
          <t>Gestión jurídica</t>
        </is>
      </c>
      <c r="C1111" s="18" t="inlineStr">
        <is>
          <t>legal_management</t>
        </is>
      </c>
      <c r="D1111" s="18" t="inlineStr">
        <is>
          <t>pei_indicadores</t>
        </is>
      </c>
      <c r="E1111" s="18" t="n">
        <v>24</v>
      </c>
      <c r="F1111" s="18" t="inlineStr">
        <is>
          <t>estado</t>
        </is>
      </c>
      <c r="G1111" s="18" t="inlineStr">
        <is>
          <t>character varying(20)</t>
        </is>
      </c>
      <c r="H1111" s="18" t="inlineStr">
        <is>
          <t>Sí</t>
        </is>
      </c>
      <c r="I1111" s="18" t="inlineStr"/>
      <c r="J1111" s="18" t="inlineStr"/>
      <c r="K1111" s="18" t="inlineStr"/>
      <c r="L1111" s="18" t="inlineStr">
        <is>
          <t>No</t>
        </is>
      </c>
      <c r="M1111" s="18" t="inlineStr">
        <is>
          <t>No</t>
        </is>
      </c>
      <c r="N1111" s="18" t="inlineStr"/>
      <c r="O1111" s="18" t="inlineStr">
        <is>
          <t>idx_pei_estado</t>
        </is>
      </c>
      <c r="P1111" s="18" t="inlineStr">
        <is>
          <t>db/migrations/old/053_create_pei_module.sql:26: Estado del Indicador 'ACTIVO', 'INACTIVO', 'ARCHIVADO'</t>
        </is>
      </c>
      <c r="Q1111" s="18" t="inlineStr">
        <is>
          <t>Código fuente</t>
        </is>
      </c>
      <c r="R1111" s="18" t="inlineStr">
        <is>
          <t>Estado del indicador. Valores: ACTIVO, INACTIVO, ARCHIVADO; valor por defecto ACTIVO.</t>
        </is>
      </c>
      <c r="S1111" s="18" t="inlineStr">
        <is>
          <t>Alta</t>
        </is>
      </c>
      <c r="T1111" s="18" t="inlineStr">
        <is>
          <t>código: db/migrations/old/053_create_pei_module.sql:26</t>
        </is>
      </c>
      <c r="U1111" s="18" t="inlineStr"/>
      <c r="V1111" s="19" t="inlineStr">
        <is>
          <t>Pendiente</t>
        </is>
      </c>
      <c r="W1111" s="19" t="inlineStr"/>
      <c r="X1111" s="19" t="inlineStr"/>
      <c r="Y1111" s="20" t="n"/>
      <c r="Z1111" s="19" t="inlineStr"/>
      <c r="AA1111" s="18">
        <f>IF(OR(V1111="Aprobada"),R1111,IF(AND(OR(V1111="Aprobada con ajuste",V1111="Rechazada"),W1111&lt;&gt;""),W1111,""))</f>
        <v/>
      </c>
    </row>
    <row r="1112">
      <c r="A1112" s="18" t="inlineStr">
        <is>
          <t>C1111</t>
        </is>
      </c>
      <c r="B1112" s="18" t="inlineStr">
        <is>
          <t>Gestión jurídica</t>
        </is>
      </c>
      <c r="C1112" s="18" t="inlineStr">
        <is>
          <t>legal_management</t>
        </is>
      </c>
      <c r="D1112" s="18" t="inlineStr">
        <is>
          <t>pei_indicadores</t>
        </is>
      </c>
      <c r="E1112" s="18" t="n">
        <v>24</v>
      </c>
      <c r="F1112" s="18" t="inlineStr">
        <is>
          <t>prioridad</t>
        </is>
      </c>
      <c r="G1112" s="18" t="inlineStr">
        <is>
          <t>character varying(20)</t>
        </is>
      </c>
      <c r="H1112" s="18" t="inlineStr">
        <is>
          <t>Sí</t>
        </is>
      </c>
      <c r="I1112" s="18" t="inlineStr"/>
      <c r="J1112" s="18" t="inlineStr"/>
      <c r="K1112" s="18" t="inlineStr"/>
      <c r="L1112" s="18" t="inlineStr">
        <is>
          <t>No</t>
        </is>
      </c>
      <c r="M1112" s="18" t="inlineStr">
        <is>
          <t>No</t>
        </is>
      </c>
      <c r="N1112" s="18" t="inlineStr"/>
      <c r="O1112" s="18" t="inlineStr"/>
      <c r="P1112" s="18" t="inlineStr">
        <is>
          <t>Mapeada en legal-management-service/src/entities/pei-indicador.entity.ts:42 (PeiIndicador.prioridad)</t>
        </is>
      </c>
      <c r="Q1112" s="18" t="inlineStr">
        <is>
          <t>Propuesta semántica</t>
        </is>
      </c>
      <c r="R1112" s="18" t="inlineStr">
        <is>
          <t>Prioridad del indicador. Por defecto, MEDIA.</t>
        </is>
      </c>
      <c r="S1112" s="18" t="inlineStr">
        <is>
          <t>Media</t>
        </is>
      </c>
      <c r="T1112" s="18" t="inlineStr">
        <is>
          <t>nombre + tipo + defecto</t>
        </is>
      </c>
      <c r="U1112" s="18" t="inlineStr">
        <is>
          <t>¿Qué valores admite la prioridad además de MEDIA?</t>
        </is>
      </c>
      <c r="V1112" s="19" t="inlineStr">
        <is>
          <t>Pendiente</t>
        </is>
      </c>
      <c r="W1112" s="19" t="inlineStr"/>
      <c r="X1112" s="19" t="inlineStr"/>
      <c r="Y1112" s="20" t="n"/>
      <c r="Z1112" s="19" t="inlineStr"/>
      <c r="AA1112" s="18">
        <f>IF(OR(V1112="Aprobada"),R1112,IF(AND(OR(V1112="Aprobada con ajuste",V1112="Rechazada"),W1112&lt;&gt;""),W1112,""))</f>
        <v/>
      </c>
    </row>
    <row r="1113">
      <c r="A1113" s="18" t="inlineStr">
        <is>
          <t>C1112</t>
        </is>
      </c>
      <c r="B1113" s="18" t="inlineStr">
        <is>
          <t>Gestión jurídica</t>
        </is>
      </c>
      <c r="C1113" s="18" t="inlineStr">
        <is>
          <t>legal_management</t>
        </is>
      </c>
      <c r="D1113" s="18" t="inlineStr">
        <is>
          <t>pei_indicadores</t>
        </is>
      </c>
      <c r="E1113" s="18" t="n">
        <v>24</v>
      </c>
      <c r="F1113" s="18" t="inlineStr">
        <is>
          <t>tipo_indicador</t>
        </is>
      </c>
      <c r="G1113" s="18" t="inlineStr">
        <is>
          <t>character varying(50)</t>
        </is>
      </c>
      <c r="H1113" s="18" t="inlineStr">
        <is>
          <t>Sí</t>
        </is>
      </c>
      <c r="I1113" s="18" t="inlineStr"/>
      <c r="J1113" s="18" t="inlineStr"/>
      <c r="K1113" s="18" t="inlineStr"/>
      <c r="L1113" s="18" t="inlineStr">
        <is>
          <t>No</t>
        </is>
      </c>
      <c r="M1113" s="18" t="inlineStr">
        <is>
          <t>No</t>
        </is>
      </c>
      <c r="N1113" s="18" t="inlineStr"/>
      <c r="O1113" s="18" t="inlineStr"/>
      <c r="P1113" s="18" t="inlineStr">
        <is>
          <t>Mapeada en legal-management-service/src/entities/pei-indicador.entity.ts:45 (PeiIndicador.tipoIndicador)</t>
        </is>
      </c>
      <c r="Q1113" s="18" t="inlineStr">
        <is>
          <t>Propuesta semántica</t>
        </is>
      </c>
      <c r="R1113" s="18" t="inlineStr">
        <is>
          <t>Tipo de indicador del plan estratégico institucional. Por defecto, GESTION.</t>
        </is>
      </c>
      <c r="S1113" s="18" t="inlineStr">
        <is>
          <t>Media</t>
        </is>
      </c>
      <c r="T1113" s="18" t="inlineStr">
        <is>
          <t>nombre + tipo + defecto</t>
        </is>
      </c>
      <c r="U1113" s="18" t="inlineStr">
        <is>
          <t>¿Qué otros tipos de indicador existen además de GESTION?</t>
        </is>
      </c>
      <c r="V1113" s="19" t="inlineStr">
        <is>
          <t>Pendiente</t>
        </is>
      </c>
      <c r="W1113" s="19" t="inlineStr"/>
      <c r="X1113" s="19" t="inlineStr"/>
      <c r="Y1113" s="20" t="n"/>
      <c r="Z1113" s="19" t="inlineStr"/>
      <c r="AA1113" s="18">
        <f>IF(OR(V1113="Aprobada"),R1113,IF(AND(OR(V1113="Aprobada con ajuste",V1113="Rechazada"),W1113&lt;&gt;""),W1113,""))</f>
        <v/>
      </c>
    </row>
    <row r="1114">
      <c r="A1114" s="18" t="inlineStr">
        <is>
          <t>C1113</t>
        </is>
      </c>
      <c r="B1114" s="18" t="inlineStr">
        <is>
          <t>Gestión jurídica</t>
        </is>
      </c>
      <c r="C1114" s="18" t="inlineStr">
        <is>
          <t>legal_management</t>
        </is>
      </c>
      <c r="D1114" s="18" t="inlineStr">
        <is>
          <t>pei_indicadores</t>
        </is>
      </c>
      <c r="E1114" s="18" t="n">
        <v>24</v>
      </c>
      <c r="F1114" s="18" t="inlineStr">
        <is>
          <t>archived_at</t>
        </is>
      </c>
      <c r="G1114" s="18" t="inlineStr">
        <is>
          <t>timestamp with time zone</t>
        </is>
      </c>
      <c r="H1114" s="18" t="inlineStr">
        <is>
          <t>Sí</t>
        </is>
      </c>
      <c r="I1114" s="18" t="inlineStr"/>
      <c r="J1114" s="18" t="inlineStr"/>
      <c r="K1114" s="18" t="inlineStr"/>
      <c r="L1114" s="18" t="inlineStr">
        <is>
          <t>No</t>
        </is>
      </c>
      <c r="M1114" s="18" t="inlineStr">
        <is>
          <t>No</t>
        </is>
      </c>
      <c r="N1114" s="18" t="inlineStr"/>
      <c r="O1114" s="18" t="inlineStr">
        <is>
          <t>idx_pei_archived_at</t>
        </is>
      </c>
      <c r="P1114" s="18" t="inlineStr">
        <is>
          <t>Mapeada en legal-management-service/src/entities/pei-indicador.entity.ts:48 (PeiIndicador.archivedAt)</t>
        </is>
      </c>
      <c r="Q1114" s="18" t="inlineStr">
        <is>
          <t>Propuesta semántica</t>
        </is>
      </c>
      <c r="R1114" s="18" t="inlineStr">
        <is>
          <t>Fecha y hora en que se archivó el indicador; vacío si está activo.</t>
        </is>
      </c>
      <c r="S1114" s="18" t="inlineStr">
        <is>
          <t>Alta</t>
        </is>
      </c>
      <c r="T1114" s="18" t="inlineStr">
        <is>
          <t>nombre + tipo + columnas vecinas</t>
        </is>
      </c>
      <c r="U1114" s="18" t="inlineStr"/>
      <c r="V1114" s="19" t="inlineStr">
        <is>
          <t>Pendiente</t>
        </is>
      </c>
      <c r="W1114" s="19" t="inlineStr"/>
      <c r="X1114" s="19" t="inlineStr"/>
      <c r="Y1114" s="20" t="n"/>
      <c r="Z1114" s="19" t="inlineStr"/>
      <c r="AA1114" s="18">
        <f>IF(OR(V1114="Aprobada"),R1114,IF(AND(OR(V1114="Aprobada con ajuste",V1114="Rechazada"),W1114&lt;&gt;""),W1114,""))</f>
        <v/>
      </c>
    </row>
    <row r="1115">
      <c r="A1115" s="18" t="inlineStr">
        <is>
          <t>C1114</t>
        </is>
      </c>
      <c r="B1115" s="18" t="inlineStr">
        <is>
          <t>Gestión jurídica</t>
        </is>
      </c>
      <c r="C1115" s="18" t="inlineStr">
        <is>
          <t>legal_management</t>
        </is>
      </c>
      <c r="D1115" s="18" t="inlineStr">
        <is>
          <t>pei_indicadores</t>
        </is>
      </c>
      <c r="E1115" s="18" t="n">
        <v>24</v>
      </c>
      <c r="F1115" s="18" t="inlineStr">
        <is>
          <t>archived_by</t>
        </is>
      </c>
      <c r="G1115" s="18" t="inlineStr">
        <is>
          <t>character varying(255)</t>
        </is>
      </c>
      <c r="H1115" s="18" t="inlineStr">
        <is>
          <t>Sí</t>
        </is>
      </c>
      <c r="I1115" s="18" t="inlineStr"/>
      <c r="J1115" s="18" t="inlineStr"/>
      <c r="K1115" s="18" t="inlineStr"/>
      <c r="L1115" s="18" t="inlineStr">
        <is>
          <t>No</t>
        </is>
      </c>
      <c r="M1115" s="18" t="inlineStr">
        <is>
          <t>No</t>
        </is>
      </c>
      <c r="N1115" s="18" t="inlineStr"/>
      <c r="O1115" s="18" t="inlineStr"/>
      <c r="P1115" s="18" t="inlineStr">
        <is>
          <t>Mapeada en legal-management-service/src/entities/pei-indicador.entity.ts:51 (PeiIndicador.archivedBy)</t>
        </is>
      </c>
      <c r="Q1115" s="18" t="inlineStr">
        <is>
          <t>Propuesta semántica</t>
        </is>
      </c>
      <c r="R1115" s="18" t="inlineStr">
        <is>
          <t>Usuario que archivó el indicador.</t>
        </is>
      </c>
      <c r="S1115" s="18" t="inlineStr">
        <is>
          <t>Media</t>
        </is>
      </c>
      <c r="T1115" s="18" t="inlineStr">
        <is>
          <t>nombre + tipo + columnas vecinas</t>
        </is>
      </c>
      <c r="U1115" s="18" t="inlineStr">
        <is>
          <t>¿Se guarda el nombre, el correo o el identificador del usuario?</t>
        </is>
      </c>
      <c r="V1115" s="19" t="inlineStr">
        <is>
          <t>Pendiente</t>
        </is>
      </c>
      <c r="W1115" s="19" t="inlineStr"/>
      <c r="X1115" s="19" t="inlineStr"/>
      <c r="Y1115" s="20" t="n"/>
      <c r="Z1115" s="19" t="inlineStr"/>
      <c r="AA1115" s="18">
        <f>IF(OR(V1115="Aprobada"),R1115,IF(AND(OR(V1115="Aprobada con ajuste",V1115="Rechazada"),W1115&lt;&gt;""),W1115,""))</f>
        <v/>
      </c>
    </row>
    <row r="1116">
      <c r="A1116" s="18" t="inlineStr">
        <is>
          <t>C1115</t>
        </is>
      </c>
      <c r="B1116" s="18" t="inlineStr">
        <is>
          <t>Gestión jurídica</t>
        </is>
      </c>
      <c r="C1116" s="18" t="inlineStr">
        <is>
          <t>legal_management</t>
        </is>
      </c>
      <c r="D1116" s="18" t="inlineStr">
        <is>
          <t>pei_indicadores</t>
        </is>
      </c>
      <c r="E1116" s="18" t="n">
        <v>24</v>
      </c>
      <c r="F1116" s="18" t="inlineStr">
        <is>
          <t>archive_reason</t>
        </is>
      </c>
      <c r="G1116" s="18" t="inlineStr">
        <is>
          <t>text</t>
        </is>
      </c>
      <c r="H1116" s="18" t="inlineStr">
        <is>
          <t>Sí</t>
        </is>
      </c>
      <c r="I1116" s="18" t="inlineStr"/>
      <c r="J1116" s="18" t="inlineStr"/>
      <c r="K1116" s="18" t="inlineStr"/>
      <c r="L1116" s="18" t="inlineStr">
        <is>
          <t>No</t>
        </is>
      </c>
      <c r="M1116" s="18" t="inlineStr">
        <is>
          <t>No</t>
        </is>
      </c>
      <c r="N1116" s="18" t="inlineStr"/>
      <c r="O1116" s="18" t="inlineStr"/>
      <c r="P1116" s="18" t="inlineStr">
        <is>
          <t>Mapeada en legal-management-service/src/entities/pei-indicador.entity.ts:54 (PeiIndicador.archiveReason)</t>
        </is>
      </c>
      <c r="Q1116" s="18" t="inlineStr">
        <is>
          <t>Propuesta semántica</t>
        </is>
      </c>
      <c r="R1116" s="18" t="inlineStr">
        <is>
          <t>Motivo por el que se archivó el indicador.</t>
        </is>
      </c>
      <c r="S1116" s="18" t="inlineStr">
        <is>
          <t>Alta</t>
        </is>
      </c>
      <c r="T1116" s="18" t="inlineStr">
        <is>
          <t>nombre + tipo + columnas vecinas</t>
        </is>
      </c>
      <c r="U1116" s="18" t="inlineStr"/>
      <c r="V1116" s="19" t="inlineStr">
        <is>
          <t>Pendiente</t>
        </is>
      </c>
      <c r="W1116" s="19" t="inlineStr"/>
      <c r="X1116" s="19" t="inlineStr"/>
      <c r="Y1116" s="20" t="n"/>
      <c r="Z1116" s="19" t="inlineStr"/>
      <c r="AA1116" s="18">
        <f>IF(OR(V1116="Aprobada"),R1116,IF(AND(OR(V1116="Aprobada con ajuste",V1116="Rechazada"),W1116&lt;&gt;""),W1116,""))</f>
        <v/>
      </c>
    </row>
    <row r="1117">
      <c r="A1117" s="18" t="inlineStr">
        <is>
          <t>C1116</t>
        </is>
      </c>
      <c r="B1117" s="18" t="inlineStr">
        <is>
          <t>Gestión jurídica</t>
        </is>
      </c>
      <c r="C1117" s="18" t="inlineStr">
        <is>
          <t>legal_management</t>
        </is>
      </c>
      <c r="D1117" s="18" t="inlineStr">
        <is>
          <t>pei_registros_avance</t>
        </is>
      </c>
      <c r="E1117" s="18" t="n">
        <v>24</v>
      </c>
      <c r="F1117" s="18" t="inlineStr">
        <is>
          <t>valor_reportado</t>
        </is>
      </c>
      <c r="G1117" s="18" t="inlineStr">
        <is>
          <t>numeric(10,2)</t>
        </is>
      </c>
      <c r="H1117" s="18" t="inlineStr">
        <is>
          <t>No</t>
        </is>
      </c>
      <c r="I1117" s="18" t="inlineStr"/>
      <c r="J1117" s="18" t="inlineStr"/>
      <c r="K1117" s="18" t="inlineStr"/>
      <c r="L1117" s="18" t="inlineStr">
        <is>
          <t>No</t>
        </is>
      </c>
      <c r="M1117" s="18" t="inlineStr">
        <is>
          <t>No</t>
        </is>
      </c>
      <c r="N1117" s="18" t="inlineStr"/>
      <c r="O1117" s="18" t="inlineStr"/>
      <c r="P1117" s="18" t="inlineStr">
        <is>
          <t>db/migrations/old/053_create_pei_module.sql:37: El valor real en este momento</t>
        </is>
      </c>
      <c r="Q1117" s="18" t="inlineStr">
        <is>
          <t>Código fuente</t>
        </is>
      </c>
      <c r="R1117" s="18" t="inlineStr">
        <is>
          <t>Valor real del indicador reportado en el registro de avance.</t>
        </is>
      </c>
      <c r="S1117" s="18" t="inlineStr">
        <is>
          <t>Alta</t>
        </is>
      </c>
      <c r="T1117" s="18" t="inlineStr">
        <is>
          <t>código: db/migrations/old/053_create_pei_module.sql:37</t>
        </is>
      </c>
      <c r="U1117" s="18" t="inlineStr"/>
      <c r="V1117" s="19" t="inlineStr">
        <is>
          <t>Pendiente</t>
        </is>
      </c>
      <c r="W1117" s="19" t="inlineStr"/>
      <c r="X1117" s="19" t="inlineStr"/>
      <c r="Y1117" s="20" t="n"/>
      <c r="Z1117" s="19" t="inlineStr"/>
      <c r="AA1117" s="18">
        <f>IF(OR(V1117="Aprobada"),R1117,IF(AND(OR(V1117="Aprobada con ajuste",V1117="Rechazada"),W1117&lt;&gt;""),W1117,""))</f>
        <v/>
      </c>
    </row>
    <row r="1118">
      <c r="A1118" s="18" t="inlineStr">
        <is>
          <t>C1117</t>
        </is>
      </c>
      <c r="B1118" s="18" t="inlineStr">
        <is>
          <t>Gestión jurídica</t>
        </is>
      </c>
      <c r="C1118" s="18" t="inlineStr">
        <is>
          <t>legal_management</t>
        </is>
      </c>
      <c r="D1118" s="18" t="inlineStr">
        <is>
          <t>pei_registros_avance</t>
        </is>
      </c>
      <c r="E1118" s="18" t="n">
        <v>24</v>
      </c>
      <c r="F1118" s="18" t="inlineStr">
        <is>
          <t>porcentaje_avance</t>
        </is>
      </c>
      <c r="G1118" s="18" t="inlineStr">
        <is>
          <t>numeric(5,2)</t>
        </is>
      </c>
      <c r="H1118" s="18" t="inlineStr">
        <is>
          <t>Sí</t>
        </is>
      </c>
      <c r="I1118" s="18" t="inlineStr"/>
      <c r="J1118" s="18" t="inlineStr"/>
      <c r="K1118" s="18" t="inlineStr"/>
      <c r="L1118" s="18" t="inlineStr">
        <is>
          <t>No</t>
        </is>
      </c>
      <c r="M1118" s="18" t="inlineStr">
        <is>
          <t>No</t>
        </is>
      </c>
      <c r="N1118" s="18" t="inlineStr"/>
      <c r="O1118" s="18" t="inlineStr"/>
      <c r="P1118" s="18" t="inlineStr">
        <is>
          <t>db/migrations/old/053_create_pei_module.sql:38: Calculado: (valor_reportado / meta) * 100</t>
        </is>
      </c>
      <c r="Q1118" s="18" t="inlineStr">
        <is>
          <t>Código fuente</t>
        </is>
      </c>
      <c r="R1118" s="18" t="inlineStr">
        <is>
          <t>Porcentaje de avance, calculado como (valor_reportado / meta) × 100.</t>
        </is>
      </c>
      <c r="S1118" s="18" t="inlineStr">
        <is>
          <t>Alta</t>
        </is>
      </c>
      <c r="T1118" s="18" t="inlineStr">
        <is>
          <t>código: db/migrations/old/053_create_pei_module.sql:38</t>
        </is>
      </c>
      <c r="U1118" s="18" t="inlineStr"/>
      <c r="V1118" s="19" t="inlineStr">
        <is>
          <t>Pendiente</t>
        </is>
      </c>
      <c r="W1118" s="19" t="inlineStr"/>
      <c r="X1118" s="19" t="inlineStr"/>
      <c r="Y1118" s="20" t="n"/>
      <c r="Z1118" s="19" t="inlineStr"/>
      <c r="AA1118" s="18">
        <f>IF(OR(V1118="Aprobada"),R1118,IF(AND(OR(V1118="Aprobada con ajuste",V1118="Rechazada"),W1118&lt;&gt;""),W1118,""))</f>
        <v/>
      </c>
    </row>
    <row r="1119">
      <c r="A1119" s="18" t="inlineStr">
        <is>
          <t>C1118</t>
        </is>
      </c>
      <c r="B1119" s="18" t="inlineStr">
        <is>
          <t>Gestión jurídica</t>
        </is>
      </c>
      <c r="C1119" s="18" t="inlineStr">
        <is>
          <t>legal_management</t>
        </is>
      </c>
      <c r="D1119" s="18" t="inlineStr">
        <is>
          <t>pei_registros_avance</t>
        </is>
      </c>
      <c r="E1119" s="18" t="n">
        <v>24</v>
      </c>
      <c r="F1119" s="18" t="inlineStr">
        <is>
          <t>observaciones</t>
        </is>
      </c>
      <c r="G1119" s="18" t="inlineStr">
        <is>
          <t>text</t>
        </is>
      </c>
      <c r="H1119" s="18" t="inlineStr">
        <is>
          <t>Sí</t>
        </is>
      </c>
      <c r="I1119" s="18" t="inlineStr"/>
      <c r="J1119" s="18" t="inlineStr"/>
      <c r="K1119" s="18" t="inlineStr"/>
      <c r="L1119" s="18" t="inlineStr">
        <is>
          <t>No</t>
        </is>
      </c>
      <c r="M1119" s="18" t="inlineStr">
        <is>
          <t>No</t>
        </is>
      </c>
      <c r="N1119" s="18" t="inlineStr"/>
      <c r="O1119" s="18" t="inlineStr"/>
      <c r="P1119" s="18" t="inlineStr">
        <is>
          <t>db/migrations/old/053_create_pei_module.sql:40: Justificación del avance</t>
        </is>
      </c>
      <c r="Q1119" s="18" t="inlineStr">
        <is>
          <t>Código fuente</t>
        </is>
      </c>
      <c r="R1119" s="18" t="inlineStr">
        <is>
          <t>Justificación del avance reportado.</t>
        </is>
      </c>
      <c r="S1119" s="18" t="inlineStr">
        <is>
          <t>Alta</t>
        </is>
      </c>
      <c r="T1119" s="18" t="inlineStr">
        <is>
          <t>código: db/migrations/old/053_create_pei_module.sql:40</t>
        </is>
      </c>
      <c r="U1119" s="18" t="inlineStr"/>
      <c r="V1119" s="19" t="inlineStr">
        <is>
          <t>Pendiente</t>
        </is>
      </c>
      <c r="W1119" s="19" t="inlineStr"/>
      <c r="X1119" s="19" t="inlineStr"/>
      <c r="Y1119" s="20" t="n"/>
      <c r="Z1119" s="19" t="inlineStr"/>
      <c r="AA1119" s="18">
        <f>IF(OR(V1119="Aprobada"),R1119,IF(AND(OR(V1119="Aprobada con ajuste",V1119="Rechazada"),W1119&lt;&gt;""),W1119,""))</f>
        <v/>
      </c>
    </row>
    <row r="1120">
      <c r="A1120" s="18" t="inlineStr">
        <is>
          <t>C1119</t>
        </is>
      </c>
      <c r="B1120" s="18" t="inlineStr">
        <is>
          <t>Gestión jurídica</t>
        </is>
      </c>
      <c r="C1120" s="18" t="inlineStr">
        <is>
          <t>legal_management</t>
        </is>
      </c>
      <c r="D1120" s="18" t="inlineStr">
        <is>
          <t>pei_registros_avance</t>
        </is>
      </c>
      <c r="E1120" s="18" t="n">
        <v>24</v>
      </c>
      <c r="F1120" s="18" t="inlineStr">
        <is>
          <t>evidencia_url</t>
        </is>
      </c>
      <c r="G1120" s="18" t="inlineStr">
        <is>
          <t>text</t>
        </is>
      </c>
      <c r="H1120" s="18" t="inlineStr">
        <is>
          <t>Sí</t>
        </is>
      </c>
      <c r="I1120" s="18" t="inlineStr"/>
      <c r="J1120" s="18" t="inlineStr"/>
      <c r="K1120" s="18" t="inlineStr"/>
      <c r="L1120" s="18" t="inlineStr">
        <is>
          <t>No</t>
        </is>
      </c>
      <c r="M1120" s="18" t="inlineStr">
        <is>
          <t>No</t>
        </is>
      </c>
      <c r="N1120" s="18" t="inlineStr"/>
      <c r="O1120" s="18" t="inlineStr"/>
      <c r="P1120" s="18" t="inlineStr">
        <is>
          <t>db/migrations/old/053_create_pei_module.sql:41: Link a documento soporte (opcional)</t>
        </is>
      </c>
      <c r="Q1120" s="18" t="inlineStr">
        <is>
          <t>Código fuente</t>
        </is>
      </c>
      <c r="R1120" s="18" t="inlineStr">
        <is>
          <t>Enlace al documento soporte del avance; opcional.</t>
        </is>
      </c>
      <c r="S1120" s="18" t="inlineStr">
        <is>
          <t>Alta</t>
        </is>
      </c>
      <c r="T1120" s="18" t="inlineStr">
        <is>
          <t>código: db/migrations/old/053_create_pei_module.sql:41</t>
        </is>
      </c>
      <c r="U1120" s="18" t="inlineStr"/>
      <c r="V1120" s="19" t="inlineStr">
        <is>
          <t>Pendiente</t>
        </is>
      </c>
      <c r="W1120" s="19" t="inlineStr"/>
      <c r="X1120" s="19" t="inlineStr"/>
      <c r="Y1120" s="20" t="n"/>
      <c r="Z1120" s="19" t="inlineStr"/>
      <c r="AA1120" s="18">
        <f>IF(OR(V1120="Aprobada"),R1120,IF(AND(OR(V1120="Aprobada con ajuste",V1120="Rechazada"),W1120&lt;&gt;""),W1120,""))</f>
        <v/>
      </c>
    </row>
    <row r="1121">
      <c r="A1121" s="18" t="inlineStr">
        <is>
          <t>C1120</t>
        </is>
      </c>
      <c r="B1121" s="18" t="inlineStr">
        <is>
          <t>Gestión jurídica</t>
        </is>
      </c>
      <c r="C1121" s="18" t="inlineStr">
        <is>
          <t>legal_management</t>
        </is>
      </c>
      <c r="D1121" s="18" t="inlineStr">
        <is>
          <t>pei_registros_avance</t>
        </is>
      </c>
      <c r="E1121" s="18" t="n">
        <v>24</v>
      </c>
      <c r="F1121" s="18" t="inlineStr">
        <is>
          <t>usuario_registra_id</t>
        </is>
      </c>
      <c r="G1121" s="18" t="inlineStr">
        <is>
          <t>uuid</t>
        </is>
      </c>
      <c r="H1121" s="18" t="inlineStr">
        <is>
          <t>Sí</t>
        </is>
      </c>
      <c r="I1121" s="18" t="inlineStr"/>
      <c r="J1121" s="18" t="inlineStr"/>
      <c r="K1121" s="18" t="inlineStr"/>
      <c r="L1121" s="18" t="inlineStr">
        <is>
          <t>No</t>
        </is>
      </c>
      <c r="M1121" s="18" t="inlineStr">
        <is>
          <t>No</t>
        </is>
      </c>
      <c r="N1121" s="18" t="inlineStr"/>
      <c r="O1121" s="18" t="inlineStr"/>
      <c r="P1121" s="18" t="inlineStr">
        <is>
          <t>db/migrations/old/053_create_pei_module.sql:44: Quién hizo la actualización</t>
        </is>
      </c>
      <c r="Q1121" s="18" t="inlineStr">
        <is>
          <t>Código fuente</t>
        </is>
      </c>
      <c r="R1121" s="18" t="inlineStr">
        <is>
          <t>Identificador del usuario que registró el avance.</t>
        </is>
      </c>
      <c r="S1121" s="18" t="inlineStr">
        <is>
          <t>Alta</t>
        </is>
      </c>
      <c r="T1121" s="18" t="inlineStr">
        <is>
          <t>código: db/migrations/old/053_create_pei_module.sql:44</t>
        </is>
      </c>
      <c r="U1121" s="18" t="inlineStr"/>
      <c r="V1121" s="19" t="inlineStr">
        <is>
          <t>Pendiente</t>
        </is>
      </c>
      <c r="W1121" s="19" t="inlineStr"/>
      <c r="X1121" s="19" t="inlineStr"/>
      <c r="Y1121" s="20" t="n"/>
      <c r="Z1121" s="19" t="inlineStr"/>
      <c r="AA1121" s="18">
        <f>IF(OR(V1121="Aprobada"),R1121,IF(AND(OR(V1121="Aprobada con ajuste",V1121="Rechazada"),W1121&lt;&gt;""),W1121,""))</f>
        <v/>
      </c>
    </row>
    <row r="1122">
      <c r="A1122" s="18" t="inlineStr">
        <is>
          <t>C1121</t>
        </is>
      </c>
      <c r="B1122" s="18" t="inlineStr">
        <is>
          <t>Gestión jurídica</t>
        </is>
      </c>
      <c r="C1122" s="18" t="inlineStr">
        <is>
          <t>legal_management</t>
        </is>
      </c>
      <c r="D1122" s="18" t="inlineStr">
        <is>
          <t>planes_comentarios</t>
        </is>
      </c>
      <c r="E1122" s="18" t="n">
        <v>0</v>
      </c>
      <c r="F1122" s="18" t="inlineStr">
        <is>
          <t>mensaje</t>
        </is>
      </c>
      <c r="G1122" s="18" t="inlineStr">
        <is>
          <t>text</t>
        </is>
      </c>
      <c r="H1122" s="18" t="inlineStr">
        <is>
          <t>No</t>
        </is>
      </c>
      <c r="I1122" s="18" t="inlineStr"/>
      <c r="J1122" s="18" t="inlineStr"/>
      <c r="K1122" s="18" t="inlineStr"/>
      <c r="L1122" s="18" t="inlineStr">
        <is>
          <t>No</t>
        </is>
      </c>
      <c r="M1122" s="18" t="inlineStr">
        <is>
          <t>No</t>
        </is>
      </c>
      <c r="N1122" s="18" t="inlineStr"/>
      <c r="O1122" s="18" t="inlineStr"/>
      <c r="P1122" s="18" t="inlineStr">
        <is>
          <t>Mapeada en legal-management-service/src/entities/planes-mejoramiento.entity.ts:161 (PlanComentario.mensaje)</t>
        </is>
      </c>
      <c r="Q1122" s="18" t="inlineStr">
        <is>
          <t>Propuesta semántica</t>
        </is>
      </c>
      <c r="R1122" s="18" t="inlineStr">
        <is>
          <t>Texto del comentario sobre el plan de mejoramiento.</t>
        </is>
      </c>
      <c r="S1122" s="18" t="inlineStr">
        <is>
          <t>Alta</t>
        </is>
      </c>
      <c r="T1122" s="18" t="inlineStr">
        <is>
          <t>nombre + tipo + columnas vecinas</t>
        </is>
      </c>
      <c r="U1122" s="18" t="inlineStr"/>
      <c r="V1122" s="19" t="inlineStr">
        <is>
          <t>Pendiente</t>
        </is>
      </c>
      <c r="W1122" s="19" t="inlineStr"/>
      <c r="X1122" s="19" t="inlineStr"/>
      <c r="Y1122" s="20" t="n"/>
      <c r="Z1122" s="19" t="inlineStr"/>
      <c r="AA1122" s="18">
        <f>IF(OR(V1122="Aprobada"),R1122,IF(AND(OR(V1122="Aprobada con ajuste",V1122="Rechazada"),W1122&lt;&gt;""),W1122,""))</f>
        <v/>
      </c>
    </row>
    <row r="1123">
      <c r="A1123" s="18" t="inlineStr">
        <is>
          <t>C1122</t>
        </is>
      </c>
      <c r="B1123" s="18" t="inlineStr">
        <is>
          <t>Gestión jurídica</t>
        </is>
      </c>
      <c r="C1123" s="18" t="inlineStr">
        <is>
          <t>legal_management</t>
        </is>
      </c>
      <c r="D1123" s="18" t="inlineStr">
        <is>
          <t>planes_comentarios</t>
        </is>
      </c>
      <c r="E1123" s="18" t="n">
        <v>0</v>
      </c>
      <c r="F1123" s="18" t="inlineStr">
        <is>
          <t>usuario_id</t>
        </is>
      </c>
      <c r="G1123" s="18" t="inlineStr">
        <is>
          <t>uuid</t>
        </is>
      </c>
      <c r="H1123" s="18" t="inlineStr">
        <is>
          <t>Sí</t>
        </is>
      </c>
      <c r="I1123" s="18" t="inlineStr"/>
      <c r="J1123" s="18" t="inlineStr"/>
      <c r="K1123" s="18" t="inlineStr"/>
      <c r="L1123" s="18" t="inlineStr">
        <is>
          <t>No</t>
        </is>
      </c>
      <c r="M1123" s="18" t="inlineStr">
        <is>
          <t>No</t>
        </is>
      </c>
      <c r="N1123" s="18" t="inlineStr"/>
      <c r="O1123" s="18" t="inlineStr"/>
      <c r="P1123" s="18" t="inlineStr">
        <is>
          <t>Mapeada en legal-management-service/src/entities/planes-mejoramiento.entity.ts:164 (PlanComentario.usuarioId) | Validación: IsOptional, IsString</t>
        </is>
      </c>
      <c r="Q1123" s="18" t="inlineStr">
        <is>
          <t>Propuesta semántica</t>
        </is>
      </c>
      <c r="R1123" s="18" t="inlineStr">
        <is>
          <t>Identificador del usuario que escribió el comentario.</t>
        </is>
      </c>
      <c r="S1123" s="18" t="inlineStr">
        <is>
          <t>Media</t>
        </is>
      </c>
      <c r="T1123" s="18" t="inlineStr">
        <is>
          <t>nombre + tipo + validaciones IsOptional, IsString</t>
        </is>
      </c>
      <c r="U1123" s="18" t="inlineStr">
        <is>
          <t>¿Corresponde a auth."user" o a auth.personas?</t>
        </is>
      </c>
      <c r="V1123" s="19" t="inlineStr">
        <is>
          <t>Pendiente</t>
        </is>
      </c>
      <c r="W1123" s="19" t="inlineStr"/>
      <c r="X1123" s="19" t="inlineStr"/>
      <c r="Y1123" s="20" t="n"/>
      <c r="Z1123" s="19" t="inlineStr"/>
      <c r="AA1123" s="18">
        <f>IF(OR(V1123="Aprobada"),R1123,IF(AND(OR(V1123="Aprobada con ajuste",V1123="Rechazada"),W1123&lt;&gt;""),W1123,""))</f>
        <v/>
      </c>
    </row>
    <row r="1124">
      <c r="A1124" s="18" t="inlineStr">
        <is>
          <t>C1123</t>
        </is>
      </c>
      <c r="B1124" s="18" t="inlineStr">
        <is>
          <t>Gestión jurídica</t>
        </is>
      </c>
      <c r="C1124" s="18" t="inlineStr">
        <is>
          <t>legal_management</t>
        </is>
      </c>
      <c r="D1124" s="18" t="inlineStr">
        <is>
          <t>planes_evidencias</t>
        </is>
      </c>
      <c r="E1124" s="18" t="n">
        <v>14</v>
      </c>
      <c r="F1124" s="18" t="inlineStr">
        <is>
          <t>titulo</t>
        </is>
      </c>
      <c r="G1124" s="18" t="inlineStr">
        <is>
          <t>character varying(150)</t>
        </is>
      </c>
      <c r="H1124" s="18" t="inlineStr">
        <is>
          <t>No</t>
        </is>
      </c>
      <c r="I1124" s="18" t="inlineStr"/>
      <c r="J1124" s="18" t="inlineStr"/>
      <c r="K1124" s="18" t="inlineStr"/>
      <c r="L1124" s="18" t="inlineStr">
        <is>
          <t>No</t>
        </is>
      </c>
      <c r="M1124" s="18" t="inlineStr">
        <is>
          <t>No</t>
        </is>
      </c>
      <c r="N1124" s="18" t="inlineStr"/>
      <c r="O1124" s="18" t="inlineStr"/>
      <c r="P1124" s="18" t="inlineStr">
        <is>
          <t>Mapeada en legal-management-service/src/entities/planes-mejoramiento.entity.ts:106 (PlanEvidencia.titulo)</t>
        </is>
      </c>
      <c r="Q1124" s="18" t="inlineStr">
        <is>
          <t>Propuesta semántica</t>
        </is>
      </c>
      <c r="R1124" s="18" t="inlineStr">
        <is>
          <t>Título de la evidencia cargada al plan de mejoramiento.</t>
        </is>
      </c>
      <c r="S1124" s="18" t="inlineStr">
        <is>
          <t>Alta</t>
        </is>
      </c>
      <c r="T1124" s="18" t="inlineStr">
        <is>
          <t>nombre + tipo + columnas vecinas</t>
        </is>
      </c>
      <c r="U1124" s="18" t="inlineStr"/>
      <c r="V1124" s="19" t="inlineStr">
        <is>
          <t>Pendiente</t>
        </is>
      </c>
      <c r="W1124" s="19" t="inlineStr"/>
      <c r="X1124" s="19" t="inlineStr"/>
      <c r="Y1124" s="20" t="n"/>
      <c r="Z1124" s="19" t="inlineStr"/>
      <c r="AA1124" s="18">
        <f>IF(OR(V1124="Aprobada"),R1124,IF(AND(OR(V1124="Aprobada con ajuste",V1124="Rechazada"),W1124&lt;&gt;""),W1124,""))</f>
        <v/>
      </c>
    </row>
    <row r="1125">
      <c r="A1125" s="18" t="inlineStr">
        <is>
          <t>C1124</t>
        </is>
      </c>
      <c r="B1125" s="18" t="inlineStr">
        <is>
          <t>Gestión jurídica</t>
        </is>
      </c>
      <c r="C1125" s="18" t="inlineStr">
        <is>
          <t>legal_management</t>
        </is>
      </c>
      <c r="D1125" s="18" t="inlineStr">
        <is>
          <t>planes_evidencias</t>
        </is>
      </c>
      <c r="E1125" s="18" t="n">
        <v>14</v>
      </c>
      <c r="F1125" s="18" t="inlineStr">
        <is>
          <t>url_archivo</t>
        </is>
      </c>
      <c r="G1125" s="18" t="inlineStr">
        <is>
          <t>text</t>
        </is>
      </c>
      <c r="H1125" s="18" t="inlineStr">
        <is>
          <t>No</t>
        </is>
      </c>
      <c r="I1125" s="18" t="inlineStr"/>
      <c r="J1125" s="18" t="inlineStr"/>
      <c r="K1125" s="18" t="inlineStr"/>
      <c r="L1125" s="18" t="inlineStr">
        <is>
          <t>No</t>
        </is>
      </c>
      <c r="M1125" s="18" t="inlineStr">
        <is>
          <t>No</t>
        </is>
      </c>
      <c r="N1125" s="18" t="inlineStr"/>
      <c r="O1125" s="18" t="inlineStr"/>
      <c r="P1125" s="18" t="inlineStr">
        <is>
          <t>Mapeada en legal-management-service/src/entities/planes-mejoramiento.entity.ts:109 (PlanEvidencia.urlArchivo)</t>
        </is>
      </c>
      <c r="Q1125" s="18" t="inlineStr">
        <is>
          <t>Propuesta semántica</t>
        </is>
      </c>
      <c r="R1125" s="18" t="inlineStr">
        <is>
          <t>URL del archivo de la evidencia.</t>
        </is>
      </c>
      <c r="S1125" s="18" t="inlineStr">
        <is>
          <t>Alta</t>
        </is>
      </c>
      <c r="T1125" s="18" t="inlineStr">
        <is>
          <t>nombre + tipo</t>
        </is>
      </c>
      <c r="U1125" s="18" t="inlineStr"/>
      <c r="V1125" s="19" t="inlineStr">
        <is>
          <t>Pendiente</t>
        </is>
      </c>
      <c r="W1125" s="19" t="inlineStr"/>
      <c r="X1125" s="19" t="inlineStr"/>
      <c r="Y1125" s="20" t="n"/>
      <c r="Z1125" s="19" t="inlineStr"/>
      <c r="AA1125" s="18">
        <f>IF(OR(V1125="Aprobada"),R1125,IF(AND(OR(V1125="Aprobada con ajuste",V1125="Rechazada"),W1125&lt;&gt;""),W1125,""))</f>
        <v/>
      </c>
    </row>
    <row r="1126">
      <c r="A1126" s="18" t="inlineStr">
        <is>
          <t>C1125</t>
        </is>
      </c>
      <c r="B1126" s="18" t="inlineStr">
        <is>
          <t>Gestión jurídica</t>
        </is>
      </c>
      <c r="C1126" s="18" t="inlineStr">
        <is>
          <t>legal_management</t>
        </is>
      </c>
      <c r="D1126" s="18" t="inlineStr">
        <is>
          <t>planes_evidencias</t>
        </is>
      </c>
      <c r="E1126" s="18" t="n">
        <v>14</v>
      </c>
      <c r="F1126" s="18" t="inlineStr">
        <is>
          <t>tipo_archivo</t>
        </is>
      </c>
      <c r="G1126" s="18" t="inlineStr">
        <is>
          <t>character varying(255)</t>
        </is>
      </c>
      <c r="H1126" s="18" t="inlineStr">
        <is>
          <t>Sí</t>
        </is>
      </c>
      <c r="I1126" s="18" t="inlineStr"/>
      <c r="J1126" s="18" t="inlineStr"/>
      <c r="K1126" s="18" t="inlineStr"/>
      <c r="L1126" s="18" t="inlineStr">
        <is>
          <t>No</t>
        </is>
      </c>
      <c r="M1126" s="18" t="inlineStr">
        <is>
          <t>No</t>
        </is>
      </c>
      <c r="N1126" s="18" t="inlineStr"/>
      <c r="O1126" s="18" t="inlineStr"/>
      <c r="P1126" s="18" t="inlineStr">
        <is>
          <t>Mapeada en legal-management-service/src/entities/planes-mejoramiento.entity.ts:112 (PlanEvidencia.tipoArchivo)</t>
        </is>
      </c>
      <c r="Q1126" s="18" t="inlineStr">
        <is>
          <t>Propuesta semántica</t>
        </is>
      </c>
      <c r="R1126" s="18" t="inlineStr">
        <is>
          <t>Tipo de archivo de la evidencia.</t>
        </is>
      </c>
      <c r="S1126" s="18" t="inlineStr">
        <is>
          <t>Media</t>
        </is>
      </c>
      <c r="T1126" s="18" t="inlineStr">
        <is>
          <t>nombre + tipo</t>
        </is>
      </c>
      <c r="U1126" s="18" t="inlineStr">
        <is>
          <t>¿Se guarda el tipo MIME o la extensión del archivo?</t>
        </is>
      </c>
      <c r="V1126" s="19" t="inlineStr">
        <is>
          <t>Pendiente</t>
        </is>
      </c>
      <c r="W1126" s="19" t="inlineStr"/>
      <c r="X1126" s="19" t="inlineStr"/>
      <c r="Y1126" s="20" t="n"/>
      <c r="Z1126" s="19" t="inlineStr"/>
      <c r="AA1126" s="18">
        <f>IF(OR(V1126="Aprobada"),R1126,IF(AND(OR(V1126="Aprobada con ajuste",V1126="Rechazada"),W1126&lt;&gt;""),W1126,""))</f>
        <v/>
      </c>
    </row>
    <row r="1127">
      <c r="A1127" s="18" t="inlineStr">
        <is>
          <t>C1126</t>
        </is>
      </c>
      <c r="B1127" s="18" t="inlineStr">
        <is>
          <t>Gestión jurídica</t>
        </is>
      </c>
      <c r="C1127" s="18" t="inlineStr">
        <is>
          <t>legal_management</t>
        </is>
      </c>
      <c r="D1127" s="18" t="inlineStr">
        <is>
          <t>planes_evidencias</t>
        </is>
      </c>
      <c r="E1127" s="18" t="n">
        <v>14</v>
      </c>
      <c r="F1127" s="18" t="inlineStr">
        <is>
          <t>uploaded_by</t>
        </is>
      </c>
      <c r="G1127" s="18" t="inlineStr">
        <is>
          <t>character varying(255)</t>
        </is>
      </c>
      <c r="H1127" s="18" t="inlineStr">
        <is>
          <t>Sí</t>
        </is>
      </c>
      <c r="I1127" s="18" t="inlineStr"/>
      <c r="J1127" s="18" t="inlineStr"/>
      <c r="K1127" s="18" t="inlineStr"/>
      <c r="L1127" s="18" t="inlineStr">
        <is>
          <t>No</t>
        </is>
      </c>
      <c r="M1127" s="18" t="inlineStr">
        <is>
          <t>No</t>
        </is>
      </c>
      <c r="N1127" s="18" t="inlineStr"/>
      <c r="O1127" s="18" t="inlineStr"/>
      <c r="P1127" s="18" t="inlineStr">
        <is>
          <t>Mapeada en legal-management-service/src/entities/planes-mejoramiento.entity.ts:115 (PlanEvidencia.uploadedBy)</t>
        </is>
      </c>
      <c r="Q1127" s="18" t="inlineStr">
        <is>
          <t>Propuesta semántica</t>
        </is>
      </c>
      <c r="R1127" s="18" t="inlineStr">
        <is>
          <t>Usuario que cargó la evidencia.</t>
        </is>
      </c>
      <c r="S1127" s="18" t="inlineStr">
        <is>
          <t>Media</t>
        </is>
      </c>
      <c r="T1127" s="18" t="inlineStr">
        <is>
          <t>nombre + tipo</t>
        </is>
      </c>
      <c r="U1127" s="18" t="inlineStr">
        <is>
          <t>¿Se guarda el nombre, el correo o el identificador del usuario?</t>
        </is>
      </c>
      <c r="V1127" s="19" t="inlineStr">
        <is>
          <t>Pendiente</t>
        </is>
      </c>
      <c r="W1127" s="19" t="inlineStr"/>
      <c r="X1127" s="19" t="inlineStr"/>
      <c r="Y1127" s="20" t="n"/>
      <c r="Z1127" s="19" t="inlineStr"/>
      <c r="AA1127" s="18">
        <f>IF(OR(V1127="Aprobada"),R1127,IF(AND(OR(V1127="Aprobada con ajuste",V1127="Rechazada"),W1127&lt;&gt;""),W1127,""))</f>
        <v/>
      </c>
    </row>
    <row r="1128">
      <c r="A1128" s="18" t="inlineStr">
        <is>
          <t>C1127</t>
        </is>
      </c>
      <c r="B1128" s="18" t="inlineStr">
        <is>
          <t>Gestión jurídica</t>
        </is>
      </c>
      <c r="C1128" s="18" t="inlineStr">
        <is>
          <t>legal_management</t>
        </is>
      </c>
      <c r="D1128" s="18" t="inlineStr">
        <is>
          <t>planes_hallazgos</t>
        </is>
      </c>
      <c r="E1128" s="18" t="n">
        <v>4</v>
      </c>
      <c r="F1128" s="18" t="inlineStr">
        <is>
          <t>nombre</t>
        </is>
      </c>
      <c r="G1128" s="18" t="inlineStr">
        <is>
          <t>character varying(255)</t>
        </is>
      </c>
      <c r="H1128" s="18" t="inlineStr">
        <is>
          <t>No</t>
        </is>
      </c>
      <c r="I1128" s="18" t="inlineStr"/>
      <c r="J1128" s="18" t="inlineStr"/>
      <c r="K1128" s="18" t="inlineStr"/>
      <c r="L1128" s="18" t="inlineStr">
        <is>
          <t>No</t>
        </is>
      </c>
      <c r="M1128" s="18" t="inlineStr">
        <is>
          <t>No</t>
        </is>
      </c>
      <c r="N1128" s="18" t="inlineStr"/>
      <c r="O1128" s="18" t="inlineStr"/>
      <c r="P1128" s="18" t="inlineStr">
        <is>
          <t>Mapeada en legal-management-service/src/entities/plan-hallazgo.entity.ts:22 (PlanHallazgo.nombre)</t>
        </is>
      </c>
      <c r="Q1128" s="18" t="inlineStr">
        <is>
          <t>Regla estructural</t>
        </is>
      </c>
      <c r="R1128" s="18" t="inlineStr">
        <is>
          <t>Nombre del registro de planes_hallazgos.</t>
        </is>
      </c>
      <c r="S1128" s="18" t="inlineStr">
        <is>
          <t>Media</t>
        </is>
      </c>
      <c r="T1128" s="18" t="inlineStr">
        <is>
          <t>Convención de nombre de la columna.</t>
        </is>
      </c>
      <c r="U1128" s="18" t="inlineStr"/>
      <c r="V1128" s="19" t="inlineStr">
        <is>
          <t>Pendiente</t>
        </is>
      </c>
      <c r="W1128" s="19" t="inlineStr"/>
      <c r="X1128" s="19" t="inlineStr"/>
      <c r="Y1128" s="20" t="n"/>
      <c r="Z1128" s="19" t="inlineStr"/>
      <c r="AA1128" s="18">
        <f>IF(OR(V1128="Aprobada"),R1128,IF(AND(OR(V1128="Aprobada con ajuste",V1128="Rechazada"),W1128&lt;&gt;""),W1128,""))</f>
        <v/>
      </c>
    </row>
    <row r="1129">
      <c r="A1129" s="18" t="inlineStr">
        <is>
          <t>C1128</t>
        </is>
      </c>
      <c r="B1129" s="18" t="inlineStr">
        <is>
          <t>Gestión jurídica</t>
        </is>
      </c>
      <c r="C1129" s="18" t="inlineStr">
        <is>
          <t>legal_management</t>
        </is>
      </c>
      <c r="D1129" s="18" t="inlineStr">
        <is>
          <t>planes_hallazgos</t>
        </is>
      </c>
      <c r="E1129" s="18" t="n">
        <v>4</v>
      </c>
      <c r="F1129" s="18" t="inlineStr">
        <is>
          <t>descripcion</t>
        </is>
      </c>
      <c r="G1129" s="18" t="inlineStr">
        <is>
          <t>text</t>
        </is>
      </c>
      <c r="H1129" s="18" t="inlineStr">
        <is>
          <t>Sí</t>
        </is>
      </c>
      <c r="I1129" s="18" t="inlineStr"/>
      <c r="J1129" s="18" t="inlineStr"/>
      <c r="K1129" s="18" t="inlineStr"/>
      <c r="L1129" s="18" t="inlineStr">
        <is>
          <t>No</t>
        </is>
      </c>
      <c r="M1129" s="18" t="inlineStr">
        <is>
          <t>No</t>
        </is>
      </c>
      <c r="N1129" s="18" t="inlineStr"/>
      <c r="O1129" s="18" t="inlineStr"/>
      <c r="P1129" s="18" t="inlineStr">
        <is>
          <t>Mapeada en legal-management-service/src/entities/plan-hallazgo.entity.ts:25 (PlanHallazgo.descripcion)</t>
        </is>
      </c>
      <c r="Q1129" s="18" t="inlineStr">
        <is>
          <t>Regla estructural</t>
        </is>
      </c>
      <c r="R1129" s="18" t="inlineStr">
        <is>
          <t>Descripción del registro de planes_hallazgos.</t>
        </is>
      </c>
      <c r="S1129" s="18" t="inlineStr">
        <is>
          <t>Media</t>
        </is>
      </c>
      <c r="T1129" s="18" t="inlineStr">
        <is>
          <t>Convención de nombre de la columna.</t>
        </is>
      </c>
      <c r="U1129" s="18" t="inlineStr"/>
      <c r="V1129" s="19" t="inlineStr">
        <is>
          <t>Pendiente</t>
        </is>
      </c>
      <c r="W1129" s="19" t="inlineStr"/>
      <c r="X1129" s="19" t="inlineStr"/>
      <c r="Y1129" s="20" t="n"/>
      <c r="Z1129" s="19" t="inlineStr"/>
      <c r="AA1129" s="18">
        <f>IF(OR(V1129="Aprobada"),R1129,IF(AND(OR(V1129="Aprobada con ajuste",V1129="Rechazada"),W1129&lt;&gt;""),W1129,""))</f>
        <v/>
      </c>
    </row>
    <row r="1130">
      <c r="A1130" s="18" t="inlineStr">
        <is>
          <t>C1129</t>
        </is>
      </c>
      <c r="B1130" s="18" t="inlineStr">
        <is>
          <t>Gestión jurídica</t>
        </is>
      </c>
      <c r="C1130" s="18" t="inlineStr">
        <is>
          <t>legal_management</t>
        </is>
      </c>
      <c r="D1130" s="18" t="inlineStr">
        <is>
          <t>planes_hallazgos</t>
        </is>
      </c>
      <c r="E1130" s="18" t="n">
        <v>4</v>
      </c>
      <c r="F1130" s="18" t="inlineStr">
        <is>
          <t>porcentaje_avance</t>
        </is>
      </c>
      <c r="G1130" s="18" t="inlineStr">
        <is>
          <t>integer</t>
        </is>
      </c>
      <c r="H1130" s="18" t="inlineStr">
        <is>
          <t>No</t>
        </is>
      </c>
      <c r="I1130" s="18" t="inlineStr">
        <is>
          <t>CHECK</t>
        </is>
      </c>
      <c r="J1130" s="18" t="inlineStr"/>
      <c r="K1130" s="18" t="inlineStr"/>
      <c r="L1130" s="18" t="inlineStr">
        <is>
          <t>No</t>
        </is>
      </c>
      <c r="M1130" s="18" t="inlineStr">
        <is>
          <t>No</t>
        </is>
      </c>
      <c r="N1130" s="18" t="inlineStr"/>
      <c r="O1130" s="18" t="inlineStr"/>
      <c r="P1130" s="18" t="inlineStr">
        <is>
          <t>Mapeada en legal-management-service/src/entities/plan-hallazgo.entity.ts:28 (PlanHallazgo.porcentajeAvance)</t>
        </is>
      </c>
      <c r="Q1130" s="18" t="inlineStr">
        <is>
          <t>Propuesta semántica</t>
        </is>
      </c>
      <c r="R1130" s="18" t="inlineStr">
        <is>
          <t>Porcentaje de avance del hallazgo o acción de mejora (0 a 100). El avance global del plan es el promedio de los avances de sus hallazgos. Por defecto, 0.</t>
        </is>
      </c>
      <c r="S1130" s="18" t="inlineStr">
        <is>
          <t>Alta</t>
        </is>
      </c>
      <c r="T1130" s="18" t="inlineStr">
        <is>
          <t>documentación de la entidad en el código</t>
        </is>
      </c>
      <c r="U1130" s="18" t="inlineStr"/>
      <c r="V1130" s="19" t="inlineStr">
        <is>
          <t>Pendiente</t>
        </is>
      </c>
      <c r="W1130" s="19" t="inlineStr"/>
      <c r="X1130" s="19" t="inlineStr"/>
      <c r="Y1130" s="20" t="n"/>
      <c r="Z1130" s="19" t="inlineStr"/>
      <c r="AA1130" s="18">
        <f>IF(OR(V1130="Aprobada"),R1130,IF(AND(OR(V1130="Aprobada con ajuste",V1130="Rechazada"),W1130&lt;&gt;""),W1130,""))</f>
        <v/>
      </c>
    </row>
    <row r="1131">
      <c r="A1131" s="18" t="inlineStr">
        <is>
          <t>C1130</t>
        </is>
      </c>
      <c r="B1131" s="18" t="inlineStr">
        <is>
          <t>Gestión jurídica</t>
        </is>
      </c>
      <c r="C1131" s="18" t="inlineStr">
        <is>
          <t>legal_management</t>
        </is>
      </c>
      <c r="D1131" s="18" t="inlineStr">
        <is>
          <t>planes_hallazgos</t>
        </is>
      </c>
      <c r="E1131" s="18" t="n">
        <v>4</v>
      </c>
      <c r="F1131" s="18" t="inlineStr">
        <is>
          <t>archivo_url</t>
        </is>
      </c>
      <c r="G1131" s="18" t="inlineStr">
        <is>
          <t>text</t>
        </is>
      </c>
      <c r="H1131" s="18" t="inlineStr">
        <is>
          <t>Sí</t>
        </is>
      </c>
      <c r="I1131" s="18" t="inlineStr"/>
      <c r="J1131" s="18" t="inlineStr"/>
      <c r="K1131" s="18" t="inlineStr"/>
      <c r="L1131" s="18" t="inlineStr">
        <is>
          <t>No</t>
        </is>
      </c>
      <c r="M1131" s="18" t="inlineStr">
        <is>
          <t>No</t>
        </is>
      </c>
      <c r="N1131" s="18" t="inlineStr"/>
      <c r="O1131" s="18" t="inlineStr"/>
      <c r="P1131" s="18" t="inlineStr">
        <is>
          <t>Mapeada en legal-management-service/src/entities/plan-hallazgo.entity.ts:31 (PlanHallazgo.archivoUrl)</t>
        </is>
      </c>
      <c r="Q1131" s="18" t="inlineStr">
        <is>
          <t>Propuesta semántica</t>
        </is>
      </c>
      <c r="R1131" s="18" t="inlineStr">
        <is>
          <t>URL del archivo de soporte del hallazgo.</t>
        </is>
      </c>
      <c r="S1131" s="18" t="inlineStr">
        <is>
          <t>Alta</t>
        </is>
      </c>
      <c r="T1131" s="18" t="inlineStr">
        <is>
          <t>nombre + tipo + columnas vecinas</t>
        </is>
      </c>
      <c r="U1131" s="18" t="inlineStr"/>
      <c r="V1131" s="19" t="inlineStr">
        <is>
          <t>Pendiente</t>
        </is>
      </c>
      <c r="W1131" s="19" t="inlineStr"/>
      <c r="X1131" s="19" t="inlineStr"/>
      <c r="Y1131" s="20" t="n"/>
      <c r="Z1131" s="19" t="inlineStr"/>
      <c r="AA1131" s="18">
        <f>IF(OR(V1131="Aprobada"),R1131,IF(AND(OR(V1131="Aprobada con ajuste",V1131="Rechazada"),W1131&lt;&gt;""),W1131,""))</f>
        <v/>
      </c>
    </row>
    <row r="1132">
      <c r="A1132" s="18" t="inlineStr">
        <is>
          <t>C1131</t>
        </is>
      </c>
      <c r="B1132" s="18" t="inlineStr">
        <is>
          <t>Gestión jurídica</t>
        </is>
      </c>
      <c r="C1132" s="18" t="inlineStr">
        <is>
          <t>legal_management</t>
        </is>
      </c>
      <c r="D1132" s="18" t="inlineStr">
        <is>
          <t>planes_hallazgos</t>
        </is>
      </c>
      <c r="E1132" s="18" t="n">
        <v>4</v>
      </c>
      <c r="F1132" s="18" t="inlineStr">
        <is>
          <t>archivo_nombre</t>
        </is>
      </c>
      <c r="G1132" s="18" t="inlineStr">
        <is>
          <t>character varying(255)</t>
        </is>
      </c>
      <c r="H1132" s="18" t="inlineStr">
        <is>
          <t>Sí</t>
        </is>
      </c>
      <c r="I1132" s="18" t="inlineStr"/>
      <c r="J1132" s="18" t="inlineStr"/>
      <c r="K1132" s="18" t="inlineStr"/>
      <c r="L1132" s="18" t="inlineStr">
        <is>
          <t>No</t>
        </is>
      </c>
      <c r="M1132" s="18" t="inlineStr">
        <is>
          <t>No</t>
        </is>
      </c>
      <c r="N1132" s="18" t="inlineStr"/>
      <c r="O1132" s="18" t="inlineStr"/>
      <c r="P1132" s="18" t="inlineStr">
        <is>
          <t>Mapeada en legal-management-service/src/entities/plan-hallazgo.entity.ts:34 (PlanHallazgo.archivoNombre)</t>
        </is>
      </c>
      <c r="Q1132" s="18" t="inlineStr">
        <is>
          <t>Propuesta semántica</t>
        </is>
      </c>
      <c r="R1132" s="18" t="inlineStr">
        <is>
          <t>Nombre del archivo de soporte del hallazgo.</t>
        </is>
      </c>
      <c r="S1132" s="18" t="inlineStr">
        <is>
          <t>Alta</t>
        </is>
      </c>
      <c r="T1132" s="18" t="inlineStr">
        <is>
          <t>nombre + tipo + columnas vecinas</t>
        </is>
      </c>
      <c r="U1132" s="18" t="inlineStr"/>
      <c r="V1132" s="19" t="inlineStr">
        <is>
          <t>Pendiente</t>
        </is>
      </c>
      <c r="W1132" s="19" t="inlineStr"/>
      <c r="X1132" s="19" t="inlineStr"/>
      <c r="Y1132" s="20" t="n"/>
      <c r="Z1132" s="19" t="inlineStr"/>
      <c r="AA1132" s="18">
        <f>IF(OR(V1132="Aprobada"),R1132,IF(AND(OR(V1132="Aprobada con ajuste",V1132="Rechazada"),W1132&lt;&gt;""),W1132,""))</f>
        <v/>
      </c>
    </row>
    <row r="1133">
      <c r="A1133" s="18" t="inlineStr">
        <is>
          <t>C1132</t>
        </is>
      </c>
      <c r="B1133" s="18" t="inlineStr">
        <is>
          <t>Gestión jurídica</t>
        </is>
      </c>
      <c r="C1133" s="18" t="inlineStr">
        <is>
          <t>legal_management</t>
        </is>
      </c>
      <c r="D1133" s="18" t="inlineStr">
        <is>
          <t>planes_hallazgos</t>
        </is>
      </c>
      <c r="E1133" s="18" t="n">
        <v>4</v>
      </c>
      <c r="F1133" s="18" t="inlineStr">
        <is>
          <t>archivo_mime</t>
        </is>
      </c>
      <c r="G1133" s="18" t="inlineStr">
        <is>
          <t>character varying(100)</t>
        </is>
      </c>
      <c r="H1133" s="18" t="inlineStr">
        <is>
          <t>Sí</t>
        </is>
      </c>
      <c r="I1133" s="18" t="inlineStr"/>
      <c r="J1133" s="18" t="inlineStr"/>
      <c r="K1133" s="18" t="inlineStr"/>
      <c r="L1133" s="18" t="inlineStr">
        <is>
          <t>No</t>
        </is>
      </c>
      <c r="M1133" s="18" t="inlineStr">
        <is>
          <t>No</t>
        </is>
      </c>
      <c r="N1133" s="18" t="inlineStr"/>
      <c r="O1133" s="18" t="inlineStr"/>
      <c r="P1133" s="18" t="inlineStr">
        <is>
          <t>Mapeada en legal-management-service/src/entities/plan-hallazgo.entity.ts:37 (PlanHallazgo.archivoMime)</t>
        </is>
      </c>
      <c r="Q1133" s="18" t="inlineStr">
        <is>
          <t>Propuesta semántica</t>
        </is>
      </c>
      <c r="R1133" s="18" t="inlineStr">
        <is>
          <t>Tipo MIME del archivo de soporte del hallazgo.</t>
        </is>
      </c>
      <c r="S1133" s="18" t="inlineStr">
        <is>
          <t>Alta</t>
        </is>
      </c>
      <c r="T1133" s="18" t="inlineStr">
        <is>
          <t>nombre + tipo + columnas vecinas</t>
        </is>
      </c>
      <c r="U1133" s="18" t="inlineStr"/>
      <c r="V1133" s="19" t="inlineStr">
        <is>
          <t>Pendiente</t>
        </is>
      </c>
      <c r="W1133" s="19" t="inlineStr"/>
      <c r="X1133" s="19" t="inlineStr"/>
      <c r="Y1133" s="20" t="n"/>
      <c r="Z1133" s="19" t="inlineStr"/>
      <c r="AA1133" s="18">
        <f>IF(OR(V1133="Aprobada"),R1133,IF(AND(OR(V1133="Aprobada con ajuste",V1133="Rechazada"),W1133&lt;&gt;""),W1133,""))</f>
        <v/>
      </c>
    </row>
    <row r="1134">
      <c r="A1134" s="18" t="inlineStr">
        <is>
          <t>C1133</t>
        </is>
      </c>
      <c r="B1134" s="18" t="inlineStr">
        <is>
          <t>Gestión jurídica</t>
        </is>
      </c>
      <c r="C1134" s="18" t="inlineStr">
        <is>
          <t>legal_management</t>
        </is>
      </c>
      <c r="D1134" s="18" t="inlineStr">
        <is>
          <t>planes_mejoramiento</t>
        </is>
      </c>
      <c r="E1134" s="18" t="n">
        <v>22</v>
      </c>
      <c r="F1134" s="18" t="inlineStr">
        <is>
          <t>codigo</t>
        </is>
      </c>
      <c r="G1134" s="18" t="inlineStr">
        <is>
          <t>character varying(50)</t>
        </is>
      </c>
      <c r="H1134" s="18" t="inlineStr">
        <is>
          <t>No</t>
        </is>
      </c>
      <c r="I1134" s="18" t="inlineStr">
        <is>
          <t>Única</t>
        </is>
      </c>
      <c r="J1134" s="18" t="inlineStr"/>
      <c r="K1134" s="18" t="inlineStr"/>
      <c r="L1134" s="18" t="inlineStr">
        <is>
          <t>No</t>
        </is>
      </c>
      <c r="M1134" s="18" t="inlineStr">
        <is>
          <t>No</t>
        </is>
      </c>
      <c r="N1134" s="18" t="inlineStr"/>
      <c r="O1134" s="18" t="inlineStr">
        <is>
          <t>planes_mejoramiento_codigo_key</t>
        </is>
      </c>
      <c r="P1134" s="18" t="inlineStr">
        <is>
          <t>Mapeada en legal-management-service/src/entities/planes-mejoramiento.entity.ts:10 (PlanMejoramiento.codigo)</t>
        </is>
      </c>
      <c r="Q1134" s="18" t="inlineStr">
        <is>
          <t>Regla estructural</t>
        </is>
      </c>
      <c r="R1134" s="18" t="inlineStr">
        <is>
          <t>Código del registro de planes_mejoramiento. Único en la tabla.</t>
        </is>
      </c>
      <c r="S1134" s="18" t="inlineStr">
        <is>
          <t>Media</t>
        </is>
      </c>
      <c r="T1134" s="18" t="inlineStr">
        <is>
          <t>Convención de nombre de la columna.</t>
        </is>
      </c>
      <c r="U1134" s="18" t="inlineStr"/>
      <c r="V1134" s="19" t="inlineStr">
        <is>
          <t>Pendiente</t>
        </is>
      </c>
      <c r="W1134" s="19" t="inlineStr"/>
      <c r="X1134" s="19" t="inlineStr"/>
      <c r="Y1134" s="20" t="n"/>
      <c r="Z1134" s="19" t="inlineStr"/>
      <c r="AA1134" s="18">
        <f>IF(OR(V1134="Aprobada"),R1134,IF(AND(OR(V1134="Aprobada con ajuste",V1134="Rechazada"),W1134&lt;&gt;""),W1134,""))</f>
        <v/>
      </c>
    </row>
    <row r="1135">
      <c r="A1135" s="18" t="inlineStr">
        <is>
          <t>C1134</t>
        </is>
      </c>
      <c r="B1135" s="18" t="inlineStr">
        <is>
          <t>Gestión jurídica</t>
        </is>
      </c>
      <c r="C1135" s="18" t="inlineStr">
        <is>
          <t>legal_management</t>
        </is>
      </c>
      <c r="D1135" s="18" t="inlineStr">
        <is>
          <t>planes_mejoramiento</t>
        </is>
      </c>
      <c r="E1135" s="18" t="n">
        <v>22</v>
      </c>
      <c r="F1135" s="18" t="inlineStr">
        <is>
          <t>titulo</t>
        </is>
      </c>
      <c r="G1135" s="18" t="inlineStr">
        <is>
          <t>character varying(255)</t>
        </is>
      </c>
      <c r="H1135" s="18" t="inlineStr">
        <is>
          <t>No</t>
        </is>
      </c>
      <c r="I1135" s="18" t="inlineStr"/>
      <c r="J1135" s="18" t="inlineStr"/>
      <c r="K1135" s="18" t="inlineStr"/>
      <c r="L1135" s="18" t="inlineStr">
        <is>
          <t>No</t>
        </is>
      </c>
      <c r="M1135" s="18" t="inlineStr">
        <is>
          <t>No</t>
        </is>
      </c>
      <c r="N1135" s="18" t="inlineStr"/>
      <c r="O1135" s="18" t="inlineStr"/>
      <c r="P1135" s="18" t="inlineStr">
        <is>
          <t>Mapeada en legal-management-service/src/entities/planes-mejoramiento.entity.ts:13 (PlanMejoramiento.titulo)</t>
        </is>
      </c>
      <c r="Q1135" s="18" t="inlineStr">
        <is>
          <t>Propuesta semántica</t>
        </is>
      </c>
      <c r="R1135" s="18" t="inlineStr">
        <is>
          <t>Título del plan de mejoramiento.</t>
        </is>
      </c>
      <c r="S1135" s="18" t="inlineStr">
        <is>
          <t>Alta</t>
        </is>
      </c>
      <c r="T1135" s="18" t="inlineStr">
        <is>
          <t>nombre + tipo</t>
        </is>
      </c>
      <c r="U1135" s="18" t="inlineStr"/>
      <c r="V1135" s="19" t="inlineStr">
        <is>
          <t>Pendiente</t>
        </is>
      </c>
      <c r="W1135" s="19" t="inlineStr"/>
      <c r="X1135" s="19" t="inlineStr"/>
      <c r="Y1135" s="20" t="n"/>
      <c r="Z1135" s="19" t="inlineStr"/>
      <c r="AA1135" s="18">
        <f>IF(OR(V1135="Aprobada"),R1135,IF(AND(OR(V1135="Aprobada con ajuste",V1135="Rechazada"),W1135&lt;&gt;""),W1135,""))</f>
        <v/>
      </c>
    </row>
    <row r="1136">
      <c r="A1136" s="18" t="inlineStr">
        <is>
          <t>C1135</t>
        </is>
      </c>
      <c r="B1136" s="18" t="inlineStr">
        <is>
          <t>Gestión jurídica</t>
        </is>
      </c>
      <c r="C1136" s="18" t="inlineStr">
        <is>
          <t>legal_management</t>
        </is>
      </c>
      <c r="D1136" s="18" t="inlineStr">
        <is>
          <t>planes_mejoramiento</t>
        </is>
      </c>
      <c r="E1136" s="18" t="n">
        <v>22</v>
      </c>
      <c r="F1136" s="18" t="inlineStr">
        <is>
          <t>descripcion</t>
        </is>
      </c>
      <c r="G1136" s="18" t="inlineStr">
        <is>
          <t>text</t>
        </is>
      </c>
      <c r="H1136" s="18" t="inlineStr">
        <is>
          <t>Sí</t>
        </is>
      </c>
      <c r="I1136" s="18" t="inlineStr"/>
      <c r="J1136" s="18" t="inlineStr"/>
      <c r="K1136" s="18" t="inlineStr"/>
      <c r="L1136" s="18" t="inlineStr">
        <is>
          <t>No</t>
        </is>
      </c>
      <c r="M1136" s="18" t="inlineStr">
        <is>
          <t>No</t>
        </is>
      </c>
      <c r="N1136" s="18" t="inlineStr"/>
      <c r="O1136" s="18" t="inlineStr"/>
      <c r="P1136" s="18" t="inlineStr">
        <is>
          <t>Mapeada en legal-management-service/src/entities/planes-mejoramiento.entity.ts:16 (PlanMejoramiento.descripcion)</t>
        </is>
      </c>
      <c r="Q1136" s="18" t="inlineStr">
        <is>
          <t>Regla estructural</t>
        </is>
      </c>
      <c r="R1136" s="18" t="inlineStr">
        <is>
          <t>Descripción del registro de planes_mejoramiento.</t>
        </is>
      </c>
      <c r="S1136" s="18" t="inlineStr">
        <is>
          <t>Media</t>
        </is>
      </c>
      <c r="T1136" s="18" t="inlineStr">
        <is>
          <t>Convención de nombre de la columna.</t>
        </is>
      </c>
      <c r="U1136" s="18" t="inlineStr"/>
      <c r="V1136" s="19" t="inlineStr">
        <is>
          <t>Pendiente</t>
        </is>
      </c>
      <c r="W1136" s="19" t="inlineStr"/>
      <c r="X1136" s="19" t="inlineStr"/>
      <c r="Y1136" s="20" t="n"/>
      <c r="Z1136" s="19" t="inlineStr"/>
      <c r="AA1136" s="18">
        <f>IF(OR(V1136="Aprobada"),R1136,IF(AND(OR(V1136="Aprobada con ajuste",V1136="Rechazada"),W1136&lt;&gt;""),W1136,""))</f>
        <v/>
      </c>
    </row>
    <row r="1137">
      <c r="A1137" s="18" t="inlineStr">
        <is>
          <t>C1136</t>
        </is>
      </c>
      <c r="B1137" s="18" t="inlineStr">
        <is>
          <t>Gestión jurídica</t>
        </is>
      </c>
      <c r="C1137" s="18" t="inlineStr">
        <is>
          <t>legal_management</t>
        </is>
      </c>
      <c r="D1137" s="18" t="inlineStr">
        <is>
          <t>planes_mejoramiento</t>
        </is>
      </c>
      <c r="E1137" s="18" t="n">
        <v>22</v>
      </c>
      <c r="F1137" s="18" t="inlineStr">
        <is>
          <t>origen</t>
        </is>
      </c>
      <c r="G1137" s="18" t="inlineStr">
        <is>
          <t>character varying(50)</t>
        </is>
      </c>
      <c r="H1137" s="18" t="inlineStr">
        <is>
          <t>No</t>
        </is>
      </c>
      <c r="I1137" s="18" t="inlineStr">
        <is>
          <t>CHECK</t>
        </is>
      </c>
      <c r="J1137" s="18" t="inlineStr">
        <is>
          <t>AUDITORIA_EXTERNA, AUTOEVALUACION, CONTRALORIA, HALLAZGO_AUDITORIA, OCI, OTRO, PROCURADURIA, RIESGO</t>
        </is>
      </c>
      <c r="K1137" s="18" t="inlineStr"/>
      <c r="L1137" s="18" t="inlineStr">
        <is>
          <t>Sí</t>
        </is>
      </c>
      <c r="M1137" s="18" t="inlineStr">
        <is>
          <t>No</t>
        </is>
      </c>
      <c r="N1137" s="18" t="inlineStr"/>
      <c r="O1137" s="18" t="inlineStr"/>
      <c r="P1137" s="18" t="inlineStr">
        <is>
          <t>legal-management-service/src/entities/planes-mejoramiento.entity.ts:19: 'RIESGO', 'HALLAZGO_AUDITORIA', 'AUTOEVALUACION'</t>
        </is>
      </c>
      <c r="Q1137" s="18" t="inlineStr">
        <is>
          <t>Código fuente</t>
        </is>
      </c>
      <c r="R1137" s="18" t="inlineStr">
        <is>
          <t>Origen del plan de mejoramiento. Valores permitidos: AUDITORIA_EXTERNA, AUTOEVALUACION, CONTRALORIA, HALLAZGO_AUDITORIA, OCI, OTRO, PROCURADURIA, RIESGO.</t>
        </is>
      </c>
      <c r="S1137" s="18" t="inlineStr">
        <is>
          <t>Alta</t>
        </is>
      </c>
      <c r="T1137" s="18" t="inlineStr">
        <is>
          <t>valores permitidos del CHECK</t>
        </is>
      </c>
      <c r="U1137" s="18" t="inlineStr"/>
      <c r="V1137" s="19" t="inlineStr">
        <is>
          <t>Pendiente</t>
        </is>
      </c>
      <c r="W1137" s="19" t="inlineStr"/>
      <c r="X1137" s="19" t="inlineStr"/>
      <c r="Y1137" s="20" t="n"/>
      <c r="Z1137" s="19" t="inlineStr"/>
      <c r="AA1137" s="18">
        <f>IF(OR(V1137="Aprobada"),R1137,IF(AND(OR(V1137="Aprobada con ajuste",V1137="Rechazada"),W1137&lt;&gt;""),W1137,""))</f>
        <v/>
      </c>
    </row>
    <row r="1138">
      <c r="A1138" s="18" t="inlineStr">
        <is>
          <t>C1137</t>
        </is>
      </c>
      <c r="B1138" s="18" t="inlineStr">
        <is>
          <t>Gestión jurídica</t>
        </is>
      </c>
      <c r="C1138" s="18" t="inlineStr">
        <is>
          <t>legal_management</t>
        </is>
      </c>
      <c r="D1138" s="18" t="inlineStr">
        <is>
          <t>planes_mejoramiento</t>
        </is>
      </c>
      <c r="E1138" s="18" t="n">
        <v>22</v>
      </c>
      <c r="F1138" s="18" t="inlineStr">
        <is>
          <t>origen_id</t>
        </is>
      </c>
      <c r="G1138" s="18" t="inlineStr">
        <is>
          <t>uuid</t>
        </is>
      </c>
      <c r="H1138" s="18" t="inlineStr">
        <is>
          <t>Sí</t>
        </is>
      </c>
      <c r="I1138" s="18" t="inlineStr"/>
      <c r="J1138" s="18" t="inlineStr"/>
      <c r="K1138" s="18" t="inlineStr"/>
      <c r="L1138" s="18" t="inlineStr">
        <is>
          <t>No</t>
        </is>
      </c>
      <c r="M1138" s="18" t="inlineStr">
        <is>
          <t>No</t>
        </is>
      </c>
      <c r="N1138" s="18" t="inlineStr"/>
      <c r="O1138" s="18" t="inlineStr">
        <is>
          <t>idx_planes_origen_id</t>
        </is>
      </c>
      <c r="P1138" s="18" t="inlineStr">
        <is>
          <t>Mapeada en legal-management-service/src/entities/planes-mejoramiento.entity.ts:22 (PlanMejoramiento.origenId)</t>
        </is>
      </c>
      <c r="Q1138" s="18" t="inlineStr">
        <is>
          <t>Propuesta semántica</t>
        </is>
      </c>
      <c r="R1138" s="18" t="inlineStr">
        <is>
          <t>Identificador del registro que dio origen al plan.</t>
        </is>
      </c>
      <c r="S1138" s="18" t="inlineStr">
        <is>
          <t>Media</t>
        </is>
      </c>
      <c r="T1138" s="18" t="inlineStr">
        <is>
          <t>nombre + columna vecina origen</t>
        </is>
      </c>
      <c r="U1138" s="18" t="inlineStr">
        <is>
          <t>¿A qué tabla apunta origen_id según el valor de origen?</t>
        </is>
      </c>
      <c r="V1138" s="19" t="inlineStr">
        <is>
          <t>Pendiente</t>
        </is>
      </c>
      <c r="W1138" s="19" t="inlineStr"/>
      <c r="X1138" s="19" t="inlineStr"/>
      <c r="Y1138" s="20" t="n"/>
      <c r="Z1138" s="19" t="inlineStr"/>
      <c r="AA1138" s="18">
        <f>IF(OR(V1138="Aprobada"),R1138,IF(AND(OR(V1138="Aprobada con ajuste",V1138="Rechazada"),W1138&lt;&gt;""),W1138,""))</f>
        <v/>
      </c>
    </row>
    <row r="1139">
      <c r="A1139" s="18" t="inlineStr">
        <is>
          <t>C1138</t>
        </is>
      </c>
      <c r="B1139" s="18" t="inlineStr">
        <is>
          <t>Gestión jurídica</t>
        </is>
      </c>
      <c r="C1139" s="18" t="inlineStr">
        <is>
          <t>legal_management</t>
        </is>
      </c>
      <c r="D1139" s="18" t="inlineStr">
        <is>
          <t>planes_mejoramiento</t>
        </is>
      </c>
      <c r="E1139" s="18" t="n">
        <v>22</v>
      </c>
      <c r="F1139" s="18" t="inlineStr">
        <is>
          <t>responsable_id</t>
        </is>
      </c>
      <c r="G1139" s="18" t="inlineStr">
        <is>
          <t>uuid</t>
        </is>
      </c>
      <c r="H1139" s="18" t="inlineStr">
        <is>
          <t>Sí</t>
        </is>
      </c>
      <c r="I1139" s="18" t="inlineStr"/>
      <c r="J1139" s="18" t="inlineStr"/>
      <c r="K1139" s="18" t="inlineStr"/>
      <c r="L1139" s="18" t="inlineStr">
        <is>
          <t>No</t>
        </is>
      </c>
      <c r="M1139" s="18" t="inlineStr">
        <is>
          <t>No</t>
        </is>
      </c>
      <c r="N1139" s="18" t="inlineStr"/>
      <c r="O1139" s="18" t="inlineStr"/>
      <c r="P1139" s="18" t="inlineStr">
        <is>
          <t>legal-management-service/src/entities/planes-mejoramiento.entity.ts:25: FK to auth users</t>
        </is>
      </c>
      <c r="Q1139" s="18" t="inlineStr">
        <is>
          <t>Código fuente</t>
        </is>
      </c>
      <c r="R1139" s="18" t="inlineStr">
        <is>
          <t>Identificador del usuario responsable del plan (auth."user").</t>
        </is>
      </c>
      <c r="S1139" s="18" t="inlineStr">
        <is>
          <t>Alta</t>
        </is>
      </c>
      <c r="T1139" s="18" t="inlineStr">
        <is>
          <t>código: planes-mejoramiento.entity.ts:25</t>
        </is>
      </c>
      <c r="U1139" s="18" t="inlineStr"/>
      <c r="V1139" s="19" t="inlineStr">
        <is>
          <t>Pendiente</t>
        </is>
      </c>
      <c r="W1139" s="19" t="inlineStr"/>
      <c r="X1139" s="19" t="inlineStr"/>
      <c r="Y1139" s="20" t="n"/>
      <c r="Z1139" s="19" t="inlineStr"/>
      <c r="AA1139" s="18">
        <f>IF(OR(V1139="Aprobada"),R1139,IF(AND(OR(V1139="Aprobada con ajuste",V1139="Rechazada"),W1139&lt;&gt;""),W1139,""))</f>
        <v/>
      </c>
    </row>
    <row r="1140">
      <c r="A1140" s="18" t="inlineStr">
        <is>
          <t>C1139</t>
        </is>
      </c>
      <c r="B1140" s="18" t="inlineStr">
        <is>
          <t>Gestión jurídica</t>
        </is>
      </c>
      <c r="C1140" s="18" t="inlineStr">
        <is>
          <t>legal_management</t>
        </is>
      </c>
      <c r="D1140" s="18" t="inlineStr">
        <is>
          <t>planes_mejoramiento</t>
        </is>
      </c>
      <c r="E1140" s="18" t="n">
        <v>22</v>
      </c>
      <c r="F1140" s="18" t="inlineStr">
        <is>
          <t>fecha_inicio</t>
        </is>
      </c>
      <c r="G1140" s="18" t="inlineStr">
        <is>
          <t>date</t>
        </is>
      </c>
      <c r="H1140" s="18" t="inlineStr">
        <is>
          <t>No</t>
        </is>
      </c>
      <c r="I1140" s="18" t="inlineStr"/>
      <c r="J1140" s="18" t="inlineStr"/>
      <c r="K1140" s="18" t="inlineStr"/>
      <c r="L1140" s="18" t="inlineStr">
        <is>
          <t>No</t>
        </is>
      </c>
      <c r="M1140" s="18" t="inlineStr">
        <is>
          <t>No</t>
        </is>
      </c>
      <c r="N1140" s="18" t="inlineStr"/>
      <c r="O1140" s="18" t="inlineStr"/>
      <c r="P1140" s="18" t="inlineStr">
        <is>
          <t>legal-management-service/src/entities/planes-mejoramiento.entity.ts:31: Keep as Date object for TypeORM</t>
        </is>
      </c>
      <c r="Q1140" s="18" t="inlineStr">
        <is>
          <t>Código fuente</t>
        </is>
      </c>
      <c r="R1140" s="18" t="inlineStr">
        <is>
          <t>Fecha de inicio del plan de mejoramiento.</t>
        </is>
      </c>
      <c r="S1140" s="18" t="inlineStr">
        <is>
          <t>Alta</t>
        </is>
      </c>
      <c r="T1140" s="18" t="inlineStr">
        <is>
          <t>propuesta por regla + nombre + tabla</t>
        </is>
      </c>
      <c r="U1140" s="18" t="inlineStr"/>
      <c r="V1140" s="19" t="inlineStr">
        <is>
          <t>Pendiente</t>
        </is>
      </c>
      <c r="W1140" s="19" t="inlineStr"/>
      <c r="X1140" s="19" t="inlineStr"/>
      <c r="Y1140" s="20" t="n"/>
      <c r="Z1140" s="19" t="inlineStr"/>
      <c r="AA1140" s="18">
        <f>IF(OR(V1140="Aprobada"),R1140,IF(AND(OR(V1140="Aprobada con ajuste",V1140="Rechazada"),W1140&lt;&gt;""),W1140,""))</f>
        <v/>
      </c>
    </row>
    <row r="1141">
      <c r="A1141" s="18" t="inlineStr">
        <is>
          <t>C1140</t>
        </is>
      </c>
      <c r="B1141" s="18" t="inlineStr">
        <is>
          <t>Gestión jurídica</t>
        </is>
      </c>
      <c r="C1141" s="18" t="inlineStr">
        <is>
          <t>legal_management</t>
        </is>
      </c>
      <c r="D1141" s="18" t="inlineStr">
        <is>
          <t>planes_mejoramiento</t>
        </is>
      </c>
      <c r="E1141" s="18" t="n">
        <v>22</v>
      </c>
      <c r="F1141" s="18" t="inlineStr">
        <is>
          <t>fecha_fin_estimada</t>
        </is>
      </c>
      <c r="G1141" s="18" t="inlineStr">
        <is>
          <t>date</t>
        </is>
      </c>
      <c r="H1141" s="18" t="inlineStr">
        <is>
          <t>No</t>
        </is>
      </c>
      <c r="I1141" s="18" t="inlineStr"/>
      <c r="J1141" s="18" t="inlineStr"/>
      <c r="K1141" s="18" t="inlineStr"/>
      <c r="L1141" s="18" t="inlineStr">
        <is>
          <t>No</t>
        </is>
      </c>
      <c r="M1141" s="18" t="inlineStr">
        <is>
          <t>No</t>
        </is>
      </c>
      <c r="N1141" s="18" t="inlineStr"/>
      <c r="O1141" s="18" t="inlineStr"/>
      <c r="P1141" s="18" t="inlineStr">
        <is>
          <t>Mapeada en legal-management-service/src/entities/planes-mejoramiento.entity.ts:34 (PlanMejoramiento.fechaFinEstimada)</t>
        </is>
      </c>
      <c r="Q1141" s="18" t="inlineStr">
        <is>
          <t>Regla estructural</t>
        </is>
      </c>
      <c r="R1141" s="18" t="inlineStr">
        <is>
          <t>Fecha de fin estimada.</t>
        </is>
      </c>
      <c r="S1141" s="18" t="inlineStr">
        <is>
          <t>Media</t>
        </is>
      </c>
      <c r="T1141" s="18" t="inlineStr">
        <is>
          <t>Convención de nombre de la columna.</t>
        </is>
      </c>
      <c r="U1141" s="18" t="inlineStr"/>
      <c r="V1141" s="19" t="inlineStr">
        <is>
          <t>Pendiente</t>
        </is>
      </c>
      <c r="W1141" s="19" t="inlineStr"/>
      <c r="X1141" s="19" t="inlineStr"/>
      <c r="Y1141" s="20" t="n"/>
      <c r="Z1141" s="19" t="inlineStr"/>
      <c r="AA1141" s="18">
        <f>IF(OR(V1141="Aprobada"),R1141,IF(AND(OR(V1141="Aprobada con ajuste",V1141="Rechazada"),W1141&lt;&gt;""),W1141,""))</f>
        <v/>
      </c>
    </row>
    <row r="1142">
      <c r="A1142" s="18" t="inlineStr">
        <is>
          <t>C1141</t>
        </is>
      </c>
      <c r="B1142" s="18" t="inlineStr">
        <is>
          <t>Gestión jurídica</t>
        </is>
      </c>
      <c r="C1142" s="18" t="inlineStr">
        <is>
          <t>legal_management</t>
        </is>
      </c>
      <c r="D1142" s="18" t="inlineStr">
        <is>
          <t>planes_mejoramiento</t>
        </is>
      </c>
      <c r="E1142" s="18" t="n">
        <v>22</v>
      </c>
      <c r="F1142" s="18" t="inlineStr">
        <is>
          <t>fecha_cierre_real</t>
        </is>
      </c>
      <c r="G1142" s="18" t="inlineStr">
        <is>
          <t>date</t>
        </is>
      </c>
      <c r="H1142" s="18" t="inlineStr">
        <is>
          <t>Sí</t>
        </is>
      </c>
      <c r="I1142" s="18" t="inlineStr"/>
      <c r="J1142" s="18" t="inlineStr"/>
      <c r="K1142" s="18" t="inlineStr"/>
      <c r="L1142" s="18" t="inlineStr">
        <is>
          <t>No</t>
        </is>
      </c>
      <c r="M1142" s="18" t="inlineStr">
        <is>
          <t>No</t>
        </is>
      </c>
      <c r="N1142" s="18" t="inlineStr"/>
      <c r="O1142" s="18" t="inlineStr"/>
      <c r="P1142" s="18" t="inlineStr">
        <is>
          <t>Mapeada en legal-management-service/src/entities/planes-mejoramiento.entity.ts:37 (PlanMejoramiento.fechaCierreReal)</t>
        </is>
      </c>
      <c r="Q1142" s="18" t="inlineStr">
        <is>
          <t>Regla estructural</t>
        </is>
      </c>
      <c r="R1142" s="18" t="inlineStr">
        <is>
          <t>Fecha de cierre real.</t>
        </is>
      </c>
      <c r="S1142" s="18" t="inlineStr">
        <is>
          <t>Media</t>
        </is>
      </c>
      <c r="T1142" s="18" t="inlineStr">
        <is>
          <t>Convención de nombre de la columna.</t>
        </is>
      </c>
      <c r="U1142" s="18" t="inlineStr"/>
      <c r="V1142" s="19" t="inlineStr">
        <is>
          <t>Pendiente</t>
        </is>
      </c>
      <c r="W1142" s="19" t="inlineStr"/>
      <c r="X1142" s="19" t="inlineStr"/>
      <c r="Y1142" s="20" t="n"/>
      <c r="Z1142" s="19" t="inlineStr"/>
      <c r="AA1142" s="18">
        <f>IF(OR(V1142="Aprobada"),R1142,IF(AND(OR(V1142="Aprobada con ajuste",V1142="Rechazada"),W1142&lt;&gt;""),W1142,""))</f>
        <v/>
      </c>
    </row>
    <row r="1143">
      <c r="A1143" s="18" t="inlineStr">
        <is>
          <t>C1142</t>
        </is>
      </c>
      <c r="B1143" s="18" t="inlineStr">
        <is>
          <t>Gestión jurídica</t>
        </is>
      </c>
      <c r="C1143" s="18" t="inlineStr">
        <is>
          <t>legal_management</t>
        </is>
      </c>
      <c r="D1143" s="18" t="inlineStr">
        <is>
          <t>planes_mejoramiento</t>
        </is>
      </c>
      <c r="E1143" s="18" t="n">
        <v>22</v>
      </c>
      <c r="F1143" s="18" t="inlineStr">
        <is>
          <t>avance_porcentaje</t>
        </is>
      </c>
      <c r="G1143" s="18" t="inlineStr">
        <is>
          <t>numeric(5,2)</t>
        </is>
      </c>
      <c r="H1143" s="18" t="inlineStr">
        <is>
          <t>Sí</t>
        </is>
      </c>
      <c r="I1143" s="18" t="inlineStr">
        <is>
          <t>CHECK</t>
        </is>
      </c>
      <c r="J1143" s="18" t="inlineStr"/>
      <c r="K1143" s="18" t="inlineStr"/>
      <c r="L1143" s="18" t="inlineStr">
        <is>
          <t>No</t>
        </is>
      </c>
      <c r="M1143" s="18" t="inlineStr">
        <is>
          <t>No</t>
        </is>
      </c>
      <c r="N1143" s="18" t="inlineStr"/>
      <c r="O1143" s="18" t="inlineStr"/>
      <c r="P1143" s="18" t="inlineStr">
        <is>
          <t>Mapeada en legal-management-service/src/entities/planes-mejoramiento.entity.ts:40 (PlanMejoramiento.avancePorcentaje)</t>
        </is>
      </c>
      <c r="Q1143" s="18" t="inlineStr">
        <is>
          <t>Propuesta semántica</t>
        </is>
      </c>
      <c r="R1143" s="18" t="inlineStr">
        <is>
          <t>Porcentaje de avance global del plan de mejoramiento, calculado como el promedio del avance de sus hallazgos. Por defecto, 0.</t>
        </is>
      </c>
      <c r="S1143" s="18" t="inlineStr">
        <is>
          <t>Media</t>
        </is>
      </c>
      <c r="T1143" s="18" t="inlineStr">
        <is>
          <t>nombre + tipo + documentación de planes_hallazgos</t>
        </is>
      </c>
      <c r="U1143" s="18" t="inlineStr">
        <is>
          <t>¿El valor se actualiza automáticamente desde planes_hallazgos o desde planes_seguimientos?</t>
        </is>
      </c>
      <c r="V1143" s="19" t="inlineStr">
        <is>
          <t>Pendiente</t>
        </is>
      </c>
      <c r="W1143" s="19" t="inlineStr"/>
      <c r="X1143" s="19" t="inlineStr"/>
      <c r="Y1143" s="20" t="n"/>
      <c r="Z1143" s="19" t="inlineStr"/>
      <c r="AA1143" s="18">
        <f>IF(OR(V1143="Aprobada"),R1143,IF(AND(OR(V1143="Aprobada con ajuste",V1143="Rechazada"),W1143&lt;&gt;""),W1143,""))</f>
        <v/>
      </c>
    </row>
    <row r="1144">
      <c r="A1144" s="18" t="inlineStr">
        <is>
          <t>C1143</t>
        </is>
      </c>
      <c r="B1144" s="18" t="inlineStr">
        <is>
          <t>Gestión jurídica</t>
        </is>
      </c>
      <c r="C1144" s="18" t="inlineStr">
        <is>
          <t>legal_management</t>
        </is>
      </c>
      <c r="D1144" s="18" t="inlineStr">
        <is>
          <t>planes_mejoramiento</t>
        </is>
      </c>
      <c r="E1144" s="18" t="n">
        <v>22</v>
      </c>
      <c r="F1144" s="18" t="inlineStr">
        <is>
          <t>presupuesto</t>
        </is>
      </c>
      <c r="G1144" s="18" t="inlineStr">
        <is>
          <t>numeric(15,2)</t>
        </is>
      </c>
      <c r="H1144" s="18" t="inlineStr">
        <is>
          <t>Sí</t>
        </is>
      </c>
      <c r="I1144" s="18" t="inlineStr"/>
      <c r="J1144" s="18" t="inlineStr"/>
      <c r="K1144" s="18" t="inlineStr"/>
      <c r="L1144" s="18" t="inlineStr">
        <is>
          <t>No</t>
        </is>
      </c>
      <c r="M1144" s="18" t="inlineStr">
        <is>
          <t>No</t>
        </is>
      </c>
      <c r="N1144" s="18" t="inlineStr"/>
      <c r="O1144" s="18" t="inlineStr"/>
      <c r="P1144" s="18" t="inlineStr">
        <is>
          <t>Mapeada en legal-management-service/src/entities/planes-mejoramiento.entity.ts:43 (PlanMejoramiento.presupuesto)</t>
        </is>
      </c>
      <c r="Q1144" s="18" t="inlineStr">
        <is>
          <t>Propuesta semántica</t>
        </is>
      </c>
      <c r="R1144" s="18" t="inlineStr">
        <is>
          <t>Presupuesto asignado al plan de mejoramiento. Por defecto, 0.</t>
        </is>
      </c>
      <c r="S1144" s="18" t="inlineStr">
        <is>
          <t>Media</t>
        </is>
      </c>
      <c r="T1144" s="18" t="inlineStr">
        <is>
          <t>nombre + tipo + defecto</t>
        </is>
      </c>
      <c r="U1144" s="18" t="inlineStr">
        <is>
          <t>¿En qué moneda se registra el presupuesto (pesos colombianos)?</t>
        </is>
      </c>
      <c r="V1144" s="19" t="inlineStr">
        <is>
          <t>Pendiente</t>
        </is>
      </c>
      <c r="W1144" s="19" t="inlineStr"/>
      <c r="X1144" s="19" t="inlineStr"/>
      <c r="Y1144" s="20" t="n"/>
      <c r="Z1144" s="19" t="inlineStr"/>
      <c r="AA1144" s="18">
        <f>IF(OR(V1144="Aprobada"),R1144,IF(AND(OR(V1144="Aprobada con ajuste",V1144="Rechazada"),W1144&lt;&gt;""),W1144,""))</f>
        <v/>
      </c>
    </row>
    <row r="1145">
      <c r="A1145" s="18" t="inlineStr">
        <is>
          <t>C1144</t>
        </is>
      </c>
      <c r="B1145" s="18" t="inlineStr">
        <is>
          <t>Gestión jurídica</t>
        </is>
      </c>
      <c r="C1145" s="18" t="inlineStr">
        <is>
          <t>legal_management</t>
        </is>
      </c>
      <c r="D1145" s="18" t="inlineStr">
        <is>
          <t>planes_mejoramiento</t>
        </is>
      </c>
      <c r="E1145" s="18" t="n">
        <v>22</v>
      </c>
      <c r="F1145" s="18" t="inlineStr">
        <is>
          <t>estado</t>
        </is>
      </c>
      <c r="G1145" s="18" t="inlineStr">
        <is>
          <t>character varying(20)</t>
        </is>
      </c>
      <c r="H1145" s="18" t="inlineStr">
        <is>
          <t>Sí</t>
        </is>
      </c>
      <c r="I1145" s="18" t="inlineStr">
        <is>
          <t>CHECK</t>
        </is>
      </c>
      <c r="J1145" s="18" t="inlineStr">
        <is>
          <t>ABIERTO, CERRADO, EN_EJECUCION, VENCIDO</t>
        </is>
      </c>
      <c r="K1145" s="18" t="inlineStr"/>
      <c r="L1145" s="18" t="inlineStr">
        <is>
          <t>Sí</t>
        </is>
      </c>
      <c r="M1145" s="18" t="inlineStr">
        <is>
          <t>No</t>
        </is>
      </c>
      <c r="N1145" s="18" t="inlineStr"/>
      <c r="O1145" s="18" t="inlineStr">
        <is>
          <t>idx_planes_estado</t>
        </is>
      </c>
      <c r="P1145" s="18" t="inlineStr">
        <is>
          <t>legal-management-service/src/entities/planes-mejoramiento.entity.ts:46: 'ABIERTO', 'EN_EJECUCION', 'VENCIDO', 'CERRADO'</t>
        </is>
      </c>
      <c r="Q1145" s="18" t="inlineStr">
        <is>
          <t>Código fuente</t>
        </is>
      </c>
      <c r="R1145" s="18" t="inlineStr">
        <is>
          <t>Estado del plan de mejoramiento. Valores permitidos: ABIERTO, EN_EJECUCION, VENCIDO, CERRADO. Por defecto, ABIERTO.</t>
        </is>
      </c>
      <c r="S1145" s="18" t="inlineStr">
        <is>
          <t>Alta</t>
        </is>
      </c>
      <c r="T1145" s="18" t="inlineStr">
        <is>
          <t>valores permitidos del CHECK + código: planes-mejoramiento.entity.ts:46</t>
        </is>
      </c>
      <c r="U1145" s="18" t="inlineStr"/>
      <c r="V1145" s="19" t="inlineStr">
        <is>
          <t>Pendiente</t>
        </is>
      </c>
      <c r="W1145" s="19" t="inlineStr"/>
      <c r="X1145" s="19" t="inlineStr"/>
      <c r="Y1145" s="20" t="n"/>
      <c r="Z1145" s="19" t="inlineStr"/>
      <c r="AA1145" s="18">
        <f>IF(OR(V1145="Aprobada"),R1145,IF(AND(OR(V1145="Aprobada con ajuste",V1145="Rechazada"),W1145&lt;&gt;""),W1145,""))</f>
        <v/>
      </c>
    </row>
    <row r="1146">
      <c r="A1146" s="18" t="inlineStr">
        <is>
          <t>C1145</t>
        </is>
      </c>
      <c r="B1146" s="18" t="inlineStr">
        <is>
          <t>Gestión jurídica</t>
        </is>
      </c>
      <c r="C1146" s="18" t="inlineStr">
        <is>
          <t>legal_management</t>
        </is>
      </c>
      <c r="D1146" s="18" t="inlineStr">
        <is>
          <t>planes_mejoramiento</t>
        </is>
      </c>
      <c r="E1146" s="18" t="n">
        <v>22</v>
      </c>
      <c r="F1146" s="18" t="inlineStr">
        <is>
          <t>fecha_recepcion</t>
        </is>
      </c>
      <c r="G1146" s="18" t="inlineStr">
        <is>
          <t>date</t>
        </is>
      </c>
      <c r="H1146" s="18" t="inlineStr">
        <is>
          <t>Sí</t>
        </is>
      </c>
      <c r="I1146" s="18" t="inlineStr"/>
      <c r="J1146" s="18" t="inlineStr"/>
      <c r="K1146" s="18" t="inlineStr"/>
      <c r="L1146" s="18" t="inlineStr">
        <is>
          <t>No</t>
        </is>
      </c>
      <c r="M1146" s="18" t="inlineStr">
        <is>
          <t>No</t>
        </is>
      </c>
      <c r="N1146" s="18" t="inlineStr"/>
      <c r="O1146" s="18" t="inlineStr"/>
      <c r="P1146" s="18" t="inlineStr">
        <is>
          <t>Mapeada en legal-management-service/src/entities/planes-mejoramiento.entity.ts:55 (PlanMejoramiento.fechaRecepcion)</t>
        </is>
      </c>
      <c r="Q1146" s="18" t="inlineStr">
        <is>
          <t>Regla estructural</t>
        </is>
      </c>
      <c r="R1146" s="18" t="inlineStr">
        <is>
          <t>Fecha de recepción.</t>
        </is>
      </c>
      <c r="S1146" s="18" t="inlineStr">
        <is>
          <t>Media</t>
        </is>
      </c>
      <c r="T1146" s="18" t="inlineStr">
        <is>
          <t>Convención de nombre de la columna.</t>
        </is>
      </c>
      <c r="U1146" s="18" t="inlineStr"/>
      <c r="V1146" s="19" t="inlineStr">
        <is>
          <t>Pendiente</t>
        </is>
      </c>
      <c r="W1146" s="19" t="inlineStr"/>
      <c r="X1146" s="19" t="inlineStr"/>
      <c r="Y1146" s="20" t="n"/>
      <c r="Z1146" s="19" t="inlineStr"/>
      <c r="AA1146" s="18">
        <f>IF(OR(V1146="Aprobada"),R1146,IF(AND(OR(V1146="Aprobada con ajuste",V1146="Rechazada"),W1146&lt;&gt;""),W1146,""))</f>
        <v/>
      </c>
    </row>
    <row r="1147">
      <c r="A1147" s="18" t="inlineStr">
        <is>
          <t>C1146</t>
        </is>
      </c>
      <c r="B1147" s="18" t="inlineStr">
        <is>
          <t>Gestión jurídica</t>
        </is>
      </c>
      <c r="C1147" s="18" t="inlineStr">
        <is>
          <t>legal_management</t>
        </is>
      </c>
      <c r="D1147" s="18" t="inlineStr">
        <is>
          <t>planes_mejoramiento</t>
        </is>
      </c>
      <c r="E1147" s="18" t="n">
        <v>22</v>
      </c>
      <c r="F1147" s="18" t="inlineStr">
        <is>
          <t>fecha_respuesta</t>
        </is>
      </c>
      <c r="G1147" s="18" t="inlineStr">
        <is>
          <t>date</t>
        </is>
      </c>
      <c r="H1147" s="18" t="inlineStr">
        <is>
          <t>Sí</t>
        </is>
      </c>
      <c r="I1147" s="18" t="inlineStr"/>
      <c r="J1147" s="18" t="inlineStr"/>
      <c r="K1147" s="18" t="inlineStr"/>
      <c r="L1147" s="18" t="inlineStr">
        <is>
          <t>No</t>
        </is>
      </c>
      <c r="M1147" s="18" t="inlineStr">
        <is>
          <t>No</t>
        </is>
      </c>
      <c r="N1147" s="18" t="inlineStr"/>
      <c r="O1147" s="18" t="inlineStr"/>
      <c r="P1147" s="18" t="inlineStr">
        <is>
          <t>Mapeada en legal-management-service/src/entities/planes-mejoramiento.entity.ts:58 (PlanMejoramiento.fechaRespuesta)</t>
        </is>
      </c>
      <c r="Q1147" s="18" t="inlineStr">
        <is>
          <t>Regla estructural</t>
        </is>
      </c>
      <c r="R1147" s="18" t="inlineStr">
        <is>
          <t>Fecha de respuesta.</t>
        </is>
      </c>
      <c r="S1147" s="18" t="inlineStr">
        <is>
          <t>Media</t>
        </is>
      </c>
      <c r="T1147" s="18" t="inlineStr">
        <is>
          <t>Convención de nombre de la columna.</t>
        </is>
      </c>
      <c r="U1147" s="18" t="inlineStr"/>
      <c r="V1147" s="19" t="inlineStr">
        <is>
          <t>Pendiente</t>
        </is>
      </c>
      <c r="W1147" s="19" t="inlineStr"/>
      <c r="X1147" s="19" t="inlineStr"/>
      <c r="Y1147" s="20" t="n"/>
      <c r="Z1147" s="19" t="inlineStr"/>
      <c r="AA1147" s="18">
        <f>IF(OR(V1147="Aprobada"),R1147,IF(AND(OR(V1147="Aprobada con ajuste",V1147="Rechazada"),W1147&lt;&gt;""),W1147,""))</f>
        <v/>
      </c>
    </row>
    <row r="1148">
      <c r="A1148" s="18" t="inlineStr">
        <is>
          <t>C1147</t>
        </is>
      </c>
      <c r="B1148" s="18" t="inlineStr">
        <is>
          <t>Gestión jurídica</t>
        </is>
      </c>
      <c r="C1148" s="18" t="inlineStr">
        <is>
          <t>legal_management</t>
        </is>
      </c>
      <c r="D1148" s="18" t="inlineStr">
        <is>
          <t>planes_mejoramiento</t>
        </is>
      </c>
      <c r="E1148" s="18" t="n">
        <v>22</v>
      </c>
      <c r="F1148" s="18" t="inlineStr">
        <is>
          <t>archived_at</t>
        </is>
      </c>
      <c r="G1148" s="18" t="inlineStr">
        <is>
          <t>timestamp with time zone</t>
        </is>
      </c>
      <c r="H1148" s="18" t="inlineStr">
        <is>
          <t>Sí</t>
        </is>
      </c>
      <c r="I1148" s="18" t="inlineStr"/>
      <c r="J1148" s="18" t="inlineStr"/>
      <c r="K1148" s="18" t="inlineStr"/>
      <c r="L1148" s="18" t="inlineStr">
        <is>
          <t>No</t>
        </is>
      </c>
      <c r="M1148" s="18" t="inlineStr">
        <is>
          <t>No</t>
        </is>
      </c>
      <c r="N1148" s="18" t="inlineStr"/>
      <c r="O1148" s="18" t="inlineStr">
        <is>
          <t>idx_planes_archived_at</t>
        </is>
      </c>
      <c r="P1148" s="18" t="inlineStr">
        <is>
          <t>Mapeada en legal-management-service/src/entities/planes-mejoramiento.entity.ts:64 (PlanMejoramiento.archivedAt)</t>
        </is>
      </c>
      <c r="Q1148" s="18" t="inlineStr">
        <is>
          <t>Propuesta semántica</t>
        </is>
      </c>
      <c r="R1148" s="18" t="inlineStr">
        <is>
          <t>Fecha y hora en que se archivó el plan.</t>
        </is>
      </c>
      <c r="S1148" s="18" t="inlineStr">
        <is>
          <t>Alta</t>
        </is>
      </c>
      <c r="T1148" s="18" t="inlineStr">
        <is>
          <t>nombre + columnas vecinas (archived_by, archive_reason)</t>
        </is>
      </c>
      <c r="U1148" s="18" t="inlineStr"/>
      <c r="V1148" s="19" t="inlineStr">
        <is>
          <t>Pendiente</t>
        </is>
      </c>
      <c r="W1148" s="19" t="inlineStr"/>
      <c r="X1148" s="19" t="inlineStr"/>
      <c r="Y1148" s="20" t="n"/>
      <c r="Z1148" s="19" t="inlineStr"/>
      <c r="AA1148" s="18">
        <f>IF(OR(V1148="Aprobada"),R1148,IF(AND(OR(V1148="Aprobada con ajuste",V1148="Rechazada"),W1148&lt;&gt;""),W1148,""))</f>
        <v/>
      </c>
    </row>
    <row r="1149">
      <c r="A1149" s="18" t="inlineStr">
        <is>
          <t>C1148</t>
        </is>
      </c>
      <c r="B1149" s="18" t="inlineStr">
        <is>
          <t>Gestión jurídica</t>
        </is>
      </c>
      <c r="C1149" s="18" t="inlineStr">
        <is>
          <t>legal_management</t>
        </is>
      </c>
      <c r="D1149" s="18" t="inlineStr">
        <is>
          <t>planes_mejoramiento</t>
        </is>
      </c>
      <c r="E1149" s="18" t="n">
        <v>22</v>
      </c>
      <c r="F1149" s="18" t="inlineStr">
        <is>
          <t>archived_by</t>
        </is>
      </c>
      <c r="G1149" s="18" t="inlineStr">
        <is>
          <t>character varying(255)</t>
        </is>
      </c>
      <c r="H1149" s="18" t="inlineStr">
        <is>
          <t>Sí</t>
        </is>
      </c>
      <c r="I1149" s="18" t="inlineStr"/>
      <c r="J1149" s="18" t="inlineStr"/>
      <c r="K1149" s="18" t="inlineStr"/>
      <c r="L1149" s="18" t="inlineStr">
        <is>
          <t>No</t>
        </is>
      </c>
      <c r="M1149" s="18" t="inlineStr">
        <is>
          <t>No</t>
        </is>
      </c>
      <c r="N1149" s="18" t="inlineStr"/>
      <c r="O1149" s="18" t="inlineStr"/>
      <c r="P1149" s="18" t="inlineStr">
        <is>
          <t>Mapeada en legal-management-service/src/entities/planes-mejoramiento.entity.ts:67 (PlanMejoramiento.archivedBy)</t>
        </is>
      </c>
      <c r="Q1149" s="18" t="inlineStr">
        <is>
          <t>Propuesta semántica</t>
        </is>
      </c>
      <c r="R1149" s="18" t="inlineStr">
        <is>
          <t>Usuario que archivó el plan de mejoramiento.</t>
        </is>
      </c>
      <c r="S1149" s="18" t="inlineStr">
        <is>
          <t>Media</t>
        </is>
      </c>
      <c r="T1149" s="18" t="inlineStr">
        <is>
          <t>nombre + tipo + columnas vecinas</t>
        </is>
      </c>
      <c r="U1149" s="18" t="inlineStr">
        <is>
          <t>¿Se guarda el nombre, el correo o el identificador del usuario?</t>
        </is>
      </c>
      <c r="V1149" s="19" t="inlineStr">
        <is>
          <t>Pendiente</t>
        </is>
      </c>
      <c r="W1149" s="19" t="inlineStr"/>
      <c r="X1149" s="19" t="inlineStr"/>
      <c r="Y1149" s="20" t="n"/>
      <c r="Z1149" s="19" t="inlineStr"/>
      <c r="AA1149" s="18">
        <f>IF(OR(V1149="Aprobada"),R1149,IF(AND(OR(V1149="Aprobada con ajuste",V1149="Rechazada"),W1149&lt;&gt;""),W1149,""))</f>
        <v/>
      </c>
    </row>
    <row r="1150">
      <c r="A1150" s="18" t="inlineStr">
        <is>
          <t>C1149</t>
        </is>
      </c>
      <c r="B1150" s="18" t="inlineStr">
        <is>
          <t>Gestión jurídica</t>
        </is>
      </c>
      <c r="C1150" s="18" t="inlineStr">
        <is>
          <t>legal_management</t>
        </is>
      </c>
      <c r="D1150" s="18" t="inlineStr">
        <is>
          <t>planes_mejoramiento</t>
        </is>
      </c>
      <c r="E1150" s="18" t="n">
        <v>22</v>
      </c>
      <c r="F1150" s="18" t="inlineStr">
        <is>
          <t>archive_reason</t>
        </is>
      </c>
      <c r="G1150" s="18" t="inlineStr">
        <is>
          <t>text</t>
        </is>
      </c>
      <c r="H1150" s="18" t="inlineStr">
        <is>
          <t>Sí</t>
        </is>
      </c>
      <c r="I1150" s="18" t="inlineStr"/>
      <c r="J1150" s="18" t="inlineStr"/>
      <c r="K1150" s="18" t="inlineStr"/>
      <c r="L1150" s="18" t="inlineStr">
        <is>
          <t>No</t>
        </is>
      </c>
      <c r="M1150" s="18" t="inlineStr">
        <is>
          <t>No</t>
        </is>
      </c>
      <c r="N1150" s="18" t="inlineStr"/>
      <c r="O1150" s="18" t="inlineStr"/>
      <c r="P1150" s="18" t="inlineStr">
        <is>
          <t>Mapeada en legal-management-service/src/entities/planes-mejoramiento.entity.ts:70 (PlanMejoramiento.archiveReason)</t>
        </is>
      </c>
      <c r="Q1150" s="18" t="inlineStr">
        <is>
          <t>Propuesta semántica</t>
        </is>
      </c>
      <c r="R1150" s="18" t="inlineStr">
        <is>
          <t>Motivo por el que se archivó el plan de mejoramiento.</t>
        </is>
      </c>
      <c r="S1150" s="18" t="inlineStr">
        <is>
          <t>Alta</t>
        </is>
      </c>
      <c r="T1150" s="18" t="inlineStr">
        <is>
          <t>nombre + tipo + columnas vecinas</t>
        </is>
      </c>
      <c r="U1150" s="18" t="inlineStr"/>
      <c r="V1150" s="19" t="inlineStr">
        <is>
          <t>Pendiente</t>
        </is>
      </c>
      <c r="W1150" s="19" t="inlineStr"/>
      <c r="X1150" s="19" t="inlineStr"/>
      <c r="Y1150" s="20" t="n"/>
      <c r="Z1150" s="19" t="inlineStr"/>
      <c r="AA1150" s="18">
        <f>IF(OR(V1150="Aprobada"),R1150,IF(AND(OR(V1150="Aprobada con ajuste",V1150="Rechazada"),W1150&lt;&gt;""),W1150,""))</f>
        <v/>
      </c>
    </row>
    <row r="1151">
      <c r="A1151" s="18" t="inlineStr">
        <is>
          <t>C1150</t>
        </is>
      </c>
      <c r="B1151" s="18" t="inlineStr">
        <is>
          <t>Gestión jurídica</t>
        </is>
      </c>
      <c r="C1151" s="18" t="inlineStr">
        <is>
          <t>legal_management</t>
        </is>
      </c>
      <c r="D1151" s="18" t="inlineStr">
        <is>
          <t>planes_seguimientos</t>
        </is>
      </c>
      <c r="E1151" s="18" t="n">
        <v>22</v>
      </c>
      <c r="F1151" s="18" t="inlineStr">
        <is>
          <t>descripcion_avance</t>
        </is>
      </c>
      <c r="G1151" s="18" t="inlineStr">
        <is>
          <t>text</t>
        </is>
      </c>
      <c r="H1151" s="18" t="inlineStr">
        <is>
          <t>No</t>
        </is>
      </c>
      <c r="I1151" s="18" t="inlineStr"/>
      <c r="J1151" s="18" t="inlineStr"/>
      <c r="K1151" s="18" t="inlineStr"/>
      <c r="L1151" s="18" t="inlineStr">
        <is>
          <t>No</t>
        </is>
      </c>
      <c r="M1151" s="18" t="inlineStr">
        <is>
          <t>No</t>
        </is>
      </c>
      <c r="N1151" s="18" t="inlineStr"/>
      <c r="O1151" s="18" t="inlineStr"/>
      <c r="P1151" s="18" t="inlineStr">
        <is>
          <t>Mapeada en legal-management-service/src/entities/planes-mejoramiento.entity.ts:135 (PlanSeguimiento.descripcionAvance)</t>
        </is>
      </c>
      <c r="Q1151" s="18" t="inlineStr">
        <is>
          <t>Propuesta semántica</t>
        </is>
      </c>
      <c r="R1151" s="18" t="inlineStr">
        <is>
          <t>Descripción del avance reportado en el seguimiento del plan.</t>
        </is>
      </c>
      <c r="S1151" s="18" t="inlineStr">
        <is>
          <t>Alta</t>
        </is>
      </c>
      <c r="T1151" s="18" t="inlineStr">
        <is>
          <t>nombre + tipo + columnas vecinas</t>
        </is>
      </c>
      <c r="U1151" s="18" t="inlineStr"/>
      <c r="V1151" s="19" t="inlineStr">
        <is>
          <t>Pendiente</t>
        </is>
      </c>
      <c r="W1151" s="19" t="inlineStr"/>
      <c r="X1151" s="19" t="inlineStr"/>
      <c r="Y1151" s="20" t="n"/>
      <c r="Z1151" s="19" t="inlineStr"/>
      <c r="AA1151" s="18">
        <f>IF(OR(V1151="Aprobada"),R1151,IF(AND(OR(V1151="Aprobada con ajuste",V1151="Rechazada"),W1151&lt;&gt;""),W1151,""))</f>
        <v/>
      </c>
    </row>
    <row r="1152">
      <c r="A1152" s="18" t="inlineStr">
        <is>
          <t>C1151</t>
        </is>
      </c>
      <c r="B1152" s="18" t="inlineStr">
        <is>
          <t>Gestión jurídica</t>
        </is>
      </c>
      <c r="C1152" s="18" t="inlineStr">
        <is>
          <t>legal_management</t>
        </is>
      </c>
      <c r="D1152" s="18" t="inlineStr">
        <is>
          <t>planes_seguimientos</t>
        </is>
      </c>
      <c r="E1152" s="18" t="n">
        <v>22</v>
      </c>
      <c r="F1152" s="18" t="inlineStr">
        <is>
          <t>porcentaje_reportado</t>
        </is>
      </c>
      <c r="G1152" s="18" t="inlineStr">
        <is>
          <t>numeric(5,2)</t>
        </is>
      </c>
      <c r="H1152" s="18" t="inlineStr">
        <is>
          <t>Sí</t>
        </is>
      </c>
      <c r="I1152" s="18" t="inlineStr"/>
      <c r="J1152" s="18" t="inlineStr"/>
      <c r="K1152" s="18" t="inlineStr"/>
      <c r="L1152" s="18" t="inlineStr">
        <is>
          <t>No</t>
        </is>
      </c>
      <c r="M1152" s="18" t="inlineStr">
        <is>
          <t>No</t>
        </is>
      </c>
      <c r="N1152" s="18" t="inlineStr"/>
      <c r="O1152" s="18" t="inlineStr"/>
      <c r="P1152" s="18" t="inlineStr">
        <is>
          <t>Mapeada en legal-management-service/src/entities/planes-mejoramiento.entity.ts:138 (PlanSeguimiento.porcentajeReportado)</t>
        </is>
      </c>
      <c r="Q1152" s="18" t="inlineStr">
        <is>
          <t>Propuesta semántica</t>
        </is>
      </c>
      <c r="R1152" s="18" t="inlineStr">
        <is>
          <t>Porcentaje de avance reportado en el seguimiento.</t>
        </is>
      </c>
      <c r="S1152" s="18" t="inlineStr">
        <is>
          <t>Media</t>
        </is>
      </c>
      <c r="T1152" s="18" t="inlineStr">
        <is>
          <t>nombre + tipo + columnas vecinas</t>
        </is>
      </c>
      <c r="U1152" s="18" t="inlineStr">
        <is>
          <t>¿El porcentaje reportado actualiza el avance del plan?</t>
        </is>
      </c>
      <c r="V1152" s="19" t="inlineStr">
        <is>
          <t>Pendiente</t>
        </is>
      </c>
      <c r="W1152" s="19" t="inlineStr"/>
      <c r="X1152" s="19" t="inlineStr"/>
      <c r="Y1152" s="20" t="n"/>
      <c r="Z1152" s="19" t="inlineStr"/>
      <c r="AA1152" s="18">
        <f>IF(OR(V1152="Aprobada"),R1152,IF(AND(OR(V1152="Aprobada con ajuste",V1152="Rechazada"),W1152&lt;&gt;""),W1152,""))</f>
        <v/>
      </c>
    </row>
    <row r="1153">
      <c r="A1153" s="18" t="inlineStr">
        <is>
          <t>C1152</t>
        </is>
      </c>
      <c r="B1153" s="18" t="inlineStr">
        <is>
          <t>Gestión jurídica</t>
        </is>
      </c>
      <c r="C1153" s="18" t="inlineStr">
        <is>
          <t>legal_management</t>
        </is>
      </c>
      <c r="D1153" s="18" t="inlineStr">
        <is>
          <t>planes_seguimientos</t>
        </is>
      </c>
      <c r="E1153" s="18" t="n">
        <v>22</v>
      </c>
      <c r="F1153" s="18" t="inlineStr">
        <is>
          <t>fecha_reporte</t>
        </is>
      </c>
      <c r="G1153" s="18" t="inlineStr">
        <is>
          <t>timestamp without time zone</t>
        </is>
      </c>
      <c r="H1153" s="18" t="inlineStr">
        <is>
          <t>Sí</t>
        </is>
      </c>
      <c r="I1153" s="18" t="inlineStr"/>
      <c r="J1153" s="18" t="inlineStr"/>
      <c r="K1153" s="18" t="inlineStr"/>
      <c r="L1153" s="18" t="inlineStr">
        <is>
          <t>No</t>
        </is>
      </c>
      <c r="M1153" s="18" t="inlineStr">
        <is>
          <t>No</t>
        </is>
      </c>
      <c r="N1153" s="18" t="inlineStr"/>
      <c r="O1153" s="18" t="inlineStr"/>
      <c r="P1153" s="18" t="inlineStr">
        <is>
          <t>Mapeada en legal-management-service/src/entities/planes-mejoramiento.entity.ts:141 (PlanSeguimiento.fechaReporte)</t>
        </is>
      </c>
      <c r="Q1153" s="18" t="inlineStr">
        <is>
          <t>Regla estructural</t>
        </is>
      </c>
      <c r="R1153" s="18" t="inlineStr">
        <is>
          <t>Fecha de reporte.</t>
        </is>
      </c>
      <c r="S1153" s="18" t="inlineStr">
        <is>
          <t>Media</t>
        </is>
      </c>
      <c r="T1153" s="18" t="inlineStr">
        <is>
          <t>Convención de nombre de la columna.</t>
        </is>
      </c>
      <c r="U1153" s="18" t="inlineStr"/>
      <c r="V1153" s="19" t="inlineStr">
        <is>
          <t>Pendiente</t>
        </is>
      </c>
      <c r="W1153" s="19" t="inlineStr"/>
      <c r="X1153" s="19" t="inlineStr"/>
      <c r="Y1153" s="20" t="n"/>
      <c r="Z1153" s="19" t="inlineStr"/>
      <c r="AA1153" s="18">
        <f>IF(OR(V1153="Aprobada"),R1153,IF(AND(OR(V1153="Aprobada con ajuste",V1153="Rechazada"),W1153&lt;&gt;""),W1153,""))</f>
        <v/>
      </c>
    </row>
    <row r="1154">
      <c r="A1154" s="18" t="inlineStr">
        <is>
          <t>C1153</t>
        </is>
      </c>
      <c r="B1154" s="18" t="inlineStr">
        <is>
          <t>Gestión jurídica</t>
        </is>
      </c>
      <c r="C1154" s="18" t="inlineStr">
        <is>
          <t>legal_management</t>
        </is>
      </c>
      <c r="D1154" s="18" t="inlineStr">
        <is>
          <t>planes_seguimientos</t>
        </is>
      </c>
      <c r="E1154" s="18" t="n">
        <v>22</v>
      </c>
      <c r="F1154" s="18" t="inlineStr">
        <is>
          <t>usuario_id</t>
        </is>
      </c>
      <c r="G1154" s="18" t="inlineStr">
        <is>
          <t>uuid</t>
        </is>
      </c>
      <c r="H1154" s="18" t="inlineStr">
        <is>
          <t>Sí</t>
        </is>
      </c>
      <c r="I1154" s="18" t="inlineStr"/>
      <c r="J1154" s="18" t="inlineStr"/>
      <c r="K1154" s="18" t="inlineStr"/>
      <c r="L1154" s="18" t="inlineStr">
        <is>
          <t>No</t>
        </is>
      </c>
      <c r="M1154" s="18" t="inlineStr">
        <is>
          <t>No</t>
        </is>
      </c>
      <c r="N1154" s="18" t="inlineStr"/>
      <c r="O1154" s="18" t="inlineStr"/>
      <c r="P1154" s="18" t="inlineStr">
        <is>
          <t>Mapeada en legal-management-service/src/entities/planes-mejoramiento.entity.ts:144 (PlanSeguimiento.usuarioId) | Validación: IsOptional, IsString</t>
        </is>
      </c>
      <c r="Q1154" s="18" t="inlineStr">
        <is>
          <t>Propuesta semántica</t>
        </is>
      </c>
      <c r="R1154" s="18" t="inlineStr">
        <is>
          <t>Identificador del usuario que registró el seguimiento.</t>
        </is>
      </c>
      <c r="S1154" s="18" t="inlineStr">
        <is>
          <t>Media</t>
        </is>
      </c>
      <c r="T1154" s="18" t="inlineStr">
        <is>
          <t>nombre + tipo + validaciones IsOptional, IsString</t>
        </is>
      </c>
      <c r="U1154" s="18" t="inlineStr">
        <is>
          <t>¿Corresponde a auth."user" o a auth.personas?</t>
        </is>
      </c>
      <c r="V1154" s="19" t="inlineStr">
        <is>
          <t>Pendiente</t>
        </is>
      </c>
      <c r="W1154" s="19" t="inlineStr"/>
      <c r="X1154" s="19" t="inlineStr"/>
      <c r="Y1154" s="20" t="n"/>
      <c r="Z1154" s="19" t="inlineStr"/>
      <c r="AA1154" s="18">
        <f>IF(OR(V1154="Aprobada"),R1154,IF(AND(OR(V1154="Aprobada con ajuste",V1154="Rechazada"),W1154&lt;&gt;""),W1154,""))</f>
        <v/>
      </c>
    </row>
    <row r="1155">
      <c r="A1155" s="18" t="inlineStr">
        <is>
          <t>C1154</t>
        </is>
      </c>
      <c r="B1155" s="18" t="inlineStr">
        <is>
          <t>Gestión jurídica</t>
        </is>
      </c>
      <c r="C1155" s="18" t="inlineStr">
        <is>
          <t>legal_management</t>
        </is>
      </c>
      <c r="D1155" s="18" t="inlineStr">
        <is>
          <t>plantillas_documentos</t>
        </is>
      </c>
      <c r="E1155" s="18" t="n">
        <v>5</v>
      </c>
      <c r="F1155" s="18" t="inlineStr">
        <is>
          <t>nombre</t>
        </is>
      </c>
      <c r="G1155" s="18" t="inlineStr">
        <is>
          <t>character varying(500)</t>
        </is>
      </c>
      <c r="H1155" s="18" t="inlineStr">
        <is>
          <t>No</t>
        </is>
      </c>
      <c r="I1155" s="18" t="inlineStr"/>
      <c r="J1155" s="18" t="inlineStr"/>
      <c r="K1155" s="18" t="inlineStr"/>
      <c r="L1155" s="18" t="inlineStr">
        <is>
          <t>No</t>
        </is>
      </c>
      <c r="M1155" s="18" t="inlineStr">
        <is>
          <t>No</t>
        </is>
      </c>
      <c r="N1155" s="18" t="inlineStr"/>
      <c r="O1155" s="18" t="inlineStr"/>
      <c r="P1155" s="18" t="inlineStr">
        <is>
          <t>Mapeada en legal-management-service/src/entities/plantilla-documento.entity.ts:17 (PlantillaDocumento.nombre)</t>
        </is>
      </c>
      <c r="Q1155" s="18" t="inlineStr">
        <is>
          <t>Regla estructural</t>
        </is>
      </c>
      <c r="R1155" s="18" t="inlineStr">
        <is>
          <t>Nombre del registro de plantillas_documentos.</t>
        </is>
      </c>
      <c r="S1155" s="18" t="inlineStr">
        <is>
          <t>Media</t>
        </is>
      </c>
      <c r="T1155" s="18" t="inlineStr">
        <is>
          <t>Convención de nombre de la columna.</t>
        </is>
      </c>
      <c r="U1155" s="18" t="inlineStr"/>
      <c r="V1155" s="19" t="inlineStr">
        <is>
          <t>Pendiente</t>
        </is>
      </c>
      <c r="W1155" s="19" t="inlineStr"/>
      <c r="X1155" s="19" t="inlineStr"/>
      <c r="Y1155" s="20" t="n"/>
      <c r="Z1155" s="19" t="inlineStr"/>
      <c r="AA1155" s="18">
        <f>IF(OR(V1155="Aprobada"),R1155,IF(AND(OR(V1155="Aprobada con ajuste",V1155="Rechazada"),W1155&lt;&gt;""),W1155,""))</f>
        <v/>
      </c>
    </row>
    <row r="1156">
      <c r="A1156" s="18" t="inlineStr">
        <is>
          <t>C1155</t>
        </is>
      </c>
      <c r="B1156" s="18" t="inlineStr">
        <is>
          <t>Gestión jurídica</t>
        </is>
      </c>
      <c r="C1156" s="18" t="inlineStr">
        <is>
          <t>legal_management</t>
        </is>
      </c>
      <c r="D1156" s="18" t="inlineStr">
        <is>
          <t>plantillas_documentos</t>
        </is>
      </c>
      <c r="E1156" s="18" t="n">
        <v>5</v>
      </c>
      <c r="F1156" s="18" t="inlineStr">
        <is>
          <t>categoria</t>
        </is>
      </c>
      <c r="G1156" s="18" t="inlineStr">
        <is>
          <t>character varying(100)</t>
        </is>
      </c>
      <c r="H1156" s="18" t="inlineStr">
        <is>
          <t>No</t>
        </is>
      </c>
      <c r="I1156" s="18" t="inlineStr"/>
      <c r="J1156" s="18" t="inlineStr"/>
      <c r="K1156" s="18" t="inlineStr"/>
      <c r="L1156" s="18" t="inlineStr">
        <is>
          <t>No</t>
        </is>
      </c>
      <c r="M1156" s="18" t="inlineStr">
        <is>
          <t>No</t>
        </is>
      </c>
      <c r="N1156" s="18" t="inlineStr"/>
      <c r="O1156" s="18" t="inlineStr">
        <is>
          <t>idx_plantillas_documentos_categoria</t>
        </is>
      </c>
      <c r="P1156" s="18" t="inlineStr">
        <is>
          <t>legal-management-service/src/entities/plantilla-documento.entity.ts:20: actas | evidencias | oficios | pruebas | comunicaciones | notificaciones | documentos-generales</t>
        </is>
      </c>
      <c r="Q1156" s="18" t="inlineStr">
        <is>
          <t>Código fuente</t>
        </is>
      </c>
      <c r="R1156" s="18" t="inlineStr">
        <is>
          <t>Categoría de la plantilla. Valores: actas, evidencias, oficios, pruebas, comunicaciones, notificaciones, documentos-generales.</t>
        </is>
      </c>
      <c r="S1156" s="18" t="inlineStr">
        <is>
          <t>Alta</t>
        </is>
      </c>
      <c r="T1156" s="18" t="inlineStr">
        <is>
          <t>código: plantilla-documento.entity.ts:20</t>
        </is>
      </c>
      <c r="U1156" s="18" t="inlineStr"/>
      <c r="V1156" s="19" t="inlineStr">
        <is>
          <t>Pendiente</t>
        </is>
      </c>
      <c r="W1156" s="19" t="inlineStr"/>
      <c r="X1156" s="19" t="inlineStr"/>
      <c r="Y1156" s="20" t="n"/>
      <c r="Z1156" s="19" t="inlineStr"/>
      <c r="AA1156" s="18">
        <f>IF(OR(V1156="Aprobada"),R1156,IF(AND(OR(V1156="Aprobada con ajuste",V1156="Rechazada"),W1156&lt;&gt;""),W1156,""))</f>
        <v/>
      </c>
    </row>
    <row r="1157">
      <c r="A1157" s="18" t="inlineStr">
        <is>
          <t>C1156</t>
        </is>
      </c>
      <c r="B1157" s="18" t="inlineStr">
        <is>
          <t>Gestión jurídica</t>
        </is>
      </c>
      <c r="C1157" s="18" t="inlineStr">
        <is>
          <t>legal_management</t>
        </is>
      </c>
      <c r="D1157" s="18" t="inlineStr">
        <is>
          <t>plantillas_documentos</t>
        </is>
      </c>
      <c r="E1157" s="18" t="n">
        <v>5</v>
      </c>
      <c r="F1157" s="18" t="inlineStr">
        <is>
          <t>nombre_original</t>
        </is>
      </c>
      <c r="G1157" s="18" t="inlineStr">
        <is>
          <t>character varying(500)</t>
        </is>
      </c>
      <c r="H1157" s="18" t="inlineStr">
        <is>
          <t>No</t>
        </is>
      </c>
      <c r="I1157" s="18" t="inlineStr"/>
      <c r="J1157" s="18" t="inlineStr"/>
      <c r="K1157" s="18" t="inlineStr"/>
      <c r="L1157" s="18" t="inlineStr">
        <is>
          <t>No</t>
        </is>
      </c>
      <c r="M1157" s="18" t="inlineStr">
        <is>
          <t>No</t>
        </is>
      </c>
      <c r="N1157" s="18" t="inlineStr"/>
      <c r="O1157" s="18" t="inlineStr"/>
      <c r="P1157" s="18" t="inlineStr">
        <is>
          <t>Mapeada en legal-management-service/src/entities/plantilla-documento.entity.ts:23 (PlantillaDocumento.nombreOriginal)</t>
        </is>
      </c>
      <c r="Q1157" s="18" t="inlineStr">
        <is>
          <t>Propuesta semántica</t>
        </is>
      </c>
      <c r="R1157" s="18" t="inlineStr">
        <is>
          <t>Nombre original del archivo de la plantilla cargada.</t>
        </is>
      </c>
      <c r="S1157" s="18" t="inlineStr">
        <is>
          <t>Alta</t>
        </is>
      </c>
      <c r="T1157" s="18" t="inlineStr">
        <is>
          <t>nombre + columnas vecinas (mime_type, tamano)</t>
        </is>
      </c>
      <c r="U1157" s="18" t="inlineStr"/>
      <c r="V1157" s="19" t="inlineStr">
        <is>
          <t>Pendiente</t>
        </is>
      </c>
      <c r="W1157" s="19" t="inlineStr"/>
      <c r="X1157" s="19" t="inlineStr"/>
      <c r="Y1157" s="20" t="n"/>
      <c r="Z1157" s="19" t="inlineStr"/>
      <c r="AA1157" s="18">
        <f>IF(OR(V1157="Aprobada"),R1157,IF(AND(OR(V1157="Aprobada con ajuste",V1157="Rechazada"),W1157&lt;&gt;""),W1157,""))</f>
        <v/>
      </c>
    </row>
    <row r="1158">
      <c r="A1158" s="18" t="inlineStr">
        <is>
          <t>C1157</t>
        </is>
      </c>
      <c r="B1158" s="18" t="inlineStr">
        <is>
          <t>Gestión jurídica</t>
        </is>
      </c>
      <c r="C1158" s="18" t="inlineStr">
        <is>
          <t>legal_management</t>
        </is>
      </c>
      <c r="D1158" s="18" t="inlineStr">
        <is>
          <t>plantillas_documentos</t>
        </is>
      </c>
      <c r="E1158" s="18" t="n">
        <v>5</v>
      </c>
      <c r="F1158" s="18" t="inlineStr">
        <is>
          <t>mime_type</t>
        </is>
      </c>
      <c r="G1158" s="18" t="inlineStr">
        <is>
          <t>character varying(100)</t>
        </is>
      </c>
      <c r="H1158" s="18" t="inlineStr">
        <is>
          <t>No</t>
        </is>
      </c>
      <c r="I1158" s="18" t="inlineStr"/>
      <c r="J1158" s="18" t="inlineStr"/>
      <c r="K1158" s="18" t="inlineStr"/>
      <c r="L1158" s="18" t="inlineStr">
        <is>
          <t>No</t>
        </is>
      </c>
      <c r="M1158" s="18" t="inlineStr">
        <is>
          <t>No</t>
        </is>
      </c>
      <c r="N1158" s="18" t="inlineStr"/>
      <c r="O1158" s="18" t="inlineStr"/>
      <c r="P1158" s="18" t="inlineStr">
        <is>
          <t>Mapeada en legal-management-service/src/entities/plantilla-documento.entity.ts:26 (PlantillaDocumento.mimeType)</t>
        </is>
      </c>
      <c r="Q1158" s="18" t="inlineStr">
        <is>
          <t>Regla estructural</t>
        </is>
      </c>
      <c r="R1158" s="18" t="inlineStr">
        <is>
          <t>Tipo MIME del archivo.</t>
        </is>
      </c>
      <c r="S1158" s="18" t="inlineStr">
        <is>
          <t>Media</t>
        </is>
      </c>
      <c r="T1158" s="18" t="inlineStr">
        <is>
          <t>Convención de nombre de la columna.</t>
        </is>
      </c>
      <c r="U1158" s="18" t="inlineStr"/>
      <c r="V1158" s="19" t="inlineStr">
        <is>
          <t>Pendiente</t>
        </is>
      </c>
      <c r="W1158" s="19" t="inlineStr"/>
      <c r="X1158" s="19" t="inlineStr"/>
      <c r="Y1158" s="20" t="n"/>
      <c r="Z1158" s="19" t="inlineStr"/>
      <c r="AA1158" s="18">
        <f>IF(OR(V1158="Aprobada"),R1158,IF(AND(OR(V1158="Aprobada con ajuste",V1158="Rechazada"),W1158&lt;&gt;""),W1158,""))</f>
        <v/>
      </c>
    </row>
    <row r="1159">
      <c r="A1159" s="18" t="inlineStr">
        <is>
          <t>C1158</t>
        </is>
      </c>
      <c r="B1159" s="18" t="inlineStr">
        <is>
          <t>Gestión jurídica</t>
        </is>
      </c>
      <c r="C1159" s="18" t="inlineStr">
        <is>
          <t>legal_management</t>
        </is>
      </c>
      <c r="D1159" s="18" t="inlineStr">
        <is>
          <t>plantillas_documentos</t>
        </is>
      </c>
      <c r="E1159" s="18" t="n">
        <v>5</v>
      </c>
      <c r="F1159" s="18" t="inlineStr">
        <is>
          <t>tamano</t>
        </is>
      </c>
      <c r="G1159" s="18" t="inlineStr">
        <is>
          <t>integer</t>
        </is>
      </c>
      <c r="H1159" s="18" t="inlineStr">
        <is>
          <t>No</t>
        </is>
      </c>
      <c r="I1159" s="18" t="inlineStr"/>
      <c r="J1159" s="18" t="inlineStr"/>
      <c r="K1159" s="18" t="inlineStr"/>
      <c r="L1159" s="18" t="inlineStr">
        <is>
          <t>No</t>
        </is>
      </c>
      <c r="M1159" s="18" t="inlineStr">
        <is>
          <t>No</t>
        </is>
      </c>
      <c r="N1159" s="18" t="inlineStr"/>
      <c r="O1159" s="18" t="inlineStr"/>
      <c r="P1159" s="18" t="inlineStr">
        <is>
          <t>Mapeada en legal-management-service/src/entities/plantilla-documento.entity.ts:29 (PlantillaDocumento.tamano)</t>
        </is>
      </c>
      <c r="Q1159" s="18" t="inlineStr">
        <is>
          <t>Propuesta semántica</t>
        </is>
      </c>
      <c r="R1159" s="18" t="inlineStr">
        <is>
          <t>Tamaño del archivo de la plantilla.</t>
        </is>
      </c>
      <c r="S1159" s="18" t="inlineStr">
        <is>
          <t>Media</t>
        </is>
      </c>
      <c r="T1159" s="18" t="inlineStr">
        <is>
          <t>nombre + tipo + columnas vecinas</t>
        </is>
      </c>
      <c r="U1159" s="18" t="inlineStr">
        <is>
          <t>¿El tamaño está en bytes?</t>
        </is>
      </c>
      <c r="V1159" s="19" t="inlineStr">
        <is>
          <t>Pendiente</t>
        </is>
      </c>
      <c r="W1159" s="19" t="inlineStr"/>
      <c r="X1159" s="19" t="inlineStr"/>
      <c r="Y1159" s="20" t="n"/>
      <c r="Z1159" s="19" t="inlineStr"/>
      <c r="AA1159" s="18">
        <f>IF(OR(V1159="Aprobada"),R1159,IF(AND(OR(V1159="Aprobada con ajuste",V1159="Rechazada"),W1159&lt;&gt;""),W1159,""))</f>
        <v/>
      </c>
    </row>
    <row r="1160">
      <c r="A1160" s="18" t="inlineStr">
        <is>
          <t>C1159</t>
        </is>
      </c>
      <c r="B1160" s="18" t="inlineStr">
        <is>
          <t>Gestión jurídica</t>
        </is>
      </c>
      <c r="C1160" s="18" t="inlineStr">
        <is>
          <t>legal_management</t>
        </is>
      </c>
      <c r="D1160" s="18" t="inlineStr">
        <is>
          <t>plantillas_documentos</t>
        </is>
      </c>
      <c r="E1160" s="18" t="n">
        <v>5</v>
      </c>
      <c r="F1160" s="18" t="inlineStr">
        <is>
          <t>contenido_base64</t>
        </is>
      </c>
      <c r="G1160" s="18" t="inlineStr">
        <is>
          <t>text</t>
        </is>
      </c>
      <c r="H1160" s="18" t="inlineStr">
        <is>
          <t>No</t>
        </is>
      </c>
      <c r="I1160" s="18" t="inlineStr"/>
      <c r="J1160" s="18" t="inlineStr"/>
      <c r="K1160" s="18" t="inlineStr"/>
      <c r="L1160" s="18" t="inlineStr">
        <is>
          <t>No</t>
        </is>
      </c>
      <c r="M1160" s="18" t="inlineStr">
        <is>
          <t>No</t>
        </is>
      </c>
      <c r="N1160" s="18" t="inlineStr"/>
      <c r="O1160" s="18" t="inlineStr"/>
      <c r="P1160" s="18" t="inlineStr">
        <is>
          <t>Mapeada en legal-management-service/src/entities/plantilla-documento.entity.ts:32 (PlantillaDocumento.contenidoBase64)</t>
        </is>
      </c>
      <c r="Q1160" s="18" t="inlineStr">
        <is>
          <t>Propuesta semántica</t>
        </is>
      </c>
      <c r="R1160" s="18" t="inlineStr">
        <is>
          <t>Contenido del archivo de la plantilla codificado en Base64.</t>
        </is>
      </c>
      <c r="S1160" s="18" t="inlineStr">
        <is>
          <t>Alta</t>
        </is>
      </c>
      <c r="T1160" s="18" t="inlineStr">
        <is>
          <t>nombre + tipo</t>
        </is>
      </c>
      <c r="U1160" s="18" t="inlineStr"/>
      <c r="V1160" s="19" t="inlineStr">
        <is>
          <t>Pendiente</t>
        </is>
      </c>
      <c r="W1160" s="19" t="inlineStr"/>
      <c r="X1160" s="19" t="inlineStr"/>
      <c r="Y1160" s="20" t="n"/>
      <c r="Z1160" s="19" t="inlineStr"/>
      <c r="AA1160" s="18">
        <f>IF(OR(V1160="Aprobada"),R1160,IF(AND(OR(V1160="Aprobada con ajuste",V1160="Rechazada"),W1160&lt;&gt;""),W1160,""))</f>
        <v/>
      </c>
    </row>
    <row r="1161">
      <c r="A1161" s="18" t="inlineStr">
        <is>
          <t>C1160</t>
        </is>
      </c>
      <c r="B1161" s="18" t="inlineStr">
        <is>
          <t>Gestión jurídica</t>
        </is>
      </c>
      <c r="C1161" s="18" t="inlineStr">
        <is>
          <t>legal_management</t>
        </is>
      </c>
      <c r="D1161" s="18" t="inlineStr">
        <is>
          <t>plantillas_documentos</t>
        </is>
      </c>
      <c r="E1161" s="18" t="n">
        <v>5</v>
      </c>
      <c r="F1161" s="18" t="inlineStr">
        <is>
          <t>subido_por</t>
        </is>
      </c>
      <c r="G1161" s="18" t="inlineStr">
        <is>
          <t>character varying(255)</t>
        </is>
      </c>
      <c r="H1161" s="18" t="inlineStr">
        <is>
          <t>Sí</t>
        </is>
      </c>
      <c r="I1161" s="18" t="inlineStr"/>
      <c r="J1161" s="18" t="inlineStr"/>
      <c r="K1161" s="18" t="inlineStr"/>
      <c r="L1161" s="18" t="inlineStr">
        <is>
          <t>No</t>
        </is>
      </c>
      <c r="M1161" s="18" t="inlineStr">
        <is>
          <t>No</t>
        </is>
      </c>
      <c r="N1161" s="18" t="inlineStr"/>
      <c r="O1161" s="18" t="inlineStr"/>
      <c r="P1161" s="18" t="inlineStr">
        <is>
          <t>Mapeada en legal-management-service/src/entities/plantilla-documento.entity.ts:35 (PlantillaDocumento.subidoPor)</t>
        </is>
      </c>
      <c r="Q1161" s="18" t="inlineStr">
        <is>
          <t>Regla estructural</t>
        </is>
      </c>
      <c r="R1161" s="18" t="inlineStr">
        <is>
          <t>Usuario que realizó la carga.</t>
        </is>
      </c>
      <c r="S1161" s="18" t="inlineStr">
        <is>
          <t>Media</t>
        </is>
      </c>
      <c r="T1161" s="18" t="inlineStr">
        <is>
          <t>Convención de nombre de la columna.</t>
        </is>
      </c>
      <c r="U1161" s="18" t="inlineStr"/>
      <c r="V1161" s="19" t="inlineStr">
        <is>
          <t>Pendiente</t>
        </is>
      </c>
      <c r="W1161" s="19" t="inlineStr"/>
      <c r="X1161" s="19" t="inlineStr"/>
      <c r="Y1161" s="20" t="n"/>
      <c r="Z1161" s="19" t="inlineStr"/>
      <c r="AA1161" s="18">
        <f>IF(OR(V1161="Aprobada"),R1161,IF(AND(OR(V1161="Aprobada con ajuste",V1161="Rechazada"),W1161&lt;&gt;""),W1161,""))</f>
        <v/>
      </c>
    </row>
    <row r="1162">
      <c r="A1162" s="18" t="inlineStr">
        <is>
          <t>C1161</t>
        </is>
      </c>
      <c r="B1162" s="18" t="inlineStr">
        <is>
          <t>Gestión jurídica</t>
        </is>
      </c>
      <c r="C1162" s="18" t="inlineStr">
        <is>
          <t>legal_management</t>
        </is>
      </c>
      <c r="D1162" s="18" t="inlineStr">
        <is>
          <t>procesos_coactivos</t>
        </is>
      </c>
      <c r="E1162" s="18" t="n">
        <v>7</v>
      </c>
      <c r="F1162" s="18" t="inlineStr">
        <is>
          <t>radicado</t>
        </is>
      </c>
      <c r="G1162" s="18" t="inlineStr">
        <is>
          <t>character varying(50)</t>
        </is>
      </c>
      <c r="H1162" s="18" t="inlineStr">
        <is>
          <t>No</t>
        </is>
      </c>
      <c r="I1162" s="18" t="inlineStr">
        <is>
          <t>Única</t>
        </is>
      </c>
      <c r="J1162" s="18" t="inlineStr"/>
      <c r="K1162" s="18" t="inlineStr"/>
      <c r="L1162" s="18" t="inlineStr">
        <is>
          <t>No</t>
        </is>
      </c>
      <c r="M1162" s="18" t="inlineStr">
        <is>
          <t>No</t>
        </is>
      </c>
      <c r="N1162" s="18" t="inlineStr"/>
      <c r="O1162" s="18" t="inlineStr">
        <is>
          <t>idx_procesos_coactivos_radicado, procesos_coactivos_radicado_key</t>
        </is>
      </c>
      <c r="P1162" s="18" t="inlineStr">
        <is>
          <t>Mapeada en legal-management-service/src/entities/proceso-coactivo.entity.ts:26 (ProcesoCoactivo.radicado) | Validación: IsString, Length(23, 23, { message: 'El radicado debe tener 23 dígitos.' })</t>
        </is>
      </c>
      <c r="Q1162" s="18" t="inlineStr">
        <is>
          <t>Propuesta semántica</t>
        </is>
      </c>
      <c r="R1162" s="18" t="inlineStr">
        <is>
          <t>Número de radicado único del proceso de cobro coactivo, de 23 dígitos.</t>
        </is>
      </c>
      <c r="S1162" s="18" t="inlineStr">
        <is>
          <t>Alta</t>
        </is>
      </c>
      <c r="T1162" s="18" t="inlineStr">
        <is>
          <t>validación Length(23, 23) + restricción única</t>
        </is>
      </c>
      <c r="U1162" s="18" t="inlineStr"/>
      <c r="V1162" s="19" t="inlineStr">
        <is>
          <t>Pendiente</t>
        </is>
      </c>
      <c r="W1162" s="19" t="inlineStr"/>
      <c r="X1162" s="19" t="inlineStr"/>
      <c r="Y1162" s="20" t="n"/>
      <c r="Z1162" s="19" t="inlineStr"/>
      <c r="AA1162" s="18">
        <f>IF(OR(V1162="Aprobada"),R1162,IF(AND(OR(V1162="Aprobada con ajuste",V1162="Rechazada"),W1162&lt;&gt;""),W1162,""))</f>
        <v/>
      </c>
    </row>
    <row r="1163">
      <c r="A1163" s="18" t="inlineStr">
        <is>
          <t>C1162</t>
        </is>
      </c>
      <c r="B1163" s="18" t="inlineStr">
        <is>
          <t>Gestión jurídica</t>
        </is>
      </c>
      <c r="C1163" s="18" t="inlineStr">
        <is>
          <t>legal_management</t>
        </is>
      </c>
      <c r="D1163" s="18" t="inlineStr">
        <is>
          <t>procesos_coactivos</t>
        </is>
      </c>
      <c r="E1163" s="18" t="n">
        <v>7</v>
      </c>
      <c r="F1163" s="18" t="inlineStr">
        <is>
          <t>estado</t>
        </is>
      </c>
      <c r="G1163" s="18" t="inlineStr">
        <is>
          <t>legal_management.estado_proceso_coactivo</t>
        </is>
      </c>
      <c r="H1163" s="18" t="inlineStr">
        <is>
          <t>Sí</t>
        </is>
      </c>
      <c r="I1163" s="18" t="inlineStr">
        <is>
          <t>Enumerado</t>
        </is>
      </c>
      <c r="J1163" s="18" t="inlineStr">
        <is>
          <t>PERSUASIVA, COACTIVA, MEDIDAS_CAUTELARES, EXCEPCIONES, LIQUIDACION</t>
        </is>
      </c>
      <c r="K1163" s="18" t="inlineStr"/>
      <c r="L1163" s="18" t="inlineStr">
        <is>
          <t>Sí</t>
        </is>
      </c>
      <c r="M1163" s="18" t="inlineStr">
        <is>
          <t>No</t>
        </is>
      </c>
      <c r="N1163" s="18" t="inlineStr"/>
      <c r="O1163" s="18" t="inlineStr">
        <is>
          <t>idx_procesos_coactivos_estado</t>
        </is>
      </c>
      <c r="P1163" s="18" t="inlineStr">
        <is>
          <t>Mapeada en legal-management-service/src/entities/proceso-coactivo.entity.ts:35 (ProcesoCoactivo.estado) | Enum: PERSUASIVA, COACTIVA, MEDIDAS_CAUTELARES, EXCEPCIONES, LIQUIDACION</t>
        </is>
      </c>
      <c r="Q1163" s="18" t="inlineStr">
        <is>
          <t>Regla estructural</t>
        </is>
      </c>
      <c r="R1163" s="18" t="inlineStr">
        <is>
          <t>Estado del registro de procesos_coactivos.</t>
        </is>
      </c>
      <c r="S1163" s="18" t="inlineStr">
        <is>
          <t>Media</t>
        </is>
      </c>
      <c r="T1163" s="18" t="inlineStr">
        <is>
          <t>Convención de nombre de la columna.</t>
        </is>
      </c>
      <c r="U1163" s="18" t="inlineStr"/>
      <c r="V1163" s="19" t="inlineStr">
        <is>
          <t>Pendiente</t>
        </is>
      </c>
      <c r="W1163" s="19" t="inlineStr"/>
      <c r="X1163" s="19" t="inlineStr"/>
      <c r="Y1163" s="20" t="n"/>
      <c r="Z1163" s="19" t="inlineStr"/>
      <c r="AA1163" s="18">
        <f>IF(OR(V1163="Aprobada"),R1163,IF(AND(OR(V1163="Aprobada con ajuste",V1163="Rechazada"),W1163&lt;&gt;""),W1163,""))</f>
        <v/>
      </c>
    </row>
    <row r="1164">
      <c r="A1164" s="18" t="inlineStr">
        <is>
          <t>C1163</t>
        </is>
      </c>
      <c r="B1164" s="18" t="inlineStr">
        <is>
          <t>Gestión jurídica</t>
        </is>
      </c>
      <c r="C1164" s="18" t="inlineStr">
        <is>
          <t>legal_management</t>
        </is>
      </c>
      <c r="D1164" s="18" t="inlineStr">
        <is>
          <t>procesos_coactivos</t>
        </is>
      </c>
      <c r="E1164" s="18" t="n">
        <v>7</v>
      </c>
      <c r="F1164" s="18" t="inlineStr">
        <is>
          <t>responsable</t>
        </is>
      </c>
      <c r="G1164" s="18" t="inlineStr">
        <is>
          <t>character varying(255)</t>
        </is>
      </c>
      <c r="H1164" s="18" t="inlineStr">
        <is>
          <t>Sí</t>
        </is>
      </c>
      <c r="I1164" s="18" t="inlineStr"/>
      <c r="J1164" s="18" t="inlineStr"/>
      <c r="K1164" s="18" t="inlineStr"/>
      <c r="L1164" s="18" t="inlineStr">
        <is>
          <t>No</t>
        </is>
      </c>
      <c r="M1164" s="18" t="inlineStr">
        <is>
          <t>No</t>
        </is>
      </c>
      <c r="N1164" s="18" t="inlineStr"/>
      <c r="O1164" s="18" t="inlineStr"/>
      <c r="P1164" s="18" t="inlineStr">
        <is>
          <t>Mapeada en legal-management-service/src/entities/proceso-coactivo.entity.ts:43 (ProcesoCoactivo.responsable)</t>
        </is>
      </c>
      <c r="Q1164" s="18" t="inlineStr">
        <is>
          <t>Propuesta semántica</t>
        </is>
      </c>
      <c r="R1164" s="18" t="inlineStr">
        <is>
          <t>Nombre del responsable del proceso coactivo.</t>
        </is>
      </c>
      <c r="S1164" s="18" t="inlineStr">
        <is>
          <t>Media</t>
        </is>
      </c>
      <c r="T1164" s="18" t="inlineStr">
        <is>
          <t>nombre + tipo</t>
        </is>
      </c>
      <c r="U1164" s="18" t="inlineStr">
        <is>
          <t>¿Se guarda el nombre del funcionario o un identificador de usuario?</t>
        </is>
      </c>
      <c r="V1164" s="19" t="inlineStr">
        <is>
          <t>Pendiente</t>
        </is>
      </c>
      <c r="W1164" s="19" t="inlineStr"/>
      <c r="X1164" s="19" t="inlineStr"/>
      <c r="Y1164" s="20" t="n"/>
      <c r="Z1164" s="19" t="inlineStr"/>
      <c r="AA1164" s="18">
        <f>IF(OR(V1164="Aprobada"),R1164,IF(AND(OR(V1164="Aprobada con ajuste",V1164="Rechazada"),W1164&lt;&gt;""),W1164,""))</f>
        <v/>
      </c>
    </row>
    <row r="1165">
      <c r="A1165" s="18" t="inlineStr">
        <is>
          <t>C1164</t>
        </is>
      </c>
      <c r="B1165" s="18" t="inlineStr">
        <is>
          <t>Gestión jurídica</t>
        </is>
      </c>
      <c r="C1165" s="18" t="inlineStr">
        <is>
          <t>legal_management</t>
        </is>
      </c>
      <c r="D1165" s="18" t="inlineStr">
        <is>
          <t>procesos_coactivos</t>
        </is>
      </c>
      <c r="E1165" s="18" t="n">
        <v>7</v>
      </c>
      <c r="F1165" s="18" t="inlineStr">
        <is>
          <t>documentos_adjuntos</t>
        </is>
      </c>
      <c r="G1165" s="18" t="inlineStr">
        <is>
          <t>integer</t>
        </is>
      </c>
      <c r="H1165" s="18" t="inlineStr">
        <is>
          <t>Sí</t>
        </is>
      </c>
      <c r="I1165" s="18" t="inlineStr"/>
      <c r="J1165" s="18" t="inlineStr"/>
      <c r="K1165" s="18" t="inlineStr"/>
      <c r="L1165" s="18" t="inlineStr">
        <is>
          <t>No</t>
        </is>
      </c>
      <c r="M1165" s="18" t="inlineStr">
        <is>
          <t>No</t>
        </is>
      </c>
      <c r="N1165" s="18" t="inlineStr"/>
      <c r="O1165" s="18" t="inlineStr"/>
      <c r="P1165" s="18" t="inlineStr">
        <is>
          <t>Mapeada en legal-management-service/src/entities/proceso-coactivo.entity.ts:46 (ProcesoCoactivo.documentosAdjuntos)</t>
        </is>
      </c>
      <c r="Q1165" s="18" t="inlineStr">
        <is>
          <t>Propuesta semántica</t>
        </is>
      </c>
      <c r="R1165" s="18" t="inlineStr">
        <is>
          <t>Cantidad de documentos adjuntos al proceso. Por defecto, 0.</t>
        </is>
      </c>
      <c r="S1165" s="18" t="inlineStr">
        <is>
          <t>Media</t>
        </is>
      </c>
      <c r="T1165" s="18" t="inlineStr">
        <is>
          <t>nombre + tipo + defecto</t>
        </is>
      </c>
      <c r="U1165" s="18" t="inlineStr">
        <is>
          <t>¿El conteo se actualiza con procesos_coactivos_adjuntos o se registra aparte?</t>
        </is>
      </c>
      <c r="V1165" s="19" t="inlineStr">
        <is>
          <t>Pendiente</t>
        </is>
      </c>
      <c r="W1165" s="19" t="inlineStr"/>
      <c r="X1165" s="19" t="inlineStr"/>
      <c r="Y1165" s="20" t="n"/>
      <c r="Z1165" s="19" t="inlineStr"/>
      <c r="AA1165" s="18">
        <f>IF(OR(V1165="Aprobada"),R1165,IF(AND(OR(V1165="Aprobada con ajuste",V1165="Rechazada"),W1165&lt;&gt;""),W1165,""))</f>
        <v/>
      </c>
    </row>
    <row r="1166">
      <c r="A1166" s="18" t="inlineStr">
        <is>
          <t>C1165</t>
        </is>
      </c>
      <c r="B1166" s="18" t="inlineStr">
        <is>
          <t>Gestión jurídica</t>
        </is>
      </c>
      <c r="C1166" s="18" t="inlineStr">
        <is>
          <t>legal_management</t>
        </is>
      </c>
      <c r="D1166" s="18" t="inlineStr">
        <is>
          <t>procesos_coactivos</t>
        </is>
      </c>
      <c r="E1166" s="18" t="n">
        <v>7</v>
      </c>
      <c r="F1166" s="18" t="inlineStr">
        <is>
          <t>notificaciones_enviadas</t>
        </is>
      </c>
      <c r="G1166" s="18" t="inlineStr">
        <is>
          <t>integer</t>
        </is>
      </c>
      <c r="H1166" s="18" t="inlineStr">
        <is>
          <t>Sí</t>
        </is>
      </c>
      <c r="I1166" s="18" t="inlineStr"/>
      <c r="J1166" s="18" t="inlineStr"/>
      <c r="K1166" s="18" t="inlineStr"/>
      <c r="L1166" s="18" t="inlineStr">
        <is>
          <t>No</t>
        </is>
      </c>
      <c r="M1166" s="18" t="inlineStr">
        <is>
          <t>No</t>
        </is>
      </c>
      <c r="N1166" s="18" t="inlineStr"/>
      <c r="O1166" s="18" t="inlineStr"/>
      <c r="P1166" s="18" t="inlineStr">
        <is>
          <t>Mapeada en legal-management-service/src/entities/proceso-coactivo.entity.ts:91 (ProcesoCoactivo.notificacionesEnviadas)</t>
        </is>
      </c>
      <c r="Q1166" s="18" t="inlineStr">
        <is>
          <t>Propuesta semántica</t>
        </is>
      </c>
      <c r="R1166" s="18" t="inlineStr">
        <is>
          <t>Cantidad de notificaciones enviadas en el proceso. Por defecto, 0.</t>
        </is>
      </c>
      <c r="S1166" s="18" t="inlineStr">
        <is>
          <t>Media</t>
        </is>
      </c>
      <c r="T1166" s="18" t="inlineStr">
        <is>
          <t>nombre + tipo + defecto</t>
        </is>
      </c>
      <c r="U1166" s="18" t="inlineStr">
        <is>
          <t>¿Qué evento incrementa este contador?</t>
        </is>
      </c>
      <c r="V1166" s="19" t="inlineStr">
        <is>
          <t>Pendiente</t>
        </is>
      </c>
      <c r="W1166" s="19" t="inlineStr"/>
      <c r="X1166" s="19" t="inlineStr"/>
      <c r="Y1166" s="20" t="n"/>
      <c r="Z1166" s="19" t="inlineStr"/>
      <c r="AA1166" s="18">
        <f>IF(OR(V1166="Aprobada"),R1166,IF(AND(OR(V1166="Aprobada con ajuste",V1166="Rechazada"),W1166&lt;&gt;""),W1166,""))</f>
        <v/>
      </c>
    </row>
    <row r="1167">
      <c r="A1167" s="18" t="inlineStr">
        <is>
          <t>C1166</t>
        </is>
      </c>
      <c r="B1167" s="18" t="inlineStr">
        <is>
          <t>Gestión jurídica</t>
        </is>
      </c>
      <c r="C1167" s="18" t="inlineStr">
        <is>
          <t>legal_management</t>
        </is>
      </c>
      <c r="D1167" s="18" t="inlineStr">
        <is>
          <t>procesos_coactivos</t>
        </is>
      </c>
      <c r="E1167" s="18" t="n">
        <v>7</v>
      </c>
      <c r="F1167" s="18" t="inlineStr">
        <is>
          <t>observaciones</t>
        </is>
      </c>
      <c r="G1167" s="18" t="inlineStr">
        <is>
          <t>text</t>
        </is>
      </c>
      <c r="H1167" s="18" t="inlineStr">
        <is>
          <t>Sí</t>
        </is>
      </c>
      <c r="I1167" s="18" t="inlineStr"/>
      <c r="J1167" s="18" t="inlineStr"/>
      <c r="K1167" s="18" t="inlineStr"/>
      <c r="L1167" s="18" t="inlineStr">
        <is>
          <t>No</t>
        </is>
      </c>
      <c r="M1167" s="18" t="inlineStr">
        <is>
          <t>No</t>
        </is>
      </c>
      <c r="N1167" s="18" t="inlineStr"/>
      <c r="O1167" s="18" t="inlineStr"/>
      <c r="P1167" s="18" t="inlineStr">
        <is>
          <t>Mapeada en legal-management-service/src/entities/proceso-coactivo.entity.ts:94 (ProcesoCoactivo.observaciones)</t>
        </is>
      </c>
      <c r="Q1167" s="18" t="inlineStr">
        <is>
          <t>Regla estructural</t>
        </is>
      </c>
      <c r="R1167" s="18" t="inlineStr">
        <is>
          <t>Observaciones registradas sobre el registro.</t>
        </is>
      </c>
      <c r="S1167" s="18" t="inlineStr">
        <is>
          <t>Media</t>
        </is>
      </c>
      <c r="T1167" s="18" t="inlineStr">
        <is>
          <t>Convención de nombre de la columna.</t>
        </is>
      </c>
      <c r="U1167" s="18" t="inlineStr"/>
      <c r="V1167" s="19" t="inlineStr">
        <is>
          <t>Pendiente</t>
        </is>
      </c>
      <c r="W1167" s="19" t="inlineStr"/>
      <c r="X1167" s="19" t="inlineStr"/>
      <c r="Y1167" s="20" t="n"/>
      <c r="Z1167" s="19" t="inlineStr"/>
      <c r="AA1167" s="18">
        <f>IF(OR(V1167="Aprobada"),R1167,IF(AND(OR(V1167="Aprobada con ajuste",V1167="Rechazada"),W1167&lt;&gt;""),W1167,""))</f>
        <v/>
      </c>
    </row>
    <row r="1168">
      <c r="A1168" s="18" t="inlineStr">
        <is>
          <t>C1167</t>
        </is>
      </c>
      <c r="B1168" s="18" t="inlineStr">
        <is>
          <t>Gestión jurídica</t>
        </is>
      </c>
      <c r="C1168" s="18" t="inlineStr">
        <is>
          <t>legal_management</t>
        </is>
      </c>
      <c r="D1168" s="18" t="inlineStr">
        <is>
          <t>procesos_coactivos</t>
        </is>
      </c>
      <c r="E1168" s="18" t="n">
        <v>7</v>
      </c>
      <c r="F1168" s="18" t="inlineStr">
        <is>
          <t>ultima_actuacion</t>
        </is>
      </c>
      <c r="G1168" s="18" t="inlineStr">
        <is>
          <t>timestamp without time zone</t>
        </is>
      </c>
      <c r="H1168" s="18" t="inlineStr">
        <is>
          <t>Sí</t>
        </is>
      </c>
      <c r="I1168" s="18" t="inlineStr"/>
      <c r="J1168" s="18" t="inlineStr"/>
      <c r="K1168" s="18" t="inlineStr"/>
      <c r="L1168" s="18" t="inlineStr">
        <is>
          <t>No</t>
        </is>
      </c>
      <c r="M1168" s="18" t="inlineStr">
        <is>
          <t>No</t>
        </is>
      </c>
      <c r="N1168" s="18" t="inlineStr"/>
      <c r="O1168" s="18" t="inlineStr"/>
      <c r="P1168" s="18" t="inlineStr">
        <is>
          <t>Mapeada en legal-management-service/src/entities/proceso-coactivo.entity.ts:97 (ProcesoCoactivo.ultimaActuacion)</t>
        </is>
      </c>
      <c r="Q1168" s="18" t="inlineStr">
        <is>
          <t>Propuesta semántica</t>
        </is>
      </c>
      <c r="R1168" s="18" t="inlineStr">
        <is>
          <t>Fecha y hora de la última actuación registrada en el proceso.</t>
        </is>
      </c>
      <c r="S1168" s="18" t="inlineStr">
        <is>
          <t>Media</t>
        </is>
      </c>
      <c r="T1168" s="18" t="inlineStr">
        <is>
          <t>nombre + tipo</t>
        </is>
      </c>
      <c r="U1168" s="18" t="inlineStr">
        <is>
          <t>¿Se actualiza automáticamente al registrar una actuación?</t>
        </is>
      </c>
      <c r="V1168" s="19" t="inlineStr">
        <is>
          <t>Pendiente</t>
        </is>
      </c>
      <c r="W1168" s="19" t="inlineStr"/>
      <c r="X1168" s="19" t="inlineStr"/>
      <c r="Y1168" s="20" t="n"/>
      <c r="Z1168" s="19" t="inlineStr"/>
      <c r="AA1168" s="18">
        <f>IF(OR(V1168="Aprobada"),R1168,IF(AND(OR(V1168="Aprobada con ajuste",V1168="Rechazada"),W1168&lt;&gt;""),W1168,""))</f>
        <v/>
      </c>
    </row>
    <row r="1169">
      <c r="A1169" s="18" t="inlineStr">
        <is>
          <t>C1168</t>
        </is>
      </c>
      <c r="B1169" s="18" t="inlineStr">
        <is>
          <t>Gestión jurídica</t>
        </is>
      </c>
      <c r="C1169" s="18" t="inlineStr">
        <is>
          <t>legal_management</t>
        </is>
      </c>
      <c r="D1169" s="18" t="inlineStr">
        <is>
          <t>procesos_coactivos</t>
        </is>
      </c>
      <c r="E1169" s="18" t="n">
        <v>7</v>
      </c>
      <c r="F1169" s="18" t="inlineStr">
        <is>
          <t>valor_pagado</t>
        </is>
      </c>
      <c r="G1169" s="18" t="inlineStr">
        <is>
          <t>numeric(15,2)</t>
        </is>
      </c>
      <c r="H1169" s="18" t="inlineStr">
        <is>
          <t>Sí</t>
        </is>
      </c>
      <c r="I1169" s="18" t="inlineStr"/>
      <c r="J1169" s="18" t="inlineStr"/>
      <c r="K1169" s="18" t="inlineStr"/>
      <c r="L1169" s="18" t="inlineStr">
        <is>
          <t>No</t>
        </is>
      </c>
      <c r="M1169" s="18" t="inlineStr">
        <is>
          <t>No</t>
        </is>
      </c>
      <c r="N1169" s="18" t="inlineStr"/>
      <c r="O1169" s="18" t="inlineStr"/>
      <c r="P1169" s="18" t="inlineStr">
        <is>
          <t>Mapeada en legal-management-service/src/entities/proceso-coactivo.entity.ts:54 (ProcesoCoactivo.valorPagado)</t>
        </is>
      </c>
      <c r="Q1169" s="18" t="inlineStr">
        <is>
          <t>Propuesta semántica</t>
        </is>
      </c>
      <c r="R1169" s="18" t="inlineStr">
        <is>
          <t>Valor total pagado por el deudor en el proceso. Por defecto, 0.</t>
        </is>
      </c>
      <c r="S1169" s="18" t="inlineStr">
        <is>
          <t>Media</t>
        </is>
      </c>
      <c r="T1169" s="18" t="inlineStr">
        <is>
          <t>nombre + tipo + columnas vecinas</t>
        </is>
      </c>
      <c r="U1169" s="18" t="inlineStr">
        <is>
          <t>¿Se calcula como la suma de pagos_coactivos.valor?</t>
        </is>
      </c>
      <c r="V1169" s="19" t="inlineStr">
        <is>
          <t>Pendiente</t>
        </is>
      </c>
      <c r="W1169" s="19" t="inlineStr"/>
      <c r="X1169" s="19" t="inlineStr"/>
      <c r="Y1169" s="20" t="n"/>
      <c r="Z1169" s="19" t="inlineStr"/>
      <c r="AA1169" s="18">
        <f>IF(OR(V1169="Aprobada"),R1169,IF(AND(OR(V1169="Aprobada con ajuste",V1169="Rechazada"),W1169&lt;&gt;""),W1169,""))</f>
        <v/>
      </c>
    </row>
    <row r="1170">
      <c r="A1170" s="18" t="inlineStr">
        <is>
          <t>C1169</t>
        </is>
      </c>
      <c r="B1170" s="18" t="inlineStr">
        <is>
          <t>Gestión jurídica</t>
        </is>
      </c>
      <c r="C1170" s="18" t="inlineStr">
        <is>
          <t>legal_management</t>
        </is>
      </c>
      <c r="D1170" s="18" t="inlineStr">
        <is>
          <t>procesos_coactivos</t>
        </is>
      </c>
      <c r="E1170" s="18" t="n">
        <v>7</v>
      </c>
      <c r="F1170" s="18" t="inlineStr">
        <is>
          <t>saldo_pendiente</t>
        </is>
      </c>
      <c r="G1170" s="18" t="inlineStr">
        <is>
          <t>numeric(15,2)</t>
        </is>
      </c>
      <c r="H1170" s="18" t="inlineStr">
        <is>
          <t>Sí</t>
        </is>
      </c>
      <c r="I1170" s="18" t="inlineStr"/>
      <c r="J1170" s="18" t="inlineStr"/>
      <c r="K1170" s="18" t="inlineStr"/>
      <c r="L1170" s="18" t="inlineStr">
        <is>
          <t>No</t>
        </is>
      </c>
      <c r="M1170" s="18" t="inlineStr">
        <is>
          <t>No</t>
        </is>
      </c>
      <c r="N1170" s="18" t="inlineStr"/>
      <c r="O1170" s="18" t="inlineStr"/>
      <c r="P1170" s="18" t="inlineStr">
        <is>
          <t>Mapeada en legal-management-service/src/entities/proceso-coactivo.entity.ts:62 (ProcesoCoactivo.saldoPendiente)</t>
        </is>
      </c>
      <c r="Q1170" s="18" t="inlineStr">
        <is>
          <t>Propuesta semántica</t>
        </is>
      </c>
      <c r="R1170" s="18" t="inlineStr">
        <is>
          <t>Saldo pendiente de pago de la obligación. Por defecto, 0.</t>
        </is>
      </c>
      <c r="S1170" s="18" t="inlineStr">
        <is>
          <t>Media</t>
        </is>
      </c>
      <c r="T1170" s="18" t="inlineStr">
        <is>
          <t>nombre + tipo + columnas vecinas</t>
        </is>
      </c>
      <c r="U1170" s="18" t="inlineStr">
        <is>
          <t>¿El saldo incluye intereses y costas o solo capital?</t>
        </is>
      </c>
      <c r="V1170" s="19" t="inlineStr">
        <is>
          <t>Pendiente</t>
        </is>
      </c>
      <c r="W1170" s="19" t="inlineStr"/>
      <c r="X1170" s="19" t="inlineStr"/>
      <c r="Y1170" s="20" t="n"/>
      <c r="Z1170" s="19" t="inlineStr"/>
      <c r="AA1170" s="18">
        <f>IF(OR(V1170="Aprobada"),R1170,IF(AND(OR(V1170="Aprobada con ajuste",V1170="Rechazada"),W1170&lt;&gt;""),W1170,""))</f>
        <v/>
      </c>
    </row>
    <row r="1171">
      <c r="A1171" s="18" t="inlineStr">
        <is>
          <t>C1170</t>
        </is>
      </c>
      <c r="B1171" s="18" t="inlineStr">
        <is>
          <t>Gestión jurídica</t>
        </is>
      </c>
      <c r="C1171" s="18" t="inlineStr">
        <is>
          <t>legal_management</t>
        </is>
      </c>
      <c r="D1171" s="18" t="inlineStr">
        <is>
          <t>procesos_coactivos</t>
        </is>
      </c>
      <c r="E1171" s="18" t="n">
        <v>7</v>
      </c>
      <c r="F1171" s="18" t="inlineStr">
        <is>
          <t>estado_archivo</t>
        </is>
      </c>
      <c r="G1171" s="18" t="inlineStr">
        <is>
          <t>character varying(20)</t>
        </is>
      </c>
      <c r="H1171" s="18" t="inlineStr">
        <is>
          <t>Sí</t>
        </is>
      </c>
      <c r="I1171" s="18" t="inlineStr"/>
      <c r="J1171" s="18" t="inlineStr"/>
      <c r="K1171" s="18" t="inlineStr"/>
      <c r="L1171" s="18" t="inlineStr">
        <is>
          <t>No</t>
        </is>
      </c>
      <c r="M1171" s="18" t="inlineStr">
        <is>
          <t>No</t>
        </is>
      </c>
      <c r="N1171" s="18" t="inlineStr"/>
      <c r="O1171" s="18" t="inlineStr"/>
      <c r="P1171" s="18" t="inlineStr">
        <is>
          <t>Mapeada en legal-management-service/src/entities/proceso-coactivo.entity.ts:103 (ProcesoCoactivo.estadoArchivo)</t>
        </is>
      </c>
      <c r="Q1171" s="18" t="inlineStr">
        <is>
          <t>Propuesta semántica</t>
        </is>
      </c>
      <c r="R1171" s="18" t="inlineStr">
        <is>
          <t>Estado de archivo del proceso. Por defecto, ACTIVO.</t>
        </is>
      </c>
      <c r="S1171" s="18" t="inlineStr">
        <is>
          <t>Media</t>
        </is>
      </c>
      <c r="T1171" s="18" t="inlineStr">
        <is>
          <t>nombre + tipo + defecto + columnas vecinas</t>
        </is>
      </c>
      <c r="U1171" s="18" t="inlineStr">
        <is>
          <t>¿Qué valores toma además de ACTIVO (por ejemplo, ARCHIVADO)?</t>
        </is>
      </c>
      <c r="V1171" s="19" t="inlineStr">
        <is>
          <t>Pendiente</t>
        </is>
      </c>
      <c r="W1171" s="19" t="inlineStr"/>
      <c r="X1171" s="19" t="inlineStr"/>
      <c r="Y1171" s="20" t="n"/>
      <c r="Z1171" s="19" t="inlineStr"/>
      <c r="AA1171" s="18">
        <f>IF(OR(V1171="Aprobada"),R1171,IF(AND(OR(V1171="Aprobada con ajuste",V1171="Rechazada"),W1171&lt;&gt;""),W1171,""))</f>
        <v/>
      </c>
    </row>
    <row r="1172">
      <c r="A1172" s="18" t="inlineStr">
        <is>
          <t>C1171</t>
        </is>
      </c>
      <c r="B1172" s="18" t="inlineStr">
        <is>
          <t>Gestión jurídica</t>
        </is>
      </c>
      <c r="C1172" s="18" t="inlineStr">
        <is>
          <t>legal_management</t>
        </is>
      </c>
      <c r="D1172" s="18" t="inlineStr">
        <is>
          <t>procesos_coactivos</t>
        </is>
      </c>
      <c r="E1172" s="18" t="n">
        <v>7</v>
      </c>
      <c r="F1172" s="18" t="inlineStr">
        <is>
          <t>fecha_archivo</t>
        </is>
      </c>
      <c r="G1172" s="18" t="inlineStr">
        <is>
          <t>timestamp without time zone</t>
        </is>
      </c>
      <c r="H1172" s="18" t="inlineStr">
        <is>
          <t>Sí</t>
        </is>
      </c>
      <c r="I1172" s="18" t="inlineStr"/>
      <c r="J1172" s="18" t="inlineStr"/>
      <c r="K1172" s="18" t="inlineStr"/>
      <c r="L1172" s="18" t="inlineStr">
        <is>
          <t>No</t>
        </is>
      </c>
      <c r="M1172" s="18" t="inlineStr">
        <is>
          <t>No</t>
        </is>
      </c>
      <c r="N1172" s="18" t="inlineStr"/>
      <c r="O1172" s="18" t="inlineStr"/>
      <c r="P1172" s="18" t="inlineStr">
        <is>
          <t>Mapeada en legal-management-service/src/entities/proceso-coactivo.entity.ts:106 (ProcesoCoactivo.fechaArchivo)</t>
        </is>
      </c>
      <c r="Q1172" s="18" t="inlineStr">
        <is>
          <t>Regla estructural</t>
        </is>
      </c>
      <c r="R1172" s="18" t="inlineStr">
        <is>
          <t>Fecha de archivo.</t>
        </is>
      </c>
      <c r="S1172" s="18" t="inlineStr">
        <is>
          <t>Media</t>
        </is>
      </c>
      <c r="T1172" s="18" t="inlineStr">
        <is>
          <t>Convención de nombre de la columna.</t>
        </is>
      </c>
      <c r="U1172" s="18" t="inlineStr"/>
      <c r="V1172" s="19" t="inlineStr">
        <is>
          <t>Pendiente</t>
        </is>
      </c>
      <c r="W1172" s="19" t="inlineStr"/>
      <c r="X1172" s="19" t="inlineStr"/>
      <c r="Y1172" s="20" t="n"/>
      <c r="Z1172" s="19" t="inlineStr"/>
      <c r="AA1172" s="18">
        <f>IF(OR(V1172="Aprobada"),R1172,IF(AND(OR(V1172="Aprobada con ajuste",V1172="Rechazada"),W1172&lt;&gt;""),W1172,""))</f>
        <v/>
      </c>
    </row>
    <row r="1173">
      <c r="A1173" s="18" t="inlineStr">
        <is>
          <t>C1172</t>
        </is>
      </c>
      <c r="B1173" s="18" t="inlineStr">
        <is>
          <t>Gestión jurídica</t>
        </is>
      </c>
      <c r="C1173" s="18" t="inlineStr">
        <is>
          <t>legal_management</t>
        </is>
      </c>
      <c r="D1173" s="18" t="inlineStr">
        <is>
          <t>procesos_coactivos</t>
        </is>
      </c>
      <c r="E1173" s="18" t="n">
        <v>7</v>
      </c>
      <c r="F1173" s="18" t="inlineStr">
        <is>
          <t>usuario_archivo</t>
        </is>
      </c>
      <c r="G1173" s="18" t="inlineStr">
        <is>
          <t>character varying(150)</t>
        </is>
      </c>
      <c r="H1173" s="18" t="inlineStr">
        <is>
          <t>Sí</t>
        </is>
      </c>
      <c r="I1173" s="18" t="inlineStr"/>
      <c r="J1173" s="18" t="inlineStr"/>
      <c r="K1173" s="18" t="inlineStr"/>
      <c r="L1173" s="18" t="inlineStr">
        <is>
          <t>No</t>
        </is>
      </c>
      <c r="M1173" s="18" t="inlineStr">
        <is>
          <t>No</t>
        </is>
      </c>
      <c r="N1173" s="18" t="inlineStr"/>
      <c r="O1173" s="18" t="inlineStr"/>
      <c r="P1173" s="18" t="inlineStr">
        <is>
          <t>Mapeada en legal-management-service/src/entities/proceso-coactivo.entity.ts:109 (ProcesoCoactivo.usuarioArchivo)</t>
        </is>
      </c>
      <c r="Q1173" s="18" t="inlineStr">
        <is>
          <t>Propuesta semántica</t>
        </is>
      </c>
      <c r="R1173" s="18" t="inlineStr">
        <is>
          <t>Usuario que archivó el proceso.</t>
        </is>
      </c>
      <c r="S1173" s="18" t="inlineStr">
        <is>
          <t>Media</t>
        </is>
      </c>
      <c r="T1173" s="18" t="inlineStr">
        <is>
          <t>nombre + tipo + columnas vecinas</t>
        </is>
      </c>
      <c r="U1173" s="18" t="inlineStr">
        <is>
          <t>¿Se guarda el nombre, el correo o el identificador del usuario?</t>
        </is>
      </c>
      <c r="V1173" s="19" t="inlineStr">
        <is>
          <t>Pendiente</t>
        </is>
      </c>
      <c r="W1173" s="19" t="inlineStr"/>
      <c r="X1173" s="19" t="inlineStr"/>
      <c r="Y1173" s="20" t="n"/>
      <c r="Z1173" s="19" t="inlineStr"/>
      <c r="AA1173" s="18">
        <f>IF(OR(V1173="Aprobada"),R1173,IF(AND(OR(V1173="Aprobada con ajuste",V1173="Rechazada"),W1173&lt;&gt;""),W1173,""))</f>
        <v/>
      </c>
    </row>
    <row r="1174">
      <c r="A1174" s="18" t="inlineStr">
        <is>
          <t>C1173</t>
        </is>
      </c>
      <c r="B1174" s="18" t="inlineStr">
        <is>
          <t>Gestión jurídica</t>
        </is>
      </c>
      <c r="C1174" s="18" t="inlineStr">
        <is>
          <t>legal_management</t>
        </is>
      </c>
      <c r="D1174" s="18" t="inlineStr">
        <is>
          <t>procesos_coactivos</t>
        </is>
      </c>
      <c r="E1174" s="18" t="n">
        <v>7</v>
      </c>
      <c r="F1174" s="18" t="inlineStr">
        <is>
          <t>motivo_archivo</t>
        </is>
      </c>
      <c r="G1174" s="18" t="inlineStr">
        <is>
          <t>text</t>
        </is>
      </c>
      <c r="H1174" s="18" t="inlineStr">
        <is>
          <t>Sí</t>
        </is>
      </c>
      <c r="I1174" s="18" t="inlineStr"/>
      <c r="J1174" s="18" t="inlineStr"/>
      <c r="K1174" s="18" t="inlineStr"/>
      <c r="L1174" s="18" t="inlineStr">
        <is>
          <t>No</t>
        </is>
      </c>
      <c r="M1174" s="18" t="inlineStr">
        <is>
          <t>No</t>
        </is>
      </c>
      <c r="N1174" s="18" t="inlineStr"/>
      <c r="O1174" s="18" t="inlineStr"/>
      <c r="P1174" s="18" t="inlineStr">
        <is>
          <t>Mapeada en legal-management-service/src/entities/proceso-coactivo.entity.ts:112 (ProcesoCoactivo.motivoArchivo)</t>
        </is>
      </c>
      <c r="Q1174" s="18" t="inlineStr">
        <is>
          <t>Regla estructural</t>
        </is>
      </c>
      <c r="R1174" s="18" t="inlineStr">
        <is>
          <t>Motivo del archivo.</t>
        </is>
      </c>
      <c r="S1174" s="18" t="inlineStr">
        <is>
          <t>Media</t>
        </is>
      </c>
      <c r="T1174" s="18" t="inlineStr">
        <is>
          <t>Convención de nombre de la columna.</t>
        </is>
      </c>
      <c r="U1174" s="18" t="inlineStr"/>
      <c r="V1174" s="19" t="inlineStr">
        <is>
          <t>Pendiente</t>
        </is>
      </c>
      <c r="W1174" s="19" t="inlineStr"/>
      <c r="X1174" s="19" t="inlineStr"/>
      <c r="Y1174" s="20" t="n"/>
      <c r="Z1174" s="19" t="inlineStr"/>
      <c r="AA1174" s="18">
        <f>IF(OR(V1174="Aprobada"),R1174,IF(AND(OR(V1174="Aprobada con ajuste",V1174="Rechazada"),W1174&lt;&gt;""),W1174,""))</f>
        <v/>
      </c>
    </row>
    <row r="1175">
      <c r="A1175" s="18" t="inlineStr">
        <is>
          <t>C1174</t>
        </is>
      </c>
      <c r="B1175" s="18" t="inlineStr">
        <is>
          <t>Gestión jurídica</t>
        </is>
      </c>
      <c r="C1175" s="18" t="inlineStr">
        <is>
          <t>legal_management</t>
        </is>
      </c>
      <c r="D1175" s="18" t="inlineStr">
        <is>
          <t>procesos_coactivos</t>
        </is>
      </c>
      <c r="E1175" s="18" t="n">
        <v>7</v>
      </c>
      <c r="F1175" s="18" t="inlineStr">
        <is>
          <t>fecha_ejecutoria</t>
        </is>
      </c>
      <c r="G1175" s="18" t="inlineStr">
        <is>
          <t>timestamp without time zone</t>
        </is>
      </c>
      <c r="H1175" s="18" t="inlineStr">
        <is>
          <t>Sí</t>
        </is>
      </c>
      <c r="I1175" s="18" t="inlineStr"/>
      <c r="J1175" s="18" t="inlineStr"/>
      <c r="K1175" s="18" t="inlineStr"/>
      <c r="L1175" s="18" t="inlineStr">
        <is>
          <t>No</t>
        </is>
      </c>
      <c r="M1175" s="18" t="inlineStr">
        <is>
          <t>No</t>
        </is>
      </c>
      <c r="N1175" s="18" t="inlineStr"/>
      <c r="O1175" s="18" t="inlineStr"/>
      <c r="P1175" s="18" t="inlineStr">
        <is>
          <t>legal-management-service/src/entities/proceso-coactivo.entity.ts:71: Campos añadidos para Resolución 492 / Manual de Cartera</t>
        </is>
      </c>
      <c r="Q1175" s="18" t="inlineStr">
        <is>
          <t>Código fuente</t>
        </is>
      </c>
      <c r="R1175" s="18" t="inlineStr">
        <is>
          <t>Fecha de ejecutoria en el proceso de cobro coactivo; campo agregado para la Resolución 492 / Manual de Cartera.</t>
        </is>
      </c>
      <c r="S1175" s="18" t="inlineStr">
        <is>
          <t>Media</t>
        </is>
      </c>
      <c r="T1175" s="18" t="inlineStr">
        <is>
          <t>código: legal-management-service/src/entities/proceso-coactivo.entity.ts:71</t>
        </is>
      </c>
      <c r="U1175" s="18" t="inlineStr">
        <is>
          <t>¿De qué acto es la fecha de ejecutoria (título ejecutivo, mandamiento de pago u otro)?</t>
        </is>
      </c>
      <c r="V1175" s="19" t="inlineStr">
        <is>
          <t>Pendiente</t>
        </is>
      </c>
      <c r="W1175" s="19" t="inlineStr"/>
      <c r="X1175" s="19" t="inlineStr"/>
      <c r="Y1175" s="20" t="n"/>
      <c r="Z1175" s="19" t="inlineStr"/>
      <c r="AA1175" s="18">
        <f>IF(OR(V1175="Aprobada"),R1175,IF(AND(OR(V1175="Aprobada con ajuste",V1175="Rechazada"),W1175&lt;&gt;""),W1175,""))</f>
        <v/>
      </c>
    </row>
    <row r="1176">
      <c r="A1176" s="18" t="inlineStr">
        <is>
          <t>C1175</t>
        </is>
      </c>
      <c r="B1176" s="18" t="inlineStr">
        <is>
          <t>Gestión jurídica</t>
        </is>
      </c>
      <c r="C1176" s="18" t="inlineStr">
        <is>
          <t>legal_management</t>
        </is>
      </c>
      <c r="D1176" s="18" t="inlineStr">
        <is>
          <t>procesos_coactivos</t>
        </is>
      </c>
      <c r="E1176" s="18" t="n">
        <v>7</v>
      </c>
      <c r="F1176" s="18" t="inlineStr">
        <is>
          <t>tipo_interes_aplicable</t>
        </is>
      </c>
      <c r="G1176" s="18" t="inlineStr">
        <is>
          <t>character varying(20)</t>
        </is>
      </c>
      <c r="H1176" s="18" t="inlineStr">
        <is>
          <t>Sí</t>
        </is>
      </c>
      <c r="I1176" s="18" t="inlineStr"/>
      <c r="J1176" s="18" t="inlineStr"/>
      <c r="K1176" s="18" t="inlineStr"/>
      <c r="L1176" s="18" t="inlineStr">
        <is>
          <t>No</t>
        </is>
      </c>
      <c r="M1176" s="18" t="inlineStr">
        <is>
          <t>No</t>
        </is>
      </c>
      <c r="N1176" s="18" t="inlineStr"/>
      <c r="O1176" s="18" t="inlineStr"/>
      <c r="P1176" s="18" t="inlineStr">
        <is>
          <t>Mapeada en legal-management-service/src/entities/proceso-coactivo.entity.ts:74 (ProcesoCoactivo.tipoInteresAplicable)</t>
        </is>
      </c>
      <c r="Q1176" s="18" t="inlineStr">
        <is>
          <t>Propuesta semántica</t>
        </is>
      </c>
      <c r="R1176" s="18" t="inlineStr">
        <is>
          <t>Tipo de tasa de interés aplicable a la obligación. Por defecto, DIAN.</t>
        </is>
      </c>
      <c r="S1176" s="18" t="inlineStr">
        <is>
          <t>Media</t>
        </is>
      </c>
      <c r="T1176" s="18" t="inlineStr">
        <is>
          <t>nombre + tipo + defecto + tabla tasas_referencia</t>
        </is>
      </c>
      <c r="U1176" s="18" t="inlineStr">
        <is>
          <t>¿Qué otros tipos de tasa se admiten además de DIAN?</t>
        </is>
      </c>
      <c r="V1176" s="19" t="inlineStr">
        <is>
          <t>Pendiente</t>
        </is>
      </c>
      <c r="W1176" s="19" t="inlineStr"/>
      <c r="X1176" s="19" t="inlineStr"/>
      <c r="Y1176" s="20" t="n"/>
      <c r="Z1176" s="19" t="inlineStr"/>
      <c r="AA1176" s="18">
        <f>IF(OR(V1176="Aprobada"),R1176,IF(AND(OR(V1176="Aprobada con ajuste",V1176="Rechazada"),W1176&lt;&gt;""),W1176,""))</f>
        <v/>
      </c>
    </row>
    <row r="1177">
      <c r="A1177" s="18" t="inlineStr">
        <is>
          <t>C1176</t>
        </is>
      </c>
      <c r="B1177" s="18" t="inlineStr">
        <is>
          <t>Gestión jurídica</t>
        </is>
      </c>
      <c r="C1177" s="18" t="inlineStr">
        <is>
          <t>legal_management</t>
        </is>
      </c>
      <c r="D1177" s="18" t="inlineStr">
        <is>
          <t>procesos_coactivos</t>
        </is>
      </c>
      <c r="E1177" s="18" t="n">
        <v>7</v>
      </c>
      <c r="F1177" s="18" t="inlineStr">
        <is>
          <t>valor_costas</t>
        </is>
      </c>
      <c r="G1177" s="18" t="inlineStr">
        <is>
          <t>numeric(15,2)</t>
        </is>
      </c>
      <c r="H1177" s="18" t="inlineStr">
        <is>
          <t>Sí</t>
        </is>
      </c>
      <c r="I1177" s="18" t="inlineStr"/>
      <c r="J1177" s="18" t="inlineStr"/>
      <c r="K1177" s="18" t="inlineStr"/>
      <c r="L1177" s="18" t="inlineStr">
        <is>
          <t>No</t>
        </is>
      </c>
      <c r="M1177" s="18" t="inlineStr">
        <is>
          <t>No</t>
        </is>
      </c>
      <c r="N1177" s="18" t="inlineStr"/>
      <c r="O1177" s="18" t="inlineStr"/>
      <c r="P1177" s="18" t="inlineStr">
        <is>
          <t>Mapeada en legal-management-service/src/entities/proceso-coactivo.entity.ts:83 (ProcesoCoactivo.valorCostas)</t>
        </is>
      </c>
      <c r="Q1177" s="18" t="inlineStr">
        <is>
          <t>Propuesta semántica</t>
        </is>
      </c>
      <c r="R1177" s="18" t="inlineStr">
        <is>
          <t>Valor de las costas del proceso. Por defecto, 0.</t>
        </is>
      </c>
      <c r="S1177" s="18" t="inlineStr">
        <is>
          <t>Alta</t>
        </is>
      </c>
      <c r="T1177" s="18" t="inlineStr">
        <is>
          <t>nombre + tipo + columnas vecinas</t>
        </is>
      </c>
      <c r="U1177" s="18" t="inlineStr"/>
      <c r="V1177" s="19" t="inlineStr">
        <is>
          <t>Pendiente</t>
        </is>
      </c>
      <c r="W1177" s="19" t="inlineStr"/>
      <c r="X1177" s="19" t="inlineStr"/>
      <c r="Y1177" s="20" t="n"/>
      <c r="Z1177" s="19" t="inlineStr"/>
      <c r="AA1177" s="18">
        <f>IF(OR(V1177="Aprobada"),R1177,IF(AND(OR(V1177="Aprobada con ajuste",V1177="Rechazada"),W1177&lt;&gt;""),W1177,""))</f>
        <v/>
      </c>
    </row>
    <row r="1178">
      <c r="A1178" s="18" t="inlineStr">
        <is>
          <t>C1177</t>
        </is>
      </c>
      <c r="B1178" s="18" t="inlineStr">
        <is>
          <t>Gestión jurídica</t>
        </is>
      </c>
      <c r="C1178" s="18" t="inlineStr">
        <is>
          <t>legal_management</t>
        </is>
      </c>
      <c r="D1178" s="18" t="inlineStr">
        <is>
          <t>procesos_coactivos_adjuntos</t>
        </is>
      </c>
      <c r="E1178" s="18" t="n">
        <v>13</v>
      </c>
      <c r="F1178" s="18" t="inlineStr">
        <is>
          <t>nombre_original</t>
        </is>
      </c>
      <c r="G1178" s="18" t="inlineStr">
        <is>
          <t>character varying</t>
        </is>
      </c>
      <c r="H1178" s="18" t="inlineStr">
        <is>
          <t>No</t>
        </is>
      </c>
      <c r="I1178" s="18" t="inlineStr"/>
      <c r="J1178" s="18" t="inlineStr"/>
      <c r="K1178" s="18" t="inlineStr"/>
      <c r="L1178" s="18" t="inlineStr">
        <is>
          <t>No</t>
        </is>
      </c>
      <c r="M1178" s="18" t="inlineStr">
        <is>
          <t>No</t>
        </is>
      </c>
      <c r="N1178" s="18" t="inlineStr"/>
      <c r="O1178" s="18" t="inlineStr"/>
      <c r="P1178" s="18" t="inlineStr">
        <is>
          <t>Mapeada en legal-management-service/src/entities/proceso-coactivo-adjunto.entity.ts:16 (ProcesoCoactivoAdjunto.nombreOriginal)</t>
        </is>
      </c>
      <c r="Q1178" s="18" t="inlineStr">
        <is>
          <t>Propuesta semántica</t>
        </is>
      </c>
      <c r="R1178" s="18" t="inlineStr">
        <is>
          <t>Nombre original del archivo adjunto, tal como se cargó.</t>
        </is>
      </c>
      <c r="S1178" s="18" t="inlineStr">
        <is>
          <t>Alta</t>
        </is>
      </c>
      <c r="T1178" s="18" t="inlineStr">
        <is>
          <t>nombre + tipo + columnas vecinas</t>
        </is>
      </c>
      <c r="U1178" s="18" t="inlineStr"/>
      <c r="V1178" s="19" t="inlineStr">
        <is>
          <t>Pendiente</t>
        </is>
      </c>
      <c r="W1178" s="19" t="inlineStr"/>
      <c r="X1178" s="19" t="inlineStr"/>
      <c r="Y1178" s="20" t="n"/>
      <c r="Z1178" s="19" t="inlineStr"/>
      <c r="AA1178" s="18">
        <f>IF(OR(V1178="Aprobada"),R1178,IF(AND(OR(V1178="Aprobada con ajuste",V1178="Rechazada"),W1178&lt;&gt;""),W1178,""))</f>
        <v/>
      </c>
    </row>
    <row r="1179">
      <c r="A1179" s="18" t="inlineStr">
        <is>
          <t>C1178</t>
        </is>
      </c>
      <c r="B1179" s="18" t="inlineStr">
        <is>
          <t>Gestión jurídica</t>
        </is>
      </c>
      <c r="C1179" s="18" t="inlineStr">
        <is>
          <t>legal_management</t>
        </is>
      </c>
      <c r="D1179" s="18" t="inlineStr">
        <is>
          <t>procesos_coactivos_adjuntos</t>
        </is>
      </c>
      <c r="E1179" s="18" t="n">
        <v>13</v>
      </c>
      <c r="F1179" s="18" t="inlineStr">
        <is>
          <t>nombre_archivo</t>
        </is>
      </c>
      <c r="G1179" s="18" t="inlineStr">
        <is>
          <t>character varying</t>
        </is>
      </c>
      <c r="H1179" s="18" t="inlineStr">
        <is>
          <t>No</t>
        </is>
      </c>
      <c r="I1179" s="18" t="inlineStr"/>
      <c r="J1179" s="18" t="inlineStr"/>
      <c r="K1179" s="18" t="inlineStr"/>
      <c r="L1179" s="18" t="inlineStr">
        <is>
          <t>No</t>
        </is>
      </c>
      <c r="M1179" s="18" t="inlineStr">
        <is>
          <t>No</t>
        </is>
      </c>
      <c r="N1179" s="18" t="inlineStr"/>
      <c r="O1179" s="18" t="inlineStr"/>
      <c r="P1179" s="18" t="inlineStr">
        <is>
          <t>Mapeada en legal-management-service/src/entities/proceso-coactivo-adjunto.entity.ts:19 (ProcesoCoactivoAdjunto.nombreArchivo)</t>
        </is>
      </c>
      <c r="Q1179" s="18" t="inlineStr">
        <is>
          <t>Propuesta semántica</t>
        </is>
      </c>
      <c r="R1179" s="18" t="inlineStr">
        <is>
          <t>Nombre con el que se almacenó el archivo adjunto.</t>
        </is>
      </c>
      <c r="S1179" s="18" t="inlineStr">
        <is>
          <t>Media</t>
        </is>
      </c>
      <c r="T1179" s="18" t="inlineStr">
        <is>
          <t>nombre + tipo + columnas vecinas</t>
        </is>
      </c>
      <c r="U1179" s="18" t="inlineStr">
        <is>
          <t>¿Es el nombre generado por el sistema en el almacenamiento?</t>
        </is>
      </c>
      <c r="V1179" s="19" t="inlineStr">
        <is>
          <t>Pendiente</t>
        </is>
      </c>
      <c r="W1179" s="19" t="inlineStr"/>
      <c r="X1179" s="19" t="inlineStr"/>
      <c r="Y1179" s="20" t="n"/>
      <c r="Z1179" s="19" t="inlineStr"/>
      <c r="AA1179" s="18">
        <f>IF(OR(V1179="Aprobada"),R1179,IF(AND(OR(V1179="Aprobada con ajuste",V1179="Rechazada"),W1179&lt;&gt;""),W1179,""))</f>
        <v/>
      </c>
    </row>
    <row r="1180">
      <c r="A1180" s="18" t="inlineStr">
        <is>
          <t>C1179</t>
        </is>
      </c>
      <c r="B1180" s="18" t="inlineStr">
        <is>
          <t>Gestión jurídica</t>
        </is>
      </c>
      <c r="C1180" s="18" t="inlineStr">
        <is>
          <t>legal_management</t>
        </is>
      </c>
      <c r="D1180" s="18" t="inlineStr">
        <is>
          <t>procesos_coactivos_adjuntos</t>
        </is>
      </c>
      <c r="E1180" s="18" t="n">
        <v>13</v>
      </c>
      <c r="F1180" s="18" t="inlineStr">
        <is>
          <t>mime_type</t>
        </is>
      </c>
      <c r="G1180" s="18" t="inlineStr">
        <is>
          <t>character varying</t>
        </is>
      </c>
      <c r="H1180" s="18" t="inlineStr">
        <is>
          <t>No</t>
        </is>
      </c>
      <c r="I1180" s="18" t="inlineStr"/>
      <c r="J1180" s="18" t="inlineStr"/>
      <c r="K1180" s="18" t="inlineStr"/>
      <c r="L1180" s="18" t="inlineStr">
        <is>
          <t>No</t>
        </is>
      </c>
      <c r="M1180" s="18" t="inlineStr">
        <is>
          <t>No</t>
        </is>
      </c>
      <c r="N1180" s="18" t="inlineStr"/>
      <c r="O1180" s="18" t="inlineStr"/>
      <c r="P1180" s="18" t="inlineStr">
        <is>
          <t>Mapeada en legal-management-service/src/entities/proceso-coactivo-adjunto.entity.ts:22 (ProcesoCoactivoAdjunto.mimeType)</t>
        </is>
      </c>
      <c r="Q1180" s="18" t="inlineStr">
        <is>
          <t>Regla estructural</t>
        </is>
      </c>
      <c r="R1180" s="18" t="inlineStr">
        <is>
          <t>Tipo MIME del archivo.</t>
        </is>
      </c>
      <c r="S1180" s="18" t="inlineStr">
        <is>
          <t>Media</t>
        </is>
      </c>
      <c r="T1180" s="18" t="inlineStr">
        <is>
          <t>Convención de nombre de la columna.</t>
        </is>
      </c>
      <c r="U1180" s="18" t="inlineStr"/>
      <c r="V1180" s="19" t="inlineStr">
        <is>
          <t>Pendiente</t>
        </is>
      </c>
      <c r="W1180" s="19" t="inlineStr"/>
      <c r="X1180" s="19" t="inlineStr"/>
      <c r="Y1180" s="20" t="n"/>
      <c r="Z1180" s="19" t="inlineStr"/>
      <c r="AA1180" s="18">
        <f>IF(OR(V1180="Aprobada"),R1180,IF(AND(OR(V1180="Aprobada con ajuste",V1180="Rechazada"),W1180&lt;&gt;""),W1180,""))</f>
        <v/>
      </c>
    </row>
    <row r="1181">
      <c r="A1181" s="18" t="inlineStr">
        <is>
          <t>C1180</t>
        </is>
      </c>
      <c r="B1181" s="18" t="inlineStr">
        <is>
          <t>Gestión jurídica</t>
        </is>
      </c>
      <c r="C1181" s="18" t="inlineStr">
        <is>
          <t>legal_management</t>
        </is>
      </c>
      <c r="D1181" s="18" t="inlineStr">
        <is>
          <t>procesos_coactivos_adjuntos</t>
        </is>
      </c>
      <c r="E1181" s="18" t="n">
        <v>13</v>
      </c>
      <c r="F1181" s="18" t="inlineStr">
        <is>
          <t>tamano</t>
        </is>
      </c>
      <c r="G1181" s="18" t="inlineStr">
        <is>
          <t>integer</t>
        </is>
      </c>
      <c r="H1181" s="18" t="inlineStr">
        <is>
          <t>No</t>
        </is>
      </c>
      <c r="I1181" s="18" t="inlineStr"/>
      <c r="J1181" s="18" t="inlineStr"/>
      <c r="K1181" s="18" t="inlineStr"/>
      <c r="L1181" s="18" t="inlineStr">
        <is>
          <t>No</t>
        </is>
      </c>
      <c r="M1181" s="18" t="inlineStr">
        <is>
          <t>No</t>
        </is>
      </c>
      <c r="N1181" s="18" t="inlineStr"/>
      <c r="O1181" s="18" t="inlineStr"/>
      <c r="P1181" s="18" t="inlineStr">
        <is>
          <t>Mapeada en legal-management-service/src/entities/proceso-coactivo-adjunto.entity.ts:25 (ProcesoCoactivoAdjunto.tamano)</t>
        </is>
      </c>
      <c r="Q1181" s="18" t="inlineStr">
        <is>
          <t>Propuesta semántica</t>
        </is>
      </c>
      <c r="R1181" s="18" t="inlineStr">
        <is>
          <t>Tamaño del archivo adjunto.</t>
        </is>
      </c>
      <c r="S1181" s="18" t="inlineStr">
        <is>
          <t>Media</t>
        </is>
      </c>
      <c r="T1181" s="18" t="inlineStr">
        <is>
          <t>nombre + tipo + columnas vecinas</t>
        </is>
      </c>
      <c r="U1181" s="18" t="inlineStr">
        <is>
          <t>¿El tamaño está en bytes?</t>
        </is>
      </c>
      <c r="V1181" s="19" t="inlineStr">
        <is>
          <t>Pendiente</t>
        </is>
      </c>
      <c r="W1181" s="19" t="inlineStr"/>
      <c r="X1181" s="19" t="inlineStr"/>
      <c r="Y1181" s="20" t="n"/>
      <c r="Z1181" s="19" t="inlineStr"/>
      <c r="AA1181" s="18">
        <f>IF(OR(V1181="Aprobada"),R1181,IF(AND(OR(V1181="Aprobada con ajuste",V1181="Rechazada"),W1181&lt;&gt;""),W1181,""))</f>
        <v/>
      </c>
    </row>
    <row r="1182">
      <c r="A1182" s="18" t="inlineStr">
        <is>
          <t>C1181</t>
        </is>
      </c>
      <c r="B1182" s="18" t="inlineStr">
        <is>
          <t>Gestión jurídica</t>
        </is>
      </c>
      <c r="C1182" s="18" t="inlineStr">
        <is>
          <t>legal_management</t>
        </is>
      </c>
      <c r="D1182" s="18" t="inlineStr">
        <is>
          <t>procesos_coactivos_adjuntos</t>
        </is>
      </c>
      <c r="E1182" s="18" t="n">
        <v>13</v>
      </c>
      <c r="F1182" s="18" t="inlineStr">
        <is>
          <t>tipo</t>
        </is>
      </c>
      <c r="G1182" s="18" t="inlineStr">
        <is>
          <t>character varying(100)</t>
        </is>
      </c>
      <c r="H1182" s="18" t="inlineStr">
        <is>
          <t>Sí</t>
        </is>
      </c>
      <c r="I1182" s="18" t="inlineStr"/>
      <c r="J1182" s="18" t="inlineStr"/>
      <c r="K1182" s="18" t="inlineStr"/>
      <c r="L1182" s="18" t="inlineStr">
        <is>
          <t>No</t>
        </is>
      </c>
      <c r="M1182" s="18" t="inlineStr">
        <is>
          <t>No</t>
        </is>
      </c>
      <c r="N1182" s="18" t="inlineStr"/>
      <c r="O1182" s="18" t="inlineStr"/>
      <c r="P1182" s="18" t="inlineStr">
        <is>
          <t>Mapeada en legal-management-service/src/entities/proceso-coactivo-adjunto.entity.ts:28 (ProcesoCoactivoAdjunto.tipo)</t>
        </is>
      </c>
      <c r="Q1182" s="18" t="inlineStr">
        <is>
          <t>Regla estructural</t>
        </is>
      </c>
      <c r="R1182" s="18" t="inlineStr">
        <is>
          <t>Tipo del registro de procesos_coactivos_adjuntos.</t>
        </is>
      </c>
      <c r="S1182" s="18" t="inlineStr">
        <is>
          <t>Media</t>
        </is>
      </c>
      <c r="T1182" s="18" t="inlineStr">
        <is>
          <t>Convención de nombre de la columna.</t>
        </is>
      </c>
      <c r="U1182" s="18" t="inlineStr"/>
      <c r="V1182" s="19" t="inlineStr">
        <is>
          <t>Pendiente</t>
        </is>
      </c>
      <c r="W1182" s="19" t="inlineStr"/>
      <c r="X1182" s="19" t="inlineStr"/>
      <c r="Y1182" s="20" t="n"/>
      <c r="Z1182" s="19" t="inlineStr"/>
      <c r="AA1182" s="18">
        <f>IF(OR(V1182="Aprobada"),R1182,IF(AND(OR(V1182="Aprobada con ajuste",V1182="Rechazada"),W1182&lt;&gt;""),W1182,""))</f>
        <v/>
      </c>
    </row>
    <row r="1183">
      <c r="A1183" s="18" t="inlineStr">
        <is>
          <t>C1182</t>
        </is>
      </c>
      <c r="B1183" s="18" t="inlineStr">
        <is>
          <t>Gestión jurídica</t>
        </is>
      </c>
      <c r="C1183" s="18" t="inlineStr">
        <is>
          <t>legal_management</t>
        </is>
      </c>
      <c r="D1183" s="18" t="inlineStr">
        <is>
          <t>procesos_coactivos_adjuntos</t>
        </is>
      </c>
      <c r="E1183" s="18" t="n">
        <v>13</v>
      </c>
      <c r="F1183" s="18" t="inlineStr">
        <is>
          <t>archivo_url</t>
        </is>
      </c>
      <c r="G1183" s="18" t="inlineStr">
        <is>
          <t>character varying(500)</t>
        </is>
      </c>
      <c r="H1183" s="18" t="inlineStr">
        <is>
          <t>Sí</t>
        </is>
      </c>
      <c r="I1183" s="18" t="inlineStr"/>
      <c r="J1183" s="18" t="inlineStr"/>
      <c r="K1183" s="18" t="inlineStr"/>
      <c r="L1183" s="18" t="inlineStr">
        <is>
          <t>No</t>
        </is>
      </c>
      <c r="M1183" s="18" t="inlineStr">
        <is>
          <t>No</t>
        </is>
      </c>
      <c r="N1183" s="18" t="inlineStr"/>
      <c r="O1183" s="18" t="inlineStr"/>
      <c r="P1183" s="18" t="inlineStr">
        <is>
          <t>Mapeada en legal-management-service/src/entities/proceso-coactivo-adjunto.entity.ts:34 (ProcesoCoactivoAdjunto.archivoUrl)</t>
        </is>
      </c>
      <c r="Q1183" s="18" t="inlineStr">
        <is>
          <t>Propuesta semántica</t>
        </is>
      </c>
      <c r="R1183" s="18" t="inlineStr">
        <is>
          <t>URL del archivo adjunto.</t>
        </is>
      </c>
      <c r="S1183" s="18" t="inlineStr">
        <is>
          <t>Alta</t>
        </is>
      </c>
      <c r="T1183" s="18" t="inlineStr">
        <is>
          <t>nombre + tipo</t>
        </is>
      </c>
      <c r="U1183" s="18" t="inlineStr"/>
      <c r="V1183" s="19" t="inlineStr">
        <is>
          <t>Pendiente</t>
        </is>
      </c>
      <c r="W1183" s="19" t="inlineStr"/>
      <c r="X1183" s="19" t="inlineStr"/>
      <c r="Y1183" s="20" t="n"/>
      <c r="Z1183" s="19" t="inlineStr"/>
      <c r="AA1183" s="18">
        <f>IF(OR(V1183="Aprobada"),R1183,IF(AND(OR(V1183="Aprobada con ajuste",V1183="Rechazada"),W1183&lt;&gt;""),W1183,""))</f>
        <v/>
      </c>
    </row>
    <row r="1184">
      <c r="A1184" s="18" t="inlineStr">
        <is>
          <t>C1183</t>
        </is>
      </c>
      <c r="B1184" s="18" t="inlineStr">
        <is>
          <t>Gestión jurídica</t>
        </is>
      </c>
      <c r="C1184" s="18" t="inlineStr">
        <is>
          <t>legal_management</t>
        </is>
      </c>
      <c r="D1184" s="18" t="inlineStr">
        <is>
          <t>procesos_coactivos_adjuntos</t>
        </is>
      </c>
      <c r="E1184" s="18" t="n">
        <v>13</v>
      </c>
      <c r="F1184" s="18" t="inlineStr">
        <is>
          <t>es_titulo_ejecutivo</t>
        </is>
      </c>
      <c r="G1184" s="18" t="inlineStr">
        <is>
          <t>boolean</t>
        </is>
      </c>
      <c r="H1184" s="18" t="inlineStr">
        <is>
          <t>Sí</t>
        </is>
      </c>
      <c r="I1184" s="18" t="inlineStr"/>
      <c r="J1184" s="18" t="inlineStr"/>
      <c r="K1184" s="18" t="inlineStr"/>
      <c r="L1184" s="18" t="inlineStr">
        <is>
          <t>No</t>
        </is>
      </c>
      <c r="M1184" s="18" t="inlineStr">
        <is>
          <t>No</t>
        </is>
      </c>
      <c r="N1184" s="18" t="inlineStr"/>
      <c r="O1184" s="18" t="inlineStr"/>
      <c r="P1184" s="18" t="inlineStr">
        <is>
          <t>Mapeada en legal-management-service/src/entities/proceso-coactivo-adjunto.entity.ts:31 (ProcesoCoactivoAdjunto.esTituloEjecutivo)</t>
        </is>
      </c>
      <c r="Q1184" s="18" t="inlineStr">
        <is>
          <t>Regla estructural</t>
        </is>
      </c>
      <c r="R1184" s="18" t="inlineStr">
        <is>
          <t>Indica si aplica: título ejecutivo.</t>
        </is>
      </c>
      <c r="S1184" s="18" t="inlineStr">
        <is>
          <t>Media</t>
        </is>
      </c>
      <c r="T1184" s="18" t="inlineStr">
        <is>
          <t>Convención de nombre de la columna.</t>
        </is>
      </c>
      <c r="U1184" s="18" t="inlineStr"/>
      <c r="V1184" s="19" t="inlineStr">
        <is>
          <t>Pendiente</t>
        </is>
      </c>
      <c r="W1184" s="19" t="inlineStr"/>
      <c r="X1184" s="19" t="inlineStr"/>
      <c r="Y1184" s="20" t="n"/>
      <c r="Z1184" s="19" t="inlineStr"/>
      <c r="AA1184" s="18">
        <f>IF(OR(V1184="Aprobada"),R1184,IF(AND(OR(V1184="Aprobada con ajuste",V1184="Rechazada"),W1184&lt;&gt;""),W1184,""))</f>
        <v/>
      </c>
    </row>
    <row r="1185">
      <c r="A1185" s="18" t="inlineStr">
        <is>
          <t>C1184</t>
        </is>
      </c>
      <c r="B1185" s="18" t="inlineStr">
        <is>
          <t>Gestión jurídica</t>
        </is>
      </c>
      <c r="C1185" s="18" t="inlineStr">
        <is>
          <t>legal_management</t>
        </is>
      </c>
      <c r="D1185" s="18" t="inlineStr">
        <is>
          <t>requerimientos_oc</t>
        </is>
      </c>
      <c r="E1185" s="18" t="n">
        <v>14</v>
      </c>
      <c r="F1185" s="18" t="inlineStr">
        <is>
          <t>radicado_externo</t>
        </is>
      </c>
      <c r="G1185" s="18" t="inlineStr">
        <is>
          <t>character varying(100)</t>
        </is>
      </c>
      <c r="H1185" s="18" t="inlineStr">
        <is>
          <t>No</t>
        </is>
      </c>
      <c r="I1185" s="18" t="inlineStr"/>
      <c r="J1185" s="18" t="inlineStr"/>
      <c r="K1185" s="18" t="inlineStr"/>
      <c r="L1185" s="18" t="inlineStr">
        <is>
          <t>No</t>
        </is>
      </c>
      <c r="M1185" s="18" t="inlineStr">
        <is>
          <t>No</t>
        </is>
      </c>
      <c r="N1185" s="18" t="inlineStr"/>
      <c r="O1185" s="18" t="inlineStr"/>
      <c r="P1185" s="18" t="inlineStr">
        <is>
          <t>Mapeada en legal-management-service/src/entities/requerimiento-oc.entity.ts:15 (RequerimientoOC.radicadoExterno)</t>
        </is>
      </c>
      <c r="Q1185" s="18" t="inlineStr">
        <is>
          <t>Propuesta semántica</t>
        </is>
      </c>
      <c r="R1185" s="18" t="inlineStr">
        <is>
          <t>Número de radicado asignado por el organismo de control al requerimiento.</t>
        </is>
      </c>
      <c r="S1185" s="18" t="inlineStr">
        <is>
          <t>Alta</t>
        </is>
      </c>
      <c r="T1185" s="18" t="inlineStr">
        <is>
          <t>nombre + tipo + columnas vecinas</t>
        </is>
      </c>
      <c r="U1185" s="18" t="inlineStr"/>
      <c r="V1185" s="19" t="inlineStr">
        <is>
          <t>Pendiente</t>
        </is>
      </c>
      <c r="W1185" s="19" t="inlineStr"/>
      <c r="X1185" s="19" t="inlineStr"/>
      <c r="Y1185" s="20" t="n"/>
      <c r="Z1185" s="19" t="inlineStr"/>
      <c r="AA1185" s="18">
        <f>IF(OR(V1185="Aprobada"),R1185,IF(AND(OR(V1185="Aprobada con ajuste",V1185="Rechazada"),W1185&lt;&gt;""),W1185,""))</f>
        <v/>
      </c>
    </row>
    <row r="1186">
      <c r="A1186" s="18" t="inlineStr">
        <is>
          <t>C1185</t>
        </is>
      </c>
      <c r="B1186" s="18" t="inlineStr">
        <is>
          <t>Gestión jurídica</t>
        </is>
      </c>
      <c r="C1186" s="18" t="inlineStr">
        <is>
          <t>legal_management</t>
        </is>
      </c>
      <c r="D1186" s="18" t="inlineStr">
        <is>
          <t>requerimientos_oc</t>
        </is>
      </c>
      <c r="E1186" s="18" t="n">
        <v>14</v>
      </c>
      <c r="F1186" s="18" t="inlineStr">
        <is>
          <t>radicado_interno</t>
        </is>
      </c>
      <c r="G1186" s="18" t="inlineStr">
        <is>
          <t>character varying(30)</t>
        </is>
      </c>
      <c r="H1186" s="18" t="inlineStr">
        <is>
          <t>No</t>
        </is>
      </c>
      <c r="I1186" s="18" t="inlineStr">
        <is>
          <t>Única</t>
        </is>
      </c>
      <c r="J1186" s="18" t="inlineStr"/>
      <c r="K1186" s="18" t="inlineStr"/>
      <c r="L1186" s="18" t="inlineStr">
        <is>
          <t>No</t>
        </is>
      </c>
      <c r="M1186" s="18" t="inlineStr">
        <is>
          <t>No</t>
        </is>
      </c>
      <c r="N1186" s="18" t="inlineStr"/>
      <c r="O1186" s="18" t="inlineStr">
        <is>
          <t>requerimientos_oc_radicado_interno_key</t>
        </is>
      </c>
      <c r="P1186" s="18" t="inlineStr">
        <is>
          <t>Mapeada en legal-management-service/src/entities/requerimiento-oc.entity.ts:18 (RequerimientoOC.radicadoInterno)</t>
        </is>
      </c>
      <c r="Q1186" s="18" t="inlineStr">
        <is>
          <t>Propuesta semántica</t>
        </is>
      </c>
      <c r="R1186" s="18" t="inlineStr">
        <is>
          <t>Número de radicado interno único asignado por la ESAP al requerimiento.</t>
        </is>
      </c>
      <c r="S1186" s="18" t="inlineStr">
        <is>
          <t>Media</t>
        </is>
      </c>
      <c r="T1186" s="18" t="inlineStr">
        <is>
          <t>nombre + tipo + restricción única</t>
        </is>
      </c>
      <c r="U1186" s="18" t="inlineStr">
        <is>
          <t>¿El radicado interno lo genera el sistema y con qué formato?</t>
        </is>
      </c>
      <c r="V1186" s="19" t="inlineStr">
        <is>
          <t>Pendiente</t>
        </is>
      </c>
      <c r="W1186" s="19" t="inlineStr"/>
      <c r="X1186" s="19" t="inlineStr"/>
      <c r="Y1186" s="20" t="n"/>
      <c r="Z1186" s="19" t="inlineStr"/>
      <c r="AA1186" s="18">
        <f>IF(OR(V1186="Aprobada"),R1186,IF(AND(OR(V1186="Aprobada con ajuste",V1186="Rechazada"),W1186&lt;&gt;""),W1186,""))</f>
        <v/>
      </c>
    </row>
    <row r="1187">
      <c r="A1187" s="18" t="inlineStr">
        <is>
          <t>C1186</t>
        </is>
      </c>
      <c r="B1187" s="18" t="inlineStr">
        <is>
          <t>Gestión jurídica</t>
        </is>
      </c>
      <c r="C1187" s="18" t="inlineStr">
        <is>
          <t>legal_management</t>
        </is>
      </c>
      <c r="D1187" s="18" t="inlineStr">
        <is>
          <t>requerimientos_oc</t>
        </is>
      </c>
      <c r="E1187" s="18" t="n">
        <v>14</v>
      </c>
      <c r="F1187" s="18" t="inlineStr">
        <is>
          <t>organismo_id</t>
        </is>
      </c>
      <c r="G1187" s="18" t="inlineStr">
        <is>
          <t>character varying(255)</t>
        </is>
      </c>
      <c r="H1187" s="18" t="inlineStr">
        <is>
          <t>Sí</t>
        </is>
      </c>
      <c r="I1187" s="18" t="inlineStr"/>
      <c r="J1187" s="18" t="inlineStr"/>
      <c r="K1187" s="18" t="inlineStr"/>
      <c r="L1187" s="18" t="inlineStr">
        <is>
          <t>No</t>
        </is>
      </c>
      <c r="M1187" s="18" t="inlineStr">
        <is>
          <t>No</t>
        </is>
      </c>
      <c r="N1187" s="18" t="inlineStr"/>
      <c r="O1187" s="18" t="inlineStr">
        <is>
          <t>idx_req_oc_organismo</t>
        </is>
      </c>
      <c r="P1187" s="18" t="inlineStr">
        <is>
          <t>Mapeada en legal-management-service/src/entities/requerimiento-oc.entity.ts:21 (RequerimientoOC.organismoId)</t>
        </is>
      </c>
      <c r="Q1187" s="18" t="inlineStr">
        <is>
          <t>Propuesta semántica</t>
        </is>
      </c>
      <c r="R1187" s="18" t="inlineStr">
        <is>
          <t>Identificador del organismo de control que emite el requerimiento.</t>
        </is>
      </c>
      <c r="S1187" s="18" t="inlineStr">
        <is>
          <t>Media</t>
        </is>
      </c>
      <c r="T1187" s="18" t="inlineStr">
        <is>
          <t>nombre + tipo + índice</t>
        </is>
      </c>
      <c r="U1187" s="18" t="inlineStr">
        <is>
          <t>¿Corresponde a organismos_control.id? No tiene FK declarada.</t>
        </is>
      </c>
      <c r="V1187" s="19" t="inlineStr">
        <is>
          <t>Pendiente</t>
        </is>
      </c>
      <c r="W1187" s="19" t="inlineStr"/>
      <c r="X1187" s="19" t="inlineStr"/>
      <c r="Y1187" s="20" t="n"/>
      <c r="Z1187" s="19" t="inlineStr"/>
      <c r="AA1187" s="18">
        <f>IF(OR(V1187="Aprobada"),R1187,IF(AND(OR(V1187="Aprobada con ajuste",V1187="Rechazada"),W1187&lt;&gt;""),W1187,""))</f>
        <v/>
      </c>
    </row>
    <row r="1188">
      <c r="A1188" s="18" t="inlineStr">
        <is>
          <t>C1187</t>
        </is>
      </c>
      <c r="B1188" s="18" t="inlineStr">
        <is>
          <t>Gestión jurídica</t>
        </is>
      </c>
      <c r="C1188" s="18" t="inlineStr">
        <is>
          <t>legal_management</t>
        </is>
      </c>
      <c r="D1188" s="18" t="inlineStr">
        <is>
          <t>requerimientos_oc</t>
        </is>
      </c>
      <c r="E1188" s="18" t="n">
        <v>14</v>
      </c>
      <c r="F1188" s="18" t="inlineStr">
        <is>
          <t>tipo_requerimiento</t>
        </is>
      </c>
      <c r="G1188" s="18" t="inlineStr">
        <is>
          <t>character varying(50)</t>
        </is>
      </c>
      <c r="H1188" s="18" t="inlineStr">
        <is>
          <t>No</t>
        </is>
      </c>
      <c r="I1188" s="18" t="inlineStr"/>
      <c r="J1188" s="18" t="inlineStr"/>
      <c r="K1188" s="18" t="inlineStr"/>
      <c r="L1188" s="18" t="inlineStr">
        <is>
          <t>No</t>
        </is>
      </c>
      <c r="M1188" s="18" t="inlineStr">
        <is>
          <t>No</t>
        </is>
      </c>
      <c r="N1188" s="18" t="inlineStr"/>
      <c r="O1188" s="18" t="inlineStr"/>
      <c r="P1188" s="18" t="inlineStr">
        <is>
          <t>legal-management-service/src/entities/requerimiento-oc.entity.ts:31: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88" s="18" t="inlineStr">
        <is>
          <t>Código fuente</t>
        </is>
      </c>
      <c r="R1188" s="18" t="inlineStr">
        <is>
          <t>Tipo de requerimiento del organismo de control.</t>
        </is>
      </c>
      <c r="S1188" s="18" t="inlineStr">
        <is>
          <t>Media</t>
        </is>
      </c>
      <c r="T1188" s="18" t="inlineStr">
        <is>
          <t>nombre + tipo; el comentario de requerimiento-oc.entity.ts:31 trata de la relación con el organismo</t>
        </is>
      </c>
      <c r="U1188" s="18" t="inlineStr">
        <is>
          <t>¿Usa los mismos valores que requerimientos_oc.requerimientos (INFORMACION, AUDITORIA, HALLAZGO, AJUSTE)?</t>
        </is>
      </c>
      <c r="V1188" s="19" t="inlineStr">
        <is>
          <t>Pendiente</t>
        </is>
      </c>
      <c r="W1188" s="19" t="inlineStr"/>
      <c r="X1188" s="19" t="inlineStr"/>
      <c r="Y1188" s="20" t="n"/>
      <c r="Z1188" s="19" t="inlineStr"/>
      <c r="AA1188" s="18">
        <f>IF(OR(V1188="Aprobada"),R1188,IF(AND(OR(V1188="Aprobada con ajuste",V1188="Rechazada"),W1188&lt;&gt;""),W1188,""))</f>
        <v/>
      </c>
    </row>
    <row r="1189">
      <c r="A1189" s="18" t="inlineStr">
        <is>
          <t>C1188</t>
        </is>
      </c>
      <c r="B1189" s="18" t="inlineStr">
        <is>
          <t>Gestión jurídica</t>
        </is>
      </c>
      <c r="C1189" s="18" t="inlineStr">
        <is>
          <t>legal_management</t>
        </is>
      </c>
      <c r="D1189" s="18" t="inlineStr">
        <is>
          <t>requerimientos_oc</t>
        </is>
      </c>
      <c r="E1189" s="18" t="n">
        <v>14</v>
      </c>
      <c r="F1189" s="18" t="inlineStr">
        <is>
          <t>asunto</t>
        </is>
      </c>
      <c r="G1189" s="18" t="inlineStr">
        <is>
          <t>text</t>
        </is>
      </c>
      <c r="H1189" s="18" t="inlineStr">
        <is>
          <t>No</t>
        </is>
      </c>
      <c r="I1189" s="18" t="inlineStr"/>
      <c r="J1189" s="18" t="inlineStr"/>
      <c r="K1189" s="18" t="inlineStr"/>
      <c r="L1189" s="18" t="inlineStr">
        <is>
          <t>No</t>
        </is>
      </c>
      <c r="M1189" s="18" t="inlineStr">
        <is>
          <t>No</t>
        </is>
      </c>
      <c r="N1189" s="18" t="inlineStr"/>
      <c r="O1189" s="18" t="inlineStr"/>
      <c r="P1189" s="18" t="inlineStr">
        <is>
          <t>legal-management-service/src/entities/requerimiento-oc.entity.ts:34: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89" s="18" t="inlineStr">
        <is>
          <t>Código fuente</t>
        </is>
      </c>
      <c r="R1189" s="18" t="inlineStr">
        <is>
          <t>Asunto del requerimiento del organismo de control.</t>
        </is>
      </c>
      <c r="S1189" s="18" t="inlineStr">
        <is>
          <t>Alta</t>
        </is>
      </c>
      <c r="T1189" s="18" t="inlineStr">
        <is>
          <t>nombre + tipo + columnas vecinas; el comentario de código requerimiento-oc.entity.ts:34 no define el dato</t>
        </is>
      </c>
      <c r="U1189" s="18" t="inlineStr"/>
      <c r="V1189" s="19" t="inlineStr">
        <is>
          <t>Pendiente</t>
        </is>
      </c>
      <c r="W1189" s="19" t="inlineStr"/>
      <c r="X1189" s="19" t="inlineStr"/>
      <c r="Y1189" s="20" t="n"/>
      <c r="Z1189" s="19" t="inlineStr"/>
      <c r="AA1189" s="18">
        <f>IF(OR(V1189="Aprobada"),R1189,IF(AND(OR(V1189="Aprobada con ajuste",V1189="Rechazada"),W1189&lt;&gt;""),W1189,""))</f>
        <v/>
      </c>
    </row>
    <row r="1190">
      <c r="A1190" s="18" t="inlineStr">
        <is>
          <t>C1189</t>
        </is>
      </c>
      <c r="B1190" s="18" t="inlineStr">
        <is>
          <t>Gestión jurídica</t>
        </is>
      </c>
      <c r="C1190" s="18" t="inlineStr">
        <is>
          <t>legal_management</t>
        </is>
      </c>
      <c r="D1190" s="18" t="inlineStr">
        <is>
          <t>requerimientos_oc</t>
        </is>
      </c>
      <c r="E1190" s="18" t="n">
        <v>14</v>
      </c>
      <c r="F1190" s="18" t="inlineStr">
        <is>
          <t>descripcion</t>
        </is>
      </c>
      <c r="G1190" s="18" t="inlineStr">
        <is>
          <t>text</t>
        </is>
      </c>
      <c r="H1190" s="18" t="inlineStr">
        <is>
          <t>Sí</t>
        </is>
      </c>
      <c r="I1190" s="18" t="inlineStr"/>
      <c r="J1190" s="18" t="inlineStr"/>
      <c r="K1190" s="18" t="inlineStr"/>
      <c r="L1190" s="18" t="inlineStr">
        <is>
          <t>No</t>
        </is>
      </c>
      <c r="M1190" s="18" t="inlineStr">
        <is>
          <t>No</t>
        </is>
      </c>
      <c r="N1190" s="18" t="inlineStr"/>
      <c r="O1190" s="18" t="inlineStr"/>
      <c r="P1190" s="18" t="inlineStr">
        <is>
          <t>legal-management-service/src/entities/requerimiento-oc.entity.ts:37: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0" s="18" t="inlineStr">
        <is>
          <t>Código fuente</t>
        </is>
      </c>
      <c r="R1190" s="18" t="inlineStr">
        <is>
          <t>Descripción del requerimiento.</t>
        </is>
      </c>
      <c r="S1190" s="18" t="inlineStr">
        <is>
          <t>Alta</t>
        </is>
      </c>
      <c r="T1190" s="18" t="inlineStr">
        <is>
          <t>nombre + tipo + columnas vecinas; el comentario de código requerimiento-oc.entity.ts:37 no define el dato</t>
        </is>
      </c>
      <c r="U1190" s="18" t="inlineStr"/>
      <c r="V1190" s="19" t="inlineStr">
        <is>
          <t>Pendiente</t>
        </is>
      </c>
      <c r="W1190" s="19" t="inlineStr"/>
      <c r="X1190" s="19" t="inlineStr"/>
      <c r="Y1190" s="20" t="n"/>
      <c r="Z1190" s="19" t="inlineStr"/>
      <c r="AA1190" s="18">
        <f>IF(OR(V1190="Aprobada"),R1190,IF(AND(OR(V1190="Aprobada con ajuste",V1190="Rechazada"),W1190&lt;&gt;""),W1190,""))</f>
        <v/>
      </c>
    </row>
    <row r="1191">
      <c r="A1191" s="18" t="inlineStr">
        <is>
          <t>C1190</t>
        </is>
      </c>
      <c r="B1191" s="18" t="inlineStr">
        <is>
          <t>Gestión jurídica</t>
        </is>
      </c>
      <c r="C1191" s="18" t="inlineStr">
        <is>
          <t>legal_management</t>
        </is>
      </c>
      <c r="D1191" s="18" t="inlineStr">
        <is>
          <t>requerimientos_oc</t>
        </is>
      </c>
      <c r="E1191" s="18" t="n">
        <v>14</v>
      </c>
      <c r="F1191" s="18" t="inlineStr">
        <is>
          <t>fecha_recepcion</t>
        </is>
      </c>
      <c r="G1191" s="18" t="inlineStr">
        <is>
          <t>timestamp without time zone</t>
        </is>
      </c>
      <c r="H1191" s="18" t="inlineStr">
        <is>
          <t>No</t>
        </is>
      </c>
      <c r="I1191" s="18" t="inlineStr"/>
      <c r="J1191" s="18" t="inlineStr"/>
      <c r="K1191" s="18" t="inlineStr"/>
      <c r="L1191" s="18" t="inlineStr">
        <is>
          <t>No</t>
        </is>
      </c>
      <c r="M1191" s="18" t="inlineStr">
        <is>
          <t>No</t>
        </is>
      </c>
      <c r="N1191" s="18" t="inlineStr"/>
      <c r="O1191" s="18" t="inlineStr"/>
      <c r="P1191" s="18" t="inlineStr">
        <is>
          <t>legal-management-service/src/entities/requerimiento-oc.entity.ts:40: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1" s="18" t="inlineStr">
        <is>
          <t>Código fuente</t>
        </is>
      </c>
      <c r="R1191" s="18" t="inlineStr">
        <is>
          <t>Fecha y hora de recepción del requerimiento. Por defecto, la fecha y hora del registro.</t>
        </is>
      </c>
      <c r="S1191" s="18" t="inlineStr">
        <is>
          <t>Alta</t>
        </is>
      </c>
      <c r="T1191" s="18" t="inlineStr">
        <is>
          <t>nombre + tipo + columnas vecinas; el comentario de código requerimiento-oc.entity.ts:40 no define el dato</t>
        </is>
      </c>
      <c r="U1191" s="18" t="inlineStr"/>
      <c r="V1191" s="19" t="inlineStr">
        <is>
          <t>Pendiente</t>
        </is>
      </c>
      <c r="W1191" s="19" t="inlineStr"/>
      <c r="X1191" s="19" t="inlineStr"/>
      <c r="Y1191" s="20" t="n"/>
      <c r="Z1191" s="19" t="inlineStr"/>
      <c r="AA1191" s="18">
        <f>IF(OR(V1191="Aprobada"),R1191,IF(AND(OR(V1191="Aprobada con ajuste",V1191="Rechazada"),W1191&lt;&gt;""),W1191,""))</f>
        <v/>
      </c>
    </row>
    <row r="1192">
      <c r="A1192" s="18" t="inlineStr">
        <is>
          <t>C1191</t>
        </is>
      </c>
      <c r="B1192" s="18" t="inlineStr">
        <is>
          <t>Gestión jurídica</t>
        </is>
      </c>
      <c r="C1192" s="18" t="inlineStr">
        <is>
          <t>legal_management</t>
        </is>
      </c>
      <c r="D1192" s="18" t="inlineStr">
        <is>
          <t>requerimientos_oc</t>
        </is>
      </c>
      <c r="E1192" s="18" t="n">
        <v>14</v>
      </c>
      <c r="F1192" s="18" t="inlineStr">
        <is>
          <t>unidad_tiempo</t>
        </is>
      </c>
      <c r="G1192" s="18" t="inlineStr">
        <is>
          <t>character varying(20)</t>
        </is>
      </c>
      <c r="H1192" s="18" t="inlineStr">
        <is>
          <t>Sí</t>
        </is>
      </c>
      <c r="I1192" s="18" t="inlineStr">
        <is>
          <t>CHECK</t>
        </is>
      </c>
      <c r="J1192" s="18" t="inlineStr">
        <is>
          <t>DIAS_CALENDARIO, DIAS_HABILES, HORAS</t>
        </is>
      </c>
      <c r="K1192" s="18" t="inlineStr"/>
      <c r="L1192" s="18" t="inlineStr">
        <is>
          <t>Sí</t>
        </is>
      </c>
      <c r="M1192" s="18" t="inlineStr">
        <is>
          <t>No</t>
        </is>
      </c>
      <c r="N1192" s="18" t="inlineStr"/>
      <c r="O1192" s="18" t="inlineStr"/>
      <c r="P1192" s="18" t="inlineStr">
        <is>
          <t>legal-management-service/src/entities/requerimiento-oc.entity.ts:43: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2" s="18" t="inlineStr">
        <is>
          <t>Código fuente</t>
        </is>
      </c>
      <c r="R1192" s="18" t="inlineStr">
        <is>
          <t>Unidad en que se expresa el plazo otorgado. Valores permitidos: DIAS_CALENDARIO, DIAS_HABILES, HORAS. Por defecto, DIAS_HABILES.</t>
        </is>
      </c>
      <c r="S1192" s="18" t="inlineStr">
        <is>
          <t>Alta</t>
        </is>
      </c>
      <c r="T1192" s="18" t="inlineStr">
        <is>
          <t>valores permitidos del CHECK; nombre + tipo + columnas vecinas; el comentario de código requerimiento-oc.entity.ts:43 no define el dato</t>
        </is>
      </c>
      <c r="U1192" s="18" t="inlineStr"/>
      <c r="V1192" s="19" t="inlineStr">
        <is>
          <t>Pendiente</t>
        </is>
      </c>
      <c r="W1192" s="19" t="inlineStr"/>
      <c r="X1192" s="19" t="inlineStr"/>
      <c r="Y1192" s="20" t="n"/>
      <c r="Z1192" s="19" t="inlineStr"/>
      <c r="AA1192" s="18">
        <f>IF(OR(V1192="Aprobada"),R1192,IF(AND(OR(V1192="Aprobada con ajuste",V1192="Rechazada"),W1192&lt;&gt;""),W1192,""))</f>
        <v/>
      </c>
    </row>
    <row r="1193">
      <c r="A1193" s="18" t="inlineStr">
        <is>
          <t>C1192</t>
        </is>
      </c>
      <c r="B1193" s="18" t="inlineStr">
        <is>
          <t>Gestión jurídica</t>
        </is>
      </c>
      <c r="C1193" s="18" t="inlineStr">
        <is>
          <t>legal_management</t>
        </is>
      </c>
      <c r="D1193" s="18" t="inlineStr">
        <is>
          <t>requerimientos_oc</t>
        </is>
      </c>
      <c r="E1193" s="18" t="n">
        <v>14</v>
      </c>
      <c r="F1193" s="18" t="inlineStr">
        <is>
          <t>plazo_otorgado</t>
        </is>
      </c>
      <c r="G1193" s="18" t="inlineStr">
        <is>
          <t>integer</t>
        </is>
      </c>
      <c r="H1193" s="18" t="inlineStr">
        <is>
          <t>No</t>
        </is>
      </c>
      <c r="I1193" s="18" t="inlineStr"/>
      <c r="J1193" s="18" t="inlineStr"/>
      <c r="K1193" s="18" t="inlineStr"/>
      <c r="L1193" s="18" t="inlineStr">
        <is>
          <t>No</t>
        </is>
      </c>
      <c r="M1193" s="18" t="inlineStr">
        <is>
          <t>No</t>
        </is>
      </c>
      <c r="N1193" s="18" t="inlineStr"/>
      <c r="O1193" s="18" t="inlineStr"/>
      <c r="P1193" s="18" t="inlineStr">
        <is>
          <t>legal-management-service/src/entities/requerimiento-oc.entity.ts:46: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3" s="18" t="inlineStr">
        <is>
          <t>Código fuente</t>
        </is>
      </c>
      <c r="R1193" s="18" t="inlineStr">
        <is>
          <t>Plazo otorgado por el organismo de control para responder, en la unidad de unidad_tiempo. Por defecto, 15.</t>
        </is>
      </c>
      <c r="S1193" s="18" t="inlineStr">
        <is>
          <t>Alta</t>
        </is>
      </c>
      <c r="T1193" s="18" t="inlineStr">
        <is>
          <t>nombre + tipo + columnas vecinas; el comentario de código requerimiento-oc.entity.ts:46 no define el dato</t>
        </is>
      </c>
      <c r="U1193" s="18" t="inlineStr"/>
      <c r="V1193" s="19" t="inlineStr">
        <is>
          <t>Pendiente</t>
        </is>
      </c>
      <c r="W1193" s="19" t="inlineStr"/>
      <c r="X1193" s="19" t="inlineStr"/>
      <c r="Y1193" s="20" t="n"/>
      <c r="Z1193" s="19" t="inlineStr"/>
      <c r="AA1193" s="18">
        <f>IF(OR(V1193="Aprobada"),R1193,IF(AND(OR(V1193="Aprobada con ajuste",V1193="Rechazada"),W1193&lt;&gt;""),W1193,""))</f>
        <v/>
      </c>
    </row>
    <row r="1194">
      <c r="A1194" s="18" t="inlineStr">
        <is>
          <t>C1193</t>
        </is>
      </c>
      <c r="B1194" s="18" t="inlineStr">
        <is>
          <t>Gestión jurídica</t>
        </is>
      </c>
      <c r="C1194" s="18" t="inlineStr">
        <is>
          <t>legal_management</t>
        </is>
      </c>
      <c r="D1194" s="18" t="inlineStr">
        <is>
          <t>requerimientos_oc</t>
        </is>
      </c>
      <c r="E1194" s="18" t="n">
        <v>14</v>
      </c>
      <c r="F1194" s="18" t="inlineStr">
        <is>
          <t>fecha_vencimiento</t>
        </is>
      </c>
      <c r="G1194" s="18" t="inlineStr">
        <is>
          <t>timestamp without time zone</t>
        </is>
      </c>
      <c r="H1194" s="18" t="inlineStr">
        <is>
          <t>No</t>
        </is>
      </c>
      <c r="I1194" s="18" t="inlineStr"/>
      <c r="J1194" s="18" t="inlineStr"/>
      <c r="K1194" s="18" t="inlineStr"/>
      <c r="L1194" s="18" t="inlineStr">
        <is>
          <t>No</t>
        </is>
      </c>
      <c r="M1194" s="18" t="inlineStr">
        <is>
          <t>No</t>
        </is>
      </c>
      <c r="N1194" s="18" t="inlineStr"/>
      <c r="O1194" s="18" t="inlineStr">
        <is>
          <t>idx_req_oc_vencimiento</t>
        </is>
      </c>
      <c r="P1194" s="18" t="inlineStr">
        <is>
          <t>legal-management-service/src/entities/requerimiento-oc.entity.ts:49: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4" s="18" t="inlineStr">
        <is>
          <t>Código fuente</t>
        </is>
      </c>
      <c r="R1194" s="18" t="inlineStr">
        <is>
          <t>Fecha y hora de vencimiento del plazo de respuesta.</t>
        </is>
      </c>
      <c r="S1194" s="18" t="inlineStr">
        <is>
          <t>Media</t>
        </is>
      </c>
      <c r="T1194" s="18" t="inlineStr">
        <is>
          <t>nombre + tipo + columnas vecinas; el comentario de código requerimiento-oc.entity.ts:49 no define el dato</t>
        </is>
      </c>
      <c r="U1194" s="18" t="inlineStr">
        <is>
          <t>¿Se calcula a partir de fecha_recepcion, plazo_otorgado y unidad_tiempo?</t>
        </is>
      </c>
      <c r="V1194" s="19" t="inlineStr">
        <is>
          <t>Pendiente</t>
        </is>
      </c>
      <c r="W1194" s="19" t="inlineStr"/>
      <c r="X1194" s="19" t="inlineStr"/>
      <c r="Y1194" s="20" t="n"/>
      <c r="Z1194" s="19" t="inlineStr"/>
      <c r="AA1194" s="18">
        <f>IF(OR(V1194="Aprobada"),R1194,IF(AND(OR(V1194="Aprobada con ajuste",V1194="Rechazada"),W1194&lt;&gt;""),W1194,""))</f>
        <v/>
      </c>
    </row>
    <row r="1195">
      <c r="A1195" s="18" t="inlineStr">
        <is>
          <t>C1194</t>
        </is>
      </c>
      <c r="B1195" s="18" t="inlineStr">
        <is>
          <t>Gestión jurídica</t>
        </is>
      </c>
      <c r="C1195" s="18" t="inlineStr">
        <is>
          <t>legal_management</t>
        </is>
      </c>
      <c r="D1195" s="18" t="inlineStr">
        <is>
          <t>requerimientos_oc</t>
        </is>
      </c>
      <c r="E1195" s="18" t="n">
        <v>14</v>
      </c>
      <c r="F1195" s="18" t="inlineStr">
        <is>
          <t>funcionario_responsable</t>
        </is>
      </c>
      <c r="G1195" s="18" t="inlineStr">
        <is>
          <t>character varying(200)</t>
        </is>
      </c>
      <c r="H1195" s="18" t="inlineStr">
        <is>
          <t>Sí</t>
        </is>
      </c>
      <c r="I1195" s="18" t="inlineStr"/>
      <c r="J1195" s="18" t="inlineStr"/>
      <c r="K1195" s="18" t="inlineStr"/>
      <c r="L1195" s="18" t="inlineStr">
        <is>
          <t>No</t>
        </is>
      </c>
      <c r="M1195" s="18" t="inlineStr">
        <is>
          <t>No</t>
        </is>
      </c>
      <c r="N1195" s="18" t="inlineStr"/>
      <c r="O1195" s="18" t="inlineStr"/>
      <c r="P1195" s="18" t="inlineStr">
        <is>
          <t>legal-management-service/src/entities/requerimiento-oc.entity.ts:52: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5" s="18" t="inlineStr">
        <is>
          <t>Código fuente</t>
        </is>
      </c>
      <c r="R1195" s="18" t="inlineStr">
        <is>
          <t>Nombre del funcionario responsable de atender el requerimiento.</t>
        </is>
      </c>
      <c r="S1195" s="18" t="inlineStr">
        <is>
          <t>Media</t>
        </is>
      </c>
      <c r="T1195" s="18" t="inlineStr">
        <is>
          <t>nombre + tipo + columnas vecinas; el comentario de código requerimiento-oc.entity.ts:52 no define el dato</t>
        </is>
      </c>
      <c r="U1195" s="18" t="inlineStr">
        <is>
          <t>¿Es texto libre o se toma de un usuario del sistema?</t>
        </is>
      </c>
      <c r="V1195" s="19" t="inlineStr">
        <is>
          <t>Pendiente</t>
        </is>
      </c>
      <c r="W1195" s="19" t="inlineStr"/>
      <c r="X1195" s="19" t="inlineStr"/>
      <c r="Y1195" s="20" t="n"/>
      <c r="Z1195" s="19" t="inlineStr"/>
      <c r="AA1195" s="18">
        <f>IF(OR(V1195="Aprobada"),R1195,IF(AND(OR(V1195="Aprobada con ajuste",V1195="Rechazada"),W1195&lt;&gt;""),W1195,""))</f>
        <v/>
      </c>
    </row>
    <row r="1196">
      <c r="A1196" s="18" t="inlineStr">
        <is>
          <t>C1195</t>
        </is>
      </c>
      <c r="B1196" s="18" t="inlineStr">
        <is>
          <t>Gestión jurídica</t>
        </is>
      </c>
      <c r="C1196" s="18" t="inlineStr">
        <is>
          <t>legal_management</t>
        </is>
      </c>
      <c r="D1196" s="18" t="inlineStr">
        <is>
          <t>requerimientos_oc</t>
        </is>
      </c>
      <c r="E1196" s="18" t="n">
        <v>14</v>
      </c>
      <c r="F1196" s="18" t="inlineStr">
        <is>
          <t>area_responsable</t>
        </is>
      </c>
      <c r="G1196" s="18" t="inlineStr">
        <is>
          <t>character varying(150)</t>
        </is>
      </c>
      <c r="H1196" s="18" t="inlineStr">
        <is>
          <t>Sí</t>
        </is>
      </c>
      <c r="I1196" s="18" t="inlineStr"/>
      <c r="J1196" s="18" t="inlineStr"/>
      <c r="K1196" s="18" t="inlineStr"/>
      <c r="L1196" s="18" t="inlineStr">
        <is>
          <t>No</t>
        </is>
      </c>
      <c r="M1196" s="18" t="inlineStr">
        <is>
          <t>No</t>
        </is>
      </c>
      <c r="N1196" s="18" t="inlineStr"/>
      <c r="O1196" s="18" t="inlineStr"/>
      <c r="P1196" s="18" t="inlineStr">
        <is>
          <t>legal-management-service/src/entities/requerimiento-oc.entity.ts:55: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6" s="18" t="inlineStr">
        <is>
          <t>Código fuente</t>
        </is>
      </c>
      <c r="R1196" s="18" t="inlineStr">
        <is>
          <t>Área responsable de atender el requerimiento.</t>
        </is>
      </c>
      <c r="S1196" s="18" t="inlineStr">
        <is>
          <t>Media</t>
        </is>
      </c>
      <c r="T1196" s="18" t="inlineStr">
        <is>
          <t>nombre + tipo + columnas vecinas; el comentario de código requerimiento-oc.entity.ts:55 no define el dato</t>
        </is>
      </c>
      <c r="U1196" s="18" t="inlineStr">
        <is>
          <t>¿Es texto libre o proviene de un catálogo de dependencias?</t>
        </is>
      </c>
      <c r="V1196" s="19" t="inlineStr">
        <is>
          <t>Pendiente</t>
        </is>
      </c>
      <c r="W1196" s="19" t="inlineStr"/>
      <c r="X1196" s="19" t="inlineStr"/>
      <c r="Y1196" s="20" t="n"/>
      <c r="Z1196" s="19" t="inlineStr"/>
      <c r="AA1196" s="18">
        <f>IF(OR(V1196="Aprobada"),R1196,IF(AND(OR(V1196="Aprobada con ajuste",V1196="Rechazada"),W1196&lt;&gt;""),W1196,""))</f>
        <v/>
      </c>
    </row>
    <row r="1197">
      <c r="A1197" s="18" t="inlineStr">
        <is>
          <t>C1196</t>
        </is>
      </c>
      <c r="B1197" s="18" t="inlineStr">
        <is>
          <t>Gestión jurídica</t>
        </is>
      </c>
      <c r="C1197" s="18" t="inlineStr">
        <is>
          <t>legal_management</t>
        </is>
      </c>
      <c r="D1197" s="18" t="inlineStr">
        <is>
          <t>requerimientos_oc</t>
        </is>
      </c>
      <c r="E1197" s="18" t="n">
        <v>14</v>
      </c>
      <c r="F1197" s="18" t="inlineStr">
        <is>
          <t>abogado_asignado_id</t>
        </is>
      </c>
      <c r="G1197" s="18" t="inlineStr">
        <is>
          <t>uuid</t>
        </is>
      </c>
      <c r="H1197" s="18" t="inlineStr">
        <is>
          <t>Sí</t>
        </is>
      </c>
      <c r="I1197" s="18" t="inlineStr"/>
      <c r="J1197" s="18" t="inlineStr"/>
      <c r="K1197" s="18" t="inlineStr"/>
      <c r="L1197" s="18" t="inlineStr">
        <is>
          <t>No</t>
        </is>
      </c>
      <c r="M1197" s="18" t="inlineStr">
        <is>
          <t>No</t>
        </is>
      </c>
      <c r="N1197" s="18" t="inlineStr"/>
      <c r="O1197" s="18" t="inlineStr">
        <is>
          <t>idx_req_oc_abogado</t>
        </is>
      </c>
      <c r="P1197" s="18" t="inlineStr">
        <is>
          <t>legal-management-service/src/entities/requerimiento-oc.entity.ts:58: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7" s="18" t="inlineStr">
        <is>
          <t>Código fuente</t>
        </is>
      </c>
      <c r="R1197" s="18" t="inlineStr">
        <is>
          <t>Identificador del abogado asignado al requerimiento.</t>
        </is>
      </c>
      <c r="S1197" s="18" t="inlineStr">
        <is>
          <t>Media</t>
        </is>
      </c>
      <c r="T1197" s="18" t="inlineStr">
        <is>
          <t>nombre + tipo + columnas vecinas; el comentario de código requerimiento-oc.entity.ts:58 no define el dato</t>
        </is>
      </c>
      <c r="U1197" s="18" t="inlineStr">
        <is>
          <t>¿Referencia a la tabla de abogados de legal_management o a auth."user"?</t>
        </is>
      </c>
      <c r="V1197" s="19" t="inlineStr">
        <is>
          <t>Pendiente</t>
        </is>
      </c>
      <c r="W1197" s="19" t="inlineStr"/>
      <c r="X1197" s="19" t="inlineStr"/>
      <c r="Y1197" s="20" t="n"/>
      <c r="Z1197" s="19" t="inlineStr"/>
      <c r="AA1197" s="18">
        <f>IF(OR(V1197="Aprobada"),R1197,IF(AND(OR(V1197="Aprobada con ajuste",V1197="Rechazada"),W1197&lt;&gt;""),W1197,""))</f>
        <v/>
      </c>
    </row>
    <row r="1198">
      <c r="A1198" s="18" t="inlineStr">
        <is>
          <t>C1197</t>
        </is>
      </c>
      <c r="B1198" s="18" t="inlineStr">
        <is>
          <t>Gestión jurídica</t>
        </is>
      </c>
      <c r="C1198" s="18" t="inlineStr">
        <is>
          <t>legal_management</t>
        </is>
      </c>
      <c r="D1198" s="18" t="inlineStr">
        <is>
          <t>requerimientos_oc</t>
        </is>
      </c>
      <c r="E1198" s="18" t="n">
        <v>14</v>
      </c>
      <c r="F1198" s="18" t="inlineStr">
        <is>
          <t>estado</t>
        </is>
      </c>
      <c r="G1198" s="18" t="inlineStr">
        <is>
          <t>character varying(30)</t>
        </is>
      </c>
      <c r="H1198" s="18" t="inlineStr">
        <is>
          <t>Sí</t>
        </is>
      </c>
      <c r="I1198" s="18" t="inlineStr">
        <is>
          <t>CHECK</t>
        </is>
      </c>
      <c r="J1198" s="18" t="inlineStr">
        <is>
          <t>CERRADO, ENVIADO, EN_ANALISIS, EN_RESPUESTA, RECIBIDO, VENCIDO</t>
        </is>
      </c>
      <c r="K1198" s="18" t="inlineStr"/>
      <c r="L1198" s="18" t="inlineStr">
        <is>
          <t>Sí</t>
        </is>
      </c>
      <c r="M1198" s="18" t="inlineStr">
        <is>
          <t>No</t>
        </is>
      </c>
      <c r="N1198" s="18" t="inlineStr"/>
      <c r="O1198" s="18" t="inlineStr">
        <is>
          <t>idx_req_oc_estado</t>
        </is>
      </c>
      <c r="P1198" s="18" t="inlineStr">
        <is>
          <t>legal-management-service/src/entities/requerimiento-oc.entity.ts:61: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8" s="18" t="inlineStr">
        <is>
          <t>Código fuente</t>
        </is>
      </c>
      <c r="R1198" s="18" t="inlineStr">
        <is>
          <t>Estado del requerimiento. Valores permitidos: RECIBIDO, EN_ANALISIS, EN_RESPUESTA, ENVIADO, CERRADO, VENCIDO. Por defecto, RECIBIDO.</t>
        </is>
      </c>
      <c r="S1198" s="18" t="inlineStr">
        <is>
          <t>Alta</t>
        </is>
      </c>
      <c r="T1198" s="18" t="inlineStr">
        <is>
          <t>valores permitidos del CHECK; nombre + tipo + columnas vecinas; el comentario de código requerimiento-oc.entity.ts:61 no define el dato</t>
        </is>
      </c>
      <c r="U1198" s="18" t="inlineStr"/>
      <c r="V1198" s="19" t="inlineStr">
        <is>
          <t>Pendiente</t>
        </is>
      </c>
      <c r="W1198" s="19" t="inlineStr"/>
      <c r="X1198" s="19" t="inlineStr"/>
      <c r="Y1198" s="20" t="n"/>
      <c r="Z1198" s="19" t="inlineStr"/>
      <c r="AA1198" s="18">
        <f>IF(OR(V1198="Aprobada"),R1198,IF(AND(OR(V1198="Aprobada con ajuste",V1198="Rechazada"),W1198&lt;&gt;""),W1198,""))</f>
        <v/>
      </c>
    </row>
    <row r="1199">
      <c r="A1199" s="18" t="inlineStr">
        <is>
          <t>C1198</t>
        </is>
      </c>
      <c r="B1199" s="18" t="inlineStr">
        <is>
          <t>Gestión jurídica</t>
        </is>
      </c>
      <c r="C1199" s="18" t="inlineStr">
        <is>
          <t>legal_management</t>
        </is>
      </c>
      <c r="D1199" s="18" t="inlineStr">
        <is>
          <t>requerimientos_oc</t>
        </is>
      </c>
      <c r="E1199" s="18" t="n">
        <v>14</v>
      </c>
      <c r="F1199" s="18" t="inlineStr">
        <is>
          <t>prioridad</t>
        </is>
      </c>
      <c r="G1199" s="18" t="inlineStr">
        <is>
          <t>character varying(15)</t>
        </is>
      </c>
      <c r="H1199" s="18" t="inlineStr">
        <is>
          <t>Sí</t>
        </is>
      </c>
      <c r="I1199" s="18" t="inlineStr">
        <is>
          <t>CHECK</t>
        </is>
      </c>
      <c r="J1199" s="18" t="inlineStr">
        <is>
          <t>ALTA, BAJA, CRITICA, NORMAL</t>
        </is>
      </c>
      <c r="K1199" s="18" t="inlineStr"/>
      <c r="L1199" s="18" t="inlineStr">
        <is>
          <t>Sí</t>
        </is>
      </c>
      <c r="M1199" s="18" t="inlineStr">
        <is>
          <t>No</t>
        </is>
      </c>
      <c r="N1199" s="18" t="inlineStr"/>
      <c r="O1199" s="18" t="inlineStr"/>
      <c r="P1199" s="18" t="inlineStr">
        <is>
          <t>legal-management-service/src/entities/requerimiento-oc.entity.ts:64: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199" s="18" t="inlineStr">
        <is>
          <t>Código fuente</t>
        </is>
      </c>
      <c r="R1199" s="18" t="inlineStr">
        <is>
          <t>Prioridad del requerimiento. Valores permitidos: BAJA, NORMAL, ALTA, CRITICA. Por defecto, NORMAL.</t>
        </is>
      </c>
      <c r="S1199" s="18" t="inlineStr">
        <is>
          <t>Alta</t>
        </is>
      </c>
      <c r="T1199" s="18" t="inlineStr">
        <is>
          <t>valores permitidos del CHECK; nombre + tipo + columnas vecinas; el comentario de código requerimiento-oc.entity.ts:64 no define el dato</t>
        </is>
      </c>
      <c r="U1199" s="18" t="inlineStr"/>
      <c r="V1199" s="19" t="inlineStr">
        <is>
          <t>Pendiente</t>
        </is>
      </c>
      <c r="W1199" s="19" t="inlineStr"/>
      <c r="X1199" s="19" t="inlineStr"/>
      <c r="Y1199" s="20" t="n"/>
      <c r="Z1199" s="19" t="inlineStr"/>
      <c r="AA1199" s="18">
        <f>IF(OR(V1199="Aprobada"),R1199,IF(AND(OR(V1199="Aprobada con ajuste",V1199="Rechazada"),W1199&lt;&gt;""),W1199,""))</f>
        <v/>
      </c>
    </row>
    <row r="1200">
      <c r="A1200" s="18" t="inlineStr">
        <is>
          <t>C1199</t>
        </is>
      </c>
      <c r="B1200" s="18" t="inlineStr">
        <is>
          <t>Gestión jurídica</t>
        </is>
      </c>
      <c r="C1200" s="18" t="inlineStr">
        <is>
          <t>legal_management</t>
        </is>
      </c>
      <c r="D1200" s="18" t="inlineStr">
        <is>
          <t>requerimientos_oc</t>
        </is>
      </c>
      <c r="E1200" s="18" t="n">
        <v>14</v>
      </c>
      <c r="F1200" s="18" t="inlineStr">
        <is>
          <t>archivo_adjunto_url</t>
        </is>
      </c>
      <c r="G1200" s="18" t="inlineStr">
        <is>
          <t>text</t>
        </is>
      </c>
      <c r="H1200" s="18" t="inlineStr">
        <is>
          <t>Sí</t>
        </is>
      </c>
      <c r="I1200" s="18" t="inlineStr"/>
      <c r="J1200" s="18" t="inlineStr"/>
      <c r="K1200" s="18" t="inlineStr"/>
      <c r="L1200" s="18" t="inlineStr">
        <is>
          <t>No</t>
        </is>
      </c>
      <c r="M1200" s="18" t="inlineStr">
        <is>
          <t>No</t>
        </is>
      </c>
      <c r="N1200" s="18" t="inlineStr"/>
      <c r="O1200" s="18" t="inlineStr"/>
      <c r="P1200" s="18" t="inlineStr">
        <is>
          <t>legal-management-service/src/entities/requerimiento-oc.entity.ts:67: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0" s="18" t="inlineStr">
        <is>
          <t>Código fuente</t>
        </is>
      </c>
      <c r="R1200" s="18" t="inlineStr">
        <is>
          <t>URL del archivo adjunto del requerimiento recibido.</t>
        </is>
      </c>
      <c r="S1200" s="18" t="inlineStr">
        <is>
          <t>Alta</t>
        </is>
      </c>
      <c r="T1200" s="18" t="inlineStr">
        <is>
          <t>nombre + tipo + columnas vecinas; el comentario de código requerimiento-oc.entity.ts:67 no define el dato</t>
        </is>
      </c>
      <c r="U1200" s="18" t="inlineStr"/>
      <c r="V1200" s="19" t="inlineStr">
        <is>
          <t>Pendiente</t>
        </is>
      </c>
      <c r="W1200" s="19" t="inlineStr"/>
      <c r="X1200" s="19" t="inlineStr"/>
      <c r="Y1200" s="20" t="n"/>
      <c r="Z1200" s="19" t="inlineStr"/>
      <c r="AA1200" s="18">
        <f>IF(OR(V1200="Aprobada"),R1200,IF(AND(OR(V1200="Aprobada con ajuste",V1200="Rechazada"),W1200&lt;&gt;""),W1200,""))</f>
        <v/>
      </c>
    </row>
    <row r="1201">
      <c r="A1201" s="18" t="inlineStr">
        <is>
          <t>C1200</t>
        </is>
      </c>
      <c r="B1201" s="18" t="inlineStr">
        <is>
          <t>Gestión jurídica</t>
        </is>
      </c>
      <c r="C1201" s="18" t="inlineStr">
        <is>
          <t>legal_management</t>
        </is>
      </c>
      <c r="D1201" s="18" t="inlineStr">
        <is>
          <t>requerimientos_oc</t>
        </is>
      </c>
      <c r="E1201" s="18" t="n">
        <v>14</v>
      </c>
      <c r="F1201" s="18" t="inlineStr">
        <is>
          <t>oficio_respuesta_url</t>
        </is>
      </c>
      <c r="G1201" s="18" t="inlineStr">
        <is>
          <t>text</t>
        </is>
      </c>
      <c r="H1201" s="18" t="inlineStr">
        <is>
          <t>Sí</t>
        </is>
      </c>
      <c r="I1201" s="18" t="inlineStr"/>
      <c r="J1201" s="18" t="inlineStr"/>
      <c r="K1201" s="18" t="inlineStr"/>
      <c r="L1201" s="18" t="inlineStr">
        <is>
          <t>No</t>
        </is>
      </c>
      <c r="M1201" s="18" t="inlineStr">
        <is>
          <t>No</t>
        </is>
      </c>
      <c r="N1201" s="18" t="inlineStr"/>
      <c r="O1201" s="18" t="inlineStr"/>
      <c r="P1201" s="18" t="inlineStr">
        <is>
          <t>legal-management-service/src/entities/requerimiento-oc.entity.ts:70: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1" s="18" t="inlineStr">
        <is>
          <t>Código fuente</t>
        </is>
      </c>
      <c r="R1201" s="18" t="inlineStr">
        <is>
          <t>URL del oficio de respuesta al requerimiento.</t>
        </is>
      </c>
      <c r="S1201" s="18" t="inlineStr">
        <is>
          <t>Alta</t>
        </is>
      </c>
      <c r="T1201" s="18" t="inlineStr">
        <is>
          <t>nombre + tipo + columnas vecinas; el comentario de código requerimiento-oc.entity.ts:70 no define el dato</t>
        </is>
      </c>
      <c r="U1201" s="18" t="inlineStr"/>
      <c r="V1201" s="19" t="inlineStr">
        <is>
          <t>Pendiente</t>
        </is>
      </c>
      <c r="W1201" s="19" t="inlineStr"/>
      <c r="X1201" s="19" t="inlineStr"/>
      <c r="Y1201" s="20" t="n"/>
      <c r="Z1201" s="19" t="inlineStr"/>
      <c r="AA1201" s="18">
        <f>IF(OR(V1201="Aprobada"),R1201,IF(AND(OR(V1201="Aprobada con ajuste",V1201="Rechazada"),W1201&lt;&gt;""),W1201,""))</f>
        <v/>
      </c>
    </row>
    <row r="1202">
      <c r="A1202" s="18" t="inlineStr">
        <is>
          <t>C1201</t>
        </is>
      </c>
      <c r="B1202" s="18" t="inlineStr">
        <is>
          <t>Gestión jurídica</t>
        </is>
      </c>
      <c r="C1202" s="18" t="inlineStr">
        <is>
          <t>legal_management</t>
        </is>
      </c>
      <c r="D1202" s="18" t="inlineStr">
        <is>
          <t>requerimientos_oc</t>
        </is>
      </c>
      <c r="E1202" s="18" t="n">
        <v>14</v>
      </c>
      <c r="F1202" s="18" t="inlineStr">
        <is>
          <t>acuse_recibo_url</t>
        </is>
      </c>
      <c r="G1202" s="18" t="inlineStr">
        <is>
          <t>text</t>
        </is>
      </c>
      <c r="H1202" s="18" t="inlineStr">
        <is>
          <t>Sí</t>
        </is>
      </c>
      <c r="I1202" s="18" t="inlineStr"/>
      <c r="J1202" s="18" t="inlineStr"/>
      <c r="K1202" s="18" t="inlineStr"/>
      <c r="L1202" s="18" t="inlineStr">
        <is>
          <t>No</t>
        </is>
      </c>
      <c r="M1202" s="18" t="inlineStr">
        <is>
          <t>No</t>
        </is>
      </c>
      <c r="N1202" s="18" t="inlineStr"/>
      <c r="O1202" s="18" t="inlineStr"/>
      <c r="P1202" s="18" t="inlineStr">
        <is>
          <t>legal-management-service/src/entities/requerimiento-oc.entity.ts:73: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2" s="18" t="inlineStr">
        <is>
          <t>Código fuente</t>
        </is>
      </c>
      <c r="R1202" s="18" t="inlineStr">
        <is>
          <t>URL del acuse de recibo de la respuesta.</t>
        </is>
      </c>
      <c r="S1202" s="18" t="inlineStr">
        <is>
          <t>Media</t>
        </is>
      </c>
      <c r="T1202" s="18" t="inlineStr">
        <is>
          <t>nombre + tipo + columnas vecinas; el comentario de código requerimiento-oc.entity.ts:73 no define el dato</t>
        </is>
      </c>
      <c r="U1202" s="18" t="inlineStr">
        <is>
          <t>¿Es el acuse de recibo del organismo de control sobre la respuesta enviada por la ESAP?</t>
        </is>
      </c>
      <c r="V1202" s="19" t="inlineStr">
        <is>
          <t>Pendiente</t>
        </is>
      </c>
      <c r="W1202" s="19" t="inlineStr"/>
      <c r="X1202" s="19" t="inlineStr"/>
      <c r="Y1202" s="20" t="n"/>
      <c r="Z1202" s="19" t="inlineStr"/>
      <c r="AA1202" s="18">
        <f>IF(OR(V1202="Aprobada"),R1202,IF(AND(OR(V1202="Aprobada con ajuste",V1202="Rechazada"),W1202&lt;&gt;""),W1202,""))</f>
        <v/>
      </c>
    </row>
    <row r="1203">
      <c r="A1203" s="18" t="inlineStr">
        <is>
          <t>C1202</t>
        </is>
      </c>
      <c r="B1203" s="18" t="inlineStr">
        <is>
          <t>Gestión jurídica</t>
        </is>
      </c>
      <c r="C1203" s="18" t="inlineStr">
        <is>
          <t>legal_management</t>
        </is>
      </c>
      <c r="D1203" s="18" t="inlineStr">
        <is>
          <t>requerimientos_oc</t>
        </is>
      </c>
      <c r="E1203" s="18" t="n">
        <v>14</v>
      </c>
      <c r="F1203" s="18" t="inlineStr">
        <is>
          <t>fecha_respuesta</t>
        </is>
      </c>
      <c r="G1203" s="18" t="inlineStr">
        <is>
          <t>timestamp without time zone</t>
        </is>
      </c>
      <c r="H1203" s="18" t="inlineStr">
        <is>
          <t>Sí</t>
        </is>
      </c>
      <c r="I1203" s="18" t="inlineStr"/>
      <c r="J1203" s="18" t="inlineStr"/>
      <c r="K1203" s="18" t="inlineStr"/>
      <c r="L1203" s="18" t="inlineStr">
        <is>
          <t>No</t>
        </is>
      </c>
      <c r="M1203" s="18" t="inlineStr">
        <is>
          <t>No</t>
        </is>
      </c>
      <c r="N1203" s="18" t="inlineStr"/>
      <c r="O1203" s="18" t="inlineStr"/>
      <c r="P1203" s="18" t="inlineStr">
        <is>
          <t>legal-management-service/src/entities/requerimiento-oc.entity.ts:76: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3" s="18" t="inlineStr">
        <is>
          <t>Código fuente</t>
        </is>
      </c>
      <c r="R1203" s="18" t="inlineStr">
        <is>
          <t>Fecha y hora de respuesta al requerimiento.</t>
        </is>
      </c>
      <c r="S1203" s="18" t="inlineStr">
        <is>
          <t>Alta</t>
        </is>
      </c>
      <c r="T1203" s="18" t="inlineStr">
        <is>
          <t>nombre + tipo + columnas vecinas; el comentario de código requerimiento-oc.entity.ts:76 no define el dato</t>
        </is>
      </c>
      <c r="U1203" s="18" t="inlineStr"/>
      <c r="V1203" s="19" t="inlineStr">
        <is>
          <t>Pendiente</t>
        </is>
      </c>
      <c r="W1203" s="19" t="inlineStr"/>
      <c r="X1203" s="19" t="inlineStr"/>
      <c r="Y1203" s="20" t="n"/>
      <c r="Z1203" s="19" t="inlineStr"/>
      <c r="AA1203" s="18">
        <f>IF(OR(V1203="Aprobada"),R1203,IF(AND(OR(V1203="Aprobada con ajuste",V1203="Rechazada"),W1203&lt;&gt;""),W1203,""))</f>
        <v/>
      </c>
    </row>
    <row r="1204">
      <c r="A1204" s="18" t="inlineStr">
        <is>
          <t>C1203</t>
        </is>
      </c>
      <c r="B1204" s="18" t="inlineStr">
        <is>
          <t>Gestión jurídica</t>
        </is>
      </c>
      <c r="C1204" s="18" t="inlineStr">
        <is>
          <t>legal_management</t>
        </is>
      </c>
      <c r="D1204" s="18" t="inlineStr">
        <is>
          <t>requerimientos_oc</t>
        </is>
      </c>
      <c r="E1204" s="18" t="n">
        <v>14</v>
      </c>
      <c r="F1204" s="18" t="inlineStr">
        <is>
          <t>observaciones</t>
        </is>
      </c>
      <c r="G1204" s="18" t="inlineStr">
        <is>
          <t>text</t>
        </is>
      </c>
      <c r="H1204" s="18" t="inlineStr">
        <is>
          <t>Sí</t>
        </is>
      </c>
      <c r="I1204" s="18" t="inlineStr"/>
      <c r="J1204" s="18" t="inlineStr"/>
      <c r="K1204" s="18" t="inlineStr"/>
      <c r="L1204" s="18" t="inlineStr">
        <is>
          <t>No</t>
        </is>
      </c>
      <c r="M1204" s="18" t="inlineStr">
        <is>
          <t>No</t>
        </is>
      </c>
      <c r="N1204" s="18" t="inlineStr"/>
      <c r="O1204" s="18" t="inlineStr"/>
      <c r="P1204" s="18" t="inlineStr">
        <is>
          <t>legal-management-service/src/entities/requerimiento-oc.entity.ts:79: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4" s="18" t="inlineStr">
        <is>
          <t>Código fuente</t>
        </is>
      </c>
      <c r="R1204" s="18" t="inlineStr">
        <is>
          <t>Observaciones sobre el requerimiento.</t>
        </is>
      </c>
      <c r="S1204" s="18" t="inlineStr">
        <is>
          <t>Alta</t>
        </is>
      </c>
      <c r="T1204" s="18" t="inlineStr">
        <is>
          <t>nombre + tipo + columnas vecinas; el comentario de código requerimiento-oc.entity.ts:79 no define el dato</t>
        </is>
      </c>
      <c r="U1204" s="18" t="inlineStr"/>
      <c r="V1204" s="19" t="inlineStr">
        <is>
          <t>Pendiente</t>
        </is>
      </c>
      <c r="W1204" s="19" t="inlineStr"/>
      <c r="X1204" s="19" t="inlineStr"/>
      <c r="Y1204" s="20" t="n"/>
      <c r="Z1204" s="19" t="inlineStr"/>
      <c r="AA1204" s="18">
        <f>IF(OR(V1204="Aprobada"),R1204,IF(AND(OR(V1204="Aprobada con ajuste",V1204="Rechazada"),W1204&lt;&gt;""),W1204,""))</f>
        <v/>
      </c>
    </row>
    <row r="1205">
      <c r="A1205" s="18" t="inlineStr">
        <is>
          <t>C1204</t>
        </is>
      </c>
      <c r="B1205" s="18" t="inlineStr">
        <is>
          <t>Gestión jurídica</t>
        </is>
      </c>
      <c r="C1205" s="18" t="inlineStr">
        <is>
          <t>legal_management</t>
        </is>
      </c>
      <c r="D1205" s="18" t="inlineStr">
        <is>
          <t>requerimientos_oc</t>
        </is>
      </c>
      <c r="E1205" s="18" t="n">
        <v>14</v>
      </c>
      <c r="F1205" s="18" t="inlineStr">
        <is>
          <t>fecha_archivo</t>
        </is>
      </c>
      <c r="G1205" s="18" t="inlineStr">
        <is>
          <t>timestamp without time zone</t>
        </is>
      </c>
      <c r="H1205" s="18" t="inlineStr">
        <is>
          <t>Sí</t>
        </is>
      </c>
      <c r="I1205" s="18" t="inlineStr"/>
      <c r="J1205" s="18" t="inlineStr"/>
      <c r="K1205" s="18" t="inlineStr"/>
      <c r="L1205" s="18" t="inlineStr">
        <is>
          <t>No</t>
        </is>
      </c>
      <c r="M1205" s="18" t="inlineStr">
        <is>
          <t>No</t>
        </is>
      </c>
      <c r="N1205" s="18" t="inlineStr"/>
      <c r="O1205" s="18" t="inlineStr"/>
      <c r="P1205" s="18" t="inlineStr">
        <is>
          <t>legal-management-service/src/entities/requerimiento-oc.entity.ts:98: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5" s="18" t="inlineStr">
        <is>
          <t>Código fuente</t>
        </is>
      </c>
      <c r="R1205" s="18" t="inlineStr">
        <is>
          <t>Fecha y hora en que se archivó el requerimiento.</t>
        </is>
      </c>
      <c r="S1205" s="18" t="inlineStr">
        <is>
          <t>Alta</t>
        </is>
      </c>
      <c r="T1205" s="18" t="inlineStr">
        <is>
          <t>nombre + tipo + columnas vecinas; el comentario de código requerimiento-oc.entity.ts:98 no define el dato</t>
        </is>
      </c>
      <c r="U1205" s="18" t="inlineStr"/>
      <c r="V1205" s="19" t="inlineStr">
        <is>
          <t>Pendiente</t>
        </is>
      </c>
      <c r="W1205" s="19" t="inlineStr"/>
      <c r="X1205" s="19" t="inlineStr"/>
      <c r="Y1205" s="20" t="n"/>
      <c r="Z1205" s="19" t="inlineStr"/>
      <c r="AA1205" s="18">
        <f>IF(OR(V1205="Aprobada"),R1205,IF(AND(OR(V1205="Aprobada con ajuste",V1205="Rechazada"),W1205&lt;&gt;""),W1205,""))</f>
        <v/>
      </c>
    </row>
    <row r="1206">
      <c r="A1206" s="18" t="inlineStr">
        <is>
          <t>C1205</t>
        </is>
      </c>
      <c r="B1206" s="18" t="inlineStr">
        <is>
          <t>Gestión jurídica</t>
        </is>
      </c>
      <c r="C1206" s="18" t="inlineStr">
        <is>
          <t>legal_management</t>
        </is>
      </c>
      <c r="D1206" s="18" t="inlineStr">
        <is>
          <t>requerimientos_oc</t>
        </is>
      </c>
      <c r="E1206" s="18" t="n">
        <v>14</v>
      </c>
      <c r="F1206" s="18" t="inlineStr">
        <is>
          <t>usuario_archivo</t>
        </is>
      </c>
      <c r="G1206" s="18" t="inlineStr">
        <is>
          <t>character varying</t>
        </is>
      </c>
      <c r="H1206" s="18" t="inlineStr">
        <is>
          <t>Sí</t>
        </is>
      </c>
      <c r="I1206" s="18" t="inlineStr"/>
      <c r="J1206" s="18" t="inlineStr"/>
      <c r="K1206" s="18" t="inlineStr"/>
      <c r="L1206" s="18" t="inlineStr">
        <is>
          <t>No</t>
        </is>
      </c>
      <c r="M1206" s="18" t="inlineStr">
        <is>
          <t>No</t>
        </is>
      </c>
      <c r="N1206" s="18" t="inlineStr"/>
      <c r="O1206" s="18" t="inlineStr"/>
      <c r="P1206" s="18" t="inlineStr">
        <is>
          <t>legal-management-service/src/entities/requerimiento-oc.entity.ts:101: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6" s="18" t="inlineStr">
        <is>
          <t>Código fuente</t>
        </is>
      </c>
      <c r="R1206" s="18" t="inlineStr">
        <is>
          <t>Usuario que archivó el requerimiento.</t>
        </is>
      </c>
      <c r="S1206" s="18" t="inlineStr">
        <is>
          <t>Media</t>
        </is>
      </c>
      <c r="T1206" s="18" t="inlineStr">
        <is>
          <t>nombre + tipo + columnas vecinas; el comentario de código requerimiento-oc.entity.ts:101 no define el dato</t>
        </is>
      </c>
      <c r="U1206" s="18" t="inlineStr">
        <is>
          <t>¿usuario_archivo guarda el identificador o el nombre del usuario?</t>
        </is>
      </c>
      <c r="V1206" s="19" t="inlineStr">
        <is>
          <t>Pendiente</t>
        </is>
      </c>
      <c r="W1206" s="19" t="inlineStr"/>
      <c r="X1206" s="19" t="inlineStr"/>
      <c r="Y1206" s="20" t="n"/>
      <c r="Z1206" s="19" t="inlineStr"/>
      <c r="AA1206" s="18">
        <f>IF(OR(V1206="Aprobada"),R1206,IF(AND(OR(V1206="Aprobada con ajuste",V1206="Rechazada"),W1206&lt;&gt;""),W1206,""))</f>
        <v/>
      </c>
    </row>
    <row r="1207">
      <c r="A1207" s="18" t="inlineStr">
        <is>
          <t>C1206</t>
        </is>
      </c>
      <c r="B1207" s="18" t="inlineStr">
        <is>
          <t>Gestión jurídica</t>
        </is>
      </c>
      <c r="C1207" s="18" t="inlineStr">
        <is>
          <t>legal_management</t>
        </is>
      </c>
      <c r="D1207" s="18" t="inlineStr">
        <is>
          <t>requerimientos_oc</t>
        </is>
      </c>
      <c r="E1207" s="18" t="n">
        <v>14</v>
      </c>
      <c r="F1207" s="18" t="inlineStr">
        <is>
          <t>motivo_archivo</t>
        </is>
      </c>
      <c r="G1207" s="18" t="inlineStr">
        <is>
          <t>text</t>
        </is>
      </c>
      <c r="H1207" s="18" t="inlineStr">
        <is>
          <t>Sí</t>
        </is>
      </c>
      <c r="I1207" s="18" t="inlineStr"/>
      <c r="J1207" s="18" t="inlineStr"/>
      <c r="K1207" s="18" t="inlineStr"/>
      <c r="L1207" s="18" t="inlineStr">
        <is>
          <t>No</t>
        </is>
      </c>
      <c r="M1207" s="18" t="inlineStr">
        <is>
          <t>No</t>
        </is>
      </c>
      <c r="N1207" s="18" t="inlineStr"/>
      <c r="O1207" s="18" t="inlineStr"/>
      <c r="P1207" s="18" t="inlineStr">
        <is>
          <t>legal-management-service/src/entities/requerimiento-oc.entity.ts:104: Relación eliminada para permitir IDs de organismos locales (UUIDs string) que no existen en la tabla cat_organismos_control (Integer ID). El frontend resolverá el nombre basándose en el organismoId almacenado. @ManyToOne(() =&gt; OrganismoControlOC, (org: OrganismoControlOC) =&gt; org.requerimientos, { ea</t>
        </is>
      </c>
      <c r="Q1207" s="18" t="inlineStr">
        <is>
          <t>Código fuente</t>
        </is>
      </c>
      <c r="R1207" s="18" t="inlineStr">
        <is>
          <t>Motivo por el que se archivó el requerimiento.</t>
        </is>
      </c>
      <c r="S1207" s="18" t="inlineStr">
        <is>
          <t>Alta</t>
        </is>
      </c>
      <c r="T1207" s="18" t="inlineStr">
        <is>
          <t>nombre + tipo + columnas vecinas; el comentario de código requerimiento-oc.entity.ts:104 no define el dato</t>
        </is>
      </c>
      <c r="U1207" s="18" t="inlineStr"/>
      <c r="V1207" s="19" t="inlineStr">
        <is>
          <t>Pendiente</t>
        </is>
      </c>
      <c r="W1207" s="19" t="inlineStr"/>
      <c r="X1207" s="19" t="inlineStr"/>
      <c r="Y1207" s="20" t="n"/>
      <c r="Z1207" s="19" t="inlineStr"/>
      <c r="AA1207" s="18">
        <f>IF(OR(V1207="Aprobada"),R1207,IF(AND(OR(V1207="Aprobada con ajuste",V1207="Rechazada"),W1207&lt;&gt;""),W1207,""))</f>
        <v/>
      </c>
    </row>
    <row r="1208">
      <c r="A1208" s="18" t="inlineStr">
        <is>
          <t>C1207</t>
        </is>
      </c>
      <c r="B1208" s="18" t="inlineStr">
        <is>
          <t>Gestión jurídica</t>
        </is>
      </c>
      <c r="C1208" s="18" t="inlineStr">
        <is>
          <t>legal_management</t>
        </is>
      </c>
      <c r="D1208" s="18" t="inlineStr">
        <is>
          <t>respuesta_borrador_oc</t>
        </is>
      </c>
      <c r="E1208" s="18" t="n">
        <v>2</v>
      </c>
      <c r="F1208" s="18" t="inlineStr">
        <is>
          <t>destinatario_nombre</t>
        </is>
      </c>
      <c r="G1208" s="18" t="inlineStr">
        <is>
          <t>character varying(200)</t>
        </is>
      </c>
      <c r="H1208" s="18" t="inlineStr">
        <is>
          <t>Sí</t>
        </is>
      </c>
      <c r="I1208" s="18" t="inlineStr"/>
      <c r="J1208" s="18" t="inlineStr"/>
      <c r="K1208" s="18" t="inlineStr"/>
      <c r="L1208" s="18" t="inlineStr">
        <is>
          <t>No</t>
        </is>
      </c>
      <c r="M1208" s="18" t="inlineStr">
        <is>
          <t>No</t>
        </is>
      </c>
      <c r="N1208" s="18" t="inlineStr"/>
      <c r="O1208" s="18" t="inlineStr"/>
      <c r="P1208" s="18" t="inlineStr">
        <is>
          <t>Mapeada en legal-management-service/src/entities/respuesta-borrador-oc.entity.ts:16 (RespuestaBorradorOC.destinatarioNombre)</t>
        </is>
      </c>
      <c r="Q1208" s="18" t="inlineStr">
        <is>
          <t>Propuesta semántica</t>
        </is>
      </c>
      <c r="R1208" s="18" t="inlineStr">
        <is>
          <t>Nombre del destinatario de la respuesta.</t>
        </is>
      </c>
      <c r="S1208" s="18" t="inlineStr">
        <is>
          <t>Alta</t>
        </is>
      </c>
      <c r="T1208" s="18" t="inlineStr">
        <is>
          <t>nombre + tipo</t>
        </is>
      </c>
      <c r="U1208" s="18" t="inlineStr"/>
      <c r="V1208" s="19" t="inlineStr">
        <is>
          <t>Pendiente</t>
        </is>
      </c>
      <c r="W1208" s="19" t="inlineStr"/>
      <c r="X1208" s="19" t="inlineStr"/>
      <c r="Y1208" s="20" t="n"/>
      <c r="Z1208" s="19" t="inlineStr"/>
      <c r="AA1208" s="18">
        <f>IF(OR(V1208="Aprobada"),R1208,IF(AND(OR(V1208="Aprobada con ajuste",V1208="Rechazada"),W1208&lt;&gt;""),W1208,""))</f>
        <v/>
      </c>
    </row>
    <row r="1209">
      <c r="A1209" s="18" t="inlineStr">
        <is>
          <t>C1208</t>
        </is>
      </c>
      <c r="B1209" s="18" t="inlineStr">
        <is>
          <t>Gestión jurídica</t>
        </is>
      </c>
      <c r="C1209" s="18" t="inlineStr">
        <is>
          <t>legal_management</t>
        </is>
      </c>
      <c r="D1209" s="18" t="inlineStr">
        <is>
          <t>respuesta_borrador_oc</t>
        </is>
      </c>
      <c r="E1209" s="18" t="n">
        <v>2</v>
      </c>
      <c r="F1209" s="18" t="inlineStr">
        <is>
          <t>destinatario_email</t>
        </is>
      </c>
      <c r="G1209" s="18" t="inlineStr">
        <is>
          <t>character varying(200)</t>
        </is>
      </c>
      <c r="H1209" s="18" t="inlineStr">
        <is>
          <t>Sí</t>
        </is>
      </c>
      <c r="I1209" s="18" t="inlineStr"/>
      <c r="J1209" s="18" t="inlineStr"/>
      <c r="K1209" s="18" t="inlineStr"/>
      <c r="L1209" s="18" t="inlineStr">
        <is>
          <t>No</t>
        </is>
      </c>
      <c r="M1209" s="18" t="inlineStr">
        <is>
          <t>No</t>
        </is>
      </c>
      <c r="N1209" s="18" t="inlineStr"/>
      <c r="O1209" s="18" t="inlineStr"/>
      <c r="P1209" s="18" t="inlineStr">
        <is>
          <t>Mapeada en legal-management-service/src/entities/respuesta-borrador-oc.entity.ts:19 (RespuestaBorradorOC.destinatarioEmail)</t>
        </is>
      </c>
      <c r="Q1209" s="18" t="inlineStr">
        <is>
          <t>Propuesta semántica</t>
        </is>
      </c>
      <c r="R1209" s="18" t="inlineStr">
        <is>
          <t>Correo electrónico del destinatario de la respuesta.</t>
        </is>
      </c>
      <c r="S1209" s="18" t="inlineStr">
        <is>
          <t>Alta</t>
        </is>
      </c>
      <c r="T1209" s="18" t="inlineStr">
        <is>
          <t>nombre + tipo</t>
        </is>
      </c>
      <c r="U1209" s="18" t="inlineStr"/>
      <c r="V1209" s="19" t="inlineStr">
        <is>
          <t>Pendiente</t>
        </is>
      </c>
      <c r="W1209" s="19" t="inlineStr"/>
      <c r="X1209" s="19" t="inlineStr"/>
      <c r="Y1209" s="20" t="n"/>
      <c r="Z1209" s="19" t="inlineStr"/>
      <c r="AA1209" s="18">
        <f>IF(OR(V1209="Aprobada"),R1209,IF(AND(OR(V1209="Aprobada con ajuste",V1209="Rechazada"),W1209&lt;&gt;""),W1209,""))</f>
        <v/>
      </c>
    </row>
    <row r="1210">
      <c r="A1210" s="18" t="inlineStr">
        <is>
          <t>C1209</t>
        </is>
      </c>
      <c r="B1210" s="18" t="inlineStr">
        <is>
          <t>Gestión jurídica</t>
        </is>
      </c>
      <c r="C1210" s="18" t="inlineStr">
        <is>
          <t>legal_management</t>
        </is>
      </c>
      <c r="D1210" s="18" t="inlineStr">
        <is>
          <t>respuesta_borrador_oc</t>
        </is>
      </c>
      <c r="E1210" s="18" t="n">
        <v>2</v>
      </c>
      <c r="F1210" s="18" t="inlineStr">
        <is>
          <t>destinatario_cargo</t>
        </is>
      </c>
      <c r="G1210" s="18" t="inlineStr">
        <is>
          <t>character varying(150)</t>
        </is>
      </c>
      <c r="H1210" s="18" t="inlineStr">
        <is>
          <t>Sí</t>
        </is>
      </c>
      <c r="I1210" s="18" t="inlineStr"/>
      <c r="J1210" s="18" t="inlineStr"/>
      <c r="K1210" s="18" t="inlineStr"/>
      <c r="L1210" s="18" t="inlineStr">
        <is>
          <t>No</t>
        </is>
      </c>
      <c r="M1210" s="18" t="inlineStr">
        <is>
          <t>No</t>
        </is>
      </c>
      <c r="N1210" s="18" t="inlineStr"/>
      <c r="O1210" s="18" t="inlineStr"/>
      <c r="P1210" s="18" t="inlineStr">
        <is>
          <t>Mapeada en legal-management-service/src/entities/respuesta-borrador-oc.entity.ts:22 (RespuestaBorradorOC.destinatarioCargo)</t>
        </is>
      </c>
      <c r="Q1210" s="18" t="inlineStr">
        <is>
          <t>Propuesta semántica</t>
        </is>
      </c>
      <c r="R1210" s="18" t="inlineStr">
        <is>
          <t>Cargo del destinatario de la respuesta.</t>
        </is>
      </c>
      <c r="S1210" s="18" t="inlineStr">
        <is>
          <t>Alta</t>
        </is>
      </c>
      <c r="T1210" s="18" t="inlineStr">
        <is>
          <t>nombre + tipo</t>
        </is>
      </c>
      <c r="U1210" s="18" t="inlineStr"/>
      <c r="V1210" s="19" t="inlineStr">
        <is>
          <t>Pendiente</t>
        </is>
      </c>
      <c r="W1210" s="19" t="inlineStr"/>
      <c r="X1210" s="19" t="inlineStr"/>
      <c r="Y1210" s="20" t="n"/>
      <c r="Z1210" s="19" t="inlineStr"/>
      <c r="AA1210" s="18">
        <f>IF(OR(V1210="Aprobada"),R1210,IF(AND(OR(V1210="Aprobada con ajuste",V1210="Rechazada"),W1210&lt;&gt;""),W1210,""))</f>
        <v/>
      </c>
    </row>
    <row r="1211">
      <c r="A1211" s="18" t="inlineStr">
        <is>
          <t>C1210</t>
        </is>
      </c>
      <c r="B1211" s="18" t="inlineStr">
        <is>
          <t>Gestión jurídica</t>
        </is>
      </c>
      <c r="C1211" s="18" t="inlineStr">
        <is>
          <t>legal_management</t>
        </is>
      </c>
      <c r="D1211" s="18" t="inlineStr">
        <is>
          <t>respuesta_borrador_oc</t>
        </is>
      </c>
      <c r="E1211" s="18" t="n">
        <v>2</v>
      </c>
      <c r="F1211" s="18" t="inlineStr">
        <is>
          <t>tipo_respuesta</t>
        </is>
      </c>
      <c r="G1211" s="18" t="inlineStr">
        <is>
          <t>character varying(50)</t>
        </is>
      </c>
      <c r="H1211" s="18" t="inlineStr">
        <is>
          <t>Sí</t>
        </is>
      </c>
      <c r="I1211" s="18" t="inlineStr"/>
      <c r="J1211" s="18" t="inlineStr"/>
      <c r="K1211" s="18" t="inlineStr"/>
      <c r="L1211" s="18" t="inlineStr">
        <is>
          <t>No</t>
        </is>
      </c>
      <c r="M1211" s="18" t="inlineStr">
        <is>
          <t>No</t>
        </is>
      </c>
      <c r="N1211" s="18" t="inlineStr"/>
      <c r="O1211" s="18" t="inlineStr"/>
      <c r="P1211" s="18" t="inlineStr">
        <is>
          <t>Mapeada en legal-management-service/src/entities/respuesta-borrador-oc.entity.ts:25 (RespuestaBorradorOC.tipoRespuesta)</t>
        </is>
      </c>
      <c r="Q1211" s="18" t="inlineStr">
        <is>
          <t>Propuesta semántica</t>
        </is>
      </c>
      <c r="R1211" s="18" t="inlineStr">
        <is>
          <t>Tipo de respuesta al requerimiento.</t>
        </is>
      </c>
      <c r="S1211" s="18" t="inlineStr">
        <is>
          <t>Baja</t>
        </is>
      </c>
      <c r="T1211" s="18" t="inlineStr">
        <is>
          <t>nombre + tipo</t>
        </is>
      </c>
      <c r="U1211" s="18" t="inlineStr">
        <is>
          <t>¿Qué valores toma el tipo de respuesta?</t>
        </is>
      </c>
      <c r="V1211" s="19" t="inlineStr">
        <is>
          <t>Pendiente</t>
        </is>
      </c>
      <c r="W1211" s="19" t="inlineStr"/>
      <c r="X1211" s="19" t="inlineStr"/>
      <c r="Y1211" s="20" t="n"/>
      <c r="Z1211" s="19" t="inlineStr"/>
      <c r="AA1211" s="18">
        <f>IF(OR(V1211="Aprobada"),R1211,IF(AND(OR(V1211="Aprobada con ajuste",V1211="Rechazada"),W1211&lt;&gt;""),W1211,""))</f>
        <v/>
      </c>
    </row>
    <row r="1212">
      <c r="A1212" s="18" t="inlineStr">
        <is>
          <t>C1211</t>
        </is>
      </c>
      <c r="B1212" s="18" t="inlineStr">
        <is>
          <t>Gestión jurídica</t>
        </is>
      </c>
      <c r="C1212" s="18" t="inlineStr">
        <is>
          <t>legal_management</t>
        </is>
      </c>
      <c r="D1212" s="18" t="inlineStr">
        <is>
          <t>respuesta_borrador_oc</t>
        </is>
      </c>
      <c r="E1212" s="18" t="n">
        <v>2</v>
      </c>
      <c r="F1212" s="18" t="inlineStr">
        <is>
          <t>contenido</t>
        </is>
      </c>
      <c r="G1212" s="18" t="inlineStr">
        <is>
          <t>text</t>
        </is>
      </c>
      <c r="H1212" s="18" t="inlineStr">
        <is>
          <t>Sí</t>
        </is>
      </c>
      <c r="I1212" s="18" t="inlineStr"/>
      <c r="J1212" s="18" t="inlineStr"/>
      <c r="K1212" s="18" t="inlineStr"/>
      <c r="L1212" s="18" t="inlineStr">
        <is>
          <t>No</t>
        </is>
      </c>
      <c r="M1212" s="18" t="inlineStr">
        <is>
          <t>No</t>
        </is>
      </c>
      <c r="N1212" s="18" t="inlineStr"/>
      <c r="O1212" s="18" t="inlineStr"/>
      <c r="P1212" s="18" t="inlineStr">
        <is>
          <t>Mapeada en legal-management-service/src/entities/respuesta-borrador-oc.entity.ts:28 (RespuestaBorradorOC.contenido) | Validación: IsNotEmpty, IsString</t>
        </is>
      </c>
      <c r="Q1212" s="18" t="inlineStr">
        <is>
          <t>Propuesta semántica</t>
        </is>
      </c>
      <c r="R1212" s="18" t="inlineStr">
        <is>
          <t>Contenido del borrador de respuesta.</t>
        </is>
      </c>
      <c r="S1212" s="18" t="inlineStr">
        <is>
          <t>Alta</t>
        </is>
      </c>
      <c r="T1212" s="18" t="inlineStr">
        <is>
          <t>nombre + tipo + validaciones IsNotEmpty, IsString</t>
        </is>
      </c>
      <c r="U1212" s="18" t="inlineStr"/>
      <c r="V1212" s="19" t="inlineStr">
        <is>
          <t>Pendiente</t>
        </is>
      </c>
      <c r="W1212" s="19" t="inlineStr"/>
      <c r="X1212" s="19" t="inlineStr"/>
      <c r="Y1212" s="20" t="n"/>
      <c r="Z1212" s="19" t="inlineStr"/>
      <c r="AA1212" s="18">
        <f>IF(OR(V1212="Aprobada"),R1212,IF(AND(OR(V1212="Aprobada con ajuste",V1212="Rechazada"),W1212&lt;&gt;""),W1212,""))</f>
        <v/>
      </c>
    </row>
    <row r="1213">
      <c r="A1213" s="18" t="inlineStr">
        <is>
          <t>C1212</t>
        </is>
      </c>
      <c r="B1213" s="18" t="inlineStr">
        <is>
          <t>Gestión jurídica</t>
        </is>
      </c>
      <c r="C1213" s="18" t="inlineStr">
        <is>
          <t>legal_management</t>
        </is>
      </c>
      <c r="D1213" s="18" t="inlineStr">
        <is>
          <t>respuesta_borrador_oc</t>
        </is>
      </c>
      <c r="E1213" s="18" t="n">
        <v>2</v>
      </c>
      <c r="F1213" s="18" t="inlineStr">
        <is>
          <t>documentos_adjuntos</t>
        </is>
      </c>
      <c r="G1213" s="18" t="inlineStr">
        <is>
          <t>jsonb</t>
        </is>
      </c>
      <c r="H1213" s="18" t="inlineStr">
        <is>
          <t>Sí</t>
        </is>
      </c>
      <c r="I1213" s="18" t="inlineStr"/>
      <c r="J1213" s="18" t="inlineStr"/>
      <c r="K1213" s="18" t="inlineStr"/>
      <c r="L1213" s="18" t="inlineStr">
        <is>
          <t>No</t>
        </is>
      </c>
      <c r="M1213" s="18" t="inlineStr">
        <is>
          <t>No</t>
        </is>
      </c>
      <c r="N1213" s="18" t="inlineStr"/>
      <c r="O1213" s="18" t="inlineStr"/>
      <c r="P1213" s="18" t="inlineStr">
        <is>
          <t>Mapeada en legal-management-service/src/entities/respuesta-borrador-oc.entity.ts:31 (RespuestaBorradorOC.documentosAdjuntos)</t>
        </is>
      </c>
      <c r="Q1213" s="18" t="inlineStr">
        <is>
          <t>Propuesta semántica</t>
        </is>
      </c>
      <c r="R1213" s="18" t="inlineStr">
        <is>
          <t>Lista de documentos adjuntos a la respuesta, en formato JSON. Por defecto, lista vacía.</t>
        </is>
      </c>
      <c r="S1213" s="18" t="inlineStr">
        <is>
          <t>Media</t>
        </is>
      </c>
      <c r="T1213" s="18" t="inlineStr">
        <is>
          <t>nombre + tipo + defecto</t>
        </is>
      </c>
      <c r="U1213" s="18" t="inlineStr">
        <is>
          <t>¿Qué estructura tiene cada elemento de la lista (nombre, URL)?</t>
        </is>
      </c>
      <c r="V1213" s="19" t="inlineStr">
        <is>
          <t>Pendiente</t>
        </is>
      </c>
      <c r="W1213" s="19" t="inlineStr"/>
      <c r="X1213" s="19" t="inlineStr"/>
      <c r="Y1213" s="20" t="n"/>
      <c r="Z1213" s="19" t="inlineStr"/>
      <c r="AA1213" s="18">
        <f>IF(OR(V1213="Aprobada"),R1213,IF(AND(OR(V1213="Aprobada con ajuste",V1213="Rechazada"),W1213&lt;&gt;""),W1213,""))</f>
        <v/>
      </c>
    </row>
    <row r="1214">
      <c r="A1214" s="18" t="inlineStr">
        <is>
          <t>C1213</t>
        </is>
      </c>
      <c r="B1214" s="18" t="inlineStr">
        <is>
          <t>Gestión jurídica</t>
        </is>
      </c>
      <c r="C1214" s="18" t="inlineStr">
        <is>
          <t>legal_management</t>
        </is>
      </c>
      <c r="D1214" s="18" t="inlineStr">
        <is>
          <t>riesgo_historial</t>
        </is>
      </c>
      <c r="E1214" s="18" t="n">
        <v>8</v>
      </c>
      <c r="F1214" s="18" t="inlineStr">
        <is>
          <t>descripcion</t>
        </is>
      </c>
      <c r="G1214" s="18" t="inlineStr">
        <is>
          <t>text</t>
        </is>
      </c>
      <c r="H1214" s="18" t="inlineStr">
        <is>
          <t>No</t>
        </is>
      </c>
      <c r="I1214" s="18" t="inlineStr"/>
      <c r="J1214" s="18" t="inlineStr"/>
      <c r="K1214" s="18" t="inlineStr"/>
      <c r="L1214" s="18" t="inlineStr">
        <is>
          <t>No</t>
        </is>
      </c>
      <c r="M1214" s="18" t="inlineStr">
        <is>
          <t>No</t>
        </is>
      </c>
      <c r="N1214" s="18" t="inlineStr"/>
      <c r="O1214" s="18" t="inlineStr"/>
      <c r="P1214" s="18" t="inlineStr">
        <is>
          <t>Mapeada en legal-management-service/src/entities/riesgo-historial.entity.ts:40 (RiesgoHistorial.descripcion)</t>
        </is>
      </c>
      <c r="Q1214" s="18" t="inlineStr">
        <is>
          <t>Regla estructural</t>
        </is>
      </c>
      <c r="R1214" s="18" t="inlineStr">
        <is>
          <t>Descripción del registro de riesgo_historial.</t>
        </is>
      </c>
      <c r="S1214" s="18" t="inlineStr">
        <is>
          <t>Media</t>
        </is>
      </c>
      <c r="T1214" s="18" t="inlineStr">
        <is>
          <t>Convención de nombre de la columna.</t>
        </is>
      </c>
      <c r="U1214" s="18" t="inlineStr"/>
      <c r="V1214" s="19" t="inlineStr">
        <is>
          <t>Pendiente</t>
        </is>
      </c>
      <c r="W1214" s="19" t="inlineStr"/>
      <c r="X1214" s="19" t="inlineStr"/>
      <c r="Y1214" s="20" t="n"/>
      <c r="Z1214" s="19" t="inlineStr"/>
      <c r="AA1214" s="18">
        <f>IF(OR(V1214="Aprobada"),R1214,IF(AND(OR(V1214="Aprobada con ajuste",V1214="Rechazada"),W1214&lt;&gt;""),W1214,""))</f>
        <v/>
      </c>
    </row>
    <row r="1215">
      <c r="A1215" s="18" t="inlineStr">
        <is>
          <t>C1214</t>
        </is>
      </c>
      <c r="B1215" s="18" t="inlineStr">
        <is>
          <t>Gestión jurídica</t>
        </is>
      </c>
      <c r="C1215" s="18" t="inlineStr">
        <is>
          <t>legal_management</t>
        </is>
      </c>
      <c r="D1215" s="18" t="inlineStr">
        <is>
          <t>riesgo_historial</t>
        </is>
      </c>
      <c r="E1215" s="18" t="n">
        <v>8</v>
      </c>
      <c r="F1215" s="18" t="inlineStr">
        <is>
          <t>usuario</t>
        </is>
      </c>
      <c r="G1215" s="18" t="inlineStr">
        <is>
          <t>character varying(200)</t>
        </is>
      </c>
      <c r="H1215" s="18" t="inlineStr">
        <is>
          <t>Sí</t>
        </is>
      </c>
      <c r="I1215" s="18" t="inlineStr"/>
      <c r="J1215" s="18" t="inlineStr"/>
      <c r="K1215" s="18" t="inlineStr"/>
      <c r="L1215" s="18" t="inlineStr">
        <is>
          <t>No</t>
        </is>
      </c>
      <c r="M1215" s="18" t="inlineStr">
        <is>
          <t>No</t>
        </is>
      </c>
      <c r="N1215" s="18" t="inlineStr"/>
      <c r="O1215" s="18" t="inlineStr"/>
      <c r="P1215" s="18" t="inlineStr">
        <is>
          <t>Mapeada en legal-management-service/src/entities/riesgo-historial.entity.ts:52 (RiesgoHistorial.usuario)</t>
        </is>
      </c>
      <c r="Q1215" s="18" t="inlineStr">
        <is>
          <t>Propuesta semántica</t>
        </is>
      </c>
      <c r="R1215" s="18" t="inlineStr">
        <is>
          <t>Nombre del usuario que generó el evento del riesgo. Por defecto, Sistema, cuando el cambio es automático.</t>
        </is>
      </c>
      <c r="S1215" s="18" t="inlineStr">
        <is>
          <t>Media</t>
        </is>
      </c>
      <c r="T1215" s="18" t="inlineStr">
        <is>
          <t>nombre + tipo + defecto</t>
        </is>
      </c>
      <c r="U1215" s="18" t="inlineStr">
        <is>
          <t>¿Se guarda el nombre o el correo del usuario?</t>
        </is>
      </c>
      <c r="V1215" s="19" t="inlineStr">
        <is>
          <t>Pendiente</t>
        </is>
      </c>
      <c r="W1215" s="19" t="inlineStr"/>
      <c r="X1215" s="19" t="inlineStr"/>
      <c r="Y1215" s="20" t="n"/>
      <c r="Z1215" s="19" t="inlineStr"/>
      <c r="AA1215" s="18">
        <f>IF(OR(V1215="Aprobada"),R1215,IF(AND(OR(V1215="Aprobada con ajuste",V1215="Rechazada"),W1215&lt;&gt;""),W1215,""))</f>
        <v/>
      </c>
    </row>
    <row r="1216">
      <c r="A1216" s="18" t="inlineStr">
        <is>
          <t>C1215</t>
        </is>
      </c>
      <c r="B1216" s="18" t="inlineStr">
        <is>
          <t>Gestión jurídica</t>
        </is>
      </c>
      <c r="C1216" s="18" t="inlineStr">
        <is>
          <t>legal_management</t>
        </is>
      </c>
      <c r="D1216" s="18" t="inlineStr">
        <is>
          <t>riesgos</t>
        </is>
      </c>
      <c r="E1216" s="18" t="n">
        <v>6</v>
      </c>
      <c r="F1216" s="18" t="inlineStr">
        <is>
          <t>codigo</t>
        </is>
      </c>
      <c r="G1216" s="18" t="inlineStr">
        <is>
          <t>character varying(30)</t>
        </is>
      </c>
      <c r="H1216" s="18" t="inlineStr">
        <is>
          <t>No</t>
        </is>
      </c>
      <c r="I1216" s="18" t="inlineStr">
        <is>
          <t>Única</t>
        </is>
      </c>
      <c r="J1216" s="18" t="inlineStr"/>
      <c r="K1216" s="18" t="inlineStr"/>
      <c r="L1216" s="18" t="inlineStr">
        <is>
          <t>No</t>
        </is>
      </c>
      <c r="M1216" s="18" t="inlineStr">
        <is>
          <t>No</t>
        </is>
      </c>
      <c r="N1216" s="18" t="inlineStr"/>
      <c r="O1216" s="18" t="inlineStr">
        <is>
          <t>idx_riesgos_codigo, riesgos_codigo_key</t>
        </is>
      </c>
      <c r="P1216" s="18" t="inlineStr">
        <is>
          <t>Mapeada en legal-management-service/src/entities/riesgo.entity.ts:13 (Riesgo.codigo)</t>
        </is>
      </c>
      <c r="Q1216" s="18" t="inlineStr">
        <is>
          <t>Regla estructural</t>
        </is>
      </c>
      <c r="R1216" s="18" t="inlineStr">
        <is>
          <t>Código del registro de riesgos. Único en la tabla.</t>
        </is>
      </c>
      <c r="S1216" s="18" t="inlineStr">
        <is>
          <t>Media</t>
        </is>
      </c>
      <c r="T1216" s="18" t="inlineStr">
        <is>
          <t>Convención de nombre de la columna.</t>
        </is>
      </c>
      <c r="U1216" s="18" t="inlineStr"/>
      <c r="V1216" s="19" t="inlineStr">
        <is>
          <t>Pendiente</t>
        </is>
      </c>
      <c r="W1216" s="19" t="inlineStr"/>
      <c r="X1216" s="19" t="inlineStr"/>
      <c r="Y1216" s="20" t="n"/>
      <c r="Z1216" s="19" t="inlineStr"/>
      <c r="AA1216" s="18">
        <f>IF(OR(V1216="Aprobada"),R1216,IF(AND(OR(V1216="Aprobada con ajuste",V1216="Rechazada"),W1216&lt;&gt;""),W1216,""))</f>
        <v/>
      </c>
    </row>
    <row r="1217">
      <c r="A1217" s="18" t="inlineStr">
        <is>
          <t>C1216</t>
        </is>
      </c>
      <c r="B1217" s="18" t="inlineStr">
        <is>
          <t>Gestión jurídica</t>
        </is>
      </c>
      <c r="C1217" s="18" t="inlineStr">
        <is>
          <t>legal_management</t>
        </is>
      </c>
      <c r="D1217" s="18" t="inlineStr">
        <is>
          <t>riesgos</t>
        </is>
      </c>
      <c r="E1217" s="18" t="n">
        <v>6</v>
      </c>
      <c r="F1217" s="18" t="inlineStr">
        <is>
          <t>nombre</t>
        </is>
      </c>
      <c r="G1217" s="18" t="inlineStr">
        <is>
          <t>character varying(255)</t>
        </is>
      </c>
      <c r="H1217" s="18" t="inlineStr">
        <is>
          <t>No</t>
        </is>
      </c>
      <c r="I1217" s="18" t="inlineStr"/>
      <c r="J1217" s="18" t="inlineStr"/>
      <c r="K1217" s="18" t="inlineStr"/>
      <c r="L1217" s="18" t="inlineStr">
        <is>
          <t>No</t>
        </is>
      </c>
      <c r="M1217" s="18" t="inlineStr">
        <is>
          <t>No</t>
        </is>
      </c>
      <c r="N1217" s="18" t="inlineStr"/>
      <c r="O1217" s="18" t="inlineStr"/>
      <c r="P1217" s="18" t="inlineStr">
        <is>
          <t>Mapeada en legal-management-service/src/entities/riesgo.entity.ts:16 (Riesgo.nombre)</t>
        </is>
      </c>
      <c r="Q1217" s="18" t="inlineStr">
        <is>
          <t>Regla estructural</t>
        </is>
      </c>
      <c r="R1217" s="18" t="inlineStr">
        <is>
          <t>Nombre del registro de riesgos.</t>
        </is>
      </c>
      <c r="S1217" s="18" t="inlineStr">
        <is>
          <t>Media</t>
        </is>
      </c>
      <c r="T1217" s="18" t="inlineStr">
        <is>
          <t>Convención de nombre de la columna.</t>
        </is>
      </c>
      <c r="U1217" s="18" t="inlineStr"/>
      <c r="V1217" s="19" t="inlineStr">
        <is>
          <t>Pendiente</t>
        </is>
      </c>
      <c r="W1217" s="19" t="inlineStr"/>
      <c r="X1217" s="19" t="inlineStr"/>
      <c r="Y1217" s="20" t="n"/>
      <c r="Z1217" s="19" t="inlineStr"/>
      <c r="AA1217" s="18">
        <f>IF(OR(V1217="Aprobada"),R1217,IF(AND(OR(V1217="Aprobada con ajuste",V1217="Rechazada"),W1217&lt;&gt;""),W1217,""))</f>
        <v/>
      </c>
    </row>
    <row r="1218">
      <c r="A1218" s="18" t="inlineStr">
        <is>
          <t>C1217</t>
        </is>
      </c>
      <c r="B1218" s="18" t="inlineStr">
        <is>
          <t>Gestión jurídica</t>
        </is>
      </c>
      <c r="C1218" s="18" t="inlineStr">
        <is>
          <t>legal_management</t>
        </is>
      </c>
      <c r="D1218" s="18" t="inlineStr">
        <is>
          <t>riesgos</t>
        </is>
      </c>
      <c r="E1218" s="18" t="n">
        <v>6</v>
      </c>
      <c r="F1218" s="18" t="inlineStr">
        <is>
          <t>descripcion</t>
        </is>
      </c>
      <c r="G1218" s="18" t="inlineStr">
        <is>
          <t>text</t>
        </is>
      </c>
      <c r="H1218" s="18" t="inlineStr">
        <is>
          <t>No</t>
        </is>
      </c>
      <c r="I1218" s="18" t="inlineStr"/>
      <c r="J1218" s="18" t="inlineStr"/>
      <c r="K1218" s="18" t="inlineStr"/>
      <c r="L1218" s="18" t="inlineStr">
        <is>
          <t>No</t>
        </is>
      </c>
      <c r="M1218" s="18" t="inlineStr">
        <is>
          <t>No</t>
        </is>
      </c>
      <c r="N1218" s="18" t="inlineStr"/>
      <c r="O1218" s="18" t="inlineStr"/>
      <c r="P1218" s="18" t="inlineStr">
        <is>
          <t>Mapeada en legal-management-service/src/entities/riesgo.entity.ts:19 (Riesgo.descripcion)</t>
        </is>
      </c>
      <c r="Q1218" s="18" t="inlineStr">
        <is>
          <t>Regla estructural</t>
        </is>
      </c>
      <c r="R1218" s="18" t="inlineStr">
        <is>
          <t>Descripción del registro de riesgos.</t>
        </is>
      </c>
      <c r="S1218" s="18" t="inlineStr">
        <is>
          <t>Media</t>
        </is>
      </c>
      <c r="T1218" s="18" t="inlineStr">
        <is>
          <t>Convención de nombre de la columna.</t>
        </is>
      </c>
      <c r="U1218" s="18" t="inlineStr"/>
      <c r="V1218" s="19" t="inlineStr">
        <is>
          <t>Pendiente</t>
        </is>
      </c>
      <c r="W1218" s="19" t="inlineStr"/>
      <c r="X1218" s="19" t="inlineStr"/>
      <c r="Y1218" s="20" t="n"/>
      <c r="Z1218" s="19" t="inlineStr"/>
      <c r="AA1218" s="18">
        <f>IF(OR(V1218="Aprobada"),R1218,IF(AND(OR(V1218="Aprobada con ajuste",V1218="Rechazada"),W1218&lt;&gt;""),W1218,""))</f>
        <v/>
      </c>
    </row>
    <row r="1219">
      <c r="A1219" s="18" t="inlineStr">
        <is>
          <t>C1218</t>
        </is>
      </c>
      <c r="B1219" s="18" t="inlineStr">
        <is>
          <t>Gestión jurídica</t>
        </is>
      </c>
      <c r="C1219" s="18" t="inlineStr">
        <is>
          <t>legal_management</t>
        </is>
      </c>
      <c r="D1219" s="18" t="inlineStr">
        <is>
          <t>riesgos</t>
        </is>
      </c>
      <c r="E1219" s="18" t="n">
        <v>6</v>
      </c>
      <c r="F1219" s="18" t="inlineStr">
        <is>
          <t>proceso</t>
        </is>
      </c>
      <c r="G1219" s="18" t="inlineStr">
        <is>
          <t>character varying(100)</t>
        </is>
      </c>
      <c r="H1219" s="18" t="inlineStr">
        <is>
          <t>No</t>
        </is>
      </c>
      <c r="I1219" s="18" t="inlineStr"/>
      <c r="J1219" s="18" t="inlineStr"/>
      <c r="K1219" s="18" t="inlineStr"/>
      <c r="L1219" s="18" t="inlineStr">
        <is>
          <t>No</t>
        </is>
      </c>
      <c r="M1219" s="18" t="inlineStr">
        <is>
          <t>No</t>
        </is>
      </c>
      <c r="N1219" s="18" t="inlineStr"/>
      <c r="O1219" s="18" t="inlineStr">
        <is>
          <t>idx_riesgos_proceso</t>
        </is>
      </c>
      <c r="P1219" s="18" t="inlineStr">
        <is>
          <t>Mapeada en legal-management-service/src/entities/riesgo.entity.ts:22 (Riesgo.proceso)</t>
        </is>
      </c>
      <c r="Q1219" s="18" t="inlineStr">
        <is>
          <t>Propuesta semántica</t>
        </is>
      </c>
      <c r="R1219" s="18" t="inlineStr">
        <is>
          <t>Proceso institucional al que pertenece el riesgo.</t>
        </is>
      </c>
      <c r="S1219" s="18" t="inlineStr">
        <is>
          <t>Media</t>
        </is>
      </c>
      <c r="T1219" s="18" t="inlineStr">
        <is>
          <t>nombre + tipo + índice</t>
        </is>
      </c>
      <c r="U1219" s="18" t="inlineStr">
        <is>
          <t>¿El proceso se toma de un catálogo o es texto libre? ¿Qué relación tiene con proceso_id?</t>
        </is>
      </c>
      <c r="V1219" s="19" t="inlineStr">
        <is>
          <t>Pendiente</t>
        </is>
      </c>
      <c r="W1219" s="19" t="inlineStr"/>
      <c r="X1219" s="19" t="inlineStr"/>
      <c r="Y1219" s="20" t="n"/>
      <c r="Z1219" s="19" t="inlineStr"/>
      <c r="AA1219" s="18">
        <f>IF(OR(V1219="Aprobada"),R1219,IF(AND(OR(V1219="Aprobada con ajuste",V1219="Rechazada"),W1219&lt;&gt;""),W1219,""))</f>
        <v/>
      </c>
    </row>
    <row r="1220">
      <c r="A1220" s="18" t="inlineStr">
        <is>
          <t>C1219</t>
        </is>
      </c>
      <c r="B1220" s="18" t="inlineStr">
        <is>
          <t>Gestión jurídica</t>
        </is>
      </c>
      <c r="C1220" s="18" t="inlineStr">
        <is>
          <t>legal_management</t>
        </is>
      </c>
      <c r="D1220" s="18" t="inlineStr">
        <is>
          <t>riesgos</t>
        </is>
      </c>
      <c r="E1220" s="18" t="n">
        <v>6</v>
      </c>
      <c r="F1220" s="18" t="inlineStr">
        <is>
          <t>tipo_riesgo</t>
        </is>
      </c>
      <c r="G1220" s="18" t="inlineStr">
        <is>
          <t>character varying(30)</t>
        </is>
      </c>
      <c r="H1220" s="18" t="inlineStr">
        <is>
          <t>No</t>
        </is>
      </c>
      <c r="I1220" s="18" t="inlineStr">
        <is>
          <t>CHECK</t>
        </is>
      </c>
      <c r="J1220" s="18" t="inlineStr">
        <is>
          <t>CORRUPCION, FISCAL, GESTION, SEGURIDAD_DIGITAL</t>
        </is>
      </c>
      <c r="K1220" s="18" t="inlineStr"/>
      <c r="L1220" s="18" t="inlineStr">
        <is>
          <t>Sí</t>
        </is>
      </c>
      <c r="M1220" s="18" t="inlineStr">
        <is>
          <t>No</t>
        </is>
      </c>
      <c r="N1220" s="18" t="inlineStr"/>
      <c r="O1220" s="18" t="inlineStr">
        <is>
          <t>idx_riesgos_tipo</t>
        </is>
      </c>
      <c r="P1220" s="18" t="inlineStr">
        <is>
          <t>Mapeada en legal-management-service/src/entities/riesgo.entity.ts:25 (Riesgo.tipoRiesgo)</t>
        </is>
      </c>
      <c r="Q1220" s="18" t="inlineStr">
        <is>
          <t>Propuesta semántica</t>
        </is>
      </c>
      <c r="R1220" s="18" t="inlineStr">
        <is>
          <t>Tipo de riesgo. Valores permitidos: CORRUPCION, FISCAL, GESTION, SEGURIDAD_DIGITAL.</t>
        </is>
      </c>
      <c r="S1220" s="18" t="inlineStr">
        <is>
          <t>Alta</t>
        </is>
      </c>
      <c r="T1220" s="18" t="inlineStr">
        <is>
          <t>valores permitidos del CHECK</t>
        </is>
      </c>
      <c r="U1220" s="18" t="inlineStr"/>
      <c r="V1220" s="19" t="inlineStr">
        <is>
          <t>Pendiente</t>
        </is>
      </c>
      <c r="W1220" s="19" t="inlineStr"/>
      <c r="X1220" s="19" t="inlineStr"/>
      <c r="Y1220" s="20" t="n"/>
      <c r="Z1220" s="19" t="inlineStr"/>
      <c r="AA1220" s="18">
        <f>IF(OR(V1220="Aprobada"),R1220,IF(AND(OR(V1220="Aprobada con ajuste",V1220="Rechazada"),W1220&lt;&gt;""),W1220,""))</f>
        <v/>
      </c>
    </row>
    <row r="1221">
      <c r="A1221" s="18" t="inlineStr">
        <is>
          <t>C1220</t>
        </is>
      </c>
      <c r="B1221" s="18" t="inlineStr">
        <is>
          <t>Gestión jurídica</t>
        </is>
      </c>
      <c r="C1221" s="18" t="inlineStr">
        <is>
          <t>legal_management</t>
        </is>
      </c>
      <c r="D1221" s="18" t="inlineStr">
        <is>
          <t>riesgos</t>
        </is>
      </c>
      <c r="E1221" s="18" t="n">
        <v>6</v>
      </c>
      <c r="F1221" s="18" t="inlineStr">
        <is>
          <t>etapa</t>
        </is>
      </c>
      <c r="G1221" s="18" t="inlineStr">
        <is>
          <t>character varying(30)</t>
        </is>
      </c>
      <c r="H1221" s="18" t="inlineStr">
        <is>
          <t>Sí</t>
        </is>
      </c>
      <c r="I1221" s="18" t="inlineStr">
        <is>
          <t>CHECK</t>
        </is>
      </c>
      <c r="J1221" s="18" t="inlineStr">
        <is>
          <t>ANALIZADO, CERRADO, IDENTIFICADO, MATERIALIZADO, MONITOREO, TRATAMIENTO, VALORADO</t>
        </is>
      </c>
      <c r="K1221" s="18" t="inlineStr"/>
      <c r="L1221" s="18" t="inlineStr">
        <is>
          <t>Sí</t>
        </is>
      </c>
      <c r="M1221" s="18" t="inlineStr">
        <is>
          <t>No</t>
        </is>
      </c>
      <c r="N1221" s="18" t="inlineStr"/>
      <c r="O1221" s="18" t="inlineStr">
        <is>
          <t>idx_riesgos_etapa</t>
        </is>
      </c>
      <c r="P1221" s="18" t="inlineStr">
        <is>
          <t>Mapeada en legal-management-service/src/entities/riesgo.entity.ts:28 (Riesgo.etapa)</t>
        </is>
      </c>
      <c r="Q1221" s="18" t="inlineStr">
        <is>
          <t>Propuesta semántica</t>
        </is>
      </c>
      <c r="R1221" s="18" t="inlineStr">
        <is>
          <t>Etapa del ciclo de gestión del riesgo. Valores permitidos: ANALIZADO, CERRADO, IDENTIFICADO, MATERIALIZADO, MONITOREO, TRATAMIENTO, VALORADO. Por defecto, IDENTIFICADO.</t>
        </is>
      </c>
      <c r="S1221" s="18" t="inlineStr">
        <is>
          <t>Alta</t>
        </is>
      </c>
      <c r="T1221" s="18" t="inlineStr">
        <is>
          <t>valores permitidos del CHECK</t>
        </is>
      </c>
      <c r="U1221" s="18" t="inlineStr"/>
      <c r="V1221" s="19" t="inlineStr">
        <is>
          <t>Pendiente</t>
        </is>
      </c>
      <c r="W1221" s="19" t="inlineStr"/>
      <c r="X1221" s="19" t="inlineStr"/>
      <c r="Y1221" s="20" t="n"/>
      <c r="Z1221" s="19" t="inlineStr"/>
      <c r="AA1221" s="18">
        <f>IF(OR(V1221="Aprobada"),R1221,IF(AND(OR(V1221="Aprobada con ajuste",V1221="Rechazada"),W1221&lt;&gt;""),W1221,""))</f>
        <v/>
      </c>
    </row>
    <row r="1222">
      <c r="A1222" s="18" t="inlineStr">
        <is>
          <t>C1221</t>
        </is>
      </c>
      <c r="B1222" s="18" t="inlineStr">
        <is>
          <t>Gestión jurídica</t>
        </is>
      </c>
      <c r="C1222" s="18" t="inlineStr">
        <is>
          <t>legal_management</t>
        </is>
      </c>
      <c r="D1222" s="18" t="inlineStr">
        <is>
          <t>riesgos</t>
        </is>
      </c>
      <c r="E1222" s="18" t="n">
        <v>6</v>
      </c>
      <c r="F1222" s="18" t="inlineStr">
        <is>
          <t>probabilidad_inherente</t>
        </is>
      </c>
      <c r="G1222" s="18" t="inlineStr">
        <is>
          <t>integer</t>
        </is>
      </c>
      <c r="H1222" s="18" t="inlineStr">
        <is>
          <t>Sí</t>
        </is>
      </c>
      <c r="I1222" s="18" t="inlineStr">
        <is>
          <t>CHECK</t>
        </is>
      </c>
      <c r="J1222" s="18" t="inlineStr"/>
      <c r="K1222" s="18" t="inlineStr"/>
      <c r="L1222" s="18" t="inlineStr">
        <is>
          <t>No</t>
        </is>
      </c>
      <c r="M1222" s="18" t="inlineStr">
        <is>
          <t>No</t>
        </is>
      </c>
      <c r="N1222" s="18" t="inlineStr"/>
      <c r="O1222" s="18" t="inlineStr"/>
      <c r="P1222" s="18" t="inlineStr">
        <is>
          <t>legal-management-service/src/entities/riesgo.entity.ts:32: Valoración Inherente</t>
        </is>
      </c>
      <c r="Q1222" s="18" t="inlineStr">
        <is>
          <t>Código fuente</t>
        </is>
      </c>
      <c r="R1222" s="18" t="inlineStr">
        <is>
          <t>Probabilidad inherente del riesgo (valoración antes de controles). Valor por defecto: 3.</t>
        </is>
      </c>
      <c r="S1222" s="18" t="inlineStr">
        <is>
          <t>Media</t>
        </is>
      </c>
      <c r="T1222" s="18" t="inlineStr">
        <is>
          <t>código: legal-management-service/src/entities/riesgo.entity.ts:32</t>
        </is>
      </c>
      <c r="U1222" s="18" t="inlineStr">
        <is>
          <t>¿Qué escala usa la probabilidad (por ejemplo, 1 a 5) y qué significa cada nivel?</t>
        </is>
      </c>
      <c r="V1222" s="19" t="inlineStr">
        <is>
          <t>Pendiente</t>
        </is>
      </c>
      <c r="W1222" s="19" t="inlineStr"/>
      <c r="X1222" s="19" t="inlineStr"/>
      <c r="Y1222" s="20" t="n"/>
      <c r="Z1222" s="19" t="inlineStr"/>
      <c r="AA1222" s="18">
        <f>IF(OR(V1222="Aprobada"),R1222,IF(AND(OR(V1222="Aprobada con ajuste",V1222="Rechazada"),W1222&lt;&gt;""),W1222,""))</f>
        <v/>
      </c>
    </row>
    <row r="1223">
      <c r="A1223" s="18" t="inlineStr">
        <is>
          <t>C1222</t>
        </is>
      </c>
      <c r="B1223" s="18" t="inlineStr">
        <is>
          <t>Gestión jurídica</t>
        </is>
      </c>
      <c r="C1223" s="18" t="inlineStr">
        <is>
          <t>legal_management</t>
        </is>
      </c>
      <c r="D1223" s="18" t="inlineStr">
        <is>
          <t>riesgos</t>
        </is>
      </c>
      <c r="E1223" s="18" t="n">
        <v>6</v>
      </c>
      <c r="F1223" s="18" t="inlineStr">
        <is>
          <t>impacto_inherente</t>
        </is>
      </c>
      <c r="G1223" s="18" t="inlineStr">
        <is>
          <t>integer</t>
        </is>
      </c>
      <c r="H1223" s="18" t="inlineStr">
        <is>
          <t>Sí</t>
        </is>
      </c>
      <c r="I1223" s="18" t="inlineStr">
        <is>
          <t>CHECK</t>
        </is>
      </c>
      <c r="J1223" s="18" t="inlineStr"/>
      <c r="K1223" s="18" t="inlineStr"/>
      <c r="L1223" s="18" t="inlineStr">
        <is>
          <t>No</t>
        </is>
      </c>
      <c r="M1223" s="18" t="inlineStr">
        <is>
          <t>No</t>
        </is>
      </c>
      <c r="N1223" s="18" t="inlineStr"/>
      <c r="O1223" s="18" t="inlineStr"/>
      <c r="P1223" s="18" t="inlineStr">
        <is>
          <t>Mapeada en legal-management-service/src/entities/riesgo.entity.ts:35 (Riesgo.impactoInherente)</t>
        </is>
      </c>
      <c r="Q1223" s="18" t="inlineStr">
        <is>
          <t>Propuesta semántica</t>
        </is>
      </c>
      <c r="R1223" s="18" t="inlineStr">
        <is>
          <t>Nivel de impacto del riesgo inherente. Por defecto, 3.</t>
        </is>
      </c>
      <c r="S1223" s="18" t="inlineStr">
        <is>
          <t>Media</t>
        </is>
      </c>
      <c r="T1223" s="18" t="inlineStr">
        <is>
          <t>nombre + tipo + defecto</t>
        </is>
      </c>
      <c r="U1223" s="18" t="inlineStr">
        <is>
          <t>¿La escala del impacto es de 1 a 5?</t>
        </is>
      </c>
      <c r="V1223" s="19" t="inlineStr">
        <is>
          <t>Pendiente</t>
        </is>
      </c>
      <c r="W1223" s="19" t="inlineStr"/>
      <c r="X1223" s="19" t="inlineStr"/>
      <c r="Y1223" s="20" t="n"/>
      <c r="Z1223" s="19" t="inlineStr"/>
      <c r="AA1223" s="18">
        <f>IF(OR(V1223="Aprobada"),R1223,IF(AND(OR(V1223="Aprobada con ajuste",V1223="Rechazada"),W1223&lt;&gt;""),W1223,""))</f>
        <v/>
      </c>
    </row>
    <row r="1224">
      <c r="A1224" s="18" t="inlineStr">
        <is>
          <t>C1223</t>
        </is>
      </c>
      <c r="B1224" s="18" t="inlineStr">
        <is>
          <t>Gestión jurídica</t>
        </is>
      </c>
      <c r="C1224" s="18" t="inlineStr">
        <is>
          <t>legal_management</t>
        </is>
      </c>
      <c r="D1224" s="18" t="inlineStr">
        <is>
          <t>riesgos</t>
        </is>
      </c>
      <c r="E1224" s="18" t="n">
        <v>6</v>
      </c>
      <c r="F1224" s="18" t="inlineStr">
        <is>
          <t>zona_inherente</t>
        </is>
      </c>
      <c r="G1224" s="18" t="inlineStr">
        <is>
          <t>character varying(20)</t>
        </is>
      </c>
      <c r="H1224" s="18" t="inlineStr">
        <is>
          <t>Sí</t>
        </is>
      </c>
      <c r="I1224" s="18" t="inlineStr">
        <is>
          <t>CHECK</t>
        </is>
      </c>
      <c r="J1224" s="18" t="inlineStr">
        <is>
          <t>ALTO, BAJO, EXTREMO, MODERADO</t>
        </is>
      </c>
      <c r="K1224" s="18" t="inlineStr"/>
      <c r="L1224" s="18" t="inlineStr">
        <is>
          <t>Sí</t>
        </is>
      </c>
      <c r="M1224" s="18" t="inlineStr">
        <is>
          <t>No</t>
        </is>
      </c>
      <c r="N1224" s="18" t="inlineStr"/>
      <c r="O1224" s="18" t="inlineStr"/>
      <c r="P1224" s="18" t="inlineStr">
        <is>
          <t>Mapeada en legal-management-service/src/entities/riesgo.entity.ts:38 (Riesgo.zonaInherente)</t>
        </is>
      </c>
      <c r="Q1224" s="18" t="inlineStr">
        <is>
          <t>Propuesta semántica</t>
        </is>
      </c>
      <c r="R1224" s="18" t="inlineStr">
        <is>
          <t>Zona de riesgo inherente. Valores permitidos: ALTO, BAJO, EXTREMO, MODERADO. Por defecto, MODERADO.</t>
        </is>
      </c>
      <c r="S1224" s="18" t="inlineStr">
        <is>
          <t>Alta</t>
        </is>
      </c>
      <c r="T1224" s="18" t="inlineStr">
        <is>
          <t>valores permitidos del CHECK</t>
        </is>
      </c>
      <c r="U1224" s="18" t="inlineStr"/>
      <c r="V1224" s="19" t="inlineStr">
        <is>
          <t>Pendiente</t>
        </is>
      </c>
      <c r="W1224" s="19" t="inlineStr"/>
      <c r="X1224" s="19" t="inlineStr"/>
      <c r="Y1224" s="20" t="n"/>
      <c r="Z1224" s="19" t="inlineStr"/>
      <c r="AA1224" s="18">
        <f>IF(OR(V1224="Aprobada"),R1224,IF(AND(OR(V1224="Aprobada con ajuste",V1224="Rechazada"),W1224&lt;&gt;""),W1224,""))</f>
        <v/>
      </c>
    </row>
    <row r="1225">
      <c r="A1225" s="18" t="inlineStr">
        <is>
          <t>C1224</t>
        </is>
      </c>
      <c r="B1225" s="18" t="inlineStr">
        <is>
          <t>Gestión jurídica</t>
        </is>
      </c>
      <c r="C1225" s="18" t="inlineStr">
        <is>
          <t>legal_management</t>
        </is>
      </c>
      <c r="D1225" s="18" t="inlineStr">
        <is>
          <t>riesgos</t>
        </is>
      </c>
      <c r="E1225" s="18" t="n">
        <v>6</v>
      </c>
      <c r="F1225" s="18" t="inlineStr">
        <is>
          <t>probabilidad_residual</t>
        </is>
      </c>
      <c r="G1225" s="18" t="inlineStr">
        <is>
          <t>integer</t>
        </is>
      </c>
      <c r="H1225" s="18" t="inlineStr">
        <is>
          <t>Sí</t>
        </is>
      </c>
      <c r="I1225" s="18" t="inlineStr">
        <is>
          <t>CHECK</t>
        </is>
      </c>
      <c r="J1225" s="18" t="inlineStr"/>
      <c r="K1225" s="18" t="inlineStr"/>
      <c r="L1225" s="18" t="inlineStr">
        <is>
          <t>No</t>
        </is>
      </c>
      <c r="M1225" s="18" t="inlineStr">
        <is>
          <t>No</t>
        </is>
      </c>
      <c r="N1225" s="18" t="inlineStr"/>
      <c r="O1225" s="18" t="inlineStr"/>
      <c r="P1225" s="18" t="inlineStr">
        <is>
          <t>legal-management-service/src/entities/riesgo.entity.ts:42: Valoración Residual</t>
        </is>
      </c>
      <c r="Q1225" s="18" t="inlineStr">
        <is>
          <t>Código fuente</t>
        </is>
      </c>
      <c r="R1225" s="18" t="inlineStr">
        <is>
          <t>Probabilidad residual del riesgo (valoración después de controles). Valor por defecto: 3.</t>
        </is>
      </c>
      <c r="S1225" s="18" t="inlineStr">
        <is>
          <t>Media</t>
        </is>
      </c>
      <c r="T1225" s="18" t="inlineStr">
        <is>
          <t>código: legal-management-service/src/entities/riesgo.entity.ts:42</t>
        </is>
      </c>
      <c r="U1225" s="18" t="inlineStr">
        <is>
          <t>¿Qué escala usa la probabilidad (por ejemplo, 1 a 5) y qué significa cada nivel?</t>
        </is>
      </c>
      <c r="V1225" s="19" t="inlineStr">
        <is>
          <t>Pendiente</t>
        </is>
      </c>
      <c r="W1225" s="19" t="inlineStr"/>
      <c r="X1225" s="19" t="inlineStr"/>
      <c r="Y1225" s="20" t="n"/>
      <c r="Z1225" s="19" t="inlineStr"/>
      <c r="AA1225" s="18">
        <f>IF(OR(V1225="Aprobada"),R1225,IF(AND(OR(V1225="Aprobada con ajuste",V1225="Rechazada"),W1225&lt;&gt;""),W1225,""))</f>
        <v/>
      </c>
    </row>
    <row r="1226">
      <c r="A1226" s="18" t="inlineStr">
        <is>
          <t>C1225</t>
        </is>
      </c>
      <c r="B1226" s="18" t="inlineStr">
        <is>
          <t>Gestión jurídica</t>
        </is>
      </c>
      <c r="C1226" s="18" t="inlineStr">
        <is>
          <t>legal_management</t>
        </is>
      </c>
      <c r="D1226" s="18" t="inlineStr">
        <is>
          <t>riesgos</t>
        </is>
      </c>
      <c r="E1226" s="18" t="n">
        <v>6</v>
      </c>
      <c r="F1226" s="18" t="inlineStr">
        <is>
          <t>impacto_residual</t>
        </is>
      </c>
      <c r="G1226" s="18" t="inlineStr">
        <is>
          <t>integer</t>
        </is>
      </c>
      <c r="H1226" s="18" t="inlineStr">
        <is>
          <t>Sí</t>
        </is>
      </c>
      <c r="I1226" s="18" t="inlineStr">
        <is>
          <t>CHECK</t>
        </is>
      </c>
      <c r="J1226" s="18" t="inlineStr"/>
      <c r="K1226" s="18" t="inlineStr"/>
      <c r="L1226" s="18" t="inlineStr">
        <is>
          <t>No</t>
        </is>
      </c>
      <c r="M1226" s="18" t="inlineStr">
        <is>
          <t>No</t>
        </is>
      </c>
      <c r="N1226" s="18" t="inlineStr"/>
      <c r="O1226" s="18" t="inlineStr"/>
      <c r="P1226" s="18" t="inlineStr">
        <is>
          <t>Mapeada en legal-management-service/src/entities/riesgo.entity.ts:45 (Riesgo.impactoResidual)</t>
        </is>
      </c>
      <c r="Q1226" s="18" t="inlineStr">
        <is>
          <t>Propuesta semántica</t>
        </is>
      </c>
      <c r="R1226" s="18" t="inlineStr">
        <is>
          <t>Nivel de impacto del riesgo residual, después de aplicar los controles. Por defecto, 3.</t>
        </is>
      </c>
      <c r="S1226" s="18" t="inlineStr">
        <is>
          <t>Media</t>
        </is>
      </c>
      <c r="T1226" s="18" t="inlineStr">
        <is>
          <t>nombre + tipo + defecto</t>
        </is>
      </c>
      <c r="U1226" s="18" t="inlineStr">
        <is>
          <t>¿La escala del impacto es de 1 a 5?</t>
        </is>
      </c>
      <c r="V1226" s="19" t="inlineStr">
        <is>
          <t>Pendiente</t>
        </is>
      </c>
      <c r="W1226" s="19" t="inlineStr"/>
      <c r="X1226" s="19" t="inlineStr"/>
      <c r="Y1226" s="20" t="n"/>
      <c r="Z1226" s="19" t="inlineStr"/>
      <c r="AA1226" s="18">
        <f>IF(OR(V1226="Aprobada"),R1226,IF(AND(OR(V1226="Aprobada con ajuste",V1226="Rechazada"),W1226&lt;&gt;""),W1226,""))</f>
        <v/>
      </c>
    </row>
    <row r="1227">
      <c r="A1227" s="18" t="inlineStr">
        <is>
          <t>C1226</t>
        </is>
      </c>
      <c r="B1227" s="18" t="inlineStr">
        <is>
          <t>Gestión jurídica</t>
        </is>
      </c>
      <c r="C1227" s="18" t="inlineStr">
        <is>
          <t>legal_management</t>
        </is>
      </c>
      <c r="D1227" s="18" t="inlineStr">
        <is>
          <t>riesgos</t>
        </is>
      </c>
      <c r="E1227" s="18" t="n">
        <v>6</v>
      </c>
      <c r="F1227" s="18" t="inlineStr">
        <is>
          <t>zona_residual</t>
        </is>
      </c>
      <c r="G1227" s="18" t="inlineStr">
        <is>
          <t>character varying(20)</t>
        </is>
      </c>
      <c r="H1227" s="18" t="inlineStr">
        <is>
          <t>Sí</t>
        </is>
      </c>
      <c r="I1227" s="18" t="inlineStr">
        <is>
          <t>CHECK</t>
        </is>
      </c>
      <c r="J1227" s="18" t="inlineStr">
        <is>
          <t>ALTO, BAJO, EXTREMO, MODERADO</t>
        </is>
      </c>
      <c r="K1227" s="18" t="inlineStr"/>
      <c r="L1227" s="18" t="inlineStr">
        <is>
          <t>Sí</t>
        </is>
      </c>
      <c r="M1227" s="18" t="inlineStr">
        <is>
          <t>No</t>
        </is>
      </c>
      <c r="N1227" s="18" t="inlineStr"/>
      <c r="O1227" s="18" t="inlineStr">
        <is>
          <t>idx_riesgos_zona</t>
        </is>
      </c>
      <c r="P1227" s="18" t="inlineStr">
        <is>
          <t>Mapeada en legal-management-service/src/entities/riesgo.entity.ts:48 (Riesgo.zonaResidual)</t>
        </is>
      </c>
      <c r="Q1227" s="18" t="inlineStr">
        <is>
          <t>Propuesta semántica</t>
        </is>
      </c>
      <c r="R1227" s="18" t="inlineStr">
        <is>
          <t>Zona de riesgo residual, después de aplicar los controles. Valores permitidos: ALTO, BAJO, EXTREMO, MODERADO. Por defecto, MODERADO.</t>
        </is>
      </c>
      <c r="S1227" s="18" t="inlineStr">
        <is>
          <t>Alta</t>
        </is>
      </c>
      <c r="T1227" s="18" t="inlineStr">
        <is>
          <t>valores permitidos del CHECK</t>
        </is>
      </c>
      <c r="U1227" s="18" t="inlineStr"/>
      <c r="V1227" s="19" t="inlineStr">
        <is>
          <t>Pendiente</t>
        </is>
      </c>
      <c r="W1227" s="19" t="inlineStr"/>
      <c r="X1227" s="19" t="inlineStr"/>
      <c r="Y1227" s="20" t="n"/>
      <c r="Z1227" s="19" t="inlineStr"/>
      <c r="AA1227" s="18">
        <f>IF(OR(V1227="Aprobada"),R1227,IF(AND(OR(V1227="Aprobada con ajuste",V1227="Rechazada"),W1227&lt;&gt;""),W1227,""))</f>
        <v/>
      </c>
    </row>
    <row r="1228">
      <c r="A1228" s="18" t="inlineStr">
        <is>
          <t>C1227</t>
        </is>
      </c>
      <c r="B1228" s="18" t="inlineStr">
        <is>
          <t>Gestión jurídica</t>
        </is>
      </c>
      <c r="C1228" s="18" t="inlineStr">
        <is>
          <t>legal_management</t>
        </is>
      </c>
      <c r="D1228" s="18" t="inlineStr">
        <is>
          <t>riesgos</t>
        </is>
      </c>
      <c r="E1228" s="18" t="n">
        <v>6</v>
      </c>
      <c r="F1228" s="18" t="inlineStr">
        <is>
          <t>causas</t>
        </is>
      </c>
      <c r="G1228" s="18" t="inlineStr">
        <is>
          <t>jsonb</t>
        </is>
      </c>
      <c r="H1228" s="18" t="inlineStr">
        <is>
          <t>Sí</t>
        </is>
      </c>
      <c r="I1228" s="18" t="inlineStr"/>
      <c r="J1228" s="18" t="inlineStr"/>
      <c r="K1228" s="18" t="inlineStr"/>
      <c r="L1228" s="18" t="inlineStr">
        <is>
          <t>No</t>
        </is>
      </c>
      <c r="M1228" s="18" t="inlineStr">
        <is>
          <t>No</t>
        </is>
      </c>
      <c r="N1228" s="18" t="inlineStr"/>
      <c r="O1228" s="18" t="inlineStr"/>
      <c r="P1228" s="18" t="inlineStr">
        <is>
          <t>legal-management-service/src/entities/riesgo.entity.ts:52: Análisis (JSON arrays)</t>
        </is>
      </c>
      <c r="Q1228" s="18" t="inlineStr">
        <is>
          <t>Código fuente</t>
        </is>
      </c>
      <c r="R1228" s="18" t="inlineStr">
        <is>
          <t>Causas del riesgo, como arreglo JSON.</t>
        </is>
      </c>
      <c r="S1228" s="18" t="inlineStr">
        <is>
          <t>Alta</t>
        </is>
      </c>
      <c r="T1228" s="18" t="inlineStr">
        <is>
          <t>código: legal-management-service/src/entities/riesgo.entity.ts:52</t>
        </is>
      </c>
      <c r="U1228" s="18" t="inlineStr"/>
      <c r="V1228" s="19" t="inlineStr">
        <is>
          <t>Pendiente</t>
        </is>
      </c>
      <c r="W1228" s="19" t="inlineStr"/>
      <c r="X1228" s="19" t="inlineStr"/>
      <c r="Y1228" s="20" t="n"/>
      <c r="Z1228" s="19" t="inlineStr"/>
      <c r="AA1228" s="18">
        <f>IF(OR(V1228="Aprobada"),R1228,IF(AND(OR(V1228="Aprobada con ajuste",V1228="Rechazada"),W1228&lt;&gt;""),W1228,""))</f>
        <v/>
      </c>
    </row>
    <row r="1229">
      <c r="A1229" s="18" t="inlineStr">
        <is>
          <t>C1228</t>
        </is>
      </c>
      <c r="B1229" s="18" t="inlineStr">
        <is>
          <t>Gestión jurídica</t>
        </is>
      </c>
      <c r="C1229" s="18" t="inlineStr">
        <is>
          <t>legal_management</t>
        </is>
      </c>
      <c r="D1229" s="18" t="inlineStr">
        <is>
          <t>riesgos</t>
        </is>
      </c>
      <c r="E1229" s="18" t="n">
        <v>6</v>
      </c>
      <c r="F1229" s="18" t="inlineStr">
        <is>
          <t>consecuencias</t>
        </is>
      </c>
      <c r="G1229" s="18" t="inlineStr">
        <is>
          <t>jsonb</t>
        </is>
      </c>
      <c r="H1229" s="18" t="inlineStr">
        <is>
          <t>Sí</t>
        </is>
      </c>
      <c r="I1229" s="18" t="inlineStr"/>
      <c r="J1229" s="18" t="inlineStr"/>
      <c r="K1229" s="18" t="inlineStr"/>
      <c r="L1229" s="18" t="inlineStr">
        <is>
          <t>No</t>
        </is>
      </c>
      <c r="M1229" s="18" t="inlineStr">
        <is>
          <t>No</t>
        </is>
      </c>
      <c r="N1229" s="18" t="inlineStr"/>
      <c r="O1229" s="18" t="inlineStr"/>
      <c r="P1229" s="18" t="inlineStr">
        <is>
          <t>Mapeada en legal-management-service/src/entities/riesgo.entity.ts:55 (Riesgo.consecuencias)</t>
        </is>
      </c>
      <c r="Q1229" s="18" t="inlineStr">
        <is>
          <t>Propuesta semántica</t>
        </is>
      </c>
      <c r="R1229" s="18" t="inlineStr">
        <is>
          <t>Lista de consecuencias del riesgo, en formato JSON. Por defecto, lista vacía.</t>
        </is>
      </c>
      <c r="S1229" s="18" t="inlineStr">
        <is>
          <t>Alta</t>
        </is>
      </c>
      <c r="T1229" s="18" t="inlineStr">
        <is>
          <t>nombre + tipo + defecto</t>
        </is>
      </c>
      <c r="U1229" s="18" t="inlineStr"/>
      <c r="V1229" s="19" t="inlineStr">
        <is>
          <t>Pendiente</t>
        </is>
      </c>
      <c r="W1229" s="19" t="inlineStr"/>
      <c r="X1229" s="19" t="inlineStr"/>
      <c r="Y1229" s="20" t="n"/>
      <c r="Z1229" s="19" t="inlineStr"/>
      <c r="AA1229" s="18">
        <f>IF(OR(V1229="Aprobada"),R1229,IF(AND(OR(V1229="Aprobada con ajuste",V1229="Rechazada"),W1229&lt;&gt;""),W1229,""))</f>
        <v/>
      </c>
    </row>
    <row r="1230">
      <c r="A1230" s="18" t="inlineStr">
        <is>
          <t>C1229</t>
        </is>
      </c>
      <c r="B1230" s="18" t="inlineStr">
        <is>
          <t>Gestión jurídica</t>
        </is>
      </c>
      <c r="C1230" s="18" t="inlineStr">
        <is>
          <t>legal_management</t>
        </is>
      </c>
      <c r="D1230" s="18" t="inlineStr">
        <is>
          <t>riesgos</t>
        </is>
      </c>
      <c r="E1230" s="18" t="n">
        <v>6</v>
      </c>
      <c r="F1230" s="18" t="inlineStr">
        <is>
          <t>controles_existentes</t>
        </is>
      </c>
      <c r="G1230" s="18" t="inlineStr">
        <is>
          <t>jsonb</t>
        </is>
      </c>
      <c r="H1230" s="18" t="inlineStr">
        <is>
          <t>Sí</t>
        </is>
      </c>
      <c r="I1230" s="18" t="inlineStr"/>
      <c r="J1230" s="18" t="inlineStr"/>
      <c r="K1230" s="18" t="inlineStr"/>
      <c r="L1230" s="18" t="inlineStr">
        <is>
          <t>No</t>
        </is>
      </c>
      <c r="M1230" s="18" t="inlineStr">
        <is>
          <t>No</t>
        </is>
      </c>
      <c r="N1230" s="18" t="inlineStr"/>
      <c r="O1230" s="18" t="inlineStr"/>
      <c r="P1230" s="18" t="inlineStr">
        <is>
          <t>legal-management-service/src/entities/riesgo.entity.ts:59: Controles y Plan de Tratamiento (JSON)</t>
        </is>
      </c>
      <c r="Q1230" s="18" t="inlineStr">
        <is>
          <t>Código fuente</t>
        </is>
      </c>
      <c r="R1230" s="18" t="inlineStr">
        <is>
          <t>Controles existentes del riesgo, como arreglo JSON.</t>
        </is>
      </c>
      <c r="S1230" s="18" t="inlineStr">
        <is>
          <t>Alta</t>
        </is>
      </c>
      <c r="T1230" s="18" t="inlineStr">
        <is>
          <t>código: legal-management-service/src/entities/riesgo.entity.ts:59</t>
        </is>
      </c>
      <c r="U1230" s="18" t="inlineStr"/>
      <c r="V1230" s="19" t="inlineStr">
        <is>
          <t>Pendiente</t>
        </is>
      </c>
      <c r="W1230" s="19" t="inlineStr"/>
      <c r="X1230" s="19" t="inlineStr"/>
      <c r="Y1230" s="20" t="n"/>
      <c r="Z1230" s="19" t="inlineStr"/>
      <c r="AA1230" s="18">
        <f>IF(OR(V1230="Aprobada"),R1230,IF(AND(OR(V1230="Aprobada con ajuste",V1230="Rechazada"),W1230&lt;&gt;""),W1230,""))</f>
        <v/>
      </c>
    </row>
    <row r="1231">
      <c r="A1231" s="18" t="inlineStr">
        <is>
          <t>C1230</t>
        </is>
      </c>
      <c r="B1231" s="18" t="inlineStr">
        <is>
          <t>Gestión jurídica</t>
        </is>
      </c>
      <c r="C1231" s="18" t="inlineStr">
        <is>
          <t>legal_management</t>
        </is>
      </c>
      <c r="D1231" s="18" t="inlineStr">
        <is>
          <t>riesgos</t>
        </is>
      </c>
      <c r="E1231" s="18" t="n">
        <v>6</v>
      </c>
      <c r="F1231" s="18" t="inlineStr">
        <is>
          <t>plan_tratamiento</t>
        </is>
      </c>
      <c r="G1231" s="18" t="inlineStr">
        <is>
          <t>jsonb</t>
        </is>
      </c>
      <c r="H1231" s="18" t="inlineStr">
        <is>
          <t>Sí</t>
        </is>
      </c>
      <c r="I1231" s="18" t="inlineStr"/>
      <c r="J1231" s="18" t="inlineStr"/>
      <c r="K1231" s="18" t="inlineStr"/>
      <c r="L1231" s="18" t="inlineStr">
        <is>
          <t>No</t>
        </is>
      </c>
      <c r="M1231" s="18" t="inlineStr">
        <is>
          <t>No</t>
        </is>
      </c>
      <c r="N1231" s="18" t="inlineStr"/>
      <c r="O1231" s="18" t="inlineStr"/>
      <c r="P1231" s="18" t="inlineStr">
        <is>
          <t>Mapeada en legal-management-service/src/entities/riesgo.entity.ts:66 (Riesgo.planTratamiento)</t>
        </is>
      </c>
      <c r="Q1231" s="18" t="inlineStr">
        <is>
          <t>Propuesta semántica</t>
        </is>
      </c>
      <c r="R1231" s="18" t="inlineStr">
        <is>
          <t>Acciones del plan de tratamiento del riesgo, en formato JSON. Por defecto, lista vacía.</t>
        </is>
      </c>
      <c r="S1231" s="18" t="inlineStr">
        <is>
          <t>Media</t>
        </is>
      </c>
      <c r="T1231" s="18" t="inlineStr">
        <is>
          <t>nombre + tipo + defecto</t>
        </is>
      </c>
      <c r="U1231" s="18" t="inlineStr">
        <is>
          <t>¿Qué estructura tiene cada acción del plan (descripción, responsable, fecha)?</t>
        </is>
      </c>
      <c r="V1231" s="19" t="inlineStr">
        <is>
          <t>Pendiente</t>
        </is>
      </c>
      <c r="W1231" s="19" t="inlineStr"/>
      <c r="X1231" s="19" t="inlineStr"/>
      <c r="Y1231" s="20" t="n"/>
      <c r="Z1231" s="19" t="inlineStr"/>
      <c r="AA1231" s="18">
        <f>IF(OR(V1231="Aprobada"),R1231,IF(AND(OR(V1231="Aprobada con ajuste",V1231="Rechazada"),W1231&lt;&gt;""),W1231,""))</f>
        <v/>
      </c>
    </row>
    <row r="1232">
      <c r="A1232" s="18" t="inlineStr">
        <is>
          <t>C1231</t>
        </is>
      </c>
      <c r="B1232" s="18" t="inlineStr">
        <is>
          <t>Gestión jurídica</t>
        </is>
      </c>
      <c r="C1232" s="18" t="inlineStr">
        <is>
          <t>legal_management</t>
        </is>
      </c>
      <c r="D1232" s="18" t="inlineStr">
        <is>
          <t>riesgos</t>
        </is>
      </c>
      <c r="E1232" s="18" t="n">
        <v>6</v>
      </c>
      <c r="F1232" s="18" t="inlineStr">
        <is>
          <t>responsable</t>
        </is>
      </c>
      <c r="G1232" s="18" t="inlineStr">
        <is>
          <t>character varying(200)</t>
        </is>
      </c>
      <c r="H1232" s="18" t="inlineStr">
        <is>
          <t>No</t>
        </is>
      </c>
      <c r="I1232" s="18" t="inlineStr"/>
      <c r="J1232" s="18" t="inlineStr"/>
      <c r="K1232" s="18" t="inlineStr"/>
      <c r="L1232" s="18" t="inlineStr">
        <is>
          <t>No</t>
        </is>
      </c>
      <c r="M1232" s="18" t="inlineStr">
        <is>
          <t>No</t>
        </is>
      </c>
      <c r="N1232" s="18" t="inlineStr"/>
      <c r="O1232" s="18" t="inlineStr"/>
      <c r="P1232" s="18" t="inlineStr">
        <is>
          <t>legal-management-service/src/entities/riesgo.entity.ts:76: Responsable</t>
        </is>
      </c>
      <c r="Q1232" s="18" t="inlineStr">
        <is>
          <t>Código fuente</t>
        </is>
      </c>
      <c r="R1232" s="18" t="inlineStr">
        <is>
          <t>Nombre del responsable del riesgo.</t>
        </is>
      </c>
      <c r="S1232" s="18" t="inlineStr">
        <is>
          <t>Alta</t>
        </is>
      </c>
      <c r="T1232" s="18" t="inlineStr">
        <is>
          <t>código: legal-management-service/src/entities/riesgo.entity.ts:76 + columna vecina responsable_id</t>
        </is>
      </c>
      <c r="U1232" s="18" t="inlineStr"/>
      <c r="V1232" s="19" t="inlineStr">
        <is>
          <t>Pendiente</t>
        </is>
      </c>
      <c r="W1232" s="19" t="inlineStr"/>
      <c r="X1232" s="19" t="inlineStr"/>
      <c r="Y1232" s="20" t="n"/>
      <c r="Z1232" s="19" t="inlineStr"/>
      <c r="AA1232" s="18">
        <f>IF(OR(V1232="Aprobada"),R1232,IF(AND(OR(V1232="Aprobada con ajuste",V1232="Rechazada"),W1232&lt;&gt;""),W1232,""))</f>
        <v/>
      </c>
    </row>
    <row r="1233">
      <c r="A1233" s="18" t="inlineStr">
        <is>
          <t>C1232</t>
        </is>
      </c>
      <c r="B1233" s="18" t="inlineStr">
        <is>
          <t>Gestión jurídica</t>
        </is>
      </c>
      <c r="C1233" s="18" t="inlineStr">
        <is>
          <t>legal_management</t>
        </is>
      </c>
      <c r="D1233" s="18" t="inlineStr">
        <is>
          <t>riesgos</t>
        </is>
      </c>
      <c r="E1233" s="18" t="n">
        <v>6</v>
      </c>
      <c r="F1233" s="18" t="inlineStr">
        <is>
          <t>responsable_id</t>
        </is>
      </c>
      <c r="G1233" s="18" t="inlineStr">
        <is>
          <t>uuid</t>
        </is>
      </c>
      <c r="H1233" s="18" t="inlineStr">
        <is>
          <t>Sí</t>
        </is>
      </c>
      <c r="I1233" s="18" t="inlineStr"/>
      <c r="J1233" s="18" t="inlineStr"/>
      <c r="K1233" s="18" t="inlineStr"/>
      <c r="L1233" s="18" t="inlineStr">
        <is>
          <t>No</t>
        </is>
      </c>
      <c r="M1233" s="18" t="inlineStr">
        <is>
          <t>No</t>
        </is>
      </c>
      <c r="N1233" s="18" t="inlineStr"/>
      <c r="O1233" s="18" t="inlineStr"/>
      <c r="P1233" s="18" t="inlineStr">
        <is>
          <t>Mapeada en legal-management-service/src/entities/riesgo.entity.ts:79 (Riesgo.responsableId)</t>
        </is>
      </c>
      <c r="Q1233" s="18" t="inlineStr">
        <is>
          <t>Propuesta semántica</t>
        </is>
      </c>
      <c r="R1233" s="18" t="inlineStr">
        <is>
          <t>Identificador del usuario responsable del riesgo.</t>
        </is>
      </c>
      <c r="S1233" s="18" t="inlineStr">
        <is>
          <t>Media</t>
        </is>
      </c>
      <c r="T1233" s="18" t="inlineStr">
        <is>
          <t>nombre + tipo + columnas vecinas</t>
        </is>
      </c>
      <c r="U1233" s="18" t="inlineStr">
        <is>
          <t>¿Corresponde a auth."user" o a auth.personas?</t>
        </is>
      </c>
      <c r="V1233" s="19" t="inlineStr">
        <is>
          <t>Pendiente</t>
        </is>
      </c>
      <c r="W1233" s="19" t="inlineStr"/>
      <c r="X1233" s="19" t="inlineStr"/>
      <c r="Y1233" s="20" t="n"/>
      <c r="Z1233" s="19" t="inlineStr"/>
      <c r="AA1233" s="18">
        <f>IF(OR(V1233="Aprobada"),R1233,IF(AND(OR(V1233="Aprobada con ajuste",V1233="Rechazada"),W1233&lt;&gt;""),W1233,""))</f>
        <v/>
      </c>
    </row>
    <row r="1234">
      <c r="A1234" s="18" t="inlineStr">
        <is>
          <t>C1233</t>
        </is>
      </c>
      <c r="B1234" s="18" t="inlineStr">
        <is>
          <t>Gestión jurídica</t>
        </is>
      </c>
      <c r="C1234" s="18" t="inlineStr">
        <is>
          <t>legal_management</t>
        </is>
      </c>
      <c r="D1234" s="18" t="inlineStr">
        <is>
          <t>riesgos</t>
        </is>
      </c>
      <c r="E1234" s="18" t="n">
        <v>6</v>
      </c>
      <c r="F1234" s="18" t="inlineStr">
        <is>
          <t>estado</t>
        </is>
      </c>
      <c r="G1234" s="18" t="inlineStr">
        <is>
          <t>character varying(20)</t>
        </is>
      </c>
      <c r="H1234" s="18" t="inlineStr">
        <is>
          <t>Sí</t>
        </is>
      </c>
      <c r="I1234" s="18" t="inlineStr">
        <is>
          <t>CHECK</t>
        </is>
      </c>
      <c r="J1234" s="18" t="inlineStr">
        <is>
          <t>ACTIVO, ARCHIVADO, CERRADO, ELIMINADO</t>
        </is>
      </c>
      <c r="K1234" s="18" t="inlineStr"/>
      <c r="L1234" s="18" t="inlineStr">
        <is>
          <t>Sí</t>
        </is>
      </c>
      <c r="M1234" s="18" t="inlineStr">
        <is>
          <t>No</t>
        </is>
      </c>
      <c r="N1234" s="18" t="inlineStr"/>
      <c r="O1234" s="18" t="inlineStr">
        <is>
          <t>idx_riesgos_estado</t>
        </is>
      </c>
      <c r="P1234" s="18" t="inlineStr">
        <is>
          <t>legal-management-service/src/entities/riesgo.entity.ts:107: Estado</t>
        </is>
      </c>
      <c r="Q1234" s="18" t="inlineStr">
        <is>
          <t>Código fuente</t>
        </is>
      </c>
      <c r="R1234" s="18" t="inlineStr">
        <is>
          <t>Estado del riesgo. Valores permitidos: ACTIVO, ARCHIVADO, CERRADO, ELIMINADO; valor por defecto ACTIVO.</t>
        </is>
      </c>
      <c r="S1234" s="18" t="inlineStr">
        <is>
          <t>Alta</t>
        </is>
      </c>
      <c r="T1234" s="18" t="inlineStr">
        <is>
          <t>valores permitidos del CHECK; código: riesgo.entity.ts:107</t>
        </is>
      </c>
      <c r="U1234" s="18" t="inlineStr"/>
      <c r="V1234" s="19" t="inlineStr">
        <is>
          <t>Pendiente</t>
        </is>
      </c>
      <c r="W1234" s="19" t="inlineStr"/>
      <c r="X1234" s="19" t="inlineStr"/>
      <c r="Y1234" s="20" t="n"/>
      <c r="Z1234" s="19" t="inlineStr"/>
      <c r="AA1234" s="18">
        <f>IF(OR(V1234="Aprobada"),R1234,IF(AND(OR(V1234="Aprobada con ajuste",V1234="Rechazada"),W1234&lt;&gt;""),W1234,""))</f>
        <v/>
      </c>
    </row>
    <row r="1235">
      <c r="A1235" s="18" t="inlineStr">
        <is>
          <t>C1234</t>
        </is>
      </c>
      <c r="B1235" s="18" t="inlineStr">
        <is>
          <t>Gestión jurídica</t>
        </is>
      </c>
      <c r="C1235" s="18" t="inlineStr">
        <is>
          <t>legal_management</t>
        </is>
      </c>
      <c r="D1235" s="18" t="inlineStr">
        <is>
          <t>riesgos</t>
        </is>
      </c>
      <c r="E1235" s="18" t="n">
        <v>6</v>
      </c>
      <c r="F1235" s="18" t="inlineStr">
        <is>
          <t>motivo_archivo</t>
        </is>
      </c>
      <c r="G1235" s="18" t="inlineStr">
        <is>
          <t>text</t>
        </is>
      </c>
      <c r="H1235" s="18" t="inlineStr">
        <is>
          <t>Sí</t>
        </is>
      </c>
      <c r="I1235" s="18" t="inlineStr"/>
      <c r="J1235" s="18" t="inlineStr"/>
      <c r="K1235" s="18" t="inlineStr"/>
      <c r="L1235" s="18" t="inlineStr">
        <is>
          <t>No</t>
        </is>
      </c>
      <c r="M1235" s="18" t="inlineStr">
        <is>
          <t>No</t>
        </is>
      </c>
      <c r="N1235" s="18" t="inlineStr"/>
      <c r="O1235" s="18" t="inlineStr"/>
      <c r="P1235" s="18" t="inlineStr">
        <is>
          <t>legal-management-service/src/entities/riesgo.entity.ts:111: Motivo del archivado</t>
        </is>
      </c>
      <c r="Q1235" s="18" t="inlineStr">
        <is>
          <t>Código fuente</t>
        </is>
      </c>
      <c r="R1235" s="18" t="inlineStr">
        <is>
          <t>Motivo del archivado del riesgo.</t>
        </is>
      </c>
      <c r="S1235" s="18" t="inlineStr">
        <is>
          <t>Alta</t>
        </is>
      </c>
      <c r="T1235" s="18" t="inlineStr">
        <is>
          <t>código: legal-management-service/src/entities/riesgo.entity.ts:111</t>
        </is>
      </c>
      <c r="U1235" s="18" t="inlineStr"/>
      <c r="V1235" s="19" t="inlineStr">
        <is>
          <t>Pendiente</t>
        </is>
      </c>
      <c r="W1235" s="19" t="inlineStr"/>
      <c r="X1235" s="19" t="inlineStr"/>
      <c r="Y1235" s="20" t="n"/>
      <c r="Z1235" s="19" t="inlineStr"/>
      <c r="AA1235" s="18">
        <f>IF(OR(V1235="Aprobada"),R1235,IF(AND(OR(V1235="Aprobada con ajuste",V1235="Rechazada"),W1235&lt;&gt;""),W1235,""))</f>
        <v/>
      </c>
    </row>
    <row r="1236">
      <c r="A1236" s="18" t="inlineStr">
        <is>
          <t>C1235</t>
        </is>
      </c>
      <c r="B1236" s="18" t="inlineStr">
        <is>
          <t>Gestión jurídica</t>
        </is>
      </c>
      <c r="C1236" s="18" t="inlineStr">
        <is>
          <t>legal_management</t>
        </is>
      </c>
      <c r="D1236" s="18" t="inlineStr">
        <is>
          <t>sequences</t>
        </is>
      </c>
      <c r="E1236" s="18" t="n">
        <v>1</v>
      </c>
      <c r="F1236" s="18" t="inlineStr">
        <is>
          <t>current_value</t>
        </is>
      </c>
      <c r="G1236" s="18" t="inlineStr">
        <is>
          <t>integer</t>
        </is>
      </c>
      <c r="H1236" s="18" t="inlineStr">
        <is>
          <t>No</t>
        </is>
      </c>
      <c r="I1236" s="18" t="inlineStr"/>
      <c r="J1236" s="18" t="inlineStr"/>
      <c r="K1236" s="18" t="inlineStr"/>
      <c r="L1236" s="18" t="inlineStr">
        <is>
          <t>Sí</t>
        </is>
      </c>
      <c r="M1236" s="18" t="inlineStr">
        <is>
          <t>No</t>
        </is>
      </c>
      <c r="N1236" s="18" t="inlineStr"/>
      <c r="O1236" s="18" t="inlineStr"/>
      <c r="P1236" s="18" t="inlineStr">
        <is>
          <t>Mapeada en legal-management-service/src/entities/sequence.entity.ts:8 (Sequence.currentValue)</t>
        </is>
      </c>
      <c r="Q1236" s="18" t="inlineStr">
        <is>
          <t>Propuesta semántica</t>
        </is>
      </c>
      <c r="R1236" s="18" t="inlineStr">
        <is>
          <t>Valor actual de la secuencia. Por defecto, 0.</t>
        </is>
      </c>
      <c r="S1236" s="18" t="inlineStr">
        <is>
          <t>Media</t>
        </is>
      </c>
      <c r="T1236" s="18" t="inlineStr">
        <is>
          <t>nombre + columnas de la tabla (name, updated_at)</t>
        </is>
      </c>
      <c r="U1236" s="18" t="inlineStr">
        <is>
          <t>¿Qué consecutivos controla la tabla y current_value es el último número asignado o el siguiente?</t>
        </is>
      </c>
      <c r="V1236" s="19" t="inlineStr">
        <is>
          <t>Pendiente</t>
        </is>
      </c>
      <c r="W1236" s="19" t="inlineStr"/>
      <c r="X1236" s="19" t="inlineStr"/>
      <c r="Y1236" s="20" t="n"/>
      <c r="Z1236" s="19" t="inlineStr"/>
      <c r="AA1236" s="18">
        <f>IF(OR(V1236="Aprobada"),R1236,IF(AND(OR(V1236="Aprobada con ajuste",V1236="Rechazada"),W1236&lt;&gt;""),W1236,""))</f>
        <v/>
      </c>
    </row>
    <row r="1237">
      <c r="A1237" s="18" t="inlineStr">
        <is>
          <t>C1236</t>
        </is>
      </c>
      <c r="B1237" s="18" t="inlineStr">
        <is>
          <t>Gestión jurídica</t>
        </is>
      </c>
      <c r="C1237" s="18" t="inlineStr">
        <is>
          <t>legal_management</t>
        </is>
      </c>
      <c r="D1237" s="18" t="inlineStr">
        <is>
          <t>solicitudes_insumos</t>
        </is>
      </c>
      <c r="E1237" s="18" t="n">
        <v>0</v>
      </c>
      <c r="F1237" s="18" t="inlineStr">
        <is>
          <t>area_destino</t>
        </is>
      </c>
      <c r="G1237" s="18" t="inlineStr">
        <is>
          <t>character varying(150)</t>
        </is>
      </c>
      <c r="H1237" s="18" t="inlineStr">
        <is>
          <t>No</t>
        </is>
      </c>
      <c r="I1237" s="18" t="inlineStr"/>
      <c r="J1237" s="18" t="inlineStr"/>
      <c r="K1237" s="18" t="inlineStr"/>
      <c r="L1237" s="18" t="inlineStr">
        <is>
          <t>No</t>
        </is>
      </c>
      <c r="M1237" s="18" t="inlineStr">
        <is>
          <t>No</t>
        </is>
      </c>
      <c r="N1237" s="18" t="inlineStr"/>
      <c r="O1237" s="18" t="inlineStr">
        <is>
          <t>idx_insumos_area</t>
        </is>
      </c>
      <c r="P1237" s="18" t="inlineStr">
        <is>
          <t>Mapeada en legal-management-service/src/entities/solicitud-insumo.entity.ts:18 (SolicitudInsumo.areaDestino)</t>
        </is>
      </c>
      <c r="Q1237" s="18" t="inlineStr">
        <is>
          <t>Propuesta semántica</t>
        </is>
      </c>
      <c r="R1237" s="18" t="inlineStr">
        <is>
          <t>Área a la que se solicitan los insumos para responder el requerimiento.</t>
        </is>
      </c>
      <c r="S1237" s="18" t="inlineStr">
        <is>
          <t>Alta</t>
        </is>
      </c>
      <c r="T1237" s="18" t="inlineStr">
        <is>
          <t>nombre + tipo + columnas vecinas</t>
        </is>
      </c>
      <c r="U1237" s="18" t="inlineStr"/>
      <c r="V1237" s="19" t="inlineStr">
        <is>
          <t>Pendiente</t>
        </is>
      </c>
      <c r="W1237" s="19" t="inlineStr"/>
      <c r="X1237" s="19" t="inlineStr"/>
      <c r="Y1237" s="20" t="n"/>
      <c r="Z1237" s="19" t="inlineStr"/>
      <c r="AA1237" s="18">
        <f>IF(OR(V1237="Aprobada"),R1237,IF(AND(OR(V1237="Aprobada con ajuste",V1237="Rechazada"),W1237&lt;&gt;""),W1237,""))</f>
        <v/>
      </c>
    </row>
    <row r="1238">
      <c r="A1238" s="18" t="inlineStr">
        <is>
          <t>C1237</t>
        </is>
      </c>
      <c r="B1238" s="18" t="inlineStr">
        <is>
          <t>Gestión jurídica</t>
        </is>
      </c>
      <c r="C1238" s="18" t="inlineStr">
        <is>
          <t>legal_management</t>
        </is>
      </c>
      <c r="D1238" s="18" t="inlineStr">
        <is>
          <t>solicitudes_insumos</t>
        </is>
      </c>
      <c r="E1238" s="18" t="n">
        <v>0</v>
      </c>
      <c r="F1238" s="18" t="inlineStr">
        <is>
          <t>funcionario_destino</t>
        </is>
      </c>
      <c r="G1238" s="18" t="inlineStr">
        <is>
          <t>character varying(200)</t>
        </is>
      </c>
      <c r="H1238" s="18" t="inlineStr">
        <is>
          <t>Sí</t>
        </is>
      </c>
      <c r="I1238" s="18" t="inlineStr"/>
      <c r="J1238" s="18" t="inlineStr"/>
      <c r="K1238" s="18" t="inlineStr"/>
      <c r="L1238" s="18" t="inlineStr">
        <is>
          <t>No</t>
        </is>
      </c>
      <c r="M1238" s="18" t="inlineStr">
        <is>
          <t>No</t>
        </is>
      </c>
      <c r="N1238" s="18" t="inlineStr"/>
      <c r="O1238" s="18" t="inlineStr"/>
      <c r="P1238" s="18" t="inlineStr">
        <is>
          <t>Mapeada en legal-management-service/src/entities/solicitud-insumo.entity.ts:21 (SolicitudInsumo.funcionarioDestino)</t>
        </is>
      </c>
      <c r="Q1238" s="18" t="inlineStr">
        <is>
          <t>Propuesta semántica</t>
        </is>
      </c>
      <c r="R1238" s="18" t="inlineStr">
        <is>
          <t>Nombre del funcionario al que se dirige la solicitud de insumos.</t>
        </is>
      </c>
      <c r="S1238" s="18" t="inlineStr">
        <is>
          <t>Alta</t>
        </is>
      </c>
      <c r="T1238" s="18" t="inlineStr">
        <is>
          <t>nombre + tipo + columnas vecinas</t>
        </is>
      </c>
      <c r="U1238" s="18" t="inlineStr"/>
      <c r="V1238" s="19" t="inlineStr">
        <is>
          <t>Pendiente</t>
        </is>
      </c>
      <c r="W1238" s="19" t="inlineStr"/>
      <c r="X1238" s="19" t="inlineStr"/>
      <c r="Y1238" s="20" t="n"/>
      <c r="Z1238" s="19" t="inlineStr"/>
      <c r="AA1238" s="18">
        <f>IF(OR(V1238="Aprobada"),R1238,IF(AND(OR(V1238="Aprobada con ajuste",V1238="Rechazada"),W1238&lt;&gt;""),W1238,""))</f>
        <v/>
      </c>
    </row>
    <row r="1239">
      <c r="A1239" s="18" t="inlineStr">
        <is>
          <t>C1238</t>
        </is>
      </c>
      <c r="B1239" s="18" t="inlineStr">
        <is>
          <t>Gestión jurídica</t>
        </is>
      </c>
      <c r="C1239" s="18" t="inlineStr">
        <is>
          <t>legal_management</t>
        </is>
      </c>
      <c r="D1239" s="18" t="inlineStr">
        <is>
          <t>solicitudes_insumos</t>
        </is>
      </c>
      <c r="E1239" s="18" t="n">
        <v>0</v>
      </c>
      <c r="F1239" s="18" t="inlineStr">
        <is>
          <t>email_destino</t>
        </is>
      </c>
      <c r="G1239" s="18" t="inlineStr">
        <is>
          <t>character varying(150)</t>
        </is>
      </c>
      <c r="H1239" s="18" t="inlineStr">
        <is>
          <t>Sí</t>
        </is>
      </c>
      <c r="I1239" s="18" t="inlineStr"/>
      <c r="J1239" s="18" t="inlineStr"/>
      <c r="K1239" s="18" t="inlineStr"/>
      <c r="L1239" s="18" t="inlineStr">
        <is>
          <t>No</t>
        </is>
      </c>
      <c r="M1239" s="18" t="inlineStr">
        <is>
          <t>No</t>
        </is>
      </c>
      <c r="N1239" s="18" t="inlineStr"/>
      <c r="O1239" s="18" t="inlineStr"/>
      <c r="P1239" s="18" t="inlineStr">
        <is>
          <t>Mapeada en legal-management-service/src/entities/solicitud-insumo.entity.ts:24 (SolicitudInsumo.emailDestino)</t>
        </is>
      </c>
      <c r="Q1239" s="18" t="inlineStr">
        <is>
          <t>Propuesta semántica</t>
        </is>
      </c>
      <c r="R1239" s="18" t="inlineStr">
        <is>
          <t>Correo electrónico del funcionario al que se dirige la solicitud.</t>
        </is>
      </c>
      <c r="S1239" s="18" t="inlineStr">
        <is>
          <t>Alta</t>
        </is>
      </c>
      <c r="T1239" s="18" t="inlineStr">
        <is>
          <t>nombre + tipo + columnas vecinas</t>
        </is>
      </c>
      <c r="U1239" s="18" t="inlineStr"/>
      <c r="V1239" s="19" t="inlineStr">
        <is>
          <t>Pendiente</t>
        </is>
      </c>
      <c r="W1239" s="19" t="inlineStr"/>
      <c r="X1239" s="19" t="inlineStr"/>
      <c r="Y1239" s="20" t="n"/>
      <c r="Z1239" s="19" t="inlineStr"/>
      <c r="AA1239" s="18">
        <f>IF(OR(V1239="Aprobada"),R1239,IF(AND(OR(V1239="Aprobada con ajuste",V1239="Rechazada"),W1239&lt;&gt;""),W1239,""))</f>
        <v/>
      </c>
    </row>
    <row r="1240">
      <c r="A1240" s="18" t="inlineStr">
        <is>
          <t>C1239</t>
        </is>
      </c>
      <c r="B1240" s="18" t="inlineStr">
        <is>
          <t>Gestión jurídica</t>
        </is>
      </c>
      <c r="C1240" s="18" t="inlineStr">
        <is>
          <t>legal_management</t>
        </is>
      </c>
      <c r="D1240" s="18" t="inlineStr">
        <is>
          <t>solicitudes_insumos</t>
        </is>
      </c>
      <c r="E1240" s="18" t="n">
        <v>0</v>
      </c>
      <c r="F1240" s="18" t="inlineStr">
        <is>
          <t>descripcion_solicitud</t>
        </is>
      </c>
      <c r="G1240" s="18" t="inlineStr">
        <is>
          <t>text</t>
        </is>
      </c>
      <c r="H1240" s="18" t="inlineStr">
        <is>
          <t>No</t>
        </is>
      </c>
      <c r="I1240" s="18" t="inlineStr"/>
      <c r="J1240" s="18" t="inlineStr"/>
      <c r="K1240" s="18" t="inlineStr"/>
      <c r="L1240" s="18" t="inlineStr">
        <is>
          <t>No</t>
        </is>
      </c>
      <c r="M1240" s="18" t="inlineStr">
        <is>
          <t>No</t>
        </is>
      </c>
      <c r="N1240" s="18" t="inlineStr"/>
      <c r="O1240" s="18" t="inlineStr"/>
      <c r="P1240" s="18" t="inlineStr">
        <is>
          <t>Mapeada en legal-management-service/src/entities/solicitud-insumo.entity.ts:27 (SolicitudInsumo.descripcionSolicitud)</t>
        </is>
      </c>
      <c r="Q1240" s="18" t="inlineStr">
        <is>
          <t>Propuesta semántica</t>
        </is>
      </c>
      <c r="R1240" s="18" t="inlineStr">
        <is>
          <t>Descripción de los insumos solicitados.</t>
        </is>
      </c>
      <c r="S1240" s="18" t="inlineStr">
        <is>
          <t>Alta</t>
        </is>
      </c>
      <c r="T1240" s="18" t="inlineStr">
        <is>
          <t>nombre + tipo</t>
        </is>
      </c>
      <c r="U1240" s="18" t="inlineStr"/>
      <c r="V1240" s="19" t="inlineStr">
        <is>
          <t>Pendiente</t>
        </is>
      </c>
      <c r="W1240" s="19" t="inlineStr"/>
      <c r="X1240" s="19" t="inlineStr"/>
      <c r="Y1240" s="20" t="n"/>
      <c r="Z1240" s="19" t="inlineStr"/>
      <c r="AA1240" s="18">
        <f>IF(OR(V1240="Aprobada"),R1240,IF(AND(OR(V1240="Aprobada con ajuste",V1240="Rechazada"),W1240&lt;&gt;""),W1240,""))</f>
        <v/>
      </c>
    </row>
    <row r="1241">
      <c r="A1241" s="18" t="inlineStr">
        <is>
          <t>C1240</t>
        </is>
      </c>
      <c r="B1241" s="18" t="inlineStr">
        <is>
          <t>Gestión jurídica</t>
        </is>
      </c>
      <c r="C1241" s="18" t="inlineStr">
        <is>
          <t>legal_management</t>
        </is>
      </c>
      <c r="D1241" s="18" t="inlineStr">
        <is>
          <t>solicitudes_insumos</t>
        </is>
      </c>
      <c r="E1241" s="18" t="n">
        <v>0</v>
      </c>
      <c r="F1241" s="18" t="inlineStr">
        <is>
          <t>documentos_solicitados</t>
        </is>
      </c>
      <c r="G1241" s="18" t="inlineStr">
        <is>
          <t>text</t>
        </is>
      </c>
      <c r="H1241" s="18" t="inlineStr">
        <is>
          <t>Sí</t>
        </is>
      </c>
      <c r="I1241" s="18" t="inlineStr"/>
      <c r="J1241" s="18" t="inlineStr"/>
      <c r="K1241" s="18" t="inlineStr"/>
      <c r="L1241" s="18" t="inlineStr">
        <is>
          <t>No</t>
        </is>
      </c>
      <c r="M1241" s="18" t="inlineStr">
        <is>
          <t>No</t>
        </is>
      </c>
      <c r="N1241" s="18" t="inlineStr"/>
      <c r="O1241" s="18" t="inlineStr"/>
      <c r="P1241" s="18" t="inlineStr">
        <is>
          <t>Mapeada en legal-management-service/src/entities/solicitud-insumo.entity.ts:30 (SolicitudInsumo.documentosSolicitados)</t>
        </is>
      </c>
      <c r="Q1241" s="18" t="inlineStr">
        <is>
          <t>Propuesta semántica</t>
        </is>
      </c>
      <c r="R1241" s="18" t="inlineStr">
        <is>
          <t>Relación de documentos solicitados al área.</t>
        </is>
      </c>
      <c r="S1241" s="18" t="inlineStr">
        <is>
          <t>Media</t>
        </is>
      </c>
      <c r="T1241" s="18" t="inlineStr">
        <is>
          <t>nombre + tipo</t>
        </is>
      </c>
      <c r="U1241" s="18" t="inlineStr">
        <is>
          <t>¿Se registra como texto libre o como lista separada por algún carácter?</t>
        </is>
      </c>
      <c r="V1241" s="19" t="inlineStr">
        <is>
          <t>Pendiente</t>
        </is>
      </c>
      <c r="W1241" s="19" t="inlineStr"/>
      <c r="X1241" s="19" t="inlineStr"/>
      <c r="Y1241" s="20" t="n"/>
      <c r="Z1241" s="19" t="inlineStr"/>
      <c r="AA1241" s="18">
        <f>IF(OR(V1241="Aprobada"),R1241,IF(AND(OR(V1241="Aprobada con ajuste",V1241="Rechazada"),W1241&lt;&gt;""),W1241,""))</f>
        <v/>
      </c>
    </row>
    <row r="1242">
      <c r="A1242" s="18" t="inlineStr">
        <is>
          <t>C1241</t>
        </is>
      </c>
      <c r="B1242" s="18" t="inlineStr">
        <is>
          <t>Gestión jurídica</t>
        </is>
      </c>
      <c r="C1242" s="18" t="inlineStr">
        <is>
          <t>legal_management</t>
        </is>
      </c>
      <c r="D1242" s="18" t="inlineStr">
        <is>
          <t>solicitudes_insumos</t>
        </is>
      </c>
      <c r="E1242" s="18" t="n">
        <v>0</v>
      </c>
      <c r="F1242" s="18" t="inlineStr">
        <is>
          <t>fecha_solicitud</t>
        </is>
      </c>
      <c r="G1242" s="18" t="inlineStr">
        <is>
          <t>timestamp without time zone</t>
        </is>
      </c>
      <c r="H1242" s="18" t="inlineStr">
        <is>
          <t>Sí</t>
        </is>
      </c>
      <c r="I1242" s="18" t="inlineStr"/>
      <c r="J1242" s="18" t="inlineStr"/>
      <c r="K1242" s="18" t="inlineStr"/>
      <c r="L1242" s="18" t="inlineStr">
        <is>
          <t>No</t>
        </is>
      </c>
      <c r="M1242" s="18" t="inlineStr">
        <is>
          <t>No</t>
        </is>
      </c>
      <c r="N1242" s="18" t="inlineStr"/>
      <c r="O1242" s="18" t="inlineStr"/>
      <c r="P1242" s="18" t="inlineStr">
        <is>
          <t>Mapeada en legal-management-service/src/entities/solicitud-insumo.entity.ts:33 (SolicitudInsumo.fechaSolicitud)</t>
        </is>
      </c>
      <c r="Q1242" s="18" t="inlineStr">
        <is>
          <t>Regla estructural</t>
        </is>
      </c>
      <c r="R1242" s="18" t="inlineStr">
        <is>
          <t>Fecha de solicitud.</t>
        </is>
      </c>
      <c r="S1242" s="18" t="inlineStr">
        <is>
          <t>Media</t>
        </is>
      </c>
      <c r="T1242" s="18" t="inlineStr">
        <is>
          <t>Convención de nombre de la columna.</t>
        </is>
      </c>
      <c r="U1242" s="18" t="inlineStr"/>
      <c r="V1242" s="19" t="inlineStr">
        <is>
          <t>Pendiente</t>
        </is>
      </c>
      <c r="W1242" s="19" t="inlineStr"/>
      <c r="X1242" s="19" t="inlineStr"/>
      <c r="Y1242" s="20" t="n"/>
      <c r="Z1242" s="19" t="inlineStr"/>
      <c r="AA1242" s="18">
        <f>IF(OR(V1242="Aprobada"),R1242,IF(AND(OR(V1242="Aprobada con ajuste",V1242="Rechazada"),W1242&lt;&gt;""),W1242,""))</f>
        <v/>
      </c>
    </row>
    <row r="1243">
      <c r="A1243" s="18" t="inlineStr">
        <is>
          <t>C1242</t>
        </is>
      </c>
      <c r="B1243" s="18" t="inlineStr">
        <is>
          <t>Gestión jurídica</t>
        </is>
      </c>
      <c r="C1243" s="18" t="inlineStr">
        <is>
          <t>legal_management</t>
        </is>
      </c>
      <c r="D1243" s="18" t="inlineStr">
        <is>
          <t>solicitudes_insumos</t>
        </is>
      </c>
      <c r="E1243" s="18" t="n">
        <v>0</v>
      </c>
      <c r="F1243" s="18" t="inlineStr">
        <is>
          <t>fecha_vencimiento_interna</t>
        </is>
      </c>
      <c r="G1243" s="18" t="inlineStr">
        <is>
          <t>timestamp without time zone</t>
        </is>
      </c>
      <c r="H1243" s="18" t="inlineStr">
        <is>
          <t>No</t>
        </is>
      </c>
      <c r="I1243" s="18" t="inlineStr"/>
      <c r="J1243" s="18" t="inlineStr"/>
      <c r="K1243" s="18" t="inlineStr"/>
      <c r="L1243" s="18" t="inlineStr">
        <is>
          <t>No</t>
        </is>
      </c>
      <c r="M1243" s="18" t="inlineStr">
        <is>
          <t>No</t>
        </is>
      </c>
      <c r="N1243" s="18" t="inlineStr"/>
      <c r="O1243" s="18" t="inlineStr"/>
      <c r="P1243" s="18" t="inlineStr">
        <is>
          <t>Mapeada en legal-management-service/src/entities/solicitud-insumo.entity.ts:36 (SolicitudInsumo.fechaVencimientoInterna)</t>
        </is>
      </c>
      <c r="Q1243" s="18" t="inlineStr">
        <is>
          <t>Regla estructural</t>
        </is>
      </c>
      <c r="R1243" s="18" t="inlineStr">
        <is>
          <t>Fecha de vencimiento interna.</t>
        </is>
      </c>
      <c r="S1243" s="18" t="inlineStr">
        <is>
          <t>Media</t>
        </is>
      </c>
      <c r="T1243" s="18" t="inlineStr">
        <is>
          <t>Convención de nombre de la columna.</t>
        </is>
      </c>
      <c r="U1243" s="18" t="inlineStr"/>
      <c r="V1243" s="19" t="inlineStr">
        <is>
          <t>Pendiente</t>
        </is>
      </c>
      <c r="W1243" s="19" t="inlineStr"/>
      <c r="X1243" s="19" t="inlineStr"/>
      <c r="Y1243" s="20" t="n"/>
      <c r="Z1243" s="19" t="inlineStr"/>
      <c r="AA1243" s="18">
        <f>IF(OR(V1243="Aprobada"),R1243,IF(AND(OR(V1243="Aprobada con ajuste",V1243="Rechazada"),W1243&lt;&gt;""),W1243,""))</f>
        <v/>
      </c>
    </row>
    <row r="1244">
      <c r="A1244" s="18" t="inlineStr">
        <is>
          <t>C1243</t>
        </is>
      </c>
      <c r="B1244" s="18" t="inlineStr">
        <is>
          <t>Gestión jurídica</t>
        </is>
      </c>
      <c r="C1244" s="18" t="inlineStr">
        <is>
          <t>legal_management</t>
        </is>
      </c>
      <c r="D1244" s="18" t="inlineStr">
        <is>
          <t>solicitudes_insumos</t>
        </is>
      </c>
      <c r="E1244" s="18" t="n">
        <v>0</v>
      </c>
      <c r="F1244" s="18" t="inlineStr">
        <is>
          <t>fecha_respuesta</t>
        </is>
      </c>
      <c r="G1244" s="18" t="inlineStr">
        <is>
          <t>timestamp without time zone</t>
        </is>
      </c>
      <c r="H1244" s="18" t="inlineStr">
        <is>
          <t>Sí</t>
        </is>
      </c>
      <c r="I1244" s="18" t="inlineStr"/>
      <c r="J1244" s="18" t="inlineStr"/>
      <c r="K1244" s="18" t="inlineStr"/>
      <c r="L1244" s="18" t="inlineStr">
        <is>
          <t>No</t>
        </is>
      </c>
      <c r="M1244" s="18" t="inlineStr">
        <is>
          <t>No</t>
        </is>
      </c>
      <c r="N1244" s="18" t="inlineStr"/>
      <c r="O1244" s="18" t="inlineStr"/>
      <c r="P1244" s="18" t="inlineStr">
        <is>
          <t>Mapeada en legal-management-service/src/entities/solicitud-insumo.entity.ts:39 (SolicitudInsumo.fechaRespuesta)</t>
        </is>
      </c>
      <c r="Q1244" s="18" t="inlineStr">
        <is>
          <t>Regla estructural</t>
        </is>
      </c>
      <c r="R1244" s="18" t="inlineStr">
        <is>
          <t>Fecha de respuesta.</t>
        </is>
      </c>
      <c r="S1244" s="18" t="inlineStr">
        <is>
          <t>Media</t>
        </is>
      </c>
      <c r="T1244" s="18" t="inlineStr">
        <is>
          <t>Convención de nombre de la columna.</t>
        </is>
      </c>
      <c r="U1244" s="18" t="inlineStr"/>
      <c r="V1244" s="19" t="inlineStr">
        <is>
          <t>Pendiente</t>
        </is>
      </c>
      <c r="W1244" s="19" t="inlineStr"/>
      <c r="X1244" s="19" t="inlineStr"/>
      <c r="Y1244" s="20" t="n"/>
      <c r="Z1244" s="19" t="inlineStr"/>
      <c r="AA1244" s="18">
        <f>IF(OR(V1244="Aprobada"),R1244,IF(AND(OR(V1244="Aprobada con ajuste",V1244="Rechazada"),W1244&lt;&gt;""),W1244,""))</f>
        <v/>
      </c>
    </row>
    <row r="1245">
      <c r="A1245" s="18" t="inlineStr">
        <is>
          <t>C1244</t>
        </is>
      </c>
      <c r="B1245" s="18" t="inlineStr">
        <is>
          <t>Gestión jurídica</t>
        </is>
      </c>
      <c r="C1245" s="18" t="inlineStr">
        <is>
          <t>legal_management</t>
        </is>
      </c>
      <c r="D1245" s="18" t="inlineStr">
        <is>
          <t>solicitudes_insumos</t>
        </is>
      </c>
      <c r="E1245" s="18" t="n">
        <v>0</v>
      </c>
      <c r="F1245" s="18" t="inlineStr">
        <is>
          <t>estado</t>
        </is>
      </c>
      <c r="G1245" s="18" t="inlineStr">
        <is>
          <t>character varying(25)</t>
        </is>
      </c>
      <c r="H1245" s="18" t="inlineStr">
        <is>
          <t>Sí</t>
        </is>
      </c>
      <c r="I1245" s="18" t="inlineStr">
        <is>
          <t>CHECK</t>
        </is>
      </c>
      <c r="J1245" s="18" t="inlineStr">
        <is>
          <t>ENTREGADO, EN_PROCESO, PENDIENTE, RECHAZADO, VENCIDO</t>
        </is>
      </c>
      <c r="K1245" s="18" t="inlineStr"/>
      <c r="L1245" s="18" t="inlineStr">
        <is>
          <t>Sí</t>
        </is>
      </c>
      <c r="M1245" s="18" t="inlineStr">
        <is>
          <t>No</t>
        </is>
      </c>
      <c r="N1245" s="18" t="inlineStr"/>
      <c r="O1245" s="18" t="inlineStr">
        <is>
          <t>idx_insumos_estado</t>
        </is>
      </c>
      <c r="P1245" s="18" t="inlineStr">
        <is>
          <t>Mapeada en legal-management-service/src/entities/solicitud-insumo.entity.ts:42 (SolicitudInsumo.estado)</t>
        </is>
      </c>
      <c r="Q1245" s="18" t="inlineStr">
        <is>
          <t>Regla estructural</t>
        </is>
      </c>
      <c r="R1245" s="18" t="inlineStr">
        <is>
          <t>Estado del registro de solicitudes_insumos.</t>
        </is>
      </c>
      <c r="S1245" s="18" t="inlineStr">
        <is>
          <t>Media</t>
        </is>
      </c>
      <c r="T1245" s="18" t="inlineStr">
        <is>
          <t>Convención de nombre de la columna.</t>
        </is>
      </c>
      <c r="U1245" s="18" t="inlineStr"/>
      <c r="V1245" s="19" t="inlineStr">
        <is>
          <t>Pendiente</t>
        </is>
      </c>
      <c r="W1245" s="19" t="inlineStr"/>
      <c r="X1245" s="19" t="inlineStr"/>
      <c r="Y1245" s="20" t="n"/>
      <c r="Z1245" s="19" t="inlineStr"/>
      <c r="AA1245" s="18">
        <f>IF(OR(V1245="Aprobada"),R1245,IF(AND(OR(V1245="Aprobada con ajuste",V1245="Rechazada"),W1245&lt;&gt;""),W1245,""))</f>
        <v/>
      </c>
    </row>
    <row r="1246">
      <c r="A1246" s="18" t="inlineStr">
        <is>
          <t>C1245</t>
        </is>
      </c>
      <c r="B1246" s="18" t="inlineStr">
        <is>
          <t>Gestión jurídica</t>
        </is>
      </c>
      <c r="C1246" s="18" t="inlineStr">
        <is>
          <t>legal_management</t>
        </is>
      </c>
      <c r="D1246" s="18" t="inlineStr">
        <is>
          <t>solicitudes_insumos</t>
        </is>
      </c>
      <c r="E1246" s="18" t="n">
        <v>0</v>
      </c>
      <c r="F1246" s="18" t="inlineStr">
        <is>
          <t>documentos_entregados_url</t>
        </is>
      </c>
      <c r="G1246" s="18" t="inlineStr">
        <is>
          <t>text</t>
        </is>
      </c>
      <c r="H1246" s="18" t="inlineStr">
        <is>
          <t>Sí</t>
        </is>
      </c>
      <c r="I1246" s="18" t="inlineStr"/>
      <c r="J1246" s="18" t="inlineStr"/>
      <c r="K1246" s="18" t="inlineStr"/>
      <c r="L1246" s="18" t="inlineStr">
        <is>
          <t>No</t>
        </is>
      </c>
      <c r="M1246" s="18" t="inlineStr">
        <is>
          <t>No</t>
        </is>
      </c>
      <c r="N1246" s="18" t="inlineStr"/>
      <c r="O1246" s="18" t="inlineStr"/>
      <c r="P1246" s="18" t="inlineStr">
        <is>
          <t>Mapeada en legal-management-service/src/entities/solicitud-insumo.entity.ts:45 (SolicitudInsumo.documentosEntregadosUrl)</t>
        </is>
      </c>
      <c r="Q1246" s="18" t="inlineStr">
        <is>
          <t>Propuesta semántica</t>
        </is>
      </c>
      <c r="R1246" s="18" t="inlineStr">
        <is>
          <t>URL de los documentos entregados por el área.</t>
        </is>
      </c>
      <c r="S1246" s="18" t="inlineStr">
        <is>
          <t>Media</t>
        </is>
      </c>
      <c r="T1246" s="18" t="inlineStr">
        <is>
          <t>nombre + tipo</t>
        </is>
      </c>
      <c r="U1246" s="18" t="inlineStr">
        <is>
          <t>¿Admite varias URL en el mismo campo?</t>
        </is>
      </c>
      <c r="V1246" s="19" t="inlineStr">
        <is>
          <t>Pendiente</t>
        </is>
      </c>
      <c r="W1246" s="19" t="inlineStr"/>
      <c r="X1246" s="19" t="inlineStr"/>
      <c r="Y1246" s="20" t="n"/>
      <c r="Z1246" s="19" t="inlineStr"/>
      <c r="AA1246" s="18">
        <f>IF(OR(V1246="Aprobada"),R1246,IF(AND(OR(V1246="Aprobada con ajuste",V1246="Rechazada"),W1246&lt;&gt;""),W1246,""))</f>
        <v/>
      </c>
    </row>
    <row r="1247">
      <c r="A1247" s="18" t="inlineStr">
        <is>
          <t>C1246</t>
        </is>
      </c>
      <c r="B1247" s="18" t="inlineStr">
        <is>
          <t>Gestión jurídica</t>
        </is>
      </c>
      <c r="C1247" s="18" t="inlineStr">
        <is>
          <t>legal_management</t>
        </is>
      </c>
      <c r="D1247" s="18" t="inlineStr">
        <is>
          <t>solicitudes_insumos</t>
        </is>
      </c>
      <c r="E1247" s="18" t="n">
        <v>0</v>
      </c>
      <c r="F1247" s="18" t="inlineStr">
        <is>
          <t>comentario_respuesta</t>
        </is>
      </c>
      <c r="G1247" s="18" t="inlineStr">
        <is>
          <t>text</t>
        </is>
      </c>
      <c r="H1247" s="18" t="inlineStr">
        <is>
          <t>Sí</t>
        </is>
      </c>
      <c r="I1247" s="18" t="inlineStr"/>
      <c r="J1247" s="18" t="inlineStr"/>
      <c r="K1247" s="18" t="inlineStr"/>
      <c r="L1247" s="18" t="inlineStr">
        <is>
          <t>No</t>
        </is>
      </c>
      <c r="M1247" s="18" t="inlineStr">
        <is>
          <t>No</t>
        </is>
      </c>
      <c r="N1247" s="18" t="inlineStr"/>
      <c r="O1247" s="18" t="inlineStr"/>
      <c r="P1247" s="18" t="inlineStr">
        <is>
          <t>Mapeada en legal-management-service/src/entities/solicitud-insumo.entity.ts:48 (SolicitudInsumo.comentarioRespuesta)</t>
        </is>
      </c>
      <c r="Q1247" s="18" t="inlineStr">
        <is>
          <t>Propuesta semántica</t>
        </is>
      </c>
      <c r="R1247" s="18" t="inlineStr">
        <is>
          <t>Comentario del área al responder la solicitud.</t>
        </is>
      </c>
      <c r="S1247" s="18" t="inlineStr">
        <is>
          <t>Alta</t>
        </is>
      </c>
      <c r="T1247" s="18" t="inlineStr">
        <is>
          <t>nombre + tipo + columnas vecinas</t>
        </is>
      </c>
      <c r="U1247" s="18" t="inlineStr"/>
      <c r="V1247" s="19" t="inlineStr">
        <is>
          <t>Pendiente</t>
        </is>
      </c>
      <c r="W1247" s="19" t="inlineStr"/>
      <c r="X1247" s="19" t="inlineStr"/>
      <c r="Y1247" s="20" t="n"/>
      <c r="Z1247" s="19" t="inlineStr"/>
      <c r="AA1247" s="18">
        <f>IF(OR(V1247="Aprobada"),R1247,IF(AND(OR(V1247="Aprobada con ajuste",V1247="Rechazada"),W1247&lt;&gt;""),W1247,""))</f>
        <v/>
      </c>
    </row>
    <row r="1248">
      <c r="A1248" s="18" t="inlineStr">
        <is>
          <t>C1247</t>
        </is>
      </c>
      <c r="B1248" s="18" t="inlineStr">
        <is>
          <t>Gestión jurídica</t>
        </is>
      </c>
      <c r="C1248" s="18" t="inlineStr">
        <is>
          <t>legal_management</t>
        </is>
      </c>
      <c r="D1248" s="18" t="inlineStr">
        <is>
          <t>solicitudes_insumos</t>
        </is>
      </c>
      <c r="E1248" s="18" t="n">
        <v>0</v>
      </c>
      <c r="F1248" s="18" t="inlineStr">
        <is>
          <t>solicitado_por</t>
        </is>
      </c>
      <c r="G1248" s="18" t="inlineStr">
        <is>
          <t>character varying(150)</t>
        </is>
      </c>
      <c r="H1248" s="18" t="inlineStr">
        <is>
          <t>Sí</t>
        </is>
      </c>
      <c r="I1248" s="18" t="inlineStr"/>
      <c r="J1248" s="18" t="inlineStr"/>
      <c r="K1248" s="18" t="inlineStr"/>
      <c r="L1248" s="18" t="inlineStr">
        <is>
          <t>No</t>
        </is>
      </c>
      <c r="M1248" s="18" t="inlineStr">
        <is>
          <t>No</t>
        </is>
      </c>
      <c r="N1248" s="18" t="inlineStr"/>
      <c r="O1248" s="18" t="inlineStr"/>
      <c r="P1248" s="18" t="inlineStr">
        <is>
          <t>Mapeada en legal-management-service/src/entities/solicitud-insumo.entity.ts:51 (SolicitudInsumo.solicitadoPor)</t>
        </is>
      </c>
      <c r="Q1248" s="18" t="inlineStr">
        <is>
          <t>Regla estructural</t>
        </is>
      </c>
      <c r="R1248" s="18" t="inlineStr">
        <is>
          <t>Usuario que realizó la solicitud.</t>
        </is>
      </c>
      <c r="S1248" s="18" t="inlineStr">
        <is>
          <t>Media</t>
        </is>
      </c>
      <c r="T1248" s="18" t="inlineStr">
        <is>
          <t>Convención de nombre de la columna.</t>
        </is>
      </c>
      <c r="U1248" s="18" t="inlineStr"/>
      <c r="V1248" s="19" t="inlineStr">
        <is>
          <t>Pendiente</t>
        </is>
      </c>
      <c r="W1248" s="19" t="inlineStr"/>
      <c r="X1248" s="19" t="inlineStr"/>
      <c r="Y1248" s="20" t="n"/>
      <c r="Z1248" s="19" t="inlineStr"/>
      <c r="AA1248" s="18">
        <f>IF(OR(V1248="Aprobada"),R1248,IF(AND(OR(V1248="Aprobada con ajuste",V1248="Rechazada"),W1248&lt;&gt;""),W1248,""))</f>
        <v/>
      </c>
    </row>
    <row r="1249">
      <c r="A1249" s="18" t="inlineStr">
        <is>
          <t>C1248</t>
        </is>
      </c>
      <c r="B1249" s="18" t="inlineStr">
        <is>
          <t>Gestión jurídica</t>
        </is>
      </c>
      <c r="C1249" s="18" t="inlineStr">
        <is>
          <t>legal_management</t>
        </is>
      </c>
      <c r="D1249" s="18" t="inlineStr">
        <is>
          <t>solicitudes_insumos</t>
        </is>
      </c>
      <c r="E1249" s="18" t="n">
        <v>0</v>
      </c>
      <c r="F1249" s="18" t="inlineStr">
        <is>
          <t>respondido_por</t>
        </is>
      </c>
      <c r="G1249" s="18" t="inlineStr">
        <is>
          <t>character varying(150)</t>
        </is>
      </c>
      <c r="H1249" s="18" t="inlineStr">
        <is>
          <t>Sí</t>
        </is>
      </c>
      <c r="I1249" s="18" t="inlineStr"/>
      <c r="J1249" s="18" t="inlineStr"/>
      <c r="K1249" s="18" t="inlineStr"/>
      <c r="L1249" s="18" t="inlineStr">
        <is>
          <t>No</t>
        </is>
      </c>
      <c r="M1249" s="18" t="inlineStr">
        <is>
          <t>No</t>
        </is>
      </c>
      <c r="N1249" s="18" t="inlineStr"/>
      <c r="O1249" s="18" t="inlineStr"/>
      <c r="P1249" s="18" t="inlineStr">
        <is>
          <t>Mapeada en legal-management-service/src/entities/solicitud-insumo.entity.ts:54 (SolicitudInsumo.respondidoPor)</t>
        </is>
      </c>
      <c r="Q1249" s="18" t="inlineStr">
        <is>
          <t>Propuesta semántica</t>
        </is>
      </c>
      <c r="R1249" s="18" t="inlineStr">
        <is>
          <t>Nombre del funcionario que respondió la solicitud.</t>
        </is>
      </c>
      <c r="S1249" s="18" t="inlineStr">
        <is>
          <t>Media</t>
        </is>
      </c>
      <c r="T1249" s="18" t="inlineStr">
        <is>
          <t>nombre + tipo + columnas vecinas</t>
        </is>
      </c>
      <c r="U1249" s="18" t="inlineStr">
        <is>
          <t>¿Se guarda el nombre, el correo o el identificador del usuario?</t>
        </is>
      </c>
      <c r="V1249" s="19" t="inlineStr">
        <is>
          <t>Pendiente</t>
        </is>
      </c>
      <c r="W1249" s="19" t="inlineStr"/>
      <c r="X1249" s="19" t="inlineStr"/>
      <c r="Y1249" s="20" t="n"/>
      <c r="Z1249" s="19" t="inlineStr"/>
      <c r="AA1249" s="18">
        <f>IF(OR(V1249="Aprobada"),R1249,IF(AND(OR(V1249="Aprobada con ajuste",V1249="Rechazada"),W1249&lt;&gt;""),W1249,""))</f>
        <v/>
      </c>
    </row>
    <row r="1250">
      <c r="A1250" s="18" t="inlineStr">
        <is>
          <t>C1249</t>
        </is>
      </c>
      <c r="B1250" s="18" t="inlineStr">
        <is>
          <t>Gestión jurídica</t>
        </is>
      </c>
      <c r="C1250" s="18" t="inlineStr">
        <is>
          <t>legal_management</t>
        </is>
      </c>
      <c r="D1250" s="18" t="inlineStr">
        <is>
          <t>system_configurations</t>
        </is>
      </c>
      <c r="E1250" s="18" t="n">
        <v>8</v>
      </c>
      <c r="F1250" s="18" t="inlineStr">
        <is>
          <t>module</t>
        </is>
      </c>
      <c r="G1250" s="18" t="inlineStr">
        <is>
          <t>character varying</t>
        </is>
      </c>
      <c r="H1250" s="18" t="inlineStr">
        <is>
          <t>No</t>
        </is>
      </c>
      <c r="I1250" s="18" t="inlineStr"/>
      <c r="J1250" s="18" t="inlineStr"/>
      <c r="K1250" s="18" t="inlineStr"/>
      <c r="L1250" s="18" t="inlineStr">
        <is>
          <t>Sí</t>
        </is>
      </c>
      <c r="M1250" s="18" t="inlineStr">
        <is>
          <t>No</t>
        </is>
      </c>
      <c r="N1250" s="18" t="inlineStr"/>
      <c r="O1250" s="18" t="inlineStr"/>
      <c r="P1250" s="18" t="inlineStr">
        <is>
          <t>Mapeada en legal-management-service/src/entities/system-configuration.entity.ts:8 (SystemConfiguration.module)</t>
        </is>
      </c>
      <c r="Q1250" s="18" t="inlineStr">
        <is>
          <t>Propuesta semántica</t>
        </is>
      </c>
      <c r="R1250" s="18" t="inlineStr">
        <is>
          <t>Módulo al que pertenece el parámetro de configuración.</t>
        </is>
      </c>
      <c r="S1250" s="18" t="inlineStr">
        <is>
          <t>Media</t>
        </is>
      </c>
      <c r="T1250" s="18" t="inlineStr">
        <is>
          <t>nombre + tipo + columnas vecinas</t>
        </is>
      </c>
      <c r="U1250" s="18" t="inlineStr">
        <is>
          <t>¿Qué módulos se usan como valor?</t>
        </is>
      </c>
      <c r="V1250" s="19" t="inlineStr">
        <is>
          <t>Pendiente</t>
        </is>
      </c>
      <c r="W1250" s="19" t="inlineStr"/>
      <c r="X1250" s="19" t="inlineStr"/>
      <c r="Y1250" s="20" t="n"/>
      <c r="Z1250" s="19" t="inlineStr"/>
      <c r="AA1250" s="18">
        <f>IF(OR(V1250="Aprobada"),R1250,IF(AND(OR(V1250="Aprobada con ajuste",V1250="Rechazada"),W1250&lt;&gt;""),W1250,""))</f>
        <v/>
      </c>
    </row>
    <row r="1251">
      <c r="A1251" s="18" t="inlineStr">
        <is>
          <t>C1250</t>
        </is>
      </c>
      <c r="B1251" s="18" t="inlineStr">
        <is>
          <t>Gestión jurídica</t>
        </is>
      </c>
      <c r="C1251" s="18" t="inlineStr">
        <is>
          <t>legal_management</t>
        </is>
      </c>
      <c r="D1251" s="18" t="inlineStr">
        <is>
          <t>system_configurations</t>
        </is>
      </c>
      <c r="E1251" s="18" t="n">
        <v>8</v>
      </c>
      <c r="F1251" s="18" t="inlineStr">
        <is>
          <t>value</t>
        </is>
      </c>
      <c r="G1251" s="18" t="inlineStr">
        <is>
          <t>jsonb</t>
        </is>
      </c>
      <c r="H1251" s="18" t="inlineStr">
        <is>
          <t>No</t>
        </is>
      </c>
      <c r="I1251" s="18" t="inlineStr"/>
      <c r="J1251" s="18" t="inlineStr"/>
      <c r="K1251" s="18" t="inlineStr"/>
      <c r="L1251" s="18" t="inlineStr">
        <is>
          <t>Sí</t>
        </is>
      </c>
      <c r="M1251" s="18" t="inlineStr">
        <is>
          <t>No</t>
        </is>
      </c>
      <c r="N1251" s="18" t="inlineStr"/>
      <c r="O1251" s="18" t="inlineStr"/>
      <c r="P1251" s="18" t="inlineStr">
        <is>
          <t>Mapeada en legal-management-service/src/entities/system-configuration.entity.ts:11 (SystemConfiguration.value)</t>
        </is>
      </c>
      <c r="Q1251" s="18" t="inlineStr">
        <is>
          <t>Propuesta semántica</t>
        </is>
      </c>
      <c r="R1251" s="18" t="inlineStr">
        <is>
          <t>Valor del parámetro de configuración, en formato JSON.</t>
        </is>
      </c>
      <c r="S1251" s="18" t="inlineStr">
        <is>
          <t>Alta</t>
        </is>
      </c>
      <c r="T1251" s="18" t="inlineStr">
        <is>
          <t>nombre + tipo + columnas vecinas</t>
        </is>
      </c>
      <c r="U1251" s="18" t="inlineStr"/>
      <c r="V1251" s="19" t="inlineStr">
        <is>
          <t>Pendiente</t>
        </is>
      </c>
      <c r="W1251" s="19" t="inlineStr"/>
      <c r="X1251" s="19" t="inlineStr"/>
      <c r="Y1251" s="20" t="n"/>
      <c r="Z1251" s="19" t="inlineStr"/>
      <c r="AA1251" s="18">
        <f>IF(OR(V1251="Aprobada"),R1251,IF(AND(OR(V1251="Aprobada con ajuste",V1251="Rechazada"),W1251&lt;&gt;""),W1251,""))</f>
        <v/>
      </c>
    </row>
    <row r="1252">
      <c r="A1252" s="18" t="inlineStr">
        <is>
          <t>C1251</t>
        </is>
      </c>
      <c r="B1252" s="18" t="inlineStr">
        <is>
          <t>Gestión jurídica</t>
        </is>
      </c>
      <c r="C1252" s="18" t="inlineStr">
        <is>
          <t>legal_management</t>
        </is>
      </c>
      <c r="D1252" s="18" t="inlineStr">
        <is>
          <t>system_configurations</t>
        </is>
      </c>
      <c r="E1252" s="18" t="n">
        <v>8</v>
      </c>
      <c r="F1252" s="18" t="inlineStr">
        <is>
          <t>description</t>
        </is>
      </c>
      <c r="G1252" s="18" t="inlineStr">
        <is>
          <t>text</t>
        </is>
      </c>
      <c r="H1252" s="18" t="inlineStr">
        <is>
          <t>Sí</t>
        </is>
      </c>
      <c r="I1252" s="18" t="inlineStr"/>
      <c r="J1252" s="18" t="inlineStr"/>
      <c r="K1252" s="18" t="inlineStr"/>
      <c r="L1252" s="18" t="inlineStr">
        <is>
          <t>Sí</t>
        </is>
      </c>
      <c r="M1252" s="18" t="inlineStr">
        <is>
          <t>No</t>
        </is>
      </c>
      <c r="N1252" s="18" t="inlineStr"/>
      <c r="O1252" s="18" t="inlineStr"/>
      <c r="P1252" s="18" t="inlineStr">
        <is>
          <t>Mapeada en legal-management-service/src/entities/system-configuration.entity.ts:14 (SystemConfiguration.description)</t>
        </is>
      </c>
      <c r="Q1252" s="18" t="inlineStr">
        <is>
          <t>Regla estructural</t>
        </is>
      </c>
      <c r="R1252" s="18" t="inlineStr">
        <is>
          <t>Descripción del registro de system_configurations.</t>
        </is>
      </c>
      <c r="S1252" s="18" t="inlineStr">
        <is>
          <t>Media</t>
        </is>
      </c>
      <c r="T1252" s="18" t="inlineStr">
        <is>
          <t>Convención de nombre de la columna.</t>
        </is>
      </c>
      <c r="U1252" s="18" t="inlineStr"/>
      <c r="V1252" s="19" t="inlineStr">
        <is>
          <t>Pendiente</t>
        </is>
      </c>
      <c r="W1252" s="19" t="inlineStr"/>
      <c r="X1252" s="19" t="inlineStr"/>
      <c r="Y1252" s="20" t="n"/>
      <c r="Z1252" s="19" t="inlineStr"/>
      <c r="AA1252" s="18">
        <f>IF(OR(V1252="Aprobada"),R1252,IF(AND(OR(V1252="Aprobada con ajuste",V1252="Rechazada"),W1252&lt;&gt;""),W1252,""))</f>
        <v/>
      </c>
    </row>
    <row r="1253">
      <c r="A1253" s="18" t="inlineStr">
        <is>
          <t>C1252</t>
        </is>
      </c>
      <c r="B1253" s="18" t="inlineStr">
        <is>
          <t>Gestión jurídica</t>
        </is>
      </c>
      <c r="C1253" s="18" t="inlineStr">
        <is>
          <t>legal_management</t>
        </is>
      </c>
      <c r="D1253" s="18" t="inlineStr">
        <is>
          <t>tareas_expediente</t>
        </is>
      </c>
      <c r="E1253" s="18" t="n">
        <v>35</v>
      </c>
      <c r="F1253" s="18" t="inlineStr">
        <is>
          <t>titulo</t>
        </is>
      </c>
      <c r="G1253" s="18" t="inlineStr">
        <is>
          <t>character varying(255)</t>
        </is>
      </c>
      <c r="H1253" s="18" t="inlineStr">
        <is>
          <t>No</t>
        </is>
      </c>
      <c r="I1253" s="18" t="inlineStr"/>
      <c r="J1253" s="18" t="inlineStr"/>
      <c r="K1253" s="18" t="inlineStr"/>
      <c r="L1253" s="18" t="inlineStr">
        <is>
          <t>No</t>
        </is>
      </c>
      <c r="M1253" s="18" t="inlineStr">
        <is>
          <t>No</t>
        </is>
      </c>
      <c r="N1253" s="18" t="inlineStr"/>
      <c r="O1253" s="18" t="inlineStr"/>
      <c r="P1253" s="18" t="inlineStr">
        <is>
          <t>db/migrations/old/054_create_tareas_notas_expediente.sql:16: Datos de la tarea</t>
        </is>
      </c>
      <c r="Q1253" s="18" t="inlineStr">
        <is>
          <t>Código fuente</t>
        </is>
      </c>
      <c r="R1253" s="18" t="inlineStr">
        <is>
          <t>Título de la tarea.</t>
        </is>
      </c>
      <c r="S1253" s="18" t="inlineStr">
        <is>
          <t>Alta</t>
        </is>
      </c>
      <c r="T1253" s="18" t="inlineStr">
        <is>
          <t>código: db/migrations/old/054_create_tareas_notas_expediente.sql:16</t>
        </is>
      </c>
      <c r="U1253" s="18" t="inlineStr"/>
      <c r="V1253" s="19" t="inlineStr">
        <is>
          <t>Pendiente</t>
        </is>
      </c>
      <c r="W1253" s="19" t="inlineStr"/>
      <c r="X1253" s="19" t="inlineStr"/>
      <c r="Y1253" s="20" t="n"/>
      <c r="Z1253" s="19" t="inlineStr"/>
      <c r="AA1253" s="18">
        <f>IF(OR(V1253="Aprobada"),R1253,IF(AND(OR(V1253="Aprobada con ajuste",V1253="Rechazada"),W1253&lt;&gt;""),W1253,""))</f>
        <v/>
      </c>
    </row>
    <row r="1254">
      <c r="A1254" s="18" t="inlineStr">
        <is>
          <t>C1253</t>
        </is>
      </c>
      <c r="B1254" s="18" t="inlineStr">
        <is>
          <t>Gestión jurídica</t>
        </is>
      </c>
      <c r="C1254" s="18" t="inlineStr">
        <is>
          <t>legal_management</t>
        </is>
      </c>
      <c r="D1254" s="18" t="inlineStr">
        <is>
          <t>tareas_expediente</t>
        </is>
      </c>
      <c r="E1254" s="18" t="n">
        <v>35</v>
      </c>
      <c r="F1254" s="18" t="inlineStr">
        <is>
          <t>descripcion</t>
        </is>
      </c>
      <c r="G1254" s="18" t="inlineStr">
        <is>
          <t>text</t>
        </is>
      </c>
      <c r="H1254" s="18" t="inlineStr">
        <is>
          <t>Sí</t>
        </is>
      </c>
      <c r="I1254" s="18" t="inlineStr"/>
      <c r="J1254" s="18" t="inlineStr"/>
      <c r="K1254" s="18" t="inlineStr"/>
      <c r="L1254" s="18" t="inlineStr">
        <is>
          <t>No</t>
        </is>
      </c>
      <c r="M1254" s="18" t="inlineStr">
        <is>
          <t>No</t>
        </is>
      </c>
      <c r="N1254" s="18" t="inlineStr"/>
      <c r="O1254" s="18" t="inlineStr"/>
      <c r="P1254" s="18" t="inlineStr">
        <is>
          <t>Mapeada en legal-management-service/src/entities/tarea-expediente.entity.ts:19 (TareaExpediente.descripcion)</t>
        </is>
      </c>
      <c r="Q1254" s="18" t="inlineStr">
        <is>
          <t>Regla estructural</t>
        </is>
      </c>
      <c r="R1254" s="18" t="inlineStr">
        <is>
          <t>Descripción del registro de tareas_expediente.</t>
        </is>
      </c>
      <c r="S1254" s="18" t="inlineStr">
        <is>
          <t>Media</t>
        </is>
      </c>
      <c r="T1254" s="18" t="inlineStr">
        <is>
          <t>Convención de nombre de la columna.</t>
        </is>
      </c>
      <c r="U1254" s="18" t="inlineStr"/>
      <c r="V1254" s="19" t="inlineStr">
        <is>
          <t>Pendiente</t>
        </is>
      </c>
      <c r="W1254" s="19" t="inlineStr"/>
      <c r="X1254" s="19" t="inlineStr"/>
      <c r="Y1254" s="20" t="n"/>
      <c r="Z1254" s="19" t="inlineStr"/>
      <c r="AA1254" s="18">
        <f>IF(OR(V1254="Aprobada"),R1254,IF(AND(OR(V1254="Aprobada con ajuste",V1254="Rechazada"),W1254&lt;&gt;""),W1254,""))</f>
        <v/>
      </c>
    </row>
    <row r="1255">
      <c r="A1255" s="18" t="inlineStr">
        <is>
          <t>C1254</t>
        </is>
      </c>
      <c r="B1255" s="18" t="inlineStr">
        <is>
          <t>Gestión jurídica</t>
        </is>
      </c>
      <c r="C1255" s="18" t="inlineStr">
        <is>
          <t>legal_management</t>
        </is>
      </c>
      <c r="D1255" s="18" t="inlineStr">
        <is>
          <t>tareas_expediente</t>
        </is>
      </c>
      <c r="E1255" s="18" t="n">
        <v>35</v>
      </c>
      <c r="F1255" s="18" t="inlineStr">
        <is>
          <t>fecha_vencimiento</t>
        </is>
      </c>
      <c r="G1255" s="18" t="inlineStr">
        <is>
          <t>timestamp without time zone</t>
        </is>
      </c>
      <c r="H1255" s="18" t="inlineStr">
        <is>
          <t>Sí</t>
        </is>
      </c>
      <c r="I1255" s="18" t="inlineStr"/>
      <c r="J1255" s="18" t="inlineStr"/>
      <c r="K1255" s="18" t="inlineStr"/>
      <c r="L1255" s="18" t="inlineStr">
        <is>
          <t>No</t>
        </is>
      </c>
      <c r="M1255" s="18" t="inlineStr">
        <is>
          <t>No</t>
        </is>
      </c>
      <c r="N1255" s="18" t="inlineStr"/>
      <c r="O1255" s="18" t="inlineStr">
        <is>
          <t>idx_tareas_vencimiento</t>
        </is>
      </c>
      <c r="P1255" s="18" t="inlineStr">
        <is>
          <t>Mapeada en legal-management-service/src/entities/tarea-expediente.entity.ts:22 (TareaExpediente.fechaVencimiento)</t>
        </is>
      </c>
      <c r="Q1255" s="18" t="inlineStr">
        <is>
          <t>Regla estructural</t>
        </is>
      </c>
      <c r="R1255" s="18" t="inlineStr">
        <is>
          <t>Fecha de vencimiento.</t>
        </is>
      </c>
      <c r="S1255" s="18" t="inlineStr">
        <is>
          <t>Media</t>
        </is>
      </c>
      <c r="T1255" s="18" t="inlineStr">
        <is>
          <t>Convención de nombre de la columna.</t>
        </is>
      </c>
      <c r="U1255" s="18" t="inlineStr"/>
      <c r="V1255" s="19" t="inlineStr">
        <is>
          <t>Pendiente</t>
        </is>
      </c>
      <c r="W1255" s="19" t="inlineStr"/>
      <c r="X1255" s="19" t="inlineStr"/>
      <c r="Y1255" s="20" t="n"/>
      <c r="Z1255" s="19" t="inlineStr"/>
      <c r="AA1255" s="18">
        <f>IF(OR(V1255="Aprobada"),R1255,IF(AND(OR(V1255="Aprobada con ajuste",V1255="Rechazada"),W1255&lt;&gt;""),W1255,""))</f>
        <v/>
      </c>
    </row>
    <row r="1256">
      <c r="A1256" s="18" t="inlineStr">
        <is>
          <t>C1255</t>
        </is>
      </c>
      <c r="B1256" s="18" t="inlineStr">
        <is>
          <t>Gestión jurídica</t>
        </is>
      </c>
      <c r="C1256" s="18" t="inlineStr">
        <is>
          <t>legal_management</t>
        </is>
      </c>
      <c r="D1256" s="18" t="inlineStr">
        <is>
          <t>tareas_expediente</t>
        </is>
      </c>
      <c r="E1256" s="18" t="n">
        <v>35</v>
      </c>
      <c r="F1256" s="18" t="inlineStr">
        <is>
          <t>responsable_id</t>
        </is>
      </c>
      <c r="G1256" s="18" t="inlineStr">
        <is>
          <t>uuid</t>
        </is>
      </c>
      <c r="H1256" s="18" t="inlineStr">
        <is>
          <t>Sí</t>
        </is>
      </c>
      <c r="I1256" s="18" t="inlineStr"/>
      <c r="J1256" s="18" t="inlineStr"/>
      <c r="K1256" s="18" t="inlineStr"/>
      <c r="L1256" s="18" t="inlineStr">
        <is>
          <t>No</t>
        </is>
      </c>
      <c r="M1256" s="18" t="inlineStr">
        <is>
          <t>No</t>
        </is>
      </c>
      <c r="N1256" s="18" t="inlineStr"/>
      <c r="O1256" s="18" t="inlineStr">
        <is>
          <t>idx_tareas_responsable</t>
        </is>
      </c>
      <c r="P1256" s="18" t="inlineStr">
        <is>
          <t>db/migrations/old/054_create_tareas_notas_expediente.sql:23: Asignación</t>
        </is>
      </c>
      <c r="Q1256" s="18" t="inlineStr">
        <is>
          <t>Código fuente</t>
        </is>
      </c>
      <c r="R1256" s="18" t="inlineStr">
        <is>
          <t>Identificador del responsable asignado a la tarea.</t>
        </is>
      </c>
      <c r="S1256" s="18" t="inlineStr">
        <is>
          <t>Alta</t>
        </is>
      </c>
      <c r="T1256" s="18" t="inlineStr">
        <is>
          <t>código: db/migrations/old/054_create_tareas_notas_expediente.sql:23</t>
        </is>
      </c>
      <c r="U1256" s="18" t="inlineStr"/>
      <c r="V1256" s="19" t="inlineStr">
        <is>
          <t>Pendiente</t>
        </is>
      </c>
      <c r="W1256" s="19" t="inlineStr"/>
      <c r="X1256" s="19" t="inlineStr"/>
      <c r="Y1256" s="20" t="n"/>
      <c r="Z1256" s="19" t="inlineStr"/>
      <c r="AA1256" s="18">
        <f>IF(OR(V1256="Aprobada"),R1256,IF(AND(OR(V1256="Aprobada con ajuste",V1256="Rechazada"),W1256&lt;&gt;""),W1256,""))</f>
        <v/>
      </c>
    </row>
    <row r="1257">
      <c r="A1257" s="18" t="inlineStr">
        <is>
          <t>C1256</t>
        </is>
      </c>
      <c r="B1257" s="18" t="inlineStr">
        <is>
          <t>Gestión jurídica</t>
        </is>
      </c>
      <c r="C1257" s="18" t="inlineStr">
        <is>
          <t>legal_management</t>
        </is>
      </c>
      <c r="D1257" s="18" t="inlineStr">
        <is>
          <t>tareas_expediente</t>
        </is>
      </c>
      <c r="E1257" s="18" t="n">
        <v>35</v>
      </c>
      <c r="F1257" s="18" t="inlineStr">
        <is>
          <t>responsable_nombre</t>
        </is>
      </c>
      <c r="G1257" s="18" t="inlineStr">
        <is>
          <t>character varying(255)</t>
        </is>
      </c>
      <c r="H1257" s="18" t="inlineStr">
        <is>
          <t>Sí</t>
        </is>
      </c>
      <c r="I1257" s="18" t="inlineStr"/>
      <c r="J1257" s="18" t="inlineStr"/>
      <c r="K1257" s="18" t="inlineStr"/>
      <c r="L1257" s="18" t="inlineStr">
        <is>
          <t>No</t>
        </is>
      </c>
      <c r="M1257" s="18" t="inlineStr">
        <is>
          <t>No</t>
        </is>
      </c>
      <c r="N1257" s="18" t="inlineStr"/>
      <c r="O1257" s="18" t="inlineStr"/>
      <c r="P1257" s="18" t="inlineStr">
        <is>
          <t>db/migrations/old/054_create_tareas_notas_expediente.sql:24: Backup if responsable is not a registered abogado</t>
        </is>
      </c>
      <c r="Q1257" s="18" t="inlineStr">
        <is>
          <t>Código fuente</t>
        </is>
      </c>
      <c r="R1257" s="18" t="inlineStr">
        <is>
          <t>Nombre del responsable de la tarea; se usa cuando el responsable no es un abogado registrado.</t>
        </is>
      </c>
      <c r="S1257" s="18" t="inlineStr">
        <is>
          <t>Alta</t>
        </is>
      </c>
      <c r="T1257" s="18" t="inlineStr">
        <is>
          <t>código: db/migrations/old/054_create_tareas_notas_expediente.sql:24</t>
        </is>
      </c>
      <c r="U1257" s="18" t="inlineStr"/>
      <c r="V1257" s="19" t="inlineStr">
        <is>
          <t>Pendiente</t>
        </is>
      </c>
      <c r="W1257" s="19" t="inlineStr"/>
      <c r="X1257" s="19" t="inlineStr"/>
      <c r="Y1257" s="20" t="n"/>
      <c r="Z1257" s="19" t="inlineStr"/>
      <c r="AA1257" s="18">
        <f>IF(OR(V1257="Aprobada"),R1257,IF(AND(OR(V1257="Aprobada con ajuste",V1257="Rechazada"),W1257&lt;&gt;""),W1257,""))</f>
        <v/>
      </c>
    </row>
    <row r="1258">
      <c r="A1258" s="18" t="inlineStr">
        <is>
          <t>C1257</t>
        </is>
      </c>
      <c r="B1258" s="18" t="inlineStr">
        <is>
          <t>Gestión jurídica</t>
        </is>
      </c>
      <c r="C1258" s="18" t="inlineStr">
        <is>
          <t>legal_management</t>
        </is>
      </c>
      <c r="D1258" s="18" t="inlineStr">
        <is>
          <t>tareas_expediente</t>
        </is>
      </c>
      <c r="E1258" s="18" t="n">
        <v>35</v>
      </c>
      <c r="F1258" s="18" t="inlineStr">
        <is>
          <t>fecha_completada</t>
        </is>
      </c>
      <c r="G1258" s="18" t="inlineStr">
        <is>
          <t>timestamp without time zone</t>
        </is>
      </c>
      <c r="H1258" s="18" t="inlineStr">
        <is>
          <t>Sí</t>
        </is>
      </c>
      <c r="I1258" s="18" t="inlineStr"/>
      <c r="J1258" s="18" t="inlineStr"/>
      <c r="K1258" s="18" t="inlineStr"/>
      <c r="L1258" s="18" t="inlineStr">
        <is>
          <t>No</t>
        </is>
      </c>
      <c r="M1258" s="18" t="inlineStr">
        <is>
          <t>No</t>
        </is>
      </c>
      <c r="N1258" s="18" t="inlineStr"/>
      <c r="O1258" s="18" t="inlineStr"/>
      <c r="P1258" s="18" t="inlineStr">
        <is>
          <t>Mapeada en legal-management-service/src/entities/tarea-expediente.entity.ts:40 (TareaExpediente.fechaCompletada)</t>
        </is>
      </c>
      <c r="Q1258" s="18" t="inlineStr">
        <is>
          <t>Regla estructural</t>
        </is>
      </c>
      <c r="R1258" s="18" t="inlineStr">
        <is>
          <t>Fecha completada.</t>
        </is>
      </c>
      <c r="S1258" s="18" t="inlineStr">
        <is>
          <t>Media</t>
        </is>
      </c>
      <c r="T1258" s="18" t="inlineStr">
        <is>
          <t>Convención de nombre de la columna.</t>
        </is>
      </c>
      <c r="U1258" s="18" t="inlineStr"/>
      <c r="V1258" s="19" t="inlineStr">
        <is>
          <t>Pendiente</t>
        </is>
      </c>
      <c r="W1258" s="19" t="inlineStr"/>
      <c r="X1258" s="19" t="inlineStr"/>
      <c r="Y1258" s="20" t="n"/>
      <c r="Z1258" s="19" t="inlineStr"/>
      <c r="AA1258" s="18">
        <f>IF(OR(V1258="Aprobada"),R1258,IF(AND(OR(V1258="Aprobada con ajuste",V1258="Rechazada"),W1258&lt;&gt;""),W1258,""))</f>
        <v/>
      </c>
    </row>
    <row r="1259">
      <c r="A1259" s="18" t="inlineStr">
        <is>
          <t>C1258</t>
        </is>
      </c>
      <c r="B1259" s="18" t="inlineStr">
        <is>
          <t>Gestión jurídica</t>
        </is>
      </c>
      <c r="C1259" s="18" t="inlineStr">
        <is>
          <t>legal_management</t>
        </is>
      </c>
      <c r="D1259" s="18" t="inlineStr">
        <is>
          <t>tasas_referencia</t>
        </is>
      </c>
      <c r="E1259" s="18" t="n">
        <v>0</v>
      </c>
      <c r="F1259" s="18" t="inlineStr">
        <is>
          <t>anio</t>
        </is>
      </c>
      <c r="G1259" s="18" t="inlineStr">
        <is>
          <t>integer</t>
        </is>
      </c>
      <c r="H1259" s="18" t="inlineStr">
        <is>
          <t>No</t>
        </is>
      </c>
      <c r="I1259" s="18" t="inlineStr"/>
      <c r="J1259" s="18" t="inlineStr"/>
      <c r="K1259" s="18" t="inlineStr"/>
      <c r="L1259" s="18" t="inlineStr">
        <is>
          <t>No</t>
        </is>
      </c>
      <c r="M1259" s="18" t="inlineStr">
        <is>
          <t>No</t>
        </is>
      </c>
      <c r="N1259" s="18" t="inlineStr"/>
      <c r="O1259" s="18" t="inlineStr"/>
      <c r="P1259" s="18" t="inlineStr">
        <is>
          <t>Mapeada en legal-management-service/src/entities/tasa-referencia.entity.ts:13 (TasaReferencia.anio)</t>
        </is>
      </c>
      <c r="Q1259" s="18" t="inlineStr">
        <is>
          <t>Regla estructural</t>
        </is>
      </c>
      <c r="R1259" s="18" t="inlineStr">
        <is>
          <t>Año.</t>
        </is>
      </c>
      <c r="S1259" s="18" t="inlineStr">
        <is>
          <t>Media</t>
        </is>
      </c>
      <c r="T1259" s="18" t="inlineStr">
        <is>
          <t>Convención de nombre de la columna.</t>
        </is>
      </c>
      <c r="U1259" s="18" t="inlineStr"/>
      <c r="V1259" s="19" t="inlineStr">
        <is>
          <t>Pendiente</t>
        </is>
      </c>
      <c r="W1259" s="19" t="inlineStr"/>
      <c r="X1259" s="19" t="inlineStr"/>
      <c r="Y1259" s="20" t="n"/>
      <c r="Z1259" s="19" t="inlineStr"/>
      <c r="AA1259" s="18">
        <f>IF(OR(V1259="Aprobada"),R1259,IF(AND(OR(V1259="Aprobada con ajuste",V1259="Rechazada"),W1259&lt;&gt;""),W1259,""))</f>
        <v/>
      </c>
    </row>
    <row r="1260">
      <c r="A1260" s="18" t="inlineStr">
        <is>
          <t>C1259</t>
        </is>
      </c>
      <c r="B1260" s="18" t="inlineStr">
        <is>
          <t>Gestión jurídica</t>
        </is>
      </c>
      <c r="C1260" s="18" t="inlineStr">
        <is>
          <t>legal_management</t>
        </is>
      </c>
      <c r="D1260" s="18" t="inlineStr">
        <is>
          <t>tasas_referencia</t>
        </is>
      </c>
      <c r="E1260" s="18" t="n">
        <v>0</v>
      </c>
      <c r="F1260" s="18" t="inlineStr">
        <is>
          <t>mes</t>
        </is>
      </c>
      <c r="G1260" s="18" t="inlineStr">
        <is>
          <t>integer</t>
        </is>
      </c>
      <c r="H1260" s="18" t="inlineStr">
        <is>
          <t>No</t>
        </is>
      </c>
      <c r="I1260" s="18" t="inlineStr"/>
      <c r="J1260" s="18" t="inlineStr"/>
      <c r="K1260" s="18" t="inlineStr"/>
      <c r="L1260" s="18" t="inlineStr">
        <is>
          <t>No</t>
        </is>
      </c>
      <c r="M1260" s="18" t="inlineStr">
        <is>
          <t>No</t>
        </is>
      </c>
      <c r="N1260" s="18" t="inlineStr"/>
      <c r="O1260" s="18" t="inlineStr"/>
      <c r="P1260" s="18" t="inlineStr">
        <is>
          <t>legal-management-service/src/entities/tasa-referencia.entity.ts:16: 1 to 12</t>
        </is>
      </c>
      <c r="Q1260" s="18" t="inlineStr">
        <is>
          <t>Código fuente</t>
        </is>
      </c>
      <c r="R1260" s="18" t="inlineStr">
        <is>
          <t>Mes de la tasa de referencia, de 1 a 12.</t>
        </is>
      </c>
      <c r="S1260" s="18" t="inlineStr">
        <is>
          <t>Alta</t>
        </is>
      </c>
      <c r="T1260" s="18" t="inlineStr">
        <is>
          <t>código: tasa-referencia.entity.ts:16</t>
        </is>
      </c>
      <c r="U1260" s="18" t="inlineStr"/>
      <c r="V1260" s="19" t="inlineStr">
        <is>
          <t>Pendiente</t>
        </is>
      </c>
      <c r="W1260" s="19" t="inlineStr"/>
      <c r="X1260" s="19" t="inlineStr"/>
      <c r="Y1260" s="20" t="n"/>
      <c r="Z1260" s="19" t="inlineStr"/>
      <c r="AA1260" s="18">
        <f>IF(OR(V1260="Aprobada"),R1260,IF(AND(OR(V1260="Aprobada con ajuste",V1260="Rechazada"),W1260&lt;&gt;""),W1260,""))</f>
        <v/>
      </c>
    </row>
    <row r="1261">
      <c r="A1261" s="18" t="inlineStr">
        <is>
          <t>C1260</t>
        </is>
      </c>
      <c r="B1261" s="18" t="inlineStr">
        <is>
          <t>Gestión jurídica</t>
        </is>
      </c>
      <c r="C1261" s="18" t="inlineStr">
        <is>
          <t>legal_management</t>
        </is>
      </c>
      <c r="D1261" s="18" t="inlineStr">
        <is>
          <t>tasas_referencia</t>
        </is>
      </c>
      <c r="E1261" s="18" t="n">
        <v>0</v>
      </c>
      <c r="F1261" s="18" t="inlineStr">
        <is>
          <t>valor_tasa</t>
        </is>
      </c>
      <c r="G1261" s="18" t="inlineStr">
        <is>
          <t>numeric(5,2)</t>
        </is>
      </c>
      <c r="H1261" s="18" t="inlineStr">
        <is>
          <t>No</t>
        </is>
      </c>
      <c r="I1261" s="18" t="inlineStr"/>
      <c r="J1261" s="18" t="inlineStr"/>
      <c r="K1261" s="18" t="inlineStr"/>
      <c r="L1261" s="18" t="inlineStr">
        <is>
          <t>No</t>
        </is>
      </c>
      <c r="M1261" s="18" t="inlineStr">
        <is>
          <t>No</t>
        </is>
      </c>
      <c r="N1261" s="18" t="inlineStr"/>
      <c r="O1261" s="18" t="inlineStr"/>
      <c r="P1261" s="18" t="inlineStr">
        <is>
          <t>Mapeada en legal-management-service/src/entities/tasa-referencia.entity.ts:19 (TasaReferencia.valorTasa)</t>
        </is>
      </c>
      <c r="Q1261" s="18" t="inlineStr">
        <is>
          <t>Propuesta semántica</t>
        </is>
      </c>
      <c r="R1261" s="18" t="inlineStr">
        <is>
          <t>Valor de la tasa de referencia para el año y el mes.</t>
        </is>
      </c>
      <c r="S1261" s="18" t="inlineStr">
        <is>
          <t>Media</t>
        </is>
      </c>
      <c r="T1261" s="18" t="inlineStr">
        <is>
          <t>nombre + tipo + columnas vecinas (anio, mes, tipo_tasa)</t>
        </is>
      </c>
      <c r="U1261" s="18" t="inlineStr">
        <is>
          <t>¿El valor se expresa en porcentaje y corresponde a una tasa mensual o anual?</t>
        </is>
      </c>
      <c r="V1261" s="19" t="inlineStr">
        <is>
          <t>Pendiente</t>
        </is>
      </c>
      <c r="W1261" s="19" t="inlineStr"/>
      <c r="X1261" s="19" t="inlineStr"/>
      <c r="Y1261" s="20" t="n"/>
      <c r="Z1261" s="19" t="inlineStr"/>
      <c r="AA1261" s="18">
        <f>IF(OR(V1261="Aprobada"),R1261,IF(AND(OR(V1261="Aprobada con ajuste",V1261="Rechazada"),W1261&lt;&gt;""),W1261,""))</f>
        <v/>
      </c>
    </row>
    <row r="1262">
      <c r="A1262" s="18" t="inlineStr">
        <is>
          <t>C1261</t>
        </is>
      </c>
      <c r="B1262" s="18" t="inlineStr">
        <is>
          <t>Gestión jurídica</t>
        </is>
      </c>
      <c r="C1262" s="18" t="inlineStr">
        <is>
          <t>legal_management</t>
        </is>
      </c>
      <c r="D1262" s="18" t="inlineStr">
        <is>
          <t>tasas_referencia</t>
        </is>
      </c>
      <c r="E1262" s="18" t="n">
        <v>0</v>
      </c>
      <c r="F1262" s="18" t="inlineStr">
        <is>
          <t>tipo_tasa</t>
        </is>
      </c>
      <c r="G1262" s="18" t="inlineStr">
        <is>
          <t>character varying(20)</t>
        </is>
      </c>
      <c r="H1262" s="18" t="inlineStr">
        <is>
          <t>No</t>
        </is>
      </c>
      <c r="I1262" s="18" t="inlineStr"/>
      <c r="J1262" s="18" t="inlineStr"/>
      <c r="K1262" s="18" t="inlineStr"/>
      <c r="L1262" s="18" t="inlineStr">
        <is>
          <t>No</t>
        </is>
      </c>
      <c r="M1262" s="18" t="inlineStr">
        <is>
          <t>No</t>
        </is>
      </c>
      <c r="N1262" s="18" t="inlineStr"/>
      <c r="O1262" s="18" t="inlineStr"/>
      <c r="P1262" s="18" t="inlineStr">
        <is>
          <t>Mapeada en legal-management-service/src/entities/tasa-referencia.entity.ts:22 (TasaReferencia.tipoTasa)</t>
        </is>
      </c>
      <c r="Q1262" s="18" t="inlineStr">
        <is>
          <t>Propuesta semántica</t>
        </is>
      </c>
      <c r="R1262" s="18" t="inlineStr">
        <is>
          <t>Tipo de tasa de referencia. Por defecto, DIAN.</t>
        </is>
      </c>
      <c r="S1262" s="18" t="inlineStr">
        <is>
          <t>Media</t>
        </is>
      </c>
      <c r="T1262" s="18" t="inlineStr">
        <is>
          <t>nombre + tipo + defecto</t>
        </is>
      </c>
      <c r="U1262" s="18" t="inlineStr">
        <is>
          <t>¿Qué otros tipos de tasa se registran además de DIAN?</t>
        </is>
      </c>
      <c r="V1262" s="19" t="inlineStr">
        <is>
          <t>Pendiente</t>
        </is>
      </c>
      <c r="W1262" s="19" t="inlineStr"/>
      <c r="X1262" s="19" t="inlineStr"/>
      <c r="Y1262" s="20" t="n"/>
      <c r="Z1262" s="19" t="inlineStr"/>
      <c r="AA1262" s="18">
        <f>IF(OR(V1262="Aprobada"),R1262,IF(AND(OR(V1262="Aprobada con ajuste",V1262="Rechazada"),W1262&lt;&gt;""),W1262,""))</f>
        <v/>
      </c>
    </row>
    <row r="1263">
      <c r="A1263" s="18" t="inlineStr">
        <is>
          <t>C1262</t>
        </is>
      </c>
      <c r="B1263" s="18" t="inlineStr">
        <is>
          <t>Gestión jurídica</t>
        </is>
      </c>
      <c r="C1263" s="18" t="inlineStr">
        <is>
          <t>legal_management</t>
        </is>
      </c>
      <c r="D1263" s="18" t="inlineStr">
        <is>
          <t>terminos_alertas_enviadas</t>
        </is>
      </c>
      <c r="E1263" s="18" t="n">
        <v>109</v>
      </c>
      <c r="F1263" s="18" t="inlineStr">
        <is>
          <t>fecha_envio</t>
        </is>
      </c>
      <c r="G1263" s="18" t="inlineStr">
        <is>
          <t>timestamp with time zone</t>
        </is>
      </c>
      <c r="H1263" s="18" t="inlineStr">
        <is>
          <t>No</t>
        </is>
      </c>
      <c r="I1263" s="18" t="inlineStr"/>
      <c r="J1263" s="18" t="inlineStr"/>
      <c r="K1263" s="18" t="inlineStr"/>
      <c r="L1263" s="18" t="inlineStr">
        <is>
          <t>No</t>
        </is>
      </c>
      <c r="M1263" s="18" t="inlineStr">
        <is>
          <t>No</t>
        </is>
      </c>
      <c r="N1263" s="18" t="inlineStr"/>
      <c r="O1263" s="18" t="inlineStr"/>
      <c r="P1263" s="18" t="inlineStr">
        <is>
          <t>Mapeada en legal-management-service/src/entities/alerta-termino-enviada.entity.ts:17 (AlertaTerminoEnviada.fechaEnvio)</t>
        </is>
      </c>
      <c r="Q1263" s="18" t="inlineStr">
        <is>
          <t>Regla estructural</t>
        </is>
      </c>
      <c r="R1263" s="18" t="inlineStr">
        <is>
          <t>Fecha de envio.</t>
        </is>
      </c>
      <c r="S1263" s="18" t="inlineStr">
        <is>
          <t>Media</t>
        </is>
      </c>
      <c r="T1263" s="18" t="inlineStr">
        <is>
          <t>Convención de nombre de la columna.</t>
        </is>
      </c>
      <c r="U1263" s="18" t="inlineStr"/>
      <c r="V1263" s="19" t="inlineStr">
        <is>
          <t>Pendiente</t>
        </is>
      </c>
      <c r="W1263" s="19" t="inlineStr"/>
      <c r="X1263" s="19" t="inlineStr"/>
      <c r="Y1263" s="20" t="n"/>
      <c r="Z1263" s="19" t="inlineStr"/>
      <c r="AA1263" s="18">
        <f>IF(OR(V1263="Aprobada"),R1263,IF(AND(OR(V1263="Aprobada con ajuste",V1263="Rechazada"),W1263&lt;&gt;""),W1263,""))</f>
        <v/>
      </c>
    </row>
    <row r="1264">
      <c r="A1264" s="18" t="inlineStr">
        <is>
          <t>C1263</t>
        </is>
      </c>
      <c r="B1264" s="18" t="inlineStr">
        <is>
          <t>Gestión jurídica</t>
        </is>
      </c>
      <c r="C1264" s="18" t="inlineStr">
        <is>
          <t>legal_management</t>
        </is>
      </c>
      <c r="D1264" s="18" t="inlineStr">
        <is>
          <t>terminos_procesales</t>
        </is>
      </c>
      <c r="E1264" s="18" t="n">
        <v>233</v>
      </c>
      <c r="F1264" s="18" t="inlineStr">
        <is>
          <t>origen_modulo</t>
        </is>
      </c>
      <c r="G1264" s="18" t="inlineStr">
        <is>
          <t>character varying(50)</t>
        </is>
      </c>
      <c r="H1264" s="18" t="inlineStr">
        <is>
          <t>No</t>
        </is>
      </c>
      <c r="I1264" s="18" t="inlineStr">
        <is>
          <t>CHECK</t>
        </is>
      </c>
      <c r="J1264" s="18" t="inlineStr">
        <is>
          <t>ASESORIA, DEFENSA, JUZGAMIENTO, MANUAL, ORGANOS_CONTROL, PROCESOS_COACTIVOS</t>
        </is>
      </c>
      <c r="K1264" s="18" t="inlineStr"/>
      <c r="L1264" s="18" t="inlineStr">
        <is>
          <t>Sí</t>
        </is>
      </c>
      <c r="M1264" s="18" t="inlineStr">
        <is>
          <t>No</t>
        </is>
      </c>
      <c r="N1264" s="18" t="inlineStr"/>
      <c r="O1264" s="18" t="inlineStr">
        <is>
          <t>idx_terminos_origen</t>
        </is>
      </c>
      <c r="P1264" s="18" t="inlineStr">
        <is>
          <t>legal-management-service/src/entities/termino-procesal.entity.ts:9: 'DEFENSA', 'JUZGAMIENTO', 'ASESORIA', 'MANUAL' | db/migrations/old/050_create_terminos_procesales.sql:11: Vinculación con el Origen</t>
        </is>
      </c>
      <c r="Q1264" s="18" t="inlineStr">
        <is>
          <t>Código fuente</t>
        </is>
      </c>
      <c r="R1264" s="18" t="inlineStr">
        <is>
          <t>Módulo de origen del término procesal. Valores permitidos: ASESORIA, DEFENSA, JUZGAMIENTO, MANUAL, ORGANOS_CONTROL, PROCESOS_COACTIVOS.</t>
        </is>
      </c>
      <c r="S1264" s="18" t="inlineStr">
        <is>
          <t>Alta</t>
        </is>
      </c>
      <c r="T1264" s="18" t="inlineStr">
        <is>
          <t>valores permitidos del CHECK + código: termino-procesal.entity.ts:9</t>
        </is>
      </c>
      <c r="U1264" s="18" t="inlineStr"/>
      <c r="V1264" s="19" t="inlineStr">
        <is>
          <t>Pendiente</t>
        </is>
      </c>
      <c r="W1264" s="19" t="inlineStr"/>
      <c r="X1264" s="19" t="inlineStr"/>
      <c r="Y1264" s="20" t="n"/>
      <c r="Z1264" s="19" t="inlineStr"/>
      <c r="AA1264" s="18">
        <f>IF(OR(V1264="Aprobada"),R1264,IF(AND(OR(V1264="Aprobada con ajuste",V1264="Rechazada"),W1264&lt;&gt;""),W1264,""))</f>
        <v/>
      </c>
    </row>
    <row r="1265">
      <c r="A1265" s="18" t="inlineStr">
        <is>
          <t>C1264</t>
        </is>
      </c>
      <c r="B1265" s="18" t="inlineStr">
        <is>
          <t>Gestión jurídica</t>
        </is>
      </c>
      <c r="C1265" s="18" t="inlineStr">
        <is>
          <t>legal_management</t>
        </is>
      </c>
      <c r="D1265" s="18" t="inlineStr">
        <is>
          <t>terminos_procesales</t>
        </is>
      </c>
      <c r="E1265" s="18" t="n">
        <v>233</v>
      </c>
      <c r="F1265" s="18" t="inlineStr">
        <is>
          <t>referencia_id</t>
        </is>
      </c>
      <c r="G1265" s="18" t="inlineStr">
        <is>
          <t>uuid</t>
        </is>
      </c>
      <c r="H1265" s="18" t="inlineStr">
        <is>
          <t>Sí</t>
        </is>
      </c>
      <c r="I1265" s="18" t="inlineStr"/>
      <c r="J1265" s="18" t="inlineStr"/>
      <c r="K1265" s="18" t="inlineStr"/>
      <c r="L1265" s="18" t="inlineStr">
        <is>
          <t>No</t>
        </is>
      </c>
      <c r="M1265" s="18" t="inlineStr">
        <is>
          <t>No</t>
        </is>
      </c>
      <c r="N1265" s="18" t="inlineStr"/>
      <c r="O1265" s="18" t="inlineStr">
        <is>
          <t>idx_terminos_referencia</t>
        </is>
      </c>
      <c r="P1265" s="18" t="inlineStr">
        <is>
          <t>db/migrations/old/050_create_terminos_procesales.sql:12: ID del proceso/expediente en la tabla original (UUID para compatibilidad)</t>
        </is>
      </c>
      <c r="Q1265" s="18" t="inlineStr">
        <is>
          <t>Código fuente</t>
        </is>
      </c>
      <c r="R1265" s="18" t="inlineStr">
        <is>
          <t>Identificador del proceso o expediente en la tabla del módulo de origen.</t>
        </is>
      </c>
      <c r="S1265" s="18" t="inlineStr">
        <is>
          <t>Alta</t>
        </is>
      </c>
      <c r="T1265" s="18" t="inlineStr">
        <is>
          <t>código: db/migrations/old/050_create_terminos_procesales.sql:12</t>
        </is>
      </c>
      <c r="U1265" s="18" t="inlineStr"/>
      <c r="V1265" s="19" t="inlineStr">
        <is>
          <t>Pendiente</t>
        </is>
      </c>
      <c r="W1265" s="19" t="inlineStr"/>
      <c r="X1265" s="19" t="inlineStr"/>
      <c r="Y1265" s="20" t="n"/>
      <c r="Z1265" s="19" t="inlineStr"/>
      <c r="AA1265" s="18">
        <f>IF(OR(V1265="Aprobada"),R1265,IF(AND(OR(V1265="Aprobada con ajuste",V1265="Rechazada"),W1265&lt;&gt;""),W1265,""))</f>
        <v/>
      </c>
    </row>
    <row r="1266">
      <c r="A1266" s="18" t="inlineStr">
        <is>
          <t>C1265</t>
        </is>
      </c>
      <c r="B1266" s="18" t="inlineStr">
        <is>
          <t>Gestión jurídica</t>
        </is>
      </c>
      <c r="C1266" s="18" t="inlineStr">
        <is>
          <t>legal_management</t>
        </is>
      </c>
      <c r="D1266" s="18" t="inlineStr">
        <is>
          <t>terminos_procesales</t>
        </is>
      </c>
      <c r="E1266" s="18" t="n">
        <v>233</v>
      </c>
      <c r="F1266" s="18" t="inlineStr">
        <is>
          <t>numero_radicado</t>
        </is>
      </c>
      <c r="G1266" s="18" t="inlineStr">
        <is>
          <t>character varying(100)</t>
        </is>
      </c>
      <c r="H1266" s="18" t="inlineStr">
        <is>
          <t>Sí</t>
        </is>
      </c>
      <c r="I1266" s="18" t="inlineStr"/>
      <c r="J1266" s="18" t="inlineStr"/>
      <c r="K1266" s="18" t="inlineStr"/>
      <c r="L1266" s="18" t="inlineStr">
        <is>
          <t>No</t>
        </is>
      </c>
      <c r="M1266" s="18" t="inlineStr">
        <is>
          <t>No</t>
        </is>
      </c>
      <c r="N1266" s="18" t="inlineStr"/>
      <c r="O1266" s="18" t="inlineStr"/>
      <c r="P1266" s="18" t="inlineStr">
        <is>
          <t>db/migrations/old/050_create_terminos_procesales.sql:13: Para búsqueda rápida visual</t>
        </is>
      </c>
      <c r="Q1266" s="18" t="inlineStr">
        <is>
          <t>Código fuente</t>
        </is>
      </c>
      <c r="R1266" s="18" t="inlineStr">
        <is>
          <t>Número de radicado del proceso, para búsqueda rápida.</t>
        </is>
      </c>
      <c r="S1266" s="18" t="inlineStr">
        <is>
          <t>Alta</t>
        </is>
      </c>
      <c r="T1266" s="18" t="inlineStr">
        <is>
          <t>código: db/migrations/old/050_create_terminos_procesales.sql:13</t>
        </is>
      </c>
      <c r="U1266" s="18" t="inlineStr"/>
      <c r="V1266" s="19" t="inlineStr">
        <is>
          <t>Pendiente</t>
        </is>
      </c>
      <c r="W1266" s="19" t="inlineStr"/>
      <c r="X1266" s="19" t="inlineStr"/>
      <c r="Y1266" s="20" t="n"/>
      <c r="Z1266" s="19" t="inlineStr"/>
      <c r="AA1266" s="18">
        <f>IF(OR(V1266="Aprobada"),R1266,IF(AND(OR(V1266="Aprobada con ajuste",V1266="Rechazada"),W1266&lt;&gt;""),W1266,""))</f>
        <v/>
      </c>
    </row>
    <row r="1267">
      <c r="A1267" s="18" t="inlineStr">
        <is>
          <t>C1266</t>
        </is>
      </c>
      <c r="B1267" s="18" t="inlineStr">
        <is>
          <t>Gestión jurídica</t>
        </is>
      </c>
      <c r="C1267" s="18" t="inlineStr">
        <is>
          <t>legal_management</t>
        </is>
      </c>
      <c r="D1267" s="18" t="inlineStr">
        <is>
          <t>terminos_procesales</t>
        </is>
      </c>
      <c r="E1267" s="18" t="n">
        <v>233</v>
      </c>
      <c r="F1267" s="18" t="inlineStr">
        <is>
          <t>nombre_actuacion</t>
        </is>
      </c>
      <c r="G1267" s="18" t="inlineStr">
        <is>
          <t>character varying(255)</t>
        </is>
      </c>
      <c r="H1267" s="18" t="inlineStr">
        <is>
          <t>No</t>
        </is>
      </c>
      <c r="I1267" s="18" t="inlineStr"/>
      <c r="J1267" s="18" t="inlineStr"/>
      <c r="K1267" s="18" t="inlineStr"/>
      <c r="L1267" s="18" t="inlineStr">
        <is>
          <t>No</t>
        </is>
      </c>
      <c r="M1267" s="18" t="inlineStr">
        <is>
          <t>No</t>
        </is>
      </c>
      <c r="N1267" s="18" t="inlineStr"/>
      <c r="O1267" s="18" t="inlineStr"/>
      <c r="P1267" s="18" t="inlineStr">
        <is>
          <t>db/migrations/old/050_create_terminos_procesales.sql:16: Datos del Término Ej: "Contestación Demanda", "Fallo Disciplinario"</t>
        </is>
      </c>
      <c r="Q1267" s="18" t="inlineStr">
        <is>
          <t>Código fuente</t>
        </is>
      </c>
      <c r="R1267" s="18" t="inlineStr">
        <is>
          <t>Nombre de la actuación a la que corresponde el término (por ejemplo, «Contestación Demanda», «Fallo Disciplinario»).</t>
        </is>
      </c>
      <c r="S1267" s="18" t="inlineStr">
        <is>
          <t>Alta</t>
        </is>
      </c>
      <c r="T1267" s="18" t="inlineStr">
        <is>
          <t>código: db/migrations/old/050_create_terminos_procesales.sql:16</t>
        </is>
      </c>
      <c r="U1267" s="18" t="inlineStr"/>
      <c r="V1267" s="19" t="inlineStr">
        <is>
          <t>Pendiente</t>
        </is>
      </c>
      <c r="W1267" s="19" t="inlineStr"/>
      <c r="X1267" s="19" t="inlineStr"/>
      <c r="Y1267" s="20" t="n"/>
      <c r="Z1267" s="19" t="inlineStr"/>
      <c r="AA1267" s="18">
        <f>IF(OR(V1267="Aprobada"),R1267,IF(AND(OR(V1267="Aprobada con ajuste",V1267="Rechazada"),W1267&lt;&gt;""),W1267,""))</f>
        <v/>
      </c>
    </row>
    <row r="1268">
      <c r="A1268" s="18" t="inlineStr">
        <is>
          <t>C1267</t>
        </is>
      </c>
      <c r="B1268" s="18" t="inlineStr">
        <is>
          <t>Gestión jurídica</t>
        </is>
      </c>
      <c r="C1268" s="18" t="inlineStr">
        <is>
          <t>legal_management</t>
        </is>
      </c>
      <c r="D1268" s="18" t="inlineStr">
        <is>
          <t>terminos_procesales</t>
        </is>
      </c>
      <c r="E1268" s="18" t="n">
        <v>233</v>
      </c>
      <c r="F1268" s="18" t="inlineStr">
        <is>
          <t>fecha_base</t>
        </is>
      </c>
      <c r="G1268" s="18" t="inlineStr">
        <is>
          <t>timestamp with time zone</t>
        </is>
      </c>
      <c r="H1268" s="18" t="inlineStr">
        <is>
          <t>No</t>
        </is>
      </c>
      <c r="I1268" s="18" t="inlineStr"/>
      <c r="J1268" s="18" t="inlineStr"/>
      <c r="K1268" s="18" t="inlineStr"/>
      <c r="L1268" s="18" t="inlineStr">
        <is>
          <t>No</t>
        </is>
      </c>
      <c r="M1268" s="18" t="inlineStr">
        <is>
          <t>No</t>
        </is>
      </c>
      <c r="N1268" s="18" t="inlineStr"/>
      <c r="O1268" s="18" t="inlineStr"/>
      <c r="P1268" s="18" t="inlineStr">
        <is>
          <t>db/migrations/old/050_create_terminos_procesales.sql:17: Fecha de notificación o inicio del conteo</t>
        </is>
      </c>
      <c r="Q1268" s="18" t="inlineStr">
        <is>
          <t>Código fuente</t>
        </is>
      </c>
      <c r="R1268" s="18" t="inlineStr">
        <is>
          <t>Fecha de notificación o de inicio del conteo del término.</t>
        </is>
      </c>
      <c r="S1268" s="18" t="inlineStr">
        <is>
          <t>Alta</t>
        </is>
      </c>
      <c r="T1268" s="18" t="inlineStr">
        <is>
          <t>código: db/migrations/old/050_create_terminos_procesales.sql:17</t>
        </is>
      </c>
      <c r="U1268" s="18" t="inlineStr"/>
      <c r="V1268" s="19" t="inlineStr">
        <is>
          <t>Pendiente</t>
        </is>
      </c>
      <c r="W1268" s="19" t="inlineStr"/>
      <c r="X1268" s="19" t="inlineStr"/>
      <c r="Y1268" s="20" t="n"/>
      <c r="Z1268" s="19" t="inlineStr"/>
      <c r="AA1268" s="18">
        <f>IF(OR(V1268="Aprobada"),R1268,IF(AND(OR(V1268="Aprobada con ajuste",V1268="Rechazada"),W1268&lt;&gt;""),W1268,""))</f>
        <v/>
      </c>
    </row>
    <row r="1269">
      <c r="A1269" s="18" t="inlineStr">
        <is>
          <t>C1268</t>
        </is>
      </c>
      <c r="B1269" s="18" t="inlineStr">
        <is>
          <t>Gestión jurídica</t>
        </is>
      </c>
      <c r="C1269" s="18" t="inlineStr">
        <is>
          <t>legal_management</t>
        </is>
      </c>
      <c r="D1269" s="18" t="inlineStr">
        <is>
          <t>terminos_procesales</t>
        </is>
      </c>
      <c r="E1269" s="18" t="n">
        <v>233</v>
      </c>
      <c r="F1269" s="18" t="inlineStr">
        <is>
          <t>dias_termino</t>
        </is>
      </c>
      <c r="G1269" s="18" t="inlineStr">
        <is>
          <t>integer</t>
        </is>
      </c>
      <c r="H1269" s="18" t="inlineStr">
        <is>
          <t>No</t>
        </is>
      </c>
      <c r="I1269" s="18" t="inlineStr"/>
      <c r="J1269" s="18" t="inlineStr"/>
      <c r="K1269" s="18" t="inlineStr"/>
      <c r="L1269" s="18" t="inlineStr">
        <is>
          <t>No</t>
        </is>
      </c>
      <c r="M1269" s="18" t="inlineStr">
        <is>
          <t>No</t>
        </is>
      </c>
      <c r="N1269" s="18" t="inlineStr"/>
      <c r="O1269" s="18" t="inlineStr"/>
      <c r="P1269" s="18" t="inlineStr">
        <is>
          <t>db/migrations/old/050_create_terminos_procesales.sql:18: Cantidad de días otorgados</t>
        </is>
      </c>
      <c r="Q1269" s="18" t="inlineStr">
        <is>
          <t>Código fuente</t>
        </is>
      </c>
      <c r="R1269" s="18" t="inlineStr">
        <is>
          <t>Cantidad de días otorgados para el término, en la unidad que indica tipo_dias.</t>
        </is>
      </c>
      <c r="S1269" s="18" t="inlineStr">
        <is>
          <t>Alta</t>
        </is>
      </c>
      <c r="T1269" s="18" t="inlineStr">
        <is>
          <t>código: db/migrations/old/050_create_terminos_procesales.sql:18</t>
        </is>
      </c>
      <c r="U1269" s="18" t="inlineStr"/>
      <c r="V1269" s="19" t="inlineStr">
        <is>
          <t>Pendiente</t>
        </is>
      </c>
      <c r="W1269" s="19" t="inlineStr"/>
      <c r="X1269" s="19" t="inlineStr"/>
      <c r="Y1269" s="20" t="n"/>
      <c r="Z1269" s="19" t="inlineStr"/>
      <c r="AA1269" s="18">
        <f>IF(OR(V1269="Aprobada"),R1269,IF(AND(OR(V1269="Aprobada con ajuste",V1269="Rechazada"),W1269&lt;&gt;""),W1269,""))</f>
        <v/>
      </c>
    </row>
    <row r="1270">
      <c r="A1270" s="18" t="inlineStr">
        <is>
          <t>C1269</t>
        </is>
      </c>
      <c r="B1270" s="18" t="inlineStr">
        <is>
          <t>Gestión jurídica</t>
        </is>
      </c>
      <c r="C1270" s="18" t="inlineStr">
        <is>
          <t>legal_management</t>
        </is>
      </c>
      <c r="D1270" s="18" t="inlineStr">
        <is>
          <t>terminos_procesales</t>
        </is>
      </c>
      <c r="E1270" s="18" t="n">
        <v>233</v>
      </c>
      <c r="F1270" s="18" t="inlineStr">
        <is>
          <t>tipo_dias</t>
        </is>
      </c>
      <c r="G1270" s="18" t="inlineStr">
        <is>
          <t>character varying(20)</t>
        </is>
      </c>
      <c r="H1270" s="18" t="inlineStr">
        <is>
          <t>Sí</t>
        </is>
      </c>
      <c r="I1270" s="18" t="inlineStr">
        <is>
          <t>CHECK</t>
        </is>
      </c>
      <c r="J1270" s="18" t="inlineStr">
        <is>
          <t>CALENDARIO, HABILES, HORAS</t>
        </is>
      </c>
      <c r="K1270" s="18" t="inlineStr"/>
      <c r="L1270" s="18" t="inlineStr">
        <is>
          <t>Sí</t>
        </is>
      </c>
      <c r="M1270" s="18" t="inlineStr">
        <is>
          <t>No</t>
        </is>
      </c>
      <c r="N1270" s="18" t="inlineStr"/>
      <c r="O1270" s="18" t="inlineStr"/>
      <c r="P1270" s="18" t="inlineStr">
        <is>
          <t>db/migrations/old/050_create_terminos_procesales.sql:19: 'HABILES' o 'CALENDARIO'</t>
        </is>
      </c>
      <c r="Q1270" s="18" t="inlineStr">
        <is>
          <t>Código fuente</t>
        </is>
      </c>
      <c r="R1270" s="18" t="inlineStr">
        <is>
          <t>Unidad del conteo del término. Valores permitidos: HABILES, CALENDARIO, HORAS; valor por defecto HABILES.</t>
        </is>
      </c>
      <c r="S1270" s="18" t="inlineStr">
        <is>
          <t>Alta</t>
        </is>
      </c>
      <c r="T1270" s="18" t="inlineStr">
        <is>
          <t>valores permitidos del CHECK; código: db/migrations/old/050_create_terminos_procesales.sql:19</t>
        </is>
      </c>
      <c r="U1270" s="18" t="inlineStr"/>
      <c r="V1270" s="19" t="inlineStr">
        <is>
          <t>Pendiente</t>
        </is>
      </c>
      <c r="W1270" s="19" t="inlineStr"/>
      <c r="X1270" s="19" t="inlineStr"/>
      <c r="Y1270" s="20" t="n"/>
      <c r="Z1270" s="19" t="inlineStr"/>
      <c r="AA1270" s="18">
        <f>IF(OR(V1270="Aprobada"),R1270,IF(AND(OR(V1270="Aprobada con ajuste",V1270="Rechazada"),W1270&lt;&gt;""),W1270,""))</f>
        <v/>
      </c>
    </row>
    <row r="1271">
      <c r="A1271" s="18" t="inlineStr">
        <is>
          <t>C1270</t>
        </is>
      </c>
      <c r="B1271" s="18" t="inlineStr">
        <is>
          <t>Gestión jurídica</t>
        </is>
      </c>
      <c r="C1271" s="18" t="inlineStr">
        <is>
          <t>legal_management</t>
        </is>
      </c>
      <c r="D1271" s="18" t="inlineStr">
        <is>
          <t>terminos_procesales</t>
        </is>
      </c>
      <c r="E1271" s="18" t="n">
        <v>233</v>
      </c>
      <c r="F1271" s="18" t="inlineStr">
        <is>
          <t>fecha_vencimiento</t>
        </is>
      </c>
      <c r="G1271" s="18" t="inlineStr">
        <is>
          <t>timestamp with time zone</t>
        </is>
      </c>
      <c r="H1271" s="18" t="inlineStr">
        <is>
          <t>No</t>
        </is>
      </c>
      <c r="I1271" s="18" t="inlineStr"/>
      <c r="J1271" s="18" t="inlineStr"/>
      <c r="K1271" s="18" t="inlineStr"/>
      <c r="L1271" s="18" t="inlineStr">
        <is>
          <t>No</t>
        </is>
      </c>
      <c r="M1271" s="18" t="inlineStr">
        <is>
          <t>No</t>
        </is>
      </c>
      <c r="N1271" s="18" t="inlineStr"/>
      <c r="O1271" s="18" t="inlineStr">
        <is>
          <t>idx_terminos_vencimiento</t>
        </is>
      </c>
      <c r="P1271" s="18" t="inlineStr">
        <is>
          <t>db/migrations/old/050_create_terminos_procesales.sql:22: Fechas Calculadas Calculada por el backend al insertar</t>
        </is>
      </c>
      <c r="Q1271" s="18" t="inlineStr">
        <is>
          <t>Código fuente</t>
        </is>
      </c>
      <c r="R1271" s="18" t="inlineStr">
        <is>
          <t>Fecha de vencimiento del término, calculada por el backend al insertar.</t>
        </is>
      </c>
      <c r="S1271" s="18" t="inlineStr">
        <is>
          <t>Alta</t>
        </is>
      </c>
      <c r="T1271" s="18" t="inlineStr">
        <is>
          <t>código: db/migrations/old/050_create_terminos_procesales.sql:22</t>
        </is>
      </c>
      <c r="U1271" s="18" t="inlineStr"/>
      <c r="V1271" s="19" t="inlineStr">
        <is>
          <t>Pendiente</t>
        </is>
      </c>
      <c r="W1271" s="19" t="inlineStr"/>
      <c r="X1271" s="19" t="inlineStr"/>
      <c r="Y1271" s="20" t="n"/>
      <c r="Z1271" s="19" t="inlineStr"/>
      <c r="AA1271" s="18">
        <f>IF(OR(V1271="Aprobada"),R1271,IF(AND(OR(V1271="Aprobada con ajuste",V1271="Rechazada"),W1271&lt;&gt;""),W1271,""))</f>
        <v/>
      </c>
    </row>
    <row r="1272">
      <c r="A1272" s="18" t="inlineStr">
        <is>
          <t>C1271</t>
        </is>
      </c>
      <c r="B1272" s="18" t="inlineStr">
        <is>
          <t>Gestión jurídica</t>
        </is>
      </c>
      <c r="C1272" s="18" t="inlineStr">
        <is>
          <t>legal_management</t>
        </is>
      </c>
      <c r="D1272" s="18" t="inlineStr">
        <is>
          <t>terminos_procesales</t>
        </is>
      </c>
      <c r="E1272" s="18" t="n">
        <v>233</v>
      </c>
      <c r="F1272" s="18" t="inlineStr">
        <is>
          <t>fecha_alerta_preventiva</t>
        </is>
      </c>
      <c r="G1272" s="18" t="inlineStr">
        <is>
          <t>timestamp with time zone</t>
        </is>
      </c>
      <c r="H1272" s="18" t="inlineStr">
        <is>
          <t>Sí</t>
        </is>
      </c>
      <c r="I1272" s="18" t="inlineStr"/>
      <c r="J1272" s="18" t="inlineStr"/>
      <c r="K1272" s="18" t="inlineStr"/>
      <c r="L1272" s="18" t="inlineStr">
        <is>
          <t>No</t>
        </is>
      </c>
      <c r="M1272" s="18" t="inlineStr">
        <is>
          <t>No</t>
        </is>
      </c>
      <c r="N1272" s="18" t="inlineStr"/>
      <c r="O1272" s="18" t="inlineStr"/>
      <c r="P1272" s="18" t="inlineStr">
        <is>
          <t>db/migrations/old/050_create_terminos_procesales.sql:23: (Vencimiento - 5 días)</t>
        </is>
      </c>
      <c r="Q1272" s="18" t="inlineStr">
        <is>
          <t>Código fuente</t>
        </is>
      </c>
      <c r="R1272" s="18" t="inlineStr">
        <is>
          <t>Fecha de la alerta preventiva: vencimiento menos 5 días.</t>
        </is>
      </c>
      <c r="S1272" s="18" t="inlineStr">
        <is>
          <t>Alta</t>
        </is>
      </c>
      <c r="T1272" s="18" t="inlineStr">
        <is>
          <t>código: db/migrations/old/050_create_terminos_procesales.sql:23</t>
        </is>
      </c>
      <c r="U1272" s="18" t="inlineStr"/>
      <c r="V1272" s="19" t="inlineStr">
        <is>
          <t>Pendiente</t>
        </is>
      </c>
      <c r="W1272" s="19" t="inlineStr"/>
      <c r="X1272" s="19" t="inlineStr"/>
      <c r="Y1272" s="20" t="n"/>
      <c r="Z1272" s="19" t="inlineStr"/>
      <c r="AA1272" s="18">
        <f>IF(OR(V1272="Aprobada"),R1272,IF(AND(OR(V1272="Aprobada con ajuste",V1272="Rechazada"),W1272&lt;&gt;""),W1272,""))</f>
        <v/>
      </c>
    </row>
    <row r="1273">
      <c r="A1273" s="18" t="inlineStr">
        <is>
          <t>C1272</t>
        </is>
      </c>
      <c r="B1273" s="18" t="inlineStr">
        <is>
          <t>Gestión jurídica</t>
        </is>
      </c>
      <c r="C1273" s="18" t="inlineStr">
        <is>
          <t>legal_management</t>
        </is>
      </c>
      <c r="D1273" s="18" t="inlineStr">
        <is>
          <t>terminos_procesales</t>
        </is>
      </c>
      <c r="E1273" s="18" t="n">
        <v>233</v>
      </c>
      <c r="F1273" s="18" t="inlineStr">
        <is>
          <t>fecha_alerta_critica</t>
        </is>
      </c>
      <c r="G1273" s="18" t="inlineStr">
        <is>
          <t>timestamp with time zone</t>
        </is>
      </c>
      <c r="H1273" s="18" t="inlineStr">
        <is>
          <t>Sí</t>
        </is>
      </c>
      <c r="I1273" s="18" t="inlineStr"/>
      <c r="J1273" s="18" t="inlineStr"/>
      <c r="K1273" s="18" t="inlineStr"/>
      <c r="L1273" s="18" t="inlineStr">
        <is>
          <t>No</t>
        </is>
      </c>
      <c r="M1273" s="18" t="inlineStr">
        <is>
          <t>No</t>
        </is>
      </c>
      <c r="N1273" s="18" t="inlineStr"/>
      <c r="O1273" s="18" t="inlineStr"/>
      <c r="P1273" s="18" t="inlineStr">
        <is>
          <t>db/migrations/old/050_create_terminos_procesales.sql:24: (Vencimiento - 2 días)</t>
        </is>
      </c>
      <c r="Q1273" s="18" t="inlineStr">
        <is>
          <t>Código fuente</t>
        </is>
      </c>
      <c r="R1273" s="18" t="inlineStr">
        <is>
          <t>Fecha de la alerta crítica: vencimiento menos 2 días.</t>
        </is>
      </c>
      <c r="S1273" s="18" t="inlineStr">
        <is>
          <t>Alta</t>
        </is>
      </c>
      <c r="T1273" s="18" t="inlineStr">
        <is>
          <t>código: db/migrations/old/050_create_terminos_procesales.sql:24</t>
        </is>
      </c>
      <c r="U1273" s="18" t="inlineStr"/>
      <c r="V1273" s="19" t="inlineStr">
        <is>
          <t>Pendiente</t>
        </is>
      </c>
      <c r="W1273" s="19" t="inlineStr"/>
      <c r="X1273" s="19" t="inlineStr"/>
      <c r="Y1273" s="20" t="n"/>
      <c r="Z1273" s="19" t="inlineStr"/>
      <c r="AA1273" s="18">
        <f>IF(OR(V1273="Aprobada"),R1273,IF(AND(OR(V1273="Aprobada con ajuste",V1273="Rechazada"),W1273&lt;&gt;""),W1273,""))</f>
        <v/>
      </c>
    </row>
    <row r="1274">
      <c r="A1274" s="18" t="inlineStr">
        <is>
          <t>C1273</t>
        </is>
      </c>
      <c r="B1274" s="18" t="inlineStr">
        <is>
          <t>Gestión jurídica</t>
        </is>
      </c>
      <c r="C1274" s="18" t="inlineStr">
        <is>
          <t>legal_management</t>
        </is>
      </c>
      <c r="D1274" s="18" t="inlineStr">
        <is>
          <t>terminos_procesales</t>
        </is>
      </c>
      <c r="E1274" s="18" t="n">
        <v>233</v>
      </c>
      <c r="F1274" s="18" t="inlineStr">
        <is>
          <t>estado</t>
        </is>
      </c>
      <c r="G1274" s="18" t="inlineStr">
        <is>
          <t>character varying(20)</t>
        </is>
      </c>
      <c r="H1274" s="18" t="inlineStr">
        <is>
          <t>Sí</t>
        </is>
      </c>
      <c r="I1274" s="18" t="inlineStr">
        <is>
          <t>CHECK</t>
        </is>
      </c>
      <c r="J1274" s="18" t="inlineStr">
        <is>
          <t>CUMPLIDO, ELIMINADO, PENDIENTE, SUSPENDIDO, VENCIDO</t>
        </is>
      </c>
      <c r="K1274" s="18" t="inlineStr"/>
      <c r="L1274" s="18" t="inlineStr">
        <is>
          <t>Sí</t>
        </is>
      </c>
      <c r="M1274" s="18" t="inlineStr">
        <is>
          <t>No</t>
        </is>
      </c>
      <c r="N1274" s="18" t="inlineStr"/>
      <c r="O1274" s="18" t="inlineStr">
        <is>
          <t>idx_terminos_estado</t>
        </is>
      </c>
      <c r="P1274" s="18" t="inlineStr">
        <is>
          <t>db/migrations/old/050_create_terminos_procesales.sql:27: Gestión</t>
        </is>
      </c>
      <c r="Q1274" s="18" t="inlineStr">
        <is>
          <t>Código fuente</t>
        </is>
      </c>
      <c r="R1274" s="18" t="inlineStr">
        <is>
          <t>Estado del término. Valores permitidos: CUMPLIDO, ELIMINADO, PENDIENTE, SUSPENDIDO, VENCIDO; valor por defecto PENDIENTE.</t>
        </is>
      </c>
      <c r="S1274" s="18" t="inlineStr">
        <is>
          <t>Alta</t>
        </is>
      </c>
      <c r="T1274" s="18" t="inlineStr">
        <is>
          <t>valores permitidos del CHECK</t>
        </is>
      </c>
      <c r="U1274" s="18" t="inlineStr"/>
      <c r="V1274" s="19" t="inlineStr">
        <is>
          <t>Pendiente</t>
        </is>
      </c>
      <c r="W1274" s="19" t="inlineStr"/>
      <c r="X1274" s="19" t="inlineStr"/>
      <c r="Y1274" s="20" t="n"/>
      <c r="Z1274" s="19" t="inlineStr"/>
      <c r="AA1274" s="18">
        <f>IF(OR(V1274="Aprobada"),R1274,IF(AND(OR(V1274="Aprobada con ajuste",V1274="Rechazada"),W1274&lt;&gt;""),W1274,""))</f>
        <v/>
      </c>
    </row>
    <row r="1275">
      <c r="A1275" s="18" t="inlineStr">
        <is>
          <t>C1274</t>
        </is>
      </c>
      <c r="B1275" s="18" t="inlineStr">
        <is>
          <t>Gestión jurídica</t>
        </is>
      </c>
      <c r="C1275" s="18" t="inlineStr">
        <is>
          <t>legal_management</t>
        </is>
      </c>
      <c r="D1275" s="18" t="inlineStr">
        <is>
          <t>terminos_procesales</t>
        </is>
      </c>
      <c r="E1275" s="18" t="n">
        <v>233</v>
      </c>
      <c r="F1275" s="18" t="inlineStr">
        <is>
          <t>prioridad</t>
        </is>
      </c>
      <c r="G1275" s="18" t="inlineStr">
        <is>
          <t>character varying(10)</t>
        </is>
      </c>
      <c r="H1275" s="18" t="inlineStr">
        <is>
          <t>Sí</t>
        </is>
      </c>
      <c r="I1275" s="18" t="inlineStr">
        <is>
          <t>CHECK</t>
        </is>
      </c>
      <c r="J1275" s="18" t="inlineStr">
        <is>
          <t>ALTA, BAJA, MEDIA</t>
        </is>
      </c>
      <c r="K1275" s="18" t="inlineStr"/>
      <c r="L1275" s="18" t="inlineStr">
        <is>
          <t>Sí</t>
        </is>
      </c>
      <c r="M1275" s="18" t="inlineStr">
        <is>
          <t>No</t>
        </is>
      </c>
      <c r="N1275" s="18" t="inlineStr"/>
      <c r="O1275" s="18" t="inlineStr"/>
      <c r="P1275" s="18" t="inlineStr">
        <is>
          <t>Mapeada en legal-management-service/src/entities/termino-procesal.entity.ts:65 (TerminoProcesal.prioridad)</t>
        </is>
      </c>
      <c r="Q1275" s="18" t="inlineStr">
        <is>
          <t>Propuesta semántica</t>
        </is>
      </c>
      <c r="R1275" s="18" t="inlineStr">
        <is>
          <t>Prioridad del término procesal. Valores permitidos: ALTA, BAJA, MEDIA. Por defecto, MEDIA.</t>
        </is>
      </c>
      <c r="S1275" s="18" t="inlineStr">
        <is>
          <t>Alta</t>
        </is>
      </c>
      <c r="T1275" s="18" t="inlineStr">
        <is>
          <t>valores permitidos del CHECK</t>
        </is>
      </c>
      <c r="U1275" s="18" t="inlineStr"/>
      <c r="V1275" s="19" t="inlineStr">
        <is>
          <t>Pendiente</t>
        </is>
      </c>
      <c r="W1275" s="19" t="inlineStr"/>
      <c r="X1275" s="19" t="inlineStr"/>
      <c r="Y1275" s="20" t="n"/>
      <c r="Z1275" s="19" t="inlineStr"/>
      <c r="AA1275" s="18">
        <f>IF(OR(V1275="Aprobada"),R1275,IF(AND(OR(V1275="Aprobada con ajuste",V1275="Rechazada"),W1275&lt;&gt;""),W1275,""))</f>
        <v/>
      </c>
    </row>
    <row r="1276">
      <c r="A1276" s="18" t="inlineStr">
        <is>
          <t>C1275</t>
        </is>
      </c>
      <c r="B1276" s="18" t="inlineStr">
        <is>
          <t>Gestión jurídica</t>
        </is>
      </c>
      <c r="C1276" s="18" t="inlineStr">
        <is>
          <t>legal_management</t>
        </is>
      </c>
      <c r="D1276" s="18" t="inlineStr">
        <is>
          <t>terminos_procesales</t>
        </is>
      </c>
      <c r="E1276" s="18" t="n">
        <v>233</v>
      </c>
      <c r="F1276" s="18" t="inlineStr">
        <is>
          <t>responsable_id</t>
        </is>
      </c>
      <c r="G1276" s="18" t="inlineStr">
        <is>
          <t>uuid</t>
        </is>
      </c>
      <c r="H1276" s="18" t="inlineStr">
        <is>
          <t>Sí</t>
        </is>
      </c>
      <c r="I1276" s="18" t="inlineStr"/>
      <c r="J1276" s="18" t="inlineStr"/>
      <c r="K1276" s="18" t="inlineStr"/>
      <c r="L1276" s="18" t="inlineStr">
        <is>
          <t>No</t>
        </is>
      </c>
      <c r="M1276" s="18" t="inlineStr">
        <is>
          <t>No</t>
        </is>
      </c>
      <c r="N1276" s="18" t="inlineStr"/>
      <c r="O1276" s="18" t="inlineStr">
        <is>
          <t>idx_terminos_responsable</t>
        </is>
      </c>
      <c r="P1276" s="18" t="inlineStr">
        <is>
          <t>db/migrations/old/050_create_terminos_procesales.sql:29: Usuario asignado</t>
        </is>
      </c>
      <c r="Q1276" s="18" t="inlineStr">
        <is>
          <t>Código fuente</t>
        </is>
      </c>
      <c r="R1276" s="18" t="inlineStr">
        <is>
          <t>Identificador del usuario asignado como responsable del término.</t>
        </is>
      </c>
      <c r="S1276" s="18" t="inlineStr">
        <is>
          <t>Alta</t>
        </is>
      </c>
      <c r="T1276" s="18" t="inlineStr">
        <is>
          <t>código: db/migrations/old/050_create_terminos_procesales.sql:29</t>
        </is>
      </c>
      <c r="U1276" s="18" t="inlineStr"/>
      <c r="V1276" s="19" t="inlineStr">
        <is>
          <t>Pendiente</t>
        </is>
      </c>
      <c r="W1276" s="19" t="inlineStr"/>
      <c r="X1276" s="19" t="inlineStr"/>
      <c r="Y1276" s="20" t="n"/>
      <c r="Z1276" s="19" t="inlineStr"/>
      <c r="AA1276" s="18">
        <f>IF(OR(V1276="Aprobada"),R1276,IF(AND(OR(V1276="Aprobada con ajuste",V1276="Rechazada"),W1276&lt;&gt;""),W1276,""))</f>
        <v/>
      </c>
    </row>
    <row r="1277">
      <c r="A1277" s="18" t="inlineStr">
        <is>
          <t>C1276</t>
        </is>
      </c>
      <c r="B1277" s="18" t="inlineStr">
        <is>
          <t>Gestión jurídica</t>
        </is>
      </c>
      <c r="C1277" s="18" t="inlineStr">
        <is>
          <t>legal_management</t>
        </is>
      </c>
      <c r="D1277" s="18" t="inlineStr">
        <is>
          <t>terminos_procesales</t>
        </is>
      </c>
      <c r="E1277" s="18" t="n">
        <v>233</v>
      </c>
      <c r="F1277" s="18" t="inlineStr">
        <is>
          <t>observaciones</t>
        </is>
      </c>
      <c r="G1277" s="18" t="inlineStr">
        <is>
          <t>text</t>
        </is>
      </c>
      <c r="H1277" s="18" t="inlineStr">
        <is>
          <t>Sí</t>
        </is>
      </c>
      <c r="I1277" s="18" t="inlineStr"/>
      <c r="J1277" s="18" t="inlineStr"/>
      <c r="K1277" s="18" t="inlineStr"/>
      <c r="L1277" s="18" t="inlineStr">
        <is>
          <t>No</t>
        </is>
      </c>
      <c r="M1277" s="18" t="inlineStr">
        <is>
          <t>No</t>
        </is>
      </c>
      <c r="N1277" s="18" t="inlineStr"/>
      <c r="O1277" s="18" t="inlineStr"/>
      <c r="P1277" s="18" t="inlineStr">
        <is>
          <t>db/migrations/old/050_create_terminos_procesales.sql:32: Auditoría</t>
        </is>
      </c>
      <c r="Q1277" s="18" t="inlineStr">
        <is>
          <t>Código fuente</t>
        </is>
      </c>
      <c r="R1277" s="18" t="inlineStr">
        <is>
          <t>Observaciones sobre el término.</t>
        </is>
      </c>
      <c r="S1277" s="18" t="inlineStr">
        <is>
          <t>Alta</t>
        </is>
      </c>
      <c r="T1277" s="18" t="inlineStr">
        <is>
          <t>nombre + tipo + propuesta por regla</t>
        </is>
      </c>
      <c r="U1277" s="18" t="inlineStr"/>
      <c r="V1277" s="19" t="inlineStr">
        <is>
          <t>Pendiente</t>
        </is>
      </c>
      <c r="W1277" s="19" t="inlineStr"/>
      <c r="X1277" s="19" t="inlineStr"/>
      <c r="Y1277" s="20" t="n"/>
      <c r="Z1277" s="19" t="inlineStr"/>
      <c r="AA1277" s="18">
        <f>IF(OR(V1277="Aprobada"),R1277,IF(AND(OR(V1277="Aprobada con ajuste",V1277="Rechazada"),W1277&lt;&gt;""),W1277,""))</f>
        <v/>
      </c>
    </row>
    <row r="1278">
      <c r="A1278" s="18" t="inlineStr">
        <is>
          <t>C1277</t>
        </is>
      </c>
      <c r="B1278" s="18" t="inlineStr">
        <is>
          <t>Gestión jurídica</t>
        </is>
      </c>
      <c r="C1278" s="18" t="inlineStr">
        <is>
          <t>legal_management</t>
        </is>
      </c>
      <c r="D1278" s="18" t="inlineStr">
        <is>
          <t>terminos_procesales</t>
        </is>
      </c>
      <c r="E1278" s="18" t="n">
        <v>233</v>
      </c>
      <c r="F1278" s="18" t="inlineStr">
        <is>
          <t>closed_at</t>
        </is>
      </c>
      <c r="G1278" s="18" t="inlineStr">
        <is>
          <t>timestamp with time zone</t>
        </is>
      </c>
      <c r="H1278" s="18" t="inlineStr">
        <is>
          <t>Sí</t>
        </is>
      </c>
      <c r="I1278" s="18" t="inlineStr"/>
      <c r="J1278" s="18" t="inlineStr"/>
      <c r="K1278" s="18" t="inlineStr"/>
      <c r="L1278" s="18" t="inlineStr">
        <is>
          <t>No</t>
        </is>
      </c>
      <c r="M1278" s="18" t="inlineStr">
        <is>
          <t>No</t>
        </is>
      </c>
      <c r="N1278" s="18" t="inlineStr"/>
      <c r="O1278" s="18" t="inlineStr"/>
      <c r="P1278" s="18" t="inlineStr">
        <is>
          <t>Mapeada en legal-management-service/src/entities/termino-procesal.entity.ts:93 (TerminoProcesal.closedAt)</t>
        </is>
      </c>
      <c r="Q1278" s="18" t="inlineStr">
        <is>
          <t>Regla estructural</t>
        </is>
      </c>
      <c r="R1278" s="18" t="inlineStr">
        <is>
          <t>Fecha y hora del cierre.</t>
        </is>
      </c>
      <c r="S1278" s="18" t="inlineStr">
        <is>
          <t>Media</t>
        </is>
      </c>
      <c r="T1278" s="18" t="inlineStr">
        <is>
          <t>Convención de nombre de la columna.</t>
        </is>
      </c>
      <c r="U1278" s="18" t="inlineStr"/>
      <c r="V1278" s="19" t="inlineStr">
        <is>
          <t>Pendiente</t>
        </is>
      </c>
      <c r="W1278" s="19" t="inlineStr"/>
      <c r="X1278" s="19" t="inlineStr"/>
      <c r="Y1278" s="20" t="n"/>
      <c r="Z1278" s="19" t="inlineStr"/>
      <c r="AA1278" s="18">
        <f>IF(OR(V1278="Aprobada"),R1278,IF(AND(OR(V1278="Aprobada con ajuste",V1278="Rechazada"),W1278&lt;&gt;""),W1278,""))</f>
        <v/>
      </c>
    </row>
    <row r="1279">
      <c r="A1279" s="18" t="inlineStr">
        <is>
          <t>C1278</t>
        </is>
      </c>
      <c r="B1279" s="18" t="inlineStr">
        <is>
          <t>Gestión jurídica</t>
        </is>
      </c>
      <c r="C1279" s="18" t="inlineStr">
        <is>
          <t>legal_management</t>
        </is>
      </c>
      <c r="D1279" s="18" t="inlineStr">
        <is>
          <t>terminos_procesales</t>
        </is>
      </c>
      <c r="E1279" s="18" t="n">
        <v>233</v>
      </c>
      <c r="F1279" s="18" t="inlineStr">
        <is>
          <t>responsable_nombre</t>
        </is>
      </c>
      <c r="G1279" s="18" t="inlineStr">
        <is>
          <t>character varying(255)</t>
        </is>
      </c>
      <c r="H1279" s="18" t="inlineStr">
        <is>
          <t>Sí</t>
        </is>
      </c>
      <c r="I1279" s="18" t="inlineStr"/>
      <c r="J1279" s="18" t="inlineStr"/>
      <c r="K1279" s="18" t="inlineStr"/>
      <c r="L1279" s="18" t="inlineStr">
        <is>
          <t>No</t>
        </is>
      </c>
      <c r="M1279" s="18" t="inlineStr">
        <is>
          <t>No</t>
        </is>
      </c>
      <c r="N1279" s="18" t="inlineStr"/>
      <c r="O1279" s="18" t="inlineStr"/>
      <c r="P1279" s="18" t="inlineStr">
        <is>
          <t>Mapeada en legal-management-service/src/entities/termino-procesal.entity.ts:72 (TerminoProcesal.responsableNombre)</t>
        </is>
      </c>
      <c r="Q1279" s="18" t="inlineStr">
        <is>
          <t>Propuesta semántica</t>
        </is>
      </c>
      <c r="R1279" s="18" t="inlineStr">
        <is>
          <t>Nombre del responsable del término procesal.</t>
        </is>
      </c>
      <c r="S1279" s="18" t="inlineStr">
        <is>
          <t>Alta</t>
        </is>
      </c>
      <c r="T1279" s="18" t="inlineStr">
        <is>
          <t>nombre + tipo + columnas vecinas</t>
        </is>
      </c>
      <c r="U1279" s="18" t="inlineStr"/>
      <c r="V1279" s="19" t="inlineStr">
        <is>
          <t>Pendiente</t>
        </is>
      </c>
      <c r="W1279" s="19" t="inlineStr"/>
      <c r="X1279" s="19" t="inlineStr"/>
      <c r="Y1279" s="20" t="n"/>
      <c r="Z1279" s="19" t="inlineStr"/>
      <c r="AA1279" s="18">
        <f>IF(OR(V1279="Aprobada"),R1279,IF(AND(OR(V1279="Aprobada con ajuste",V1279="Rechazada"),W1279&lt;&gt;""),W1279,""))</f>
        <v/>
      </c>
    </row>
    <row r="1280">
      <c r="A1280" s="18" t="inlineStr">
        <is>
          <t>C1279</t>
        </is>
      </c>
      <c r="B1280" s="18" t="inlineStr">
        <is>
          <t>Gestión jurídica</t>
        </is>
      </c>
      <c r="C1280" s="18" t="inlineStr">
        <is>
          <t>legal_management</t>
        </is>
      </c>
      <c r="D1280" s="18" t="inlineStr">
        <is>
          <t>terminos_procesales</t>
        </is>
      </c>
      <c r="E1280" s="18" t="n">
        <v>233</v>
      </c>
      <c r="F1280" s="18" t="inlineStr">
        <is>
          <t>destinatario</t>
        </is>
      </c>
      <c r="G1280" s="18" t="inlineStr">
        <is>
          <t>character varying(255)</t>
        </is>
      </c>
      <c r="H1280" s="18" t="inlineStr">
        <is>
          <t>Sí</t>
        </is>
      </c>
      <c r="I1280" s="18" t="inlineStr"/>
      <c r="J1280" s="18" t="inlineStr"/>
      <c r="K1280" s="18" t="inlineStr"/>
      <c r="L1280" s="18" t="inlineStr">
        <is>
          <t>No</t>
        </is>
      </c>
      <c r="M1280" s="18" t="inlineStr">
        <is>
          <t>No</t>
        </is>
      </c>
      <c r="N1280" s="18" t="inlineStr"/>
      <c r="O1280" s="18" t="inlineStr"/>
      <c r="P1280" s="18" t="inlineStr">
        <is>
          <t>Mapeada en legal-management-service/src/entities/termino-procesal.entity.ts:75 (TerminoProcesal.destinatario)</t>
        </is>
      </c>
      <c r="Q1280" s="18" t="inlineStr">
        <is>
          <t>Propuesta semántica</t>
        </is>
      </c>
      <c r="R1280" s="18" t="inlineStr">
        <is>
          <t>Destinatario de la actuación sujeta al término.</t>
        </is>
      </c>
      <c r="S1280" s="18" t="inlineStr">
        <is>
          <t>Media</t>
        </is>
      </c>
      <c r="T1280" s="18" t="inlineStr">
        <is>
          <t>nombre + tipo</t>
        </is>
      </c>
      <c r="U1280" s="18" t="inlineStr">
        <is>
          <t>¿El destinatario es la persona o entidad a la que se dirige la actuación?</t>
        </is>
      </c>
      <c r="V1280" s="19" t="inlineStr">
        <is>
          <t>Pendiente</t>
        </is>
      </c>
      <c r="W1280" s="19" t="inlineStr"/>
      <c r="X1280" s="19" t="inlineStr"/>
      <c r="Y1280" s="20" t="n"/>
      <c r="Z1280" s="19" t="inlineStr"/>
      <c r="AA1280" s="18">
        <f>IF(OR(V1280="Aprobada"),R1280,IF(AND(OR(V1280="Aprobada con ajuste",V1280="Rechazada"),W1280&lt;&gt;""),W1280,""))</f>
        <v/>
      </c>
    </row>
    <row r="1281">
      <c r="A1281" s="18" t="inlineStr">
        <is>
          <t>C1280</t>
        </is>
      </c>
      <c r="B1281" s="18" t="inlineStr">
        <is>
          <t>Gestión jurídica</t>
        </is>
      </c>
      <c r="C1281" s="18" t="inlineStr">
        <is>
          <t>legal_management</t>
        </is>
      </c>
      <c r="D1281" s="18" t="inlineStr">
        <is>
          <t>terminos_procesales</t>
        </is>
      </c>
      <c r="E1281" s="18" t="n">
        <v>233</v>
      </c>
      <c r="F1281" s="18" t="inlineStr">
        <is>
          <t>fundamento_normativo</t>
        </is>
      </c>
      <c r="G1281" s="18" t="inlineStr">
        <is>
          <t>jsonb</t>
        </is>
      </c>
      <c r="H1281" s="18" t="inlineStr">
        <is>
          <t>Sí</t>
        </is>
      </c>
      <c r="I1281" s="18" t="inlineStr"/>
      <c r="J1281" s="18" t="inlineStr"/>
      <c r="K1281" s="18" t="inlineStr"/>
      <c r="L1281" s="18" t="inlineStr">
        <is>
          <t>No</t>
        </is>
      </c>
      <c r="M1281" s="18" t="inlineStr">
        <is>
          <t>No</t>
        </is>
      </c>
      <c r="N1281" s="18" t="inlineStr"/>
      <c r="O1281" s="18" t="inlineStr"/>
      <c r="P1281" s="18" t="inlineStr">
        <is>
          <t>Mapeada en legal-management-service/src/entities/termino-procesal.entity.ts:81 (TerminoProcesal.fundamentoNormativo)</t>
        </is>
      </c>
      <c r="Q1281" s="18" t="inlineStr">
        <is>
          <t>Propuesta semántica</t>
        </is>
      </c>
      <c r="R1281" s="18" t="inlineStr">
        <is>
          <t>Normas que sustentan el término procesal, en formato JSON.</t>
        </is>
      </c>
      <c r="S1281" s="18" t="inlineStr">
        <is>
          <t>Media</t>
        </is>
      </c>
      <c r="T1281" s="18" t="inlineStr">
        <is>
          <t>nombre + tipo</t>
        </is>
      </c>
      <c r="U1281" s="18" t="inlineStr">
        <is>
          <t>¿Qué estructura tiene el JSON (norma, artículo)?</t>
        </is>
      </c>
      <c r="V1281" s="19" t="inlineStr">
        <is>
          <t>Pendiente</t>
        </is>
      </c>
      <c r="W1281" s="19" t="inlineStr"/>
      <c r="X1281" s="19" t="inlineStr"/>
      <c r="Y1281" s="20" t="n"/>
      <c r="Z1281" s="19" t="inlineStr"/>
      <c r="AA1281" s="18">
        <f>IF(OR(V1281="Aprobada"),R1281,IF(AND(OR(V1281="Aprobada con ajuste",V1281="Rechazada"),W1281&lt;&gt;""),W1281,""))</f>
        <v/>
      </c>
    </row>
    <row r="1282">
      <c r="A1282" s="18" t="inlineStr">
        <is>
          <t>C1281</t>
        </is>
      </c>
      <c r="B1282" s="18" t="inlineStr">
        <is>
          <t>Gestión jurídica</t>
        </is>
      </c>
      <c r="C1282" s="18" t="inlineStr">
        <is>
          <t>legal_management</t>
        </is>
      </c>
      <c r="D1282" s="18" t="inlineStr">
        <is>
          <t>terminos_procesales</t>
        </is>
      </c>
      <c r="E1282" s="18" t="n">
        <v>233</v>
      </c>
      <c r="F1282" s="18" t="inlineStr">
        <is>
          <t>ente_solicitante</t>
        </is>
      </c>
      <c r="G1282" s="18" t="inlineStr">
        <is>
          <t>character varying(255)</t>
        </is>
      </c>
      <c r="H1282" s="18" t="inlineStr">
        <is>
          <t>Sí</t>
        </is>
      </c>
      <c r="I1282" s="18" t="inlineStr"/>
      <c r="J1282" s="18" t="inlineStr"/>
      <c r="K1282" s="18" t="inlineStr"/>
      <c r="L1282" s="18" t="inlineStr">
        <is>
          <t>No</t>
        </is>
      </c>
      <c r="M1282" s="18" t="inlineStr">
        <is>
          <t>No</t>
        </is>
      </c>
      <c r="N1282" s="18" t="inlineStr"/>
      <c r="O1282" s="18" t="inlineStr"/>
      <c r="P1282" s="18" t="inlineStr">
        <is>
          <t>Mapeada en legal-management-service/src/entities/termino-procesal.entity.ts:78 (TerminoProcesal.enteSolicitante)</t>
        </is>
      </c>
      <c r="Q1282" s="18" t="inlineStr">
        <is>
          <t>Propuesta semántica</t>
        </is>
      </c>
      <c r="R1282" s="18" t="inlineStr">
        <is>
          <t>Entidad que solicita la actuación sujeta al término.</t>
        </is>
      </c>
      <c r="S1282" s="18" t="inlineStr">
        <is>
          <t>Media</t>
        </is>
      </c>
      <c r="T1282" s="18" t="inlineStr">
        <is>
          <t>nombre + tipo</t>
        </is>
      </c>
      <c r="U1282" s="18" t="inlineStr">
        <is>
          <t>¿Corresponde a un organismo de control del catálogo o es texto libre?</t>
        </is>
      </c>
      <c r="V1282" s="19" t="inlineStr">
        <is>
          <t>Pendiente</t>
        </is>
      </c>
      <c r="W1282" s="19" t="inlineStr"/>
      <c r="X1282" s="19" t="inlineStr"/>
      <c r="Y1282" s="20" t="n"/>
      <c r="Z1282" s="19" t="inlineStr"/>
      <c r="AA1282" s="18">
        <f>IF(OR(V1282="Aprobada"),R1282,IF(AND(OR(V1282="Aprobada con ajuste",V1282="Rechazada"),W1282&lt;&gt;""),W1282,""))</f>
        <v/>
      </c>
    </row>
    <row r="1283">
      <c r="A1283" s="18" t="inlineStr">
        <is>
          <t>C1282</t>
        </is>
      </c>
      <c r="B1283" s="18" t="inlineStr">
        <is>
          <t>Gestión jurídica</t>
        </is>
      </c>
      <c r="C1283" s="18" t="inlineStr">
        <is>
          <t>legal_management</t>
        </is>
      </c>
      <c r="D1283" s="18" t="inlineStr">
        <is>
          <t>terminos_procesales</t>
        </is>
      </c>
      <c r="E1283" s="18" t="n">
        <v>233</v>
      </c>
      <c r="F1283" s="18" t="inlineStr">
        <is>
          <t>horas_anticipacion_alerta_personalizada</t>
        </is>
      </c>
      <c r="G1283" s="18" t="inlineStr">
        <is>
          <t>integer</t>
        </is>
      </c>
      <c r="H1283" s="18" t="inlineStr">
        <is>
          <t>Sí</t>
        </is>
      </c>
      <c r="I1283" s="18" t="inlineStr">
        <is>
          <t>CHECK</t>
        </is>
      </c>
      <c r="J1283" s="18" t="inlineStr"/>
      <c r="K1283" s="18" t="inlineStr"/>
      <c r="L1283" s="18" t="inlineStr">
        <is>
          <t>No</t>
        </is>
      </c>
      <c r="M1283" s="18" t="inlineStr">
        <is>
          <t>No</t>
        </is>
      </c>
      <c r="N1283" s="18" t="inlineStr"/>
      <c r="O1283" s="18" t="inlineStr"/>
      <c r="P1283" s="18" t="inlineStr">
        <is>
          <t>legal-management-service/src/entities/termino-procesal.entity.ts:44: Si está seteada, este término ignora las reglas globales de terminos_reglas_alerta y el scheduler usa únicamente este umbral (horas antes del vencimiento).</t>
        </is>
      </c>
      <c r="Q1283" s="18" t="inlineStr">
        <is>
          <t>Código fuente</t>
        </is>
      </c>
      <c r="R1283" s="18" t="inlineStr">
        <is>
          <t>Horas de anticipación al vencimiento para la alerta de este término; si tiene valor, el programador de alertas ignora las reglas globales de terminos_reglas_alerta y usa solo este umbral.</t>
        </is>
      </c>
      <c r="S1283" s="18" t="inlineStr">
        <is>
          <t>Alta</t>
        </is>
      </c>
      <c r="T1283" s="18" t="inlineStr">
        <is>
          <t>código: legal-management-service/src/entities/termino-procesal.entity.ts:44</t>
        </is>
      </c>
      <c r="U1283" s="18" t="inlineStr"/>
      <c r="V1283" s="19" t="inlineStr">
        <is>
          <t>Pendiente</t>
        </is>
      </c>
      <c r="W1283" s="19" t="inlineStr"/>
      <c r="X1283" s="19" t="inlineStr"/>
      <c r="Y1283" s="20" t="n"/>
      <c r="Z1283" s="19" t="inlineStr"/>
      <c r="AA1283" s="18">
        <f>IF(OR(V1283="Aprobada"),R1283,IF(AND(OR(V1283="Aprobada con ajuste",V1283="Rechazada"),W1283&lt;&gt;""),W1283,""))</f>
        <v/>
      </c>
    </row>
    <row r="1284">
      <c r="A1284" s="18" t="inlineStr">
        <is>
          <t>C1283</t>
        </is>
      </c>
      <c r="B1284" s="18" t="inlineStr">
        <is>
          <t>Gestión jurídica</t>
        </is>
      </c>
      <c r="C1284" s="18" t="inlineStr">
        <is>
          <t>legal_management</t>
        </is>
      </c>
      <c r="D1284" s="18" t="inlineStr">
        <is>
          <t>terminos_procesales</t>
        </is>
      </c>
      <c r="E1284" s="18" t="n">
        <v>233</v>
      </c>
      <c r="F1284" s="18" t="inlineStr">
        <is>
          <t>recordatorio_manual_horas_anticipacion</t>
        </is>
      </c>
      <c r="G1284" s="18" t="inlineStr">
        <is>
          <t>integer</t>
        </is>
      </c>
      <c r="H1284" s="18" t="inlineStr">
        <is>
          <t>Sí</t>
        </is>
      </c>
      <c r="I1284" s="18" t="inlineStr">
        <is>
          <t>CHECK</t>
        </is>
      </c>
      <c r="J1284" s="18" t="inlineStr"/>
      <c r="K1284" s="18" t="inlineStr"/>
      <c r="L1284" s="18" t="inlineStr">
        <is>
          <t>No</t>
        </is>
      </c>
      <c r="M1284" s="18" t="inlineStr">
        <is>
          <t>No</t>
        </is>
      </c>
      <c r="N1284" s="18" t="inlineStr"/>
      <c r="O1284" s="18" t="inlineStr"/>
      <c r="P1284" s="18" t="inlineStr">
        <is>
          <t>legal-management-service/src/entities/termino-procesal.entity.ts:49: Recordatorio programado manualmente por el usuario (envío único); el scheduler lo limpia a null después de enviarlo.</t>
        </is>
      </c>
      <c r="Q1284" s="18" t="inlineStr">
        <is>
          <t>Código fuente</t>
        </is>
      </c>
      <c r="R1284" s="18" t="inlineStr">
        <is>
          <t>Horas de anticipación de un recordatorio programado manualmente por el usuario (envío único); el programador lo deja vacío después de enviarlo.</t>
        </is>
      </c>
      <c r="S1284" s="18" t="inlineStr">
        <is>
          <t>Alta</t>
        </is>
      </c>
      <c r="T1284" s="18" t="inlineStr">
        <is>
          <t>código: legal-management-service/src/entities/termino-procesal.entity.ts:49</t>
        </is>
      </c>
      <c r="U1284" s="18" t="inlineStr"/>
      <c r="V1284" s="19" t="inlineStr">
        <is>
          <t>Pendiente</t>
        </is>
      </c>
      <c r="W1284" s="19" t="inlineStr"/>
      <c r="X1284" s="19" t="inlineStr"/>
      <c r="Y1284" s="20" t="n"/>
      <c r="Z1284" s="19" t="inlineStr"/>
      <c r="AA1284" s="18">
        <f>IF(OR(V1284="Aprobada"),R1284,IF(AND(OR(V1284="Aprobada con ajuste",V1284="Rechazada"),W1284&lt;&gt;""),W1284,""))</f>
        <v/>
      </c>
    </row>
    <row r="1285">
      <c r="A1285" s="18" t="inlineStr">
        <is>
          <t>C1284</t>
        </is>
      </c>
      <c r="B1285" s="18" t="inlineStr">
        <is>
          <t>Gestión jurídica</t>
        </is>
      </c>
      <c r="C1285" s="18" t="inlineStr">
        <is>
          <t>legal_management</t>
        </is>
      </c>
      <c r="D1285" s="18" t="inlineStr">
        <is>
          <t>terminos_procesales</t>
        </is>
      </c>
      <c r="E1285" s="18" t="n">
        <v>233</v>
      </c>
      <c r="F1285" s="18" t="inlineStr">
        <is>
          <t>ultimo_recordatorio_recurrente_en</t>
        </is>
      </c>
      <c r="G1285" s="18" t="inlineStr">
        <is>
          <t>timestamp with time zone</t>
        </is>
      </c>
      <c r="H1285" s="18" t="inlineStr">
        <is>
          <t>Sí</t>
        </is>
      </c>
      <c r="I1285" s="18" t="inlineStr"/>
      <c r="J1285" s="18" t="inlineStr"/>
      <c r="K1285" s="18" t="inlineStr"/>
      <c r="L1285" s="18" t="inlineStr">
        <is>
          <t>No</t>
        </is>
      </c>
      <c r="M1285" s="18" t="inlineStr">
        <is>
          <t>No</t>
        </is>
      </c>
      <c r="N1285" s="18" t="inlineStr"/>
      <c r="O1285" s="18" t="inlineStr">
        <is>
          <t>idx_terminos_procesales_recordatorio_recurrente</t>
        </is>
      </c>
      <c r="P1285" s="18" t="inlineStr">
        <is>
          <t>legal-management-service/src/entities/termino-procesal.entity.ts:54: Último recordatorio periódico enviado. El scheduler lo usa para espaciar los recordatorios y no reenviar en cada corrida. Se limpia al mover el vencimiento.</t>
        </is>
      </c>
      <c r="Q1285" s="18" t="inlineStr">
        <is>
          <t>Código fuente</t>
        </is>
      </c>
      <c r="R1285" s="18" t="inlineStr">
        <is>
          <t>Fecha y hora del último recordatorio periódico enviado; el programador la usa para espaciar los recordatorios y se limpia al mover el vencimiento.</t>
        </is>
      </c>
      <c r="S1285" s="18" t="inlineStr">
        <is>
          <t>Alta</t>
        </is>
      </c>
      <c r="T1285" s="18" t="inlineStr">
        <is>
          <t>código: legal-management-service/src/entities/termino-procesal.entity.ts:54</t>
        </is>
      </c>
      <c r="U1285" s="18" t="inlineStr"/>
      <c r="V1285" s="19" t="inlineStr">
        <is>
          <t>Pendiente</t>
        </is>
      </c>
      <c r="W1285" s="19" t="inlineStr"/>
      <c r="X1285" s="19" t="inlineStr"/>
      <c r="Y1285" s="20" t="n"/>
      <c r="Z1285" s="19" t="inlineStr"/>
      <c r="AA1285" s="18">
        <f>IF(OR(V1285="Aprobada"),R1285,IF(AND(OR(V1285="Aprobada con ajuste",V1285="Rechazada"),W1285&lt;&gt;""),W1285,""))</f>
        <v/>
      </c>
    </row>
    <row r="1286">
      <c r="A1286" s="18" t="inlineStr">
        <is>
          <t>C1285</t>
        </is>
      </c>
      <c r="B1286" s="18" t="inlineStr">
        <is>
          <t>Gestión jurídica</t>
        </is>
      </c>
      <c r="C1286" s="18" t="inlineStr">
        <is>
          <t>legal_management</t>
        </is>
      </c>
      <c r="D1286" s="18" t="inlineStr">
        <is>
          <t>terminos_procesales</t>
        </is>
      </c>
      <c r="E1286" s="18" t="n">
        <v>233</v>
      </c>
      <c r="F1286" s="18" t="inlineStr">
        <is>
          <t>alerta_vencimiento_enviada_en</t>
        </is>
      </c>
      <c r="G1286" s="18" t="inlineStr">
        <is>
          <t>timestamp with time zone</t>
        </is>
      </c>
      <c r="H1286" s="18" t="inlineStr">
        <is>
          <t>Sí</t>
        </is>
      </c>
      <c r="I1286" s="18" t="inlineStr"/>
      <c r="J1286" s="18" t="inlineStr"/>
      <c r="K1286" s="18" t="inlineStr"/>
      <c r="L1286" s="18" t="inlineStr">
        <is>
          <t>No</t>
        </is>
      </c>
      <c r="M1286" s="18" t="inlineStr">
        <is>
          <t>No</t>
        </is>
      </c>
      <c r="N1286" s="18" t="inlineStr"/>
      <c r="O1286" s="18" t="inlineStr"/>
      <c r="P1286" s="18" t="inlineStr">
        <is>
          <t>legal-management-service/src/entities/termino-procesal.entity.ts:58: Aviso puntual de "ya venció" (envío único), distinto de los recordatorios periódicos.</t>
        </is>
      </c>
      <c r="Q1286" s="18" t="inlineStr">
        <is>
          <t>Código fuente</t>
        </is>
      </c>
      <c r="R1286" s="18" t="inlineStr">
        <is>
          <t>Fecha y hora del aviso único de término vencido, distinto de los recordatorios periódicos.</t>
        </is>
      </c>
      <c r="S1286" s="18" t="inlineStr">
        <is>
          <t>Alta</t>
        </is>
      </c>
      <c r="T1286" s="18" t="inlineStr">
        <is>
          <t>código: legal-management-service/src/entities/termino-procesal.entity.ts:58</t>
        </is>
      </c>
      <c r="U1286" s="18" t="inlineStr"/>
      <c r="V1286" s="19" t="inlineStr">
        <is>
          <t>Pendiente</t>
        </is>
      </c>
      <c r="W1286" s="19" t="inlineStr"/>
      <c r="X1286" s="19" t="inlineStr"/>
      <c r="Y1286" s="20" t="n"/>
      <c r="Z1286" s="19" t="inlineStr"/>
      <c r="AA1286" s="18">
        <f>IF(OR(V1286="Aprobada"),R1286,IF(AND(OR(V1286="Aprobada con ajuste",V1286="Rechazada"),W1286&lt;&gt;""),W1286,""))</f>
        <v/>
      </c>
    </row>
    <row r="1287">
      <c r="A1287" s="18" t="inlineStr">
        <is>
          <t>C1286</t>
        </is>
      </c>
      <c r="B1287" s="18" t="inlineStr">
        <is>
          <t>Gestión jurídica</t>
        </is>
      </c>
      <c r="C1287" s="18" t="inlineStr">
        <is>
          <t>legal_management</t>
        </is>
      </c>
      <c r="D1287" s="18" t="inlineStr">
        <is>
          <t>terminos_reglas_alerta</t>
        </is>
      </c>
      <c r="E1287" s="18" t="n">
        <v>2</v>
      </c>
      <c r="F1287" s="18" t="inlineStr">
        <is>
          <t>horas_anticipacion</t>
        </is>
      </c>
      <c r="G1287" s="18" t="inlineStr">
        <is>
          <t>integer</t>
        </is>
      </c>
      <c r="H1287" s="18" t="inlineStr">
        <is>
          <t>No</t>
        </is>
      </c>
      <c r="I1287" s="18" t="inlineStr">
        <is>
          <t>Única, CHECK</t>
        </is>
      </c>
      <c r="J1287" s="18" t="inlineStr"/>
      <c r="K1287" s="18" t="inlineStr"/>
      <c r="L1287" s="18" t="inlineStr">
        <is>
          <t>No</t>
        </is>
      </c>
      <c r="M1287" s="18" t="inlineStr">
        <is>
          <t>No</t>
        </is>
      </c>
      <c r="N1287" s="18" t="inlineStr"/>
      <c r="O1287" s="18" t="inlineStr">
        <is>
          <t>uq_terminos_reglas_alerta_horas</t>
        </is>
      </c>
      <c r="P1287" s="18" t="inlineStr">
        <is>
          <t>Mapeada en legal-management-service/src/entities/regla-alerta-termino.entity.ts:8 (ReglaAlertaTermino.horasAnticipacion)</t>
        </is>
      </c>
      <c r="Q1287" s="18" t="inlineStr">
        <is>
          <t>Propuesta semántica</t>
        </is>
      </c>
      <c r="R1287" s="18" t="inlineStr">
        <is>
          <t>Horas de anticipación al vencimiento con que se dispara la alerta. Valor único por regla.</t>
        </is>
      </c>
      <c r="S1287" s="18" t="inlineStr">
        <is>
          <t>Alta</t>
        </is>
      </c>
      <c r="T1287" s="18" t="inlineStr">
        <is>
          <t>nombre + tipo + restricción única + columnas vecinas</t>
        </is>
      </c>
      <c r="U1287" s="18" t="inlineStr"/>
      <c r="V1287" s="19" t="inlineStr">
        <is>
          <t>Pendiente</t>
        </is>
      </c>
      <c r="W1287" s="19" t="inlineStr"/>
      <c r="X1287" s="19" t="inlineStr"/>
      <c r="Y1287" s="20" t="n"/>
      <c r="Z1287" s="19" t="inlineStr"/>
      <c r="AA1287" s="18">
        <f>IF(OR(V1287="Aprobada"),R1287,IF(AND(OR(V1287="Aprobada con ajuste",V1287="Rechazada"),W1287&lt;&gt;""),W1287,""))</f>
        <v/>
      </c>
    </row>
    <row r="1288">
      <c r="A1288" s="18" t="inlineStr">
        <is>
          <t>C1287</t>
        </is>
      </c>
      <c r="B1288" s="18" t="inlineStr">
        <is>
          <t>Gestión jurídica</t>
        </is>
      </c>
      <c r="C1288" s="18" t="inlineStr">
        <is>
          <t>legal_management</t>
        </is>
      </c>
      <c r="D1288" s="18" t="inlineStr">
        <is>
          <t>terminos_reglas_alerta</t>
        </is>
      </c>
      <c r="E1288" s="18" t="n">
        <v>2</v>
      </c>
      <c r="F1288" s="18" t="inlineStr">
        <is>
          <t>activa</t>
        </is>
      </c>
      <c r="G1288" s="18" t="inlineStr">
        <is>
          <t>boolean</t>
        </is>
      </c>
      <c r="H1288" s="18" t="inlineStr">
        <is>
          <t>No</t>
        </is>
      </c>
      <c r="I1288" s="18" t="inlineStr"/>
      <c r="J1288" s="18" t="inlineStr"/>
      <c r="K1288" s="18" t="inlineStr"/>
      <c r="L1288" s="18" t="inlineStr">
        <is>
          <t>No</t>
        </is>
      </c>
      <c r="M1288" s="18" t="inlineStr">
        <is>
          <t>No</t>
        </is>
      </c>
      <c r="N1288" s="18" t="inlineStr"/>
      <c r="O1288" s="18" t="inlineStr">
        <is>
          <t>idx_terminos_reglas_alerta_activa</t>
        </is>
      </c>
      <c r="P1288" s="18" t="inlineStr">
        <is>
          <t>Mapeada en legal-management-service/src/entities/regla-alerta-termino.entity.ts:11 (ReglaAlertaTermino.activa)</t>
        </is>
      </c>
      <c r="Q1288" s="18" t="inlineStr">
        <is>
          <t>Regla estructural</t>
        </is>
      </c>
      <c r="R1288" s="18" t="inlineStr">
        <is>
          <t>Indica si el registro está activo.</t>
        </is>
      </c>
      <c r="S1288" s="18" t="inlineStr">
        <is>
          <t>Media</t>
        </is>
      </c>
      <c r="T1288" s="18" t="inlineStr">
        <is>
          <t>Convención de nombre de la columna.</t>
        </is>
      </c>
      <c r="U1288" s="18" t="inlineStr"/>
      <c r="V1288" s="19" t="inlineStr">
        <is>
          <t>Pendiente</t>
        </is>
      </c>
      <c r="W1288" s="19" t="inlineStr"/>
      <c r="X1288" s="19" t="inlineStr"/>
      <c r="Y1288" s="20" t="n"/>
      <c r="Z1288" s="19" t="inlineStr"/>
      <c r="AA1288" s="18">
        <f>IF(OR(V1288="Aprobada"),R1288,IF(AND(OR(V1288="Aprobada con ajuste",V1288="Rechazada"),W1288&lt;&gt;""),W1288,""))</f>
        <v/>
      </c>
    </row>
    <row r="1289">
      <c r="A1289" s="18" t="inlineStr">
        <is>
          <t>C1288</t>
        </is>
      </c>
      <c r="B1289" s="18" t="inlineStr">
        <is>
          <t>Gestión jurídica</t>
        </is>
      </c>
      <c r="C1289" s="18" t="inlineStr">
        <is>
          <t>legal_management</t>
        </is>
      </c>
      <c r="D1289" s="18" t="inlineStr">
        <is>
          <t>terminos_reglas_alerta</t>
        </is>
      </c>
      <c r="E1289" s="18" t="n">
        <v>2</v>
      </c>
      <c r="F1289" s="18" t="inlineStr">
        <is>
          <t>enviar_email</t>
        </is>
      </c>
      <c r="G1289" s="18" t="inlineStr">
        <is>
          <t>boolean</t>
        </is>
      </c>
      <c r="H1289" s="18" t="inlineStr">
        <is>
          <t>No</t>
        </is>
      </c>
      <c r="I1289" s="18" t="inlineStr"/>
      <c r="J1289" s="18" t="inlineStr"/>
      <c r="K1289" s="18" t="inlineStr"/>
      <c r="L1289" s="18" t="inlineStr">
        <is>
          <t>No</t>
        </is>
      </c>
      <c r="M1289" s="18" t="inlineStr">
        <is>
          <t>No</t>
        </is>
      </c>
      <c r="N1289" s="18" t="inlineStr"/>
      <c r="O1289" s="18" t="inlineStr"/>
      <c r="P1289" s="18" t="inlineStr">
        <is>
          <t>Mapeada en legal-management-service/src/entities/regla-alerta-termino.entity.ts:15 (ReglaAlertaTermino.enviarEmail)</t>
        </is>
      </c>
      <c r="Q1289" s="18" t="inlineStr">
        <is>
          <t>Regla estructural</t>
        </is>
      </c>
      <c r="R1289" s="18" t="inlineStr">
        <is>
          <t>Indica si aplica: enviar email.</t>
        </is>
      </c>
      <c r="S1289" s="18" t="inlineStr">
        <is>
          <t>Media</t>
        </is>
      </c>
      <c r="T1289" s="18" t="inlineStr">
        <is>
          <t>Convención de nombre de la columna.</t>
        </is>
      </c>
      <c r="U1289" s="18" t="inlineStr"/>
      <c r="V1289" s="19" t="inlineStr">
        <is>
          <t>Pendiente</t>
        </is>
      </c>
      <c r="W1289" s="19" t="inlineStr"/>
      <c r="X1289" s="19" t="inlineStr"/>
      <c r="Y1289" s="20" t="n"/>
      <c r="Z1289" s="19" t="inlineStr"/>
      <c r="AA1289" s="18">
        <f>IF(OR(V1289="Aprobada"),R1289,IF(AND(OR(V1289="Aprobada con ajuste",V1289="Rechazada"),W1289&lt;&gt;""),W1289,""))</f>
        <v/>
      </c>
    </row>
    <row r="1290">
      <c r="A1290" s="18" t="inlineStr">
        <is>
          <t>C1289</t>
        </is>
      </c>
      <c r="B1290" s="18" t="inlineStr">
        <is>
          <t>Gestión jurídica</t>
        </is>
      </c>
      <c r="C1290" s="18" t="inlineStr">
        <is>
          <t>legal_management</t>
        </is>
      </c>
      <c r="D1290" s="18" t="inlineStr">
        <is>
          <t>terminos_reglas_alerta</t>
        </is>
      </c>
      <c r="E1290" s="18" t="n">
        <v>2</v>
      </c>
      <c r="F1290" s="18" t="inlineStr">
        <is>
          <t>notificar_in_app</t>
        </is>
      </c>
      <c r="G1290" s="18" t="inlineStr">
        <is>
          <t>boolean</t>
        </is>
      </c>
      <c r="H1290" s="18" t="inlineStr">
        <is>
          <t>No</t>
        </is>
      </c>
      <c r="I1290" s="18" t="inlineStr"/>
      <c r="J1290" s="18" t="inlineStr"/>
      <c r="K1290" s="18" t="inlineStr"/>
      <c r="L1290" s="18" t="inlineStr">
        <is>
          <t>No</t>
        </is>
      </c>
      <c r="M1290" s="18" t="inlineStr">
        <is>
          <t>No</t>
        </is>
      </c>
      <c r="N1290" s="18" t="inlineStr"/>
      <c r="O1290" s="18" t="inlineStr"/>
      <c r="P1290" s="18" t="inlineStr">
        <is>
          <t>Mapeada en legal-management-service/src/entities/regla-alerta-termino.entity.ts:18 (ReglaAlertaTermino.notificarInApp)</t>
        </is>
      </c>
      <c r="Q1290" s="18" t="inlineStr">
        <is>
          <t>Regla estructural</t>
        </is>
      </c>
      <c r="R1290" s="18" t="inlineStr">
        <is>
          <t>Indica si aplica: notificar in app.</t>
        </is>
      </c>
      <c r="S1290" s="18" t="inlineStr">
        <is>
          <t>Media</t>
        </is>
      </c>
      <c r="T1290" s="18" t="inlineStr">
        <is>
          <t>Convención de nombre de la columna.</t>
        </is>
      </c>
      <c r="U1290" s="18" t="inlineStr"/>
      <c r="V1290" s="19" t="inlineStr">
        <is>
          <t>Pendiente</t>
        </is>
      </c>
      <c r="W1290" s="19" t="inlineStr"/>
      <c r="X1290" s="19" t="inlineStr"/>
      <c r="Y1290" s="20" t="n"/>
      <c r="Z1290" s="19" t="inlineStr"/>
      <c r="AA1290" s="18">
        <f>IF(OR(V1290="Aprobada"),R1290,IF(AND(OR(V1290="Aprobada con ajuste",V1290="Rechazada"),W1290&lt;&gt;""),W1290,""))</f>
        <v/>
      </c>
    </row>
    <row r="1291">
      <c r="A1291" s="18" t="inlineStr">
        <is>
          <t>C1290</t>
        </is>
      </c>
      <c r="B1291" s="18" t="inlineStr">
        <is>
          <t>Gestión jurídica</t>
        </is>
      </c>
      <c r="C1291" s="18" t="inlineStr">
        <is>
          <t>legal_management</t>
        </is>
      </c>
      <c r="D1291" s="18" t="inlineStr">
        <is>
          <t>terminos_reglas_alerta</t>
        </is>
      </c>
      <c r="E1291" s="18" t="n">
        <v>2</v>
      </c>
      <c r="F1291" s="18" t="inlineStr">
        <is>
          <t>descripcion</t>
        </is>
      </c>
      <c r="G1291" s="18" t="inlineStr">
        <is>
          <t>character varying(255)</t>
        </is>
      </c>
      <c r="H1291" s="18" t="inlineStr">
        <is>
          <t>Sí</t>
        </is>
      </c>
      <c r="I1291" s="18" t="inlineStr"/>
      <c r="J1291" s="18" t="inlineStr"/>
      <c r="K1291" s="18" t="inlineStr"/>
      <c r="L1291" s="18" t="inlineStr">
        <is>
          <t>No</t>
        </is>
      </c>
      <c r="M1291" s="18" t="inlineStr">
        <is>
          <t>No</t>
        </is>
      </c>
      <c r="N1291" s="18" t="inlineStr"/>
      <c r="O1291" s="18" t="inlineStr"/>
      <c r="P1291" s="18" t="inlineStr">
        <is>
          <t>Mapeada en legal-management-service/src/entities/regla-alerta-termino.entity.ts:21 (ReglaAlertaTermino.descripcion)</t>
        </is>
      </c>
      <c r="Q1291" s="18" t="inlineStr">
        <is>
          <t>Regla estructural</t>
        </is>
      </c>
      <c r="R1291" s="18" t="inlineStr">
        <is>
          <t>Descripción del registro de terminos_reglas_alerta.</t>
        </is>
      </c>
      <c r="S1291" s="18" t="inlineStr">
        <is>
          <t>Media</t>
        </is>
      </c>
      <c r="T1291" s="18" t="inlineStr">
        <is>
          <t>Convención de nombre de la columna.</t>
        </is>
      </c>
      <c r="U1291" s="18" t="inlineStr"/>
      <c r="V1291" s="19" t="inlineStr">
        <is>
          <t>Pendiente</t>
        </is>
      </c>
      <c r="W1291" s="19" t="inlineStr"/>
      <c r="X1291" s="19" t="inlineStr"/>
      <c r="Y1291" s="20" t="n"/>
      <c r="Z1291" s="19" t="inlineStr"/>
      <c r="AA1291" s="18">
        <f>IF(OR(V1291="Aprobada"),R1291,IF(AND(OR(V1291="Aprobada con ajuste",V1291="Rechazada"),W1291&lt;&gt;""),W1291,""))</f>
        <v/>
      </c>
    </row>
    <row r="1292">
      <c r="A1292" s="18" t="inlineStr">
        <is>
          <t>C1291</t>
        </is>
      </c>
      <c r="B1292" s="18" t="inlineStr">
        <is>
          <t>Control interno</t>
        </is>
      </c>
      <c r="C1292" s="18" t="inlineStr">
        <is>
          <t>control_interno</t>
        </is>
      </c>
      <c r="D1292" s="18" t="inlineStr">
        <is>
          <t>accion_correctiva</t>
        </is>
      </c>
      <c r="E1292" s="18" t="n">
        <v>29</v>
      </c>
      <c r="F1292" s="18" t="inlineStr">
        <is>
          <t>descripcion</t>
        </is>
      </c>
      <c r="G1292" s="18" t="inlineStr">
        <is>
          <t>text</t>
        </is>
      </c>
      <c r="H1292" s="18" t="inlineStr">
        <is>
          <t>No</t>
        </is>
      </c>
      <c r="I1292" s="18" t="inlineStr"/>
      <c r="J1292" s="18" t="inlineStr"/>
      <c r="K1292" s="18" t="inlineStr"/>
      <c r="L1292" s="18" t="inlineStr">
        <is>
          <t>No</t>
        </is>
      </c>
      <c r="M1292" s="18" t="inlineStr">
        <is>
          <t>Sí</t>
        </is>
      </c>
      <c r="N1292" s="18" t="inlineStr">
        <is>
          <t>Función control_interno.trigger_evento_actualizacion_accion; Función control_interno.trigger_evento_creacion_accion — control_interno.trigger_evento_actualizacion_accion: v_descripcion := 'Acción completada: ' || SUBSTRING(NEW.descripcion, 1, 100) || | control_interno.trigger_evento_creacion_accion: 'Nueva acción creada: ' || SUBSTRING(NEW.descripcion, 1, 100) ||</t>
        </is>
      </c>
      <c r="O1292" s="18" t="inlineStr"/>
      <c r="P1292" s="18" t="inlineStr">
        <is>
          <t>Mapeada en internal-institutional-control-service/src/esap/planes-mejoramiento/entities/accion-correctiva.entity.ts:53 (AccionCorrectiva.descripcion) | Validación: IsNotEmpty, IsOptional, IsString</t>
        </is>
      </c>
      <c r="Q1292" s="18" t="inlineStr">
        <is>
          <t>Regla estructural</t>
        </is>
      </c>
      <c r="R1292" s="18" t="inlineStr">
        <is>
          <t>Descripción del registro de accion_correctiva.</t>
        </is>
      </c>
      <c r="S1292" s="18" t="inlineStr">
        <is>
          <t>Media</t>
        </is>
      </c>
      <c r="T1292" s="18" t="inlineStr">
        <is>
          <t>Convención de nombre de la columna.</t>
        </is>
      </c>
      <c r="U1292" s="18" t="inlineStr"/>
      <c r="V1292" s="19" t="inlineStr">
        <is>
          <t>Pendiente</t>
        </is>
      </c>
      <c r="W1292" s="19" t="inlineStr"/>
      <c r="X1292" s="19" t="inlineStr"/>
      <c r="Y1292" s="20" t="n"/>
      <c r="Z1292" s="19" t="inlineStr"/>
      <c r="AA1292" s="18">
        <f>IF(OR(V1292="Aprobada"),R1292,IF(AND(OR(V1292="Aprobada con ajuste",V1292="Rechazada"),W1292&lt;&gt;""),W1292,""))</f>
        <v/>
      </c>
    </row>
    <row r="1293">
      <c r="A1293" s="18" t="inlineStr">
        <is>
          <t>C1292</t>
        </is>
      </c>
      <c r="B1293" s="18" t="inlineStr">
        <is>
          <t>Control interno</t>
        </is>
      </c>
      <c r="C1293" s="18" t="inlineStr">
        <is>
          <t>control_interno</t>
        </is>
      </c>
      <c r="D1293" s="18" t="inlineStr">
        <is>
          <t>accion_correctiva</t>
        </is>
      </c>
      <c r="E1293" s="18" t="n">
        <v>29</v>
      </c>
      <c r="F1293" s="18" t="inlineStr">
        <is>
          <t>tipo</t>
        </is>
      </c>
      <c r="G1293" s="18" t="inlineStr">
        <is>
          <t>character varying(50)</t>
        </is>
      </c>
      <c r="H1293" s="18" t="inlineStr">
        <is>
          <t>No</t>
        </is>
      </c>
      <c r="I1293" s="18" t="inlineStr">
        <is>
          <t>CHECK</t>
        </is>
      </c>
      <c r="J1293" s="18" t="inlineStr">
        <is>
          <t>correctiva, mejora, preventiva</t>
        </is>
      </c>
      <c r="K1293" s="18" t="inlineStr"/>
      <c r="L1293" s="18" t="inlineStr">
        <is>
          <t>Sí</t>
        </is>
      </c>
      <c r="M1293" s="18" t="inlineStr">
        <is>
          <t>Sí</t>
        </is>
      </c>
      <c r="N1293" s="18" t="inlineStr">
        <is>
          <t>Función control_interno.trigger_evento_actualizacion_accion — control_interno.trigger_evento_actualizacion_accion: -- Determinar el tipo de evento según lo que cambió</t>
        </is>
      </c>
      <c r="O1293" s="18" t="inlineStr"/>
      <c r="P1293" s="18" t="inlineStr">
        <is>
          <t>Mapeada en internal-institutional-control-service/src/esap/planes-mejoramiento/entities/accion-correctiva.entity.ts:56 (AccionCorrectiva.tipo)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293" s="18" t="inlineStr">
        <is>
          <t>Regla estructural</t>
        </is>
      </c>
      <c r="R1293" s="18" t="inlineStr">
        <is>
          <t>Tipo del registro de accion_correctiva.</t>
        </is>
      </c>
      <c r="S1293" s="18" t="inlineStr">
        <is>
          <t>Media</t>
        </is>
      </c>
      <c r="T1293" s="18" t="inlineStr">
        <is>
          <t>Convención de nombre de la columna.</t>
        </is>
      </c>
      <c r="U1293" s="18" t="inlineStr"/>
      <c r="V1293" s="19" t="inlineStr">
        <is>
          <t>Pendiente</t>
        </is>
      </c>
      <c r="W1293" s="19" t="inlineStr"/>
      <c r="X1293" s="19" t="inlineStr"/>
      <c r="Y1293" s="20" t="n"/>
      <c r="Z1293" s="19" t="inlineStr"/>
      <c r="AA1293" s="18">
        <f>IF(OR(V1293="Aprobada"),R1293,IF(AND(OR(V1293="Aprobada con ajuste",V1293="Rechazada"),W1293&lt;&gt;""),W1293,""))</f>
        <v/>
      </c>
    </row>
    <row r="1294">
      <c r="A1294" s="18" t="inlineStr">
        <is>
          <t>C1293</t>
        </is>
      </c>
      <c r="B1294" s="18" t="inlineStr">
        <is>
          <t>Control interno</t>
        </is>
      </c>
      <c r="C1294" s="18" t="inlineStr">
        <is>
          <t>control_interno</t>
        </is>
      </c>
      <c r="D1294" s="18" t="inlineStr">
        <is>
          <t>accion_correctiva</t>
        </is>
      </c>
      <c r="E1294" s="18" t="n">
        <v>29</v>
      </c>
      <c r="F1294" s="18" t="inlineStr">
        <is>
          <t>responsable</t>
        </is>
      </c>
      <c r="G1294" s="18" t="inlineStr">
        <is>
          <t>character varying(255)</t>
        </is>
      </c>
      <c r="H1294" s="18" t="inlineStr">
        <is>
          <t>No</t>
        </is>
      </c>
      <c r="I1294" s="18" t="inlineStr"/>
      <c r="J1294" s="18" t="inlineStr"/>
      <c r="K1294" s="18" t="inlineStr"/>
      <c r="L1294" s="18" t="inlineStr">
        <is>
          <t>No</t>
        </is>
      </c>
      <c r="M1294" s="18" t="inlineStr">
        <is>
          <t>Sí</t>
        </is>
      </c>
      <c r="N1294" s="18" t="inlineStr">
        <is>
          <t>Función control_interno.trigger_evento_actualizacion_accion; Función control_interno.trigger_evento_creacion_accion — control_interno.trigger_evento_actualizacion_accion: NEW.responsable,  -- usar el campo responsable que es varchar | control_interno.trigger_evento_creacion_accion: NEW.responsable,  -- usar el campo responsable que es varchar</t>
        </is>
      </c>
      <c r="O1294" s="18" t="inlineStr"/>
      <c r="P1294" s="18" t="inlineStr">
        <is>
          <t>Mapeada en internal-institutional-control-service/src/esap/planes-mejoramiento/entities/accion-correctiva.entity.ts:63 (AccionCorrectiva.responsable) | Validación: IsNotEmpty, IsOptional, IsString, Length(1, 255)</t>
        </is>
      </c>
      <c r="Q1294" s="18" t="inlineStr">
        <is>
          <t>Propuesta semántica</t>
        </is>
      </c>
      <c r="R1294" s="18" t="inlineStr">
        <is>
          <t>Nombre del responsable de ejecutar la acción correctiva (texto libre de 1 a 255 caracteres).</t>
        </is>
      </c>
      <c r="S1294" s="18" t="inlineStr">
        <is>
          <t>Alta</t>
        </is>
      </c>
      <c r="T1294" s="18" t="inlineStr">
        <is>
          <t>uso en las funciones trigger_evento_creacion_accion y trigger_evento_actualizacion_accion + validaciones ~</t>
        </is>
      </c>
      <c r="U1294" s="18" t="inlineStr"/>
      <c r="V1294" s="19" t="inlineStr">
        <is>
          <t>Pendiente</t>
        </is>
      </c>
      <c r="W1294" s="19" t="inlineStr"/>
      <c r="X1294" s="19" t="inlineStr"/>
      <c r="Y1294" s="20" t="n"/>
      <c r="Z1294" s="19" t="inlineStr"/>
      <c r="AA1294" s="18">
        <f>IF(OR(V1294="Aprobada"),R1294,IF(AND(OR(V1294="Aprobada con ajuste",V1294="Rechazada"),W1294&lt;&gt;""),W1294,""))</f>
        <v/>
      </c>
    </row>
    <row r="1295">
      <c r="A1295" s="18" t="inlineStr">
        <is>
          <t>C1294</t>
        </is>
      </c>
      <c r="B1295" s="18" t="inlineStr">
        <is>
          <t>Control interno</t>
        </is>
      </c>
      <c r="C1295" s="18" t="inlineStr">
        <is>
          <t>control_interno</t>
        </is>
      </c>
      <c r="D1295" s="18" t="inlineStr">
        <is>
          <t>accion_correctiva</t>
        </is>
      </c>
      <c r="E1295" s="18" t="n">
        <v>29</v>
      </c>
      <c r="F1295" s="18" t="inlineStr">
        <is>
          <t>fecha_inicio</t>
        </is>
      </c>
      <c r="G1295" s="18" t="inlineStr">
        <is>
          <t>date</t>
        </is>
      </c>
      <c r="H1295" s="18" t="inlineStr">
        <is>
          <t>No</t>
        </is>
      </c>
      <c r="I1295" s="18" t="inlineStr"/>
      <c r="J1295" s="18" t="inlineStr"/>
      <c r="K1295" s="18" t="inlineStr"/>
      <c r="L1295" s="18" t="inlineStr">
        <is>
          <t>No</t>
        </is>
      </c>
      <c r="M1295" s="18" t="inlineStr">
        <is>
          <t>No</t>
        </is>
      </c>
      <c r="N1295" s="18" t="inlineStr"/>
      <c r="O1295" s="18" t="inlineStr"/>
      <c r="P1295" s="18" t="inlineStr">
        <is>
          <t>Mapeada en internal-institutional-control-service/src/esap/planes-mejoramiento/entities/accion-correctiva.entity.ts:66 (AccionCorrectiva.fechaInicio) | Validación: IsDateString, IsNotEmpty, IsOptional</t>
        </is>
      </c>
      <c r="Q1295" s="18" t="inlineStr">
        <is>
          <t>Regla estructural</t>
        </is>
      </c>
      <c r="R1295" s="18" t="inlineStr">
        <is>
          <t>Fecha de inicio.</t>
        </is>
      </c>
      <c r="S1295" s="18" t="inlineStr">
        <is>
          <t>Media</t>
        </is>
      </c>
      <c r="T1295" s="18" t="inlineStr">
        <is>
          <t>Convención de nombre de la columna.</t>
        </is>
      </c>
      <c r="U1295" s="18" t="inlineStr"/>
      <c r="V1295" s="19" t="inlineStr">
        <is>
          <t>Pendiente</t>
        </is>
      </c>
      <c r="W1295" s="19" t="inlineStr"/>
      <c r="X1295" s="19" t="inlineStr"/>
      <c r="Y1295" s="20" t="n"/>
      <c r="Z1295" s="19" t="inlineStr"/>
      <c r="AA1295" s="18">
        <f>IF(OR(V1295="Aprobada"),R1295,IF(AND(OR(V1295="Aprobada con ajuste",V1295="Rechazada"),W1295&lt;&gt;""),W1295,""))</f>
        <v/>
      </c>
    </row>
    <row r="1296">
      <c r="A1296" s="18" t="inlineStr">
        <is>
          <t>C1295</t>
        </is>
      </c>
      <c r="B1296" s="18" t="inlineStr">
        <is>
          <t>Control interno</t>
        </is>
      </c>
      <c r="C1296" s="18" t="inlineStr">
        <is>
          <t>control_interno</t>
        </is>
      </c>
      <c r="D1296" s="18" t="inlineStr">
        <is>
          <t>accion_correctiva</t>
        </is>
      </c>
      <c r="E1296" s="18" t="n">
        <v>29</v>
      </c>
      <c r="F1296" s="18" t="inlineStr">
        <is>
          <t>fecha_fin</t>
        </is>
      </c>
      <c r="G1296" s="18" t="inlineStr">
        <is>
          <t>date</t>
        </is>
      </c>
      <c r="H1296" s="18" t="inlineStr">
        <is>
          <t>No</t>
        </is>
      </c>
      <c r="I1296" s="18" t="inlineStr"/>
      <c r="J1296" s="18" t="inlineStr"/>
      <c r="K1296" s="18" t="inlineStr"/>
      <c r="L1296" s="18" t="inlineStr">
        <is>
          <t>No</t>
        </is>
      </c>
      <c r="M1296" s="18" t="inlineStr">
        <is>
          <t>No</t>
        </is>
      </c>
      <c r="N1296" s="18" t="inlineStr"/>
      <c r="O1296" s="18" t="inlineStr"/>
      <c r="P1296" s="18" t="inlineStr">
        <is>
          <t>Mapeada en internal-institutional-control-service/src/esap/planes-mejoramiento/entities/accion-correctiva.entity.ts:69 (AccionCorrectiva.fechaFin) | Validación: IsDateString, IsNotEmpty, IsOptional</t>
        </is>
      </c>
      <c r="Q1296" s="18" t="inlineStr">
        <is>
          <t>Regla estructural</t>
        </is>
      </c>
      <c r="R1296" s="18" t="inlineStr">
        <is>
          <t>Fecha de finalización.</t>
        </is>
      </c>
      <c r="S1296" s="18" t="inlineStr">
        <is>
          <t>Media</t>
        </is>
      </c>
      <c r="T1296" s="18" t="inlineStr">
        <is>
          <t>Convención de nombre de la columna.</t>
        </is>
      </c>
      <c r="U1296" s="18" t="inlineStr"/>
      <c r="V1296" s="19" t="inlineStr">
        <is>
          <t>Pendiente</t>
        </is>
      </c>
      <c r="W1296" s="19" t="inlineStr"/>
      <c r="X1296" s="19" t="inlineStr"/>
      <c r="Y1296" s="20" t="n"/>
      <c r="Z1296" s="19" t="inlineStr"/>
      <c r="AA1296" s="18">
        <f>IF(OR(V1296="Aprobada"),R1296,IF(AND(OR(V1296="Aprobada con ajuste",V1296="Rechazada"),W1296&lt;&gt;""),W1296,""))</f>
        <v/>
      </c>
    </row>
    <row r="1297">
      <c r="A1297" s="18" t="inlineStr">
        <is>
          <t>C1296</t>
        </is>
      </c>
      <c r="B1297" s="18" t="inlineStr">
        <is>
          <t>Control interno</t>
        </is>
      </c>
      <c r="C1297" s="18" t="inlineStr">
        <is>
          <t>control_interno</t>
        </is>
      </c>
      <c r="D1297" s="18" t="inlineStr">
        <is>
          <t>accion_correctiva</t>
        </is>
      </c>
      <c r="E1297" s="18" t="n">
        <v>29</v>
      </c>
      <c r="F1297" s="18" t="inlineStr">
        <is>
          <t>recursos</t>
        </is>
      </c>
      <c r="G1297" s="18" t="inlineStr">
        <is>
          <t>text</t>
        </is>
      </c>
      <c r="H1297" s="18" t="inlineStr">
        <is>
          <t>Sí</t>
        </is>
      </c>
      <c r="I1297" s="18" t="inlineStr"/>
      <c r="J1297" s="18" t="inlineStr"/>
      <c r="K1297" s="18" t="inlineStr"/>
      <c r="L1297" s="18" t="inlineStr">
        <is>
          <t>No</t>
        </is>
      </c>
      <c r="M1297" s="18" t="inlineStr">
        <is>
          <t>No</t>
        </is>
      </c>
      <c r="N1297" s="18" t="inlineStr"/>
      <c r="O1297" s="18" t="inlineStr"/>
      <c r="P1297" s="18" t="inlineStr">
        <is>
          <t>Mapeada en internal-institutional-control-service/src/esap/planes-mejoramiento/entities/accion-correctiva.entity.ts:72 (AccionCorrectiva.recursos) | Validación: IsOptional, IsString</t>
        </is>
      </c>
      <c r="Q1297" s="18" t="inlineStr">
        <is>
          <t>Propuesta semántica</t>
        </is>
      </c>
      <c r="R1297" s="18" t="inlineStr">
        <is>
          <t>Recursos requeridos para ejecutar la acción correctiva.</t>
        </is>
      </c>
      <c r="S1297" s="18" t="inlineStr">
        <is>
          <t>Media</t>
        </is>
      </c>
      <c r="T1297" s="18" t="inlineStr">
        <is>
          <t>nombre + tipo</t>
        </is>
      </c>
      <c r="U1297" s="18" t="inlineStr">
        <is>
          <t>¿recursos describe recursos humanos, técnicos o presupuestales, en texto libre?</t>
        </is>
      </c>
      <c r="V1297" s="19" t="inlineStr">
        <is>
          <t>Pendiente</t>
        </is>
      </c>
      <c r="W1297" s="19" t="inlineStr"/>
      <c r="X1297" s="19" t="inlineStr"/>
      <c r="Y1297" s="20" t="n"/>
      <c r="Z1297" s="19" t="inlineStr"/>
      <c r="AA1297" s="18">
        <f>IF(OR(V1297="Aprobada"),R1297,IF(AND(OR(V1297="Aprobada con ajuste",V1297="Rechazada"),W1297&lt;&gt;""),W1297,""))</f>
        <v/>
      </c>
    </row>
    <row r="1298">
      <c r="A1298" s="18" t="inlineStr">
        <is>
          <t>C1297</t>
        </is>
      </c>
      <c r="B1298" s="18" t="inlineStr">
        <is>
          <t>Control interno</t>
        </is>
      </c>
      <c r="C1298" s="18" t="inlineStr">
        <is>
          <t>control_interno</t>
        </is>
      </c>
      <c r="D1298" s="18" t="inlineStr">
        <is>
          <t>accion_correctiva</t>
        </is>
      </c>
      <c r="E1298" s="18" t="n">
        <v>29</v>
      </c>
      <c r="F1298" s="18" t="inlineStr">
        <is>
          <t>indicador</t>
        </is>
      </c>
      <c r="G1298" s="18" t="inlineStr">
        <is>
          <t>character varying(500)</t>
        </is>
      </c>
      <c r="H1298" s="18" t="inlineStr">
        <is>
          <t>Sí</t>
        </is>
      </c>
      <c r="I1298" s="18" t="inlineStr"/>
      <c r="J1298" s="18" t="inlineStr"/>
      <c r="K1298" s="18" t="inlineStr"/>
      <c r="L1298" s="18" t="inlineStr">
        <is>
          <t>No</t>
        </is>
      </c>
      <c r="M1298" s="18" t="inlineStr">
        <is>
          <t>No</t>
        </is>
      </c>
      <c r="N1298" s="18" t="inlineStr"/>
      <c r="O1298" s="18" t="inlineStr"/>
      <c r="P1298" s="18" t="inlineStr">
        <is>
          <t>Mapeada en internal-institutional-control-service/src/esap/planes-mejoramiento/entities/accion-correctiva.entity.ts:75 (AccionCorrectiva.indicador) | Validación: IsOptional, IsString</t>
        </is>
      </c>
      <c r="Q1298" s="18" t="inlineStr">
        <is>
          <t>Propuesta semántica</t>
        </is>
      </c>
      <c r="R1298" s="18" t="inlineStr">
        <is>
          <t>Indicador con el que se mide el cumplimiento de la acción correctiva.</t>
        </is>
      </c>
      <c r="S1298" s="18" t="inlineStr">
        <is>
          <t>Alta</t>
        </is>
      </c>
      <c r="T1298" s="18" t="inlineStr">
        <is>
          <t>nombre + columnas vecinas (meta_indicador) ~</t>
        </is>
      </c>
      <c r="U1298" s="18" t="inlineStr"/>
      <c r="V1298" s="19" t="inlineStr">
        <is>
          <t>Pendiente</t>
        </is>
      </c>
      <c r="W1298" s="19" t="inlineStr"/>
      <c r="X1298" s="19" t="inlineStr"/>
      <c r="Y1298" s="20" t="n"/>
      <c r="Z1298" s="19" t="inlineStr"/>
      <c r="AA1298" s="18">
        <f>IF(OR(V1298="Aprobada"),R1298,IF(AND(OR(V1298="Aprobada con ajuste",V1298="Rechazada"),W1298&lt;&gt;""),W1298,""))</f>
        <v/>
      </c>
    </row>
    <row r="1299">
      <c r="A1299" s="18" t="inlineStr">
        <is>
          <t>C1298</t>
        </is>
      </c>
      <c r="B1299" s="18" t="inlineStr">
        <is>
          <t>Control interno</t>
        </is>
      </c>
      <c r="C1299" s="18" t="inlineStr">
        <is>
          <t>control_interno</t>
        </is>
      </c>
      <c r="D1299" s="18" t="inlineStr">
        <is>
          <t>accion_correctiva</t>
        </is>
      </c>
      <c r="E1299" s="18" t="n">
        <v>29</v>
      </c>
      <c r="F1299" s="18" t="inlineStr">
        <is>
          <t>meta_indicador</t>
        </is>
      </c>
      <c r="G1299" s="18" t="inlineStr">
        <is>
          <t>character varying(500)</t>
        </is>
      </c>
      <c r="H1299" s="18" t="inlineStr">
        <is>
          <t>Sí</t>
        </is>
      </c>
      <c r="I1299" s="18" t="inlineStr"/>
      <c r="J1299" s="18" t="inlineStr"/>
      <c r="K1299" s="18" t="inlineStr"/>
      <c r="L1299" s="18" t="inlineStr">
        <is>
          <t>No</t>
        </is>
      </c>
      <c r="M1299" s="18" t="inlineStr">
        <is>
          <t>No</t>
        </is>
      </c>
      <c r="N1299" s="18" t="inlineStr"/>
      <c r="O1299" s="18" t="inlineStr"/>
      <c r="P1299" s="18" t="inlineStr">
        <is>
          <t>Mapeada en internal-institutional-control-service/src/esap/planes-mejoramiento/entities/accion-correctiva.entity.ts:78 (AccionCorrectiva.metaIndicador) | Validación: IsOptional, IsString</t>
        </is>
      </c>
      <c r="Q1299" s="18" t="inlineStr">
        <is>
          <t>Propuesta semántica</t>
        </is>
      </c>
      <c r="R1299" s="18" t="inlineStr">
        <is>
          <t>Meta esperada del indicador de la acción correctiva.</t>
        </is>
      </c>
      <c r="S1299" s="18" t="inlineStr">
        <is>
          <t>Alta</t>
        </is>
      </c>
      <c r="T1299" s="18" t="inlineStr">
        <is>
          <t>nombre + columnas vecinas (indicador) ~</t>
        </is>
      </c>
      <c r="U1299" s="18" t="inlineStr"/>
      <c r="V1299" s="19" t="inlineStr">
        <is>
          <t>Pendiente</t>
        </is>
      </c>
      <c r="W1299" s="19" t="inlineStr"/>
      <c r="X1299" s="19" t="inlineStr"/>
      <c r="Y1299" s="20" t="n"/>
      <c r="Z1299" s="19" t="inlineStr"/>
      <c r="AA1299" s="18">
        <f>IF(OR(V1299="Aprobada"),R1299,IF(AND(OR(V1299="Aprobada con ajuste",V1299="Rechazada"),W1299&lt;&gt;""),W1299,""))</f>
        <v/>
      </c>
    </row>
    <row r="1300">
      <c r="A1300" s="18" t="inlineStr">
        <is>
          <t>C1299</t>
        </is>
      </c>
      <c r="B1300" s="18" t="inlineStr">
        <is>
          <t>Control interno</t>
        </is>
      </c>
      <c r="C1300" s="18" t="inlineStr">
        <is>
          <t>control_interno</t>
        </is>
      </c>
      <c r="D1300" s="18" t="inlineStr">
        <is>
          <t>accion_correctiva</t>
        </is>
      </c>
      <c r="E1300" s="18" t="n">
        <v>29</v>
      </c>
      <c r="F1300" s="18" t="inlineStr">
        <is>
          <t>estado</t>
        </is>
      </c>
      <c r="G1300" s="18" t="inlineStr">
        <is>
          <t>character varying(50)</t>
        </is>
      </c>
      <c r="H1300" s="18" t="inlineStr">
        <is>
          <t>No</t>
        </is>
      </c>
      <c r="I1300" s="18" t="inlineStr">
        <is>
          <t>CHECK</t>
        </is>
      </c>
      <c r="J1300" s="18" t="inlineStr">
        <is>
          <t>completada, en-progreso, implementada, programada, vencida</t>
        </is>
      </c>
      <c r="K1300" s="18" t="inlineStr"/>
      <c r="L1300" s="18" t="inlineStr">
        <is>
          <t>Sí</t>
        </is>
      </c>
      <c r="M1300" s="18" t="inlineStr">
        <is>
          <t>Sí</t>
        </is>
      </c>
      <c r="N1300" s="18" t="inlineStr">
        <is>
          <t>Función control_interno.trigger_evento_actualizacion_accion; Función control_interno.trigger_evento_creacion_accion — control_interno.trigger_evento_actualizacion_accion: ELSIF OLD.estado IS DISTINCT FROM NEW.estado THEN | control_interno.trigger_evento_creacion_accion: 'estado', NEW.estado,</t>
        </is>
      </c>
      <c r="O1300" s="18" t="inlineStr">
        <is>
          <t>idx_accion_correctiva_estado</t>
        </is>
      </c>
      <c r="P1300" s="18" t="inlineStr">
        <is>
          <t>Mapeada en internal-institutional-control-service/src/esap/planes-mejoramiento/entities/accion-correctiva.entity.ts:81 (AccionCorrectiva.estado) | Validación: IsEnum(AccionCorrectivaEstado), IsEnum(EstadoEtapa), IsEnum(EstadoPlanIndividual), IsEnum(EstadoTarea), IsEnum(HallazgoEstado), IsEnum(PlanMejoramientoEstado)</t>
        </is>
      </c>
      <c r="Q1300" s="18" t="inlineStr">
        <is>
          <t>Regla estructural</t>
        </is>
      </c>
      <c r="R1300" s="18" t="inlineStr">
        <is>
          <t>Estado del registro de accion_correctiva.</t>
        </is>
      </c>
      <c r="S1300" s="18" t="inlineStr">
        <is>
          <t>Media</t>
        </is>
      </c>
      <c r="T1300" s="18" t="inlineStr">
        <is>
          <t>Convención de nombre de la columna.</t>
        </is>
      </c>
      <c r="U1300" s="18" t="inlineStr"/>
      <c r="V1300" s="19" t="inlineStr">
        <is>
          <t>Pendiente</t>
        </is>
      </c>
      <c r="W1300" s="19" t="inlineStr"/>
      <c r="X1300" s="19" t="inlineStr"/>
      <c r="Y1300" s="20" t="n"/>
      <c r="Z1300" s="19" t="inlineStr"/>
      <c r="AA1300" s="18">
        <f>IF(OR(V1300="Aprobada"),R1300,IF(AND(OR(V1300="Aprobada con ajuste",V1300="Rechazada"),W1300&lt;&gt;""),W1300,""))</f>
        <v/>
      </c>
    </row>
    <row r="1301">
      <c r="A1301" s="18" t="inlineStr">
        <is>
          <t>C1300</t>
        </is>
      </c>
      <c r="B1301" s="18" t="inlineStr">
        <is>
          <t>Control interno</t>
        </is>
      </c>
      <c r="C1301" s="18" t="inlineStr">
        <is>
          <t>control_interno</t>
        </is>
      </c>
      <c r="D1301" s="18" t="inlineStr">
        <is>
          <t>accion_correctiva</t>
        </is>
      </c>
      <c r="E1301" s="18" t="n">
        <v>29</v>
      </c>
      <c r="F1301" s="18" t="inlineStr">
        <is>
          <t>porcentaje_avance</t>
        </is>
      </c>
      <c r="G1301" s="18" t="inlineStr">
        <is>
          <t>integer</t>
        </is>
      </c>
      <c r="H1301" s="18" t="inlineStr">
        <is>
          <t>Sí</t>
        </is>
      </c>
      <c r="I1301" s="18" t="inlineStr">
        <is>
          <t>CHECK</t>
        </is>
      </c>
      <c r="J1301" s="18" t="inlineStr"/>
      <c r="K1301" s="18" t="inlineStr"/>
      <c r="L1301" s="18" t="inlineStr">
        <is>
          <t>No</t>
        </is>
      </c>
      <c r="M1301" s="18" t="inlineStr">
        <is>
          <t>Sí</t>
        </is>
      </c>
      <c r="N1301" s="18" t="inlineStr">
        <is>
          <t>Función control_interno.trigger_evento_actualizacion_accion; Función control_interno.trigger_evento_creacion_accion — control_interno.trigger_evento_actualizacion_accion: IF OLD.porcentaje_avance IS DISTINCT FROM NEW.porcentaje_avance THEN | control_interno.trigger_evento_creacion_accion: 'progreso', NEW.porcentaje_avance</t>
        </is>
      </c>
      <c r="O1301" s="18" t="inlineStr"/>
      <c r="P1301" s="18" t="inlineStr">
        <is>
          <t>Mapeada en internal-institutional-control-service/src/esap/planes-mejoramiento/entities/accion-correctiva.entity.ts:88 (AccionCorrectiva.porcentajeAvance) | Validación: IsInt, IsOptional, Max(100), Min(0)</t>
        </is>
      </c>
      <c r="Q1301" s="18" t="inlineStr">
        <is>
          <t>Propuesta semántica</t>
        </is>
      </c>
      <c r="R1301" s="18" t="inlineStr">
        <is>
          <t>Porcentaje de avance de la acción correctiva, de 0 a 100; los cambios quedan registrados como evento de progreso.</t>
        </is>
      </c>
      <c r="S1301" s="18" t="inlineStr">
        <is>
          <t>Alta</t>
        </is>
      </c>
      <c r="T1301" s="18" t="inlineStr">
        <is>
          <t>uso en la función trigger_evento_actualizacion_accion + validaciones Min(0), Max(100) ~</t>
        </is>
      </c>
      <c r="U1301" s="18" t="inlineStr"/>
      <c r="V1301" s="19" t="inlineStr">
        <is>
          <t>Pendiente</t>
        </is>
      </c>
      <c r="W1301" s="19" t="inlineStr"/>
      <c r="X1301" s="19" t="inlineStr"/>
      <c r="Y1301" s="20" t="n"/>
      <c r="Z1301" s="19" t="inlineStr"/>
      <c r="AA1301" s="18">
        <f>IF(OR(V1301="Aprobada"),R1301,IF(AND(OR(V1301="Aprobada con ajuste",V1301="Rechazada"),W1301&lt;&gt;""),W1301,""))</f>
        <v/>
      </c>
    </row>
    <row r="1302">
      <c r="A1302" s="18" t="inlineStr">
        <is>
          <t>C1301</t>
        </is>
      </c>
      <c r="B1302" s="18" t="inlineStr">
        <is>
          <t>Control interno</t>
        </is>
      </c>
      <c r="C1302" s="18" t="inlineStr">
        <is>
          <t>control_interno</t>
        </is>
      </c>
      <c r="D1302" s="18" t="inlineStr">
        <is>
          <t>accion_correctiva</t>
        </is>
      </c>
      <c r="E1302" s="18" t="n">
        <v>29</v>
      </c>
      <c r="F1302" s="18" t="inlineStr">
        <is>
          <t>observaciones</t>
        </is>
      </c>
      <c r="G1302" s="18" t="inlineStr">
        <is>
          <t>text</t>
        </is>
      </c>
      <c r="H1302" s="18" t="inlineStr">
        <is>
          <t>Sí</t>
        </is>
      </c>
      <c r="I1302" s="18" t="inlineStr"/>
      <c r="J1302" s="18" t="inlineStr"/>
      <c r="K1302" s="18" t="inlineStr"/>
      <c r="L1302" s="18" t="inlineStr">
        <is>
          <t>No</t>
        </is>
      </c>
      <c r="M1302" s="18" t="inlineStr">
        <is>
          <t>No</t>
        </is>
      </c>
      <c r="N1302" s="18" t="inlineStr"/>
      <c r="O1302" s="18" t="inlineStr"/>
      <c r="P1302" s="18" t="inlineStr">
        <is>
          <t>Mapeada en internal-institutional-control-service/src/esap/planes-mejoramiento/entities/accion-correctiva.entity.ts:91 (AccionCorrectiva.observaciones) | Validación: IsOptional, IsString</t>
        </is>
      </c>
      <c r="Q1302" s="18" t="inlineStr">
        <is>
          <t>Regla estructural</t>
        </is>
      </c>
      <c r="R1302" s="18" t="inlineStr">
        <is>
          <t>Observaciones registradas sobre el registro.</t>
        </is>
      </c>
      <c r="S1302" s="18" t="inlineStr">
        <is>
          <t>Media</t>
        </is>
      </c>
      <c r="T1302" s="18" t="inlineStr">
        <is>
          <t>Convención de nombre de la columna.</t>
        </is>
      </c>
      <c r="U1302" s="18" t="inlineStr"/>
      <c r="V1302" s="19" t="inlineStr">
        <is>
          <t>Pendiente</t>
        </is>
      </c>
      <c r="W1302" s="19" t="inlineStr"/>
      <c r="X1302" s="19" t="inlineStr"/>
      <c r="Y1302" s="20" t="n"/>
      <c r="Z1302" s="19" t="inlineStr"/>
      <c r="AA1302" s="18">
        <f>IF(OR(V1302="Aprobada"),R1302,IF(AND(OR(V1302="Aprobada con ajuste",V1302="Rechazada"),W1302&lt;&gt;""),W1302,""))</f>
        <v/>
      </c>
    </row>
    <row r="1303">
      <c r="A1303" s="18" t="inlineStr">
        <is>
          <t>C1302</t>
        </is>
      </c>
      <c r="B1303" s="18" t="inlineStr">
        <is>
          <t>Control interno</t>
        </is>
      </c>
      <c r="C1303" s="18" t="inlineStr">
        <is>
          <t>control_interno</t>
        </is>
      </c>
      <c r="D1303" s="18" t="inlineStr">
        <is>
          <t>accion_correctiva</t>
        </is>
      </c>
      <c r="E1303" s="18" t="n">
        <v>29</v>
      </c>
      <c r="F1303" s="18" t="inlineStr">
        <is>
          <t>evidencias</t>
        </is>
      </c>
      <c r="G1303" s="18" t="inlineStr">
        <is>
          <t>jsonb</t>
        </is>
      </c>
      <c r="H1303" s="18" t="inlineStr">
        <is>
          <t>Sí</t>
        </is>
      </c>
      <c r="I1303" s="18" t="inlineStr"/>
      <c r="J1303" s="18" t="inlineStr"/>
      <c r="K1303" s="18" t="inlineStr"/>
      <c r="L1303" s="18" t="inlineStr">
        <is>
          <t>No</t>
        </is>
      </c>
      <c r="M1303" s="18" t="inlineStr">
        <is>
          <t>No</t>
        </is>
      </c>
      <c r="N1303" s="18" t="inlineStr"/>
      <c r="O1303" s="18" t="inlineStr"/>
      <c r="P1303" s="18" t="inlineStr">
        <is>
          <t>Mapeada en internal-institutional-control-service/src/esap/planes-mejoramiento/entities/accion-correctiva.entity.ts:94 (AccionCorrectiva.evidencias) | Validación: IsArray, IsOptional, IsString({ each: true })</t>
        </is>
      </c>
      <c r="Q1303" s="18" t="inlineStr">
        <is>
          <t>Propuesta semántica</t>
        </is>
      </c>
      <c r="R1303" s="18" t="inlineStr">
        <is>
          <t>Lista de evidencias de la acción correctiva, en formato JSON (arreglo de textos).</t>
        </is>
      </c>
      <c r="S1303" s="18" t="inlineStr">
        <is>
          <t>Media</t>
        </is>
      </c>
      <c r="T1303" s="18" t="inlineStr">
        <is>
          <t>tipo jsonb + validaciones IsArray, IsString each</t>
        </is>
      </c>
      <c r="U1303" s="18" t="inlineStr">
        <is>
          <t>¿Cada elemento de evidencias es una ruta, una URL o un identificador de documento?</t>
        </is>
      </c>
      <c r="V1303" s="19" t="inlineStr">
        <is>
          <t>Pendiente</t>
        </is>
      </c>
      <c r="W1303" s="19" t="inlineStr"/>
      <c r="X1303" s="19" t="inlineStr"/>
      <c r="Y1303" s="20" t="n"/>
      <c r="Z1303" s="19" t="inlineStr"/>
      <c r="AA1303" s="18">
        <f>IF(OR(V1303="Aprobada"),R1303,IF(AND(OR(V1303="Aprobada con ajuste",V1303="Rechazada"),W1303&lt;&gt;""),W1303,""))</f>
        <v/>
      </c>
    </row>
    <row r="1304">
      <c r="A1304" s="18" t="inlineStr">
        <is>
          <t>C1303</t>
        </is>
      </c>
      <c r="B1304" s="18" t="inlineStr">
        <is>
          <t>Control interno</t>
        </is>
      </c>
      <c r="C1304" s="18" t="inlineStr">
        <is>
          <t>control_interno</t>
        </is>
      </c>
      <c r="D1304" s="18" t="inlineStr">
        <is>
          <t>accion_correctiva</t>
        </is>
      </c>
      <c r="E1304" s="18" t="n">
        <v>29</v>
      </c>
      <c r="F1304" s="18" t="inlineStr">
        <is>
          <t>cantidad_acciones_programadas</t>
        </is>
      </c>
      <c r="G1304" s="18" t="inlineStr">
        <is>
          <t>integer</t>
        </is>
      </c>
      <c r="H1304" s="18" t="inlineStr">
        <is>
          <t>Sí</t>
        </is>
      </c>
      <c r="I1304" s="18" t="inlineStr"/>
      <c r="J1304" s="18" t="inlineStr"/>
      <c r="K1304" s="18" t="inlineStr"/>
      <c r="L1304" s="18" t="inlineStr">
        <is>
          <t>No</t>
        </is>
      </c>
      <c r="M1304" s="18" t="inlineStr">
        <is>
          <t>No</t>
        </is>
      </c>
      <c r="N1304" s="18" t="inlineStr"/>
      <c r="O1304" s="18" t="inlineStr"/>
      <c r="P1304" s="18" t="inlineStr">
        <is>
          <t>internal-institutional-control-service/src/esap/planes-mejoramiento/entities/accion-correctiva.entity.ts:133: Cantidad de acciones programadas (meta). Ref: EM-FO-002</t>
        </is>
      </c>
      <c r="Q1304" s="18" t="inlineStr">
        <is>
          <t>Código fuente</t>
        </is>
      </c>
      <c r="R1304" s="18" t="inlineStr">
        <is>
          <t>Cantidad de acciones programadas como meta de la acción correctiva (EM-FO-002).</t>
        </is>
      </c>
      <c r="S1304" s="18" t="inlineStr">
        <is>
          <t>Alta</t>
        </is>
      </c>
      <c r="T1304" s="18" t="inlineStr">
        <is>
          <t>código: internal-institutional-control-service/src/esap/planes-mejoramiento/entities/accion-correctiva.entity.ts:133</t>
        </is>
      </c>
      <c r="U1304" s="18" t="inlineStr"/>
      <c r="V1304" s="19" t="inlineStr">
        <is>
          <t>Pendiente</t>
        </is>
      </c>
      <c r="W1304" s="19" t="inlineStr"/>
      <c r="X1304" s="19" t="inlineStr"/>
      <c r="Y1304" s="20" t="n"/>
      <c r="Z1304" s="19" t="inlineStr"/>
      <c r="AA1304" s="18">
        <f>IF(OR(V1304="Aprobada"),R1304,IF(AND(OR(V1304="Aprobada con ajuste",V1304="Rechazada"),W1304&lt;&gt;""),W1304,""))</f>
        <v/>
      </c>
    </row>
    <row r="1305">
      <c r="A1305" s="18" t="inlineStr">
        <is>
          <t>C1304</t>
        </is>
      </c>
      <c r="B1305" s="18" t="inlineStr">
        <is>
          <t>Control interno</t>
        </is>
      </c>
      <c r="C1305" s="18" t="inlineStr">
        <is>
          <t>control_interno</t>
        </is>
      </c>
      <c r="D1305" s="18" t="inlineStr">
        <is>
          <t>accion_correctiva</t>
        </is>
      </c>
      <c r="E1305" s="18" t="n">
        <v>29</v>
      </c>
      <c r="F1305" s="18" t="inlineStr">
        <is>
          <t>cantidad_acciones_implementadas</t>
        </is>
      </c>
      <c r="G1305" s="18" t="inlineStr">
        <is>
          <t>integer</t>
        </is>
      </c>
      <c r="H1305" s="18" t="inlineStr">
        <is>
          <t>Sí</t>
        </is>
      </c>
      <c r="I1305" s="18" t="inlineStr"/>
      <c r="J1305" s="18" t="inlineStr"/>
      <c r="K1305" s="18" t="inlineStr"/>
      <c r="L1305" s="18" t="inlineStr">
        <is>
          <t>No</t>
        </is>
      </c>
      <c r="M1305" s="18" t="inlineStr">
        <is>
          <t>No</t>
        </is>
      </c>
      <c r="N1305" s="18" t="inlineStr"/>
      <c r="O1305" s="18" t="inlineStr"/>
      <c r="P1305" s="18" t="inlineStr">
        <is>
          <t>internal-institutional-control-service/src/esap/planes-mejoramiento/entities/accion-correctiva.entity.ts:137: Cantidad de acciones implementadas. Ref: EM-FO-002</t>
        </is>
      </c>
      <c r="Q1305" s="18" t="inlineStr">
        <is>
          <t>Código fuente</t>
        </is>
      </c>
      <c r="R1305" s="18" t="inlineStr">
        <is>
          <t>Cantidad de acciones implementadas de la acción correctiva (EM-FO-002).</t>
        </is>
      </c>
      <c r="S1305" s="18" t="inlineStr">
        <is>
          <t>Alta</t>
        </is>
      </c>
      <c r="T1305" s="18" t="inlineStr">
        <is>
          <t>código: internal-institutional-control-service/src/esap/planes-mejoramiento/entities/accion-correctiva.entity.ts:137</t>
        </is>
      </c>
      <c r="U1305" s="18" t="inlineStr"/>
      <c r="V1305" s="19" t="inlineStr">
        <is>
          <t>Pendiente</t>
        </is>
      </c>
      <c r="W1305" s="19" t="inlineStr"/>
      <c r="X1305" s="19" t="inlineStr"/>
      <c r="Y1305" s="20" t="n"/>
      <c r="Z1305" s="19" t="inlineStr"/>
      <c r="AA1305" s="18">
        <f>IF(OR(V1305="Aprobada"),R1305,IF(AND(OR(V1305="Aprobada con ajuste",V1305="Rechazada"),W1305&lt;&gt;""),W1305,""))</f>
        <v/>
      </c>
    </row>
    <row r="1306">
      <c r="A1306" s="18" t="inlineStr">
        <is>
          <t>C1305</t>
        </is>
      </c>
      <c r="B1306" s="18" t="inlineStr">
        <is>
          <t>Control interno</t>
        </is>
      </c>
      <c r="C1306" s="18" t="inlineStr">
        <is>
          <t>control_interno</t>
        </is>
      </c>
      <c r="D1306" s="18" t="inlineStr">
        <is>
          <t>accion_correctiva</t>
        </is>
      </c>
      <c r="E1306" s="18" t="n">
        <v>29</v>
      </c>
      <c r="F1306" s="18" t="inlineStr">
        <is>
          <t>cumplimiento_emfo</t>
        </is>
      </c>
      <c r="G1306" s="18" t="inlineStr">
        <is>
          <t>integer</t>
        </is>
      </c>
      <c r="H1306" s="18" t="inlineStr">
        <is>
          <t>Sí</t>
        </is>
      </c>
      <c r="I1306" s="18" t="inlineStr"/>
      <c r="J1306" s="18" t="inlineStr"/>
      <c r="K1306" s="18" t="inlineStr"/>
      <c r="L1306" s="18" t="inlineStr">
        <is>
          <t>No</t>
        </is>
      </c>
      <c r="M1306" s="18" t="inlineStr">
        <is>
          <t>No</t>
        </is>
      </c>
      <c r="N1306" s="18" t="inlineStr"/>
      <c r="O1306" s="18" t="inlineStr"/>
      <c r="P1306" s="18" t="inlineStr">
        <is>
          <t>internal-institutional-control-service/src/esap/planes-mejoramiento/entities/accion-correctiva.entity.ts:141: Cumplimiento calculado: 2=Cumple, 1=Parcial, 0=No cumple. EM-FO-002</t>
        </is>
      </c>
      <c r="Q1306" s="18" t="inlineStr">
        <is>
          <t>Código fuente</t>
        </is>
      </c>
      <c r="R1306" s="18" t="inlineStr">
        <is>
          <t>Cumplimiento calculado de la acción. Valores: 2 = Cumple, 1 = Parcial, 0 = No cumple (EM-FO-002).</t>
        </is>
      </c>
      <c r="S1306" s="18" t="inlineStr">
        <is>
          <t>Alta</t>
        </is>
      </c>
      <c r="T1306" s="18" t="inlineStr">
        <is>
          <t>código: internal-institutional-control-service/src/esap/planes-mejoramiento/entities/accion-correctiva.entity.ts:141</t>
        </is>
      </c>
      <c r="U1306" s="18" t="inlineStr"/>
      <c r="V1306" s="19" t="inlineStr">
        <is>
          <t>Pendiente</t>
        </is>
      </c>
      <c r="W1306" s="19" t="inlineStr"/>
      <c r="X1306" s="19" t="inlineStr"/>
      <c r="Y1306" s="20" t="n"/>
      <c r="Z1306" s="19" t="inlineStr"/>
      <c r="AA1306" s="18">
        <f>IF(OR(V1306="Aprobada"),R1306,IF(AND(OR(V1306="Aprobada con ajuste",V1306="Rechazada"),W1306&lt;&gt;""),W1306,""))</f>
        <v/>
      </c>
    </row>
    <row r="1307">
      <c r="A1307" s="18" t="inlineStr">
        <is>
          <t>C1306</t>
        </is>
      </c>
      <c r="B1307" s="18" t="inlineStr">
        <is>
          <t>Control interno</t>
        </is>
      </c>
      <c r="C1307" s="18" t="inlineStr">
        <is>
          <t>control_interno</t>
        </is>
      </c>
      <c r="D1307" s="18" t="inlineStr">
        <is>
          <t>accion_correctiva</t>
        </is>
      </c>
      <c r="E1307" s="18" t="n">
        <v>29</v>
      </c>
      <c r="F1307" s="18" t="inlineStr">
        <is>
          <t>estado_accion_seguimiento</t>
        </is>
      </c>
      <c r="G1307" s="18" t="inlineStr">
        <is>
          <t>character varying(20)</t>
        </is>
      </c>
      <c r="H1307" s="18" t="inlineStr">
        <is>
          <t>Sí</t>
        </is>
      </c>
      <c r="I1307" s="18" t="inlineStr"/>
      <c r="J1307" s="18" t="inlineStr"/>
      <c r="K1307" s="18" t="inlineStr"/>
      <c r="L1307" s="18" t="inlineStr">
        <is>
          <t>No</t>
        </is>
      </c>
      <c r="M1307" s="18" t="inlineStr">
        <is>
          <t>No</t>
        </is>
      </c>
      <c r="N1307" s="18" t="inlineStr"/>
      <c r="O1307" s="18" t="inlineStr"/>
      <c r="P1307" s="18" t="inlineStr">
        <is>
          <t>internal-institutional-control-service/src/esap/planes-mejoramiento/entities/accion-correctiva.entity.ts:145: Estado de la acción: Abierta / Cerrada. EM-FO-002</t>
        </is>
      </c>
      <c r="Q1307" s="18" t="inlineStr">
        <is>
          <t>Código fuente</t>
        </is>
      </c>
      <c r="R1307" s="18" t="inlineStr">
        <is>
          <t>Estado de la acción en el seguimiento: abierta o cerrada; por defecto abierta (EM-FO-002).</t>
        </is>
      </c>
      <c r="S1307" s="18" t="inlineStr">
        <is>
          <t>Alta</t>
        </is>
      </c>
      <c r="T1307" s="18" t="inlineStr">
        <is>
          <t>código: internal-institutional-control-service/src/esap/planes-mejoramiento/entities/accion-correctiva.entity.ts:145</t>
        </is>
      </c>
      <c r="U1307" s="18" t="inlineStr"/>
      <c r="V1307" s="19" t="inlineStr">
        <is>
          <t>Pendiente</t>
        </is>
      </c>
      <c r="W1307" s="19" t="inlineStr"/>
      <c r="X1307" s="19" t="inlineStr"/>
      <c r="Y1307" s="20" t="n"/>
      <c r="Z1307" s="19" t="inlineStr"/>
      <c r="AA1307" s="18">
        <f>IF(OR(V1307="Aprobada"),R1307,IF(AND(OR(V1307="Aprobada con ajuste",V1307="Rechazada"),W1307&lt;&gt;""),W1307,""))</f>
        <v/>
      </c>
    </row>
    <row r="1308">
      <c r="A1308" s="18" t="inlineStr">
        <is>
          <t>C1307</t>
        </is>
      </c>
      <c r="B1308" s="18" t="inlineStr">
        <is>
          <t>Control interno</t>
        </is>
      </c>
      <c r="C1308" s="18" t="inlineStr">
        <is>
          <t>control_interno</t>
        </is>
      </c>
      <c r="D1308" s="18" t="inlineStr">
        <is>
          <t>accion_correctiva</t>
        </is>
      </c>
      <c r="E1308" s="18" t="n">
        <v>29</v>
      </c>
      <c r="F1308" s="18" t="inlineStr">
        <is>
          <t>responsable_seguimiento</t>
        </is>
      </c>
      <c r="G1308" s="18" t="inlineStr">
        <is>
          <t>character varying(500)</t>
        </is>
      </c>
      <c r="H1308" s="18" t="inlineStr">
        <is>
          <t>Sí</t>
        </is>
      </c>
      <c r="I1308" s="18" t="inlineStr"/>
      <c r="J1308" s="18" t="inlineStr"/>
      <c r="K1308" s="18" t="inlineStr"/>
      <c r="L1308" s="18" t="inlineStr">
        <is>
          <t>No</t>
        </is>
      </c>
      <c r="M1308" s="18" t="inlineStr">
        <is>
          <t>No</t>
        </is>
      </c>
      <c r="N1308" s="18" t="inlineStr"/>
      <c r="O1308" s="18" t="inlineStr"/>
      <c r="P1308" s="18" t="inlineStr">
        <is>
          <t>internal-institutional-control-service/src/esap/planes-mejoramiento/entities/accion-correctiva.entity.ts:154: Responsable del seguimiento (Jefe OCI o quien tenga las funciones)</t>
        </is>
      </c>
      <c r="Q1308" s="18" t="inlineStr">
        <is>
          <t>Código fuente</t>
        </is>
      </c>
      <c r="R1308" s="18" t="inlineStr">
        <is>
          <t>Responsable del seguimiento de la acción (jefe de la Oficina de Control Interno o quien tenga sus funciones).</t>
        </is>
      </c>
      <c r="S1308" s="18" t="inlineStr">
        <is>
          <t>Alta</t>
        </is>
      </c>
      <c r="T1308" s="18" t="inlineStr">
        <is>
          <t>código: internal-institutional-control-service/src/esap/planes-mejoramiento/entities/accion-correctiva.entity.ts:154</t>
        </is>
      </c>
      <c r="U1308" s="18" t="inlineStr"/>
      <c r="V1308" s="19" t="inlineStr">
        <is>
          <t>Pendiente</t>
        </is>
      </c>
      <c r="W1308" s="19" t="inlineStr"/>
      <c r="X1308" s="19" t="inlineStr"/>
      <c r="Y1308" s="20" t="n"/>
      <c r="Z1308" s="19" t="inlineStr"/>
      <c r="AA1308" s="18">
        <f>IF(OR(V1308="Aprobada"),R1308,IF(AND(OR(V1308="Aprobada con ajuste",V1308="Rechazada"),W1308&lt;&gt;""),W1308,""))</f>
        <v/>
      </c>
    </row>
    <row r="1309">
      <c r="A1309" s="18" t="inlineStr">
        <is>
          <t>C1308</t>
        </is>
      </c>
      <c r="B1309" s="18" t="inlineStr">
        <is>
          <t>Control interno</t>
        </is>
      </c>
      <c r="C1309" s="18" t="inlineStr">
        <is>
          <t>control_interno</t>
        </is>
      </c>
      <c r="D1309" s="18" t="inlineStr">
        <is>
          <t>accion_correctiva</t>
        </is>
      </c>
      <c r="E1309" s="18" t="n">
        <v>29</v>
      </c>
      <c r="F1309" s="18" t="inlineStr">
        <is>
          <t>observacion_cumplimiento</t>
        </is>
      </c>
      <c r="G1309" s="18" t="inlineStr">
        <is>
          <t>text</t>
        </is>
      </c>
      <c r="H1309" s="18" t="inlineStr">
        <is>
          <t>Sí</t>
        </is>
      </c>
      <c r="I1309" s="18" t="inlineStr"/>
      <c r="J1309" s="18" t="inlineStr"/>
      <c r="K1309" s="18" t="inlineStr"/>
      <c r="L1309" s="18" t="inlineStr">
        <is>
          <t>No</t>
        </is>
      </c>
      <c r="M1309" s="18" t="inlineStr">
        <is>
          <t>No</t>
        </is>
      </c>
      <c r="N1309" s="18" t="inlineStr"/>
      <c r="O1309" s="18" t="inlineStr"/>
      <c r="P1309" s="18" t="inlineStr">
        <is>
          <t>internal-institutional-control-service/src/esap/planes-mejoramiento/entities/accion-correctiva.entity.ts:158: Observaciones de cumplimiento</t>
        </is>
      </c>
      <c r="Q1309" s="18" t="inlineStr">
        <is>
          <t>Código fuente</t>
        </is>
      </c>
      <c r="R1309" s="18" t="inlineStr">
        <is>
          <t>Observaciones sobre el cumplimiento de la acción.</t>
        </is>
      </c>
      <c r="S1309" s="18" t="inlineStr">
        <is>
          <t>Alta</t>
        </is>
      </c>
      <c r="T1309" s="18" t="inlineStr">
        <is>
          <t>código: internal-institutional-control-service/src/esap/planes-mejoramiento/entities/accion-correctiva.entity.ts:158</t>
        </is>
      </c>
      <c r="U1309" s="18" t="inlineStr"/>
      <c r="V1309" s="19" t="inlineStr">
        <is>
          <t>Pendiente</t>
        </is>
      </c>
      <c r="W1309" s="19" t="inlineStr"/>
      <c r="X1309" s="19" t="inlineStr"/>
      <c r="Y1309" s="20" t="n"/>
      <c r="Z1309" s="19" t="inlineStr"/>
      <c r="AA1309" s="18">
        <f>IF(OR(V1309="Aprobada"),R1309,IF(AND(OR(V1309="Aprobada con ajuste",V1309="Rechazada"),W1309&lt;&gt;""),W1309,""))</f>
        <v/>
      </c>
    </row>
    <row r="1310">
      <c r="A1310" s="18" t="inlineStr">
        <is>
          <t>C1309</t>
        </is>
      </c>
      <c r="B1310" s="18" t="inlineStr">
        <is>
          <t>Control interno</t>
        </is>
      </c>
      <c r="C1310" s="18" t="inlineStr">
        <is>
          <t>control_interno</t>
        </is>
      </c>
      <c r="D1310" s="18" t="inlineStr">
        <is>
          <t>accion_correctiva</t>
        </is>
      </c>
      <c r="E1310" s="18" t="n">
        <v>29</v>
      </c>
      <c r="F1310" s="18" t="inlineStr">
        <is>
          <t>evaluar_aplicacion_controles</t>
        </is>
      </c>
      <c r="G1310" s="18" t="inlineStr">
        <is>
          <t>boolean</t>
        </is>
      </c>
      <c r="H1310" s="18" t="inlineStr">
        <is>
          <t>Sí</t>
        </is>
      </c>
      <c r="I1310" s="18" t="inlineStr"/>
      <c r="J1310" s="18" t="inlineStr"/>
      <c r="K1310" s="18" t="inlineStr"/>
      <c r="L1310" s="18" t="inlineStr">
        <is>
          <t>No</t>
        </is>
      </c>
      <c r="M1310" s="18" t="inlineStr">
        <is>
          <t>No</t>
        </is>
      </c>
      <c r="N1310" s="18" t="inlineStr"/>
      <c r="O1310" s="18" t="inlineStr"/>
      <c r="P1310" s="18" t="inlineStr">
        <is>
          <t>internal-institutional-control-service/src/esap/planes-mejoramiento/entities/accion-correctiva.entity.ts:166: Criterio 1: "Evaluar la aplicación de controles…" (SI/NO)</t>
        </is>
      </c>
      <c r="Q1310" s="18" t="inlineStr">
        <is>
          <t>Código fuente</t>
        </is>
      </c>
      <c r="R1310" s="18" t="inlineStr">
        <is>
          <t>Criterio 1 de efectividad: indica si se evaluó la aplicación de los controles (sí/no).</t>
        </is>
      </c>
      <c r="S1310" s="18" t="inlineStr">
        <is>
          <t>Alta</t>
        </is>
      </c>
      <c r="T1310" s="18" t="inlineStr">
        <is>
          <t>código: internal-institutional-control-service/src/esap/planes-mejoramiento/entities/accion-correctiva.entity.ts:166</t>
        </is>
      </c>
      <c r="U1310" s="18" t="inlineStr"/>
      <c r="V1310" s="19" t="inlineStr">
        <is>
          <t>Pendiente</t>
        </is>
      </c>
      <c r="W1310" s="19" t="inlineStr"/>
      <c r="X1310" s="19" t="inlineStr"/>
      <c r="Y1310" s="20" t="n"/>
      <c r="Z1310" s="19" t="inlineStr"/>
      <c r="AA1310" s="18">
        <f>IF(OR(V1310="Aprobada"),R1310,IF(AND(OR(V1310="Aprobada con ajuste",V1310="Rechazada"),W1310&lt;&gt;""),W1310,""))</f>
        <v/>
      </c>
    </row>
    <row r="1311">
      <c r="A1311" s="18" t="inlineStr">
        <is>
          <t>C1310</t>
        </is>
      </c>
      <c r="B1311" s="18" t="inlineStr">
        <is>
          <t>Control interno</t>
        </is>
      </c>
      <c r="C1311" s="18" t="inlineStr">
        <is>
          <t>control_interno</t>
        </is>
      </c>
      <c r="D1311" s="18" t="inlineStr">
        <is>
          <t>accion_correctiva</t>
        </is>
      </c>
      <c r="E1311" s="18" t="n">
        <v>29</v>
      </c>
      <c r="F1311" s="18" t="inlineStr">
        <is>
          <t>validar_situacion_no_repitio</t>
        </is>
      </c>
      <c r="G1311" s="18" t="inlineStr">
        <is>
          <t>boolean</t>
        </is>
      </c>
      <c r="H1311" s="18" t="inlineStr">
        <is>
          <t>Sí</t>
        </is>
      </c>
      <c r="I1311" s="18" t="inlineStr"/>
      <c r="J1311" s="18" t="inlineStr"/>
      <c r="K1311" s="18" t="inlineStr"/>
      <c r="L1311" s="18" t="inlineStr">
        <is>
          <t>No</t>
        </is>
      </c>
      <c r="M1311" s="18" t="inlineStr">
        <is>
          <t>No</t>
        </is>
      </c>
      <c r="N1311" s="18" t="inlineStr"/>
      <c r="O1311" s="18" t="inlineStr"/>
      <c r="P1311" s="18" t="inlineStr">
        <is>
          <t>internal-institutional-control-service/src/esap/planes-mejoramiento/entities/accion-correctiva.entity.ts:170: Criterio 2: "Validar que la situación no se volvió a presentar" (SI/NO)</t>
        </is>
      </c>
      <c r="Q1311" s="18" t="inlineStr">
        <is>
          <t>Código fuente</t>
        </is>
      </c>
      <c r="R1311" s="18" t="inlineStr">
        <is>
          <t>Criterio 2 de efectividad: indica si se validó que la situación no se volvió a presentar (sí/no).</t>
        </is>
      </c>
      <c r="S1311" s="18" t="inlineStr">
        <is>
          <t>Alta</t>
        </is>
      </c>
      <c r="T1311" s="18" t="inlineStr">
        <is>
          <t>código: internal-institutional-control-service/src/esap/planes-mejoramiento/entities/accion-correctiva.entity.ts:170</t>
        </is>
      </c>
      <c r="U1311" s="18" t="inlineStr"/>
      <c r="V1311" s="19" t="inlineStr">
        <is>
          <t>Pendiente</t>
        </is>
      </c>
      <c r="W1311" s="19" t="inlineStr"/>
      <c r="X1311" s="19" t="inlineStr"/>
      <c r="Y1311" s="20" t="n"/>
      <c r="Z1311" s="19" t="inlineStr"/>
      <c r="AA1311" s="18">
        <f>IF(OR(V1311="Aprobada"),R1311,IF(AND(OR(V1311="Aprobada con ajuste",V1311="Rechazada"),W1311&lt;&gt;""),W1311,""))</f>
        <v/>
      </c>
    </row>
    <row r="1312">
      <c r="A1312" s="18" t="inlineStr">
        <is>
          <t>C1311</t>
        </is>
      </c>
      <c r="B1312" s="18" t="inlineStr">
        <is>
          <t>Control interno</t>
        </is>
      </c>
      <c r="C1312" s="18" t="inlineStr">
        <is>
          <t>control_interno</t>
        </is>
      </c>
      <c r="D1312" s="18" t="inlineStr">
        <is>
          <t>accion_correctiva</t>
        </is>
      </c>
      <c r="E1312" s="18" t="n">
        <v>29</v>
      </c>
      <c r="F1312" s="18" t="inlineStr">
        <is>
          <t>efectividad_emfo</t>
        </is>
      </c>
      <c r="G1312" s="18" t="inlineStr">
        <is>
          <t>integer</t>
        </is>
      </c>
      <c r="H1312" s="18" t="inlineStr">
        <is>
          <t>Sí</t>
        </is>
      </c>
      <c r="I1312" s="18" t="inlineStr"/>
      <c r="J1312" s="18" t="inlineStr"/>
      <c r="K1312" s="18" t="inlineStr"/>
      <c r="L1312" s="18" t="inlineStr">
        <is>
          <t>No</t>
        </is>
      </c>
      <c r="M1312" s="18" t="inlineStr">
        <is>
          <t>No</t>
        </is>
      </c>
      <c r="N1312" s="18" t="inlineStr"/>
      <c r="O1312" s="18" t="inlineStr"/>
      <c r="P1312" s="18" t="inlineStr">
        <is>
          <t>internal-institutional-control-service/src/esap/planes-mejoramiento/entities/accion-correctiva.entity.ts:174: Efectividad calculada: 2=Efectiva, 1=Parcial, 0=Inefectiva. EM-FO-002</t>
        </is>
      </c>
      <c r="Q1312" s="18" t="inlineStr">
        <is>
          <t>Código fuente</t>
        </is>
      </c>
      <c r="R1312" s="18" t="inlineStr">
        <is>
          <t>Efectividad calculada de la acción. Valores: 2 = Efectiva, 1 = Parcial, 0 = Inefectiva (EM-FO-002).</t>
        </is>
      </c>
      <c r="S1312" s="18" t="inlineStr">
        <is>
          <t>Alta</t>
        </is>
      </c>
      <c r="T1312" s="18" t="inlineStr">
        <is>
          <t>código: internal-institutional-control-service/src/esap/planes-mejoramiento/entities/accion-correctiva.entity.ts:174</t>
        </is>
      </c>
      <c r="U1312" s="18" t="inlineStr"/>
      <c r="V1312" s="19" t="inlineStr">
        <is>
          <t>Pendiente</t>
        </is>
      </c>
      <c r="W1312" s="19" t="inlineStr"/>
      <c r="X1312" s="19" t="inlineStr"/>
      <c r="Y1312" s="20" t="n"/>
      <c r="Z1312" s="19" t="inlineStr"/>
      <c r="AA1312" s="18">
        <f>IF(OR(V1312="Aprobada"),R1312,IF(AND(OR(V1312="Aprobada con ajuste",V1312="Rechazada"),W1312&lt;&gt;""),W1312,""))</f>
        <v/>
      </c>
    </row>
    <row r="1313">
      <c r="A1313" s="18" t="inlineStr">
        <is>
          <t>C1312</t>
        </is>
      </c>
      <c r="B1313" s="18" t="inlineStr">
        <is>
          <t>Control interno</t>
        </is>
      </c>
      <c r="C1313" s="18" t="inlineStr">
        <is>
          <t>control_interno</t>
        </is>
      </c>
      <c r="D1313" s="18" t="inlineStr">
        <is>
          <t>accion_correctiva</t>
        </is>
      </c>
      <c r="E1313" s="18" t="n">
        <v>29</v>
      </c>
      <c r="F1313" s="18" t="inlineStr">
        <is>
          <t>efectividad_verificada</t>
        </is>
      </c>
      <c r="G1313" s="18" t="inlineStr">
        <is>
          <t>boolean</t>
        </is>
      </c>
      <c r="H1313" s="18" t="inlineStr">
        <is>
          <t>Sí</t>
        </is>
      </c>
      <c r="I1313" s="18" t="inlineStr"/>
      <c r="J1313" s="18" t="inlineStr"/>
      <c r="K1313" s="18" t="inlineStr"/>
      <c r="L1313" s="18" t="inlineStr">
        <is>
          <t>No</t>
        </is>
      </c>
      <c r="M1313" s="18" t="inlineStr">
        <is>
          <t>No</t>
        </is>
      </c>
      <c r="N1313" s="18" t="inlineStr"/>
      <c r="O1313" s="18" t="inlineStr"/>
      <c r="P1313" s="18" t="inlineStr">
        <is>
          <t>internal-institutional-control-service/src/esap/planes-mejoramiento/entities/accion-correctiva.entity.ts:178: ¿La efectividad ha sido verificada en la siguiente auditoría? EM-PT-002 act. 9</t>
        </is>
      </c>
      <c r="Q1313" s="18" t="inlineStr">
        <is>
          <t>Código fuente</t>
        </is>
      </c>
      <c r="R1313" s="18" t="inlineStr">
        <is>
          <t>Indica si la efectividad de la acción se verificó en la siguiente auditoría; por defecto falso (EM-PT-002, actividad 9).</t>
        </is>
      </c>
      <c r="S1313" s="18" t="inlineStr">
        <is>
          <t>Alta</t>
        </is>
      </c>
      <c r="T1313" s="18" t="inlineStr">
        <is>
          <t>código: internal-institutional-control-service/src/esap/planes-mejoramiento/entities/accion-correctiva.entity.ts:178</t>
        </is>
      </c>
      <c r="U1313" s="18" t="inlineStr"/>
      <c r="V1313" s="19" t="inlineStr">
        <is>
          <t>Pendiente</t>
        </is>
      </c>
      <c r="W1313" s="19" t="inlineStr"/>
      <c r="X1313" s="19" t="inlineStr"/>
      <c r="Y1313" s="20" t="n"/>
      <c r="Z1313" s="19" t="inlineStr"/>
      <c r="AA1313" s="18">
        <f>IF(OR(V1313="Aprobada"),R1313,IF(AND(OR(V1313="Aprobada con ajuste",V1313="Rechazada"),W1313&lt;&gt;""),W1313,""))</f>
        <v/>
      </c>
    </row>
    <row r="1314">
      <c r="A1314" s="18" t="inlineStr">
        <is>
          <t>C1313</t>
        </is>
      </c>
      <c r="B1314" s="18" t="inlineStr">
        <is>
          <t>Control interno</t>
        </is>
      </c>
      <c r="C1314" s="18" t="inlineStr">
        <is>
          <t>control_interno</t>
        </is>
      </c>
      <c r="D1314" s="18" t="inlineStr">
        <is>
          <t>accion_correctiva</t>
        </is>
      </c>
      <c r="E1314" s="18" t="n">
        <v>29</v>
      </c>
      <c r="F1314" s="18" t="inlineStr">
        <is>
          <t>observacion_efectividad</t>
        </is>
      </c>
      <c r="G1314" s="18" t="inlineStr">
        <is>
          <t>text</t>
        </is>
      </c>
      <c r="H1314" s="18" t="inlineStr">
        <is>
          <t>Sí</t>
        </is>
      </c>
      <c r="I1314" s="18" t="inlineStr"/>
      <c r="J1314" s="18" t="inlineStr"/>
      <c r="K1314" s="18" t="inlineStr"/>
      <c r="L1314" s="18" t="inlineStr">
        <is>
          <t>No</t>
        </is>
      </c>
      <c r="M1314" s="18" t="inlineStr">
        <is>
          <t>No</t>
        </is>
      </c>
      <c r="N1314" s="18" t="inlineStr"/>
      <c r="O1314" s="18" t="inlineStr"/>
      <c r="P1314" s="18" t="inlineStr">
        <is>
          <t>internal-institutional-control-service/src/esap/planes-mejoramiento/entities/accion-correctiva.entity.ts:182: Observaciones de efectividad</t>
        </is>
      </c>
      <c r="Q1314" s="18" t="inlineStr">
        <is>
          <t>Código fuente</t>
        </is>
      </c>
      <c r="R1314" s="18" t="inlineStr">
        <is>
          <t>Observaciones sobre la efectividad de la acción.</t>
        </is>
      </c>
      <c r="S1314" s="18" t="inlineStr">
        <is>
          <t>Alta</t>
        </is>
      </c>
      <c r="T1314" s="18" t="inlineStr">
        <is>
          <t>código: internal-institutional-control-service/src/esap/planes-mejoramiento/entities/accion-correctiva.entity.ts:182</t>
        </is>
      </c>
      <c r="U1314" s="18" t="inlineStr"/>
      <c r="V1314" s="19" t="inlineStr">
        <is>
          <t>Pendiente</t>
        </is>
      </c>
      <c r="W1314" s="19" t="inlineStr"/>
      <c r="X1314" s="19" t="inlineStr"/>
      <c r="Y1314" s="20" t="n"/>
      <c r="Z1314" s="19" t="inlineStr"/>
      <c r="AA1314" s="18">
        <f>IF(OR(V1314="Aprobada"),R1314,IF(AND(OR(V1314="Aprobada con ajuste",V1314="Rechazada"),W1314&lt;&gt;""),W1314,""))</f>
        <v/>
      </c>
    </row>
    <row r="1315">
      <c r="A1315" s="18" t="inlineStr">
        <is>
          <t>C1314</t>
        </is>
      </c>
      <c r="B1315" s="18" t="inlineStr">
        <is>
          <t>Control interno</t>
        </is>
      </c>
      <c r="C1315" s="18" t="inlineStr">
        <is>
          <t>control_interno</t>
        </is>
      </c>
      <c r="D1315" s="18" t="inlineStr">
        <is>
          <t>accion_mejora</t>
        </is>
      </c>
      <c r="E1315" s="18" t="n">
        <v>0</v>
      </c>
      <c r="F1315" s="18" t="inlineStr">
        <is>
          <t>numero</t>
        </is>
      </c>
      <c r="G1315" s="18" t="inlineStr">
        <is>
          <t>integer</t>
        </is>
      </c>
      <c r="H1315" s="18" t="inlineStr">
        <is>
          <t>No</t>
        </is>
      </c>
      <c r="I1315" s="18" t="inlineStr"/>
      <c r="J1315" s="18" t="inlineStr"/>
      <c r="K1315" s="18" t="inlineStr"/>
      <c r="L1315" s="18" t="inlineStr">
        <is>
          <t>No</t>
        </is>
      </c>
      <c r="M1315" s="18" t="inlineStr">
        <is>
          <t>No</t>
        </is>
      </c>
      <c r="N1315" s="18" t="inlineStr"/>
      <c r="O1315" s="18" t="inlineStr"/>
      <c r="P1315" s="18" t="inlineStr"/>
      <c r="Q1315" s="18" t="inlineStr">
        <is>
          <t>Regla estructural</t>
        </is>
      </c>
      <c r="R1315" s="18" t="inlineStr">
        <is>
          <t>Número asignado al registro.</t>
        </is>
      </c>
      <c r="S1315" s="18" t="inlineStr">
        <is>
          <t>Media</t>
        </is>
      </c>
      <c r="T1315" s="18" t="inlineStr">
        <is>
          <t>Convención de nombre de la columna.</t>
        </is>
      </c>
      <c r="U1315" s="18" t="inlineStr"/>
      <c r="V1315" s="19" t="inlineStr">
        <is>
          <t>Pendiente</t>
        </is>
      </c>
      <c r="W1315" s="19" t="inlineStr"/>
      <c r="X1315" s="19" t="inlineStr"/>
      <c r="Y1315" s="20" t="n"/>
      <c r="Z1315" s="19" t="inlineStr"/>
      <c r="AA1315" s="18">
        <f>IF(OR(V1315="Aprobada"),R1315,IF(AND(OR(V1315="Aprobada con ajuste",V1315="Rechazada"),W1315&lt;&gt;""),W1315,""))</f>
        <v/>
      </c>
    </row>
    <row r="1316">
      <c r="A1316" s="18" t="inlineStr">
        <is>
          <t>C1315</t>
        </is>
      </c>
      <c r="B1316" s="18" t="inlineStr">
        <is>
          <t>Control interno</t>
        </is>
      </c>
      <c r="C1316" s="18" t="inlineStr">
        <is>
          <t>control_interno</t>
        </is>
      </c>
      <c r="D1316" s="18" t="inlineStr">
        <is>
          <t>accion_mejora</t>
        </is>
      </c>
      <c r="E1316" s="18" t="n">
        <v>0</v>
      </c>
      <c r="F1316" s="18" t="inlineStr">
        <is>
          <t>descripcion</t>
        </is>
      </c>
      <c r="G1316" s="18" t="inlineStr">
        <is>
          <t>text</t>
        </is>
      </c>
      <c r="H1316" s="18" t="inlineStr">
        <is>
          <t>No</t>
        </is>
      </c>
      <c r="I1316" s="18" t="inlineStr"/>
      <c r="J1316" s="18" t="inlineStr"/>
      <c r="K1316" s="18" t="inlineStr"/>
      <c r="L1316" s="18" t="inlineStr">
        <is>
          <t>No</t>
        </is>
      </c>
      <c r="M1316" s="18" t="inlineStr">
        <is>
          <t>No</t>
        </is>
      </c>
      <c r="N1316" s="18" t="inlineStr"/>
      <c r="O1316" s="18" t="inlineStr"/>
      <c r="P1316" s="18" t="inlineStr"/>
      <c r="Q1316" s="18" t="inlineStr">
        <is>
          <t>Regla estructural</t>
        </is>
      </c>
      <c r="R1316" s="18" t="inlineStr">
        <is>
          <t>Descripción del registro de accion_mejora.</t>
        </is>
      </c>
      <c r="S1316" s="18" t="inlineStr">
        <is>
          <t>Media</t>
        </is>
      </c>
      <c r="T1316" s="18" t="inlineStr">
        <is>
          <t>Convención de nombre de la columna.</t>
        </is>
      </c>
      <c r="U1316" s="18" t="inlineStr"/>
      <c r="V1316" s="19" t="inlineStr">
        <is>
          <t>Pendiente</t>
        </is>
      </c>
      <c r="W1316" s="19" t="inlineStr"/>
      <c r="X1316" s="19" t="inlineStr"/>
      <c r="Y1316" s="20" t="n"/>
      <c r="Z1316" s="19" t="inlineStr"/>
      <c r="AA1316" s="18">
        <f>IF(OR(V1316="Aprobada"),R1316,IF(AND(OR(V1316="Aprobada con ajuste",V1316="Rechazada"),W1316&lt;&gt;""),W1316,""))</f>
        <v/>
      </c>
    </row>
    <row r="1317">
      <c r="A1317" s="18" t="inlineStr">
        <is>
          <t>C1316</t>
        </is>
      </c>
      <c r="B1317" s="18" t="inlineStr">
        <is>
          <t>Control interno</t>
        </is>
      </c>
      <c r="C1317" s="18" t="inlineStr">
        <is>
          <t>control_interno</t>
        </is>
      </c>
      <c r="D1317" s="18" t="inlineStr">
        <is>
          <t>accion_mejora</t>
        </is>
      </c>
      <c r="E1317" s="18" t="n">
        <v>0</v>
      </c>
      <c r="F1317" s="18" t="inlineStr">
        <is>
          <t>tipo</t>
        </is>
      </c>
      <c r="G1317" s="18" t="inlineStr">
        <is>
          <t>character varying(50)</t>
        </is>
      </c>
      <c r="H1317" s="18" t="inlineStr">
        <is>
          <t>No</t>
        </is>
      </c>
      <c r="I1317" s="18" t="inlineStr">
        <is>
          <t>CHECK</t>
        </is>
      </c>
      <c r="J1317" s="18" t="inlineStr">
        <is>
          <t>correctiva, mejora, preventiva</t>
        </is>
      </c>
      <c r="K1317" s="18" t="inlineStr"/>
      <c r="L1317" s="18" t="inlineStr">
        <is>
          <t>Sí</t>
        </is>
      </c>
      <c r="M1317" s="18" t="inlineStr">
        <is>
          <t>No</t>
        </is>
      </c>
      <c r="N1317" s="18" t="inlineStr"/>
      <c r="O1317" s="18" t="inlineStr"/>
      <c r="P1317" s="18" t="inlineStr"/>
      <c r="Q1317" s="18" t="inlineStr">
        <is>
          <t>Regla estructural</t>
        </is>
      </c>
      <c r="R1317" s="18" t="inlineStr">
        <is>
          <t>Tipo del registro de accion_mejora.</t>
        </is>
      </c>
      <c r="S1317" s="18" t="inlineStr">
        <is>
          <t>Media</t>
        </is>
      </c>
      <c r="T1317" s="18" t="inlineStr">
        <is>
          <t>Convención de nombre de la columna.</t>
        </is>
      </c>
      <c r="U1317" s="18" t="inlineStr"/>
      <c r="V1317" s="19" t="inlineStr">
        <is>
          <t>Pendiente</t>
        </is>
      </c>
      <c r="W1317" s="19" t="inlineStr"/>
      <c r="X1317" s="19" t="inlineStr"/>
      <c r="Y1317" s="20" t="n"/>
      <c r="Z1317" s="19" t="inlineStr"/>
      <c r="AA1317" s="18">
        <f>IF(OR(V1317="Aprobada"),R1317,IF(AND(OR(V1317="Aprobada con ajuste",V1317="Rechazada"),W1317&lt;&gt;""),W1317,""))</f>
        <v/>
      </c>
    </row>
    <row r="1318">
      <c r="A1318" s="18" t="inlineStr">
        <is>
          <t>C1317</t>
        </is>
      </c>
      <c r="B1318" s="18" t="inlineStr">
        <is>
          <t>Control interno</t>
        </is>
      </c>
      <c r="C1318" s="18" t="inlineStr">
        <is>
          <t>control_interno</t>
        </is>
      </c>
      <c r="D1318" s="18" t="inlineStr">
        <is>
          <t>accion_mejora</t>
        </is>
      </c>
      <c r="E1318" s="18" t="n">
        <v>0</v>
      </c>
      <c r="F1318" s="18" t="inlineStr">
        <is>
          <t>responsable</t>
        </is>
      </c>
      <c r="G1318" s="18" t="inlineStr">
        <is>
          <t>character varying(255)</t>
        </is>
      </c>
      <c r="H1318" s="18" t="inlineStr">
        <is>
          <t>No</t>
        </is>
      </c>
      <c r="I1318" s="18" t="inlineStr"/>
      <c r="J1318" s="18" t="inlineStr"/>
      <c r="K1318" s="18" t="inlineStr"/>
      <c r="L1318" s="18" t="inlineStr">
        <is>
          <t>No</t>
        </is>
      </c>
      <c r="M1318" s="18" t="inlineStr">
        <is>
          <t>No</t>
        </is>
      </c>
      <c r="N1318" s="18" t="inlineStr"/>
      <c r="O1318" s="18" t="inlineStr"/>
      <c r="P1318" s="18" t="inlineStr"/>
      <c r="Q1318" s="18" t="inlineStr">
        <is>
          <t>Propuesta semántica</t>
        </is>
      </c>
      <c r="R1318" s="18" t="inlineStr">
        <is>
          <t>Nombre del responsable de ejecutar la acción de mejora.</t>
        </is>
      </c>
      <c r="S1318" s="18" t="inlineStr">
        <is>
          <t>Alta</t>
        </is>
      </c>
      <c r="T1318" s="18" t="inlineStr">
        <is>
          <t>nombre + tipo + descripción de la tabla ~</t>
        </is>
      </c>
      <c r="U1318" s="18" t="inlineStr"/>
      <c r="V1318" s="19" t="inlineStr">
        <is>
          <t>Pendiente</t>
        </is>
      </c>
      <c r="W1318" s="19" t="inlineStr"/>
      <c r="X1318" s="19" t="inlineStr"/>
      <c r="Y1318" s="20" t="n"/>
      <c r="Z1318" s="19" t="inlineStr"/>
      <c r="AA1318" s="18">
        <f>IF(OR(V1318="Aprobada"),R1318,IF(AND(OR(V1318="Aprobada con ajuste",V1318="Rechazada"),W1318&lt;&gt;""),W1318,""))</f>
        <v/>
      </c>
    </row>
    <row r="1319">
      <c r="A1319" s="18" t="inlineStr">
        <is>
          <t>C1318</t>
        </is>
      </c>
      <c r="B1319" s="18" t="inlineStr">
        <is>
          <t>Control interno</t>
        </is>
      </c>
      <c r="C1319" s="18" t="inlineStr">
        <is>
          <t>control_interno</t>
        </is>
      </c>
      <c r="D1319" s="18" t="inlineStr">
        <is>
          <t>accion_mejora</t>
        </is>
      </c>
      <c r="E1319" s="18" t="n">
        <v>0</v>
      </c>
      <c r="F1319" s="18" t="inlineStr">
        <is>
          <t>fecha_inicio</t>
        </is>
      </c>
      <c r="G1319" s="18" t="inlineStr">
        <is>
          <t>date</t>
        </is>
      </c>
      <c r="H1319" s="18" t="inlineStr">
        <is>
          <t>No</t>
        </is>
      </c>
      <c r="I1319" s="18" t="inlineStr"/>
      <c r="J1319" s="18" t="inlineStr"/>
      <c r="K1319" s="18" t="inlineStr"/>
      <c r="L1319" s="18" t="inlineStr">
        <is>
          <t>No</t>
        </is>
      </c>
      <c r="M1319" s="18" t="inlineStr">
        <is>
          <t>No</t>
        </is>
      </c>
      <c r="N1319" s="18" t="inlineStr"/>
      <c r="O1319" s="18" t="inlineStr"/>
      <c r="P1319" s="18" t="inlineStr"/>
      <c r="Q1319" s="18" t="inlineStr">
        <is>
          <t>Regla estructural</t>
        </is>
      </c>
      <c r="R1319" s="18" t="inlineStr">
        <is>
          <t>Fecha de inicio.</t>
        </is>
      </c>
      <c r="S1319" s="18" t="inlineStr">
        <is>
          <t>Media</t>
        </is>
      </c>
      <c r="T1319" s="18" t="inlineStr">
        <is>
          <t>Convención de nombre de la columna.</t>
        </is>
      </c>
      <c r="U1319" s="18" t="inlineStr"/>
      <c r="V1319" s="19" t="inlineStr">
        <is>
          <t>Pendiente</t>
        </is>
      </c>
      <c r="W1319" s="19" t="inlineStr"/>
      <c r="X1319" s="19" t="inlineStr"/>
      <c r="Y1319" s="20" t="n"/>
      <c r="Z1319" s="19" t="inlineStr"/>
      <c r="AA1319" s="18">
        <f>IF(OR(V1319="Aprobada"),R1319,IF(AND(OR(V1319="Aprobada con ajuste",V1319="Rechazada"),W1319&lt;&gt;""),W1319,""))</f>
        <v/>
      </c>
    </row>
    <row r="1320">
      <c r="A1320" s="18" t="inlineStr">
        <is>
          <t>C1319</t>
        </is>
      </c>
      <c r="B1320" s="18" t="inlineStr">
        <is>
          <t>Control interno</t>
        </is>
      </c>
      <c r="C1320" s="18" t="inlineStr">
        <is>
          <t>control_interno</t>
        </is>
      </c>
      <c r="D1320" s="18" t="inlineStr">
        <is>
          <t>accion_mejora</t>
        </is>
      </c>
      <c r="E1320" s="18" t="n">
        <v>0</v>
      </c>
      <c r="F1320" s="18" t="inlineStr">
        <is>
          <t>fecha_fin</t>
        </is>
      </c>
      <c r="G1320" s="18" t="inlineStr">
        <is>
          <t>date</t>
        </is>
      </c>
      <c r="H1320" s="18" t="inlineStr">
        <is>
          <t>No</t>
        </is>
      </c>
      <c r="I1320" s="18" t="inlineStr"/>
      <c r="J1320" s="18" t="inlineStr"/>
      <c r="K1320" s="18" t="inlineStr"/>
      <c r="L1320" s="18" t="inlineStr">
        <is>
          <t>No</t>
        </is>
      </c>
      <c r="M1320" s="18" t="inlineStr">
        <is>
          <t>No</t>
        </is>
      </c>
      <c r="N1320" s="18" t="inlineStr"/>
      <c r="O1320" s="18" t="inlineStr"/>
      <c r="P1320" s="18" t="inlineStr"/>
      <c r="Q1320" s="18" t="inlineStr">
        <is>
          <t>Regla estructural</t>
        </is>
      </c>
      <c r="R1320" s="18" t="inlineStr">
        <is>
          <t>Fecha de finalización.</t>
        </is>
      </c>
      <c r="S1320" s="18" t="inlineStr">
        <is>
          <t>Media</t>
        </is>
      </c>
      <c r="T1320" s="18" t="inlineStr">
        <is>
          <t>Convención de nombre de la columna.</t>
        </is>
      </c>
      <c r="U1320" s="18" t="inlineStr"/>
      <c r="V1320" s="19" t="inlineStr">
        <is>
          <t>Pendiente</t>
        </is>
      </c>
      <c r="W1320" s="19" t="inlineStr"/>
      <c r="X1320" s="19" t="inlineStr"/>
      <c r="Y1320" s="20" t="n"/>
      <c r="Z1320" s="19" t="inlineStr"/>
      <c r="AA1320" s="18">
        <f>IF(OR(V1320="Aprobada"),R1320,IF(AND(OR(V1320="Aprobada con ajuste",V1320="Rechazada"),W1320&lt;&gt;""),W1320,""))</f>
        <v/>
      </c>
    </row>
    <row r="1321">
      <c r="A1321" s="18" t="inlineStr">
        <is>
          <t>C1320</t>
        </is>
      </c>
      <c r="B1321" s="18" t="inlineStr">
        <is>
          <t>Control interno</t>
        </is>
      </c>
      <c r="C1321" s="18" t="inlineStr">
        <is>
          <t>control_interno</t>
        </is>
      </c>
      <c r="D1321" s="18" t="inlineStr">
        <is>
          <t>accion_mejora</t>
        </is>
      </c>
      <c r="E1321" s="18" t="n">
        <v>0</v>
      </c>
      <c r="F1321" s="18" t="inlineStr">
        <is>
          <t>estado</t>
        </is>
      </c>
      <c r="G1321" s="18" t="inlineStr">
        <is>
          <t>character varying(50)</t>
        </is>
      </c>
      <c r="H1321" s="18" t="inlineStr">
        <is>
          <t>No</t>
        </is>
      </c>
      <c r="I1321" s="18" t="inlineStr">
        <is>
          <t>CHECK</t>
        </is>
      </c>
      <c r="J1321" s="18" t="inlineStr">
        <is>
          <t>completada, en_progreso, pendiente, vencida</t>
        </is>
      </c>
      <c r="K1321" s="18" t="inlineStr"/>
      <c r="L1321" s="18" t="inlineStr">
        <is>
          <t>Sí</t>
        </is>
      </c>
      <c r="M1321" s="18" t="inlineStr">
        <is>
          <t>No</t>
        </is>
      </c>
      <c r="N1321" s="18" t="inlineStr"/>
      <c r="O1321" s="18" t="inlineStr">
        <is>
          <t>idx_accion_mejora_estado</t>
        </is>
      </c>
      <c r="P1321" s="18" t="inlineStr"/>
      <c r="Q1321" s="18" t="inlineStr">
        <is>
          <t>Regla estructural</t>
        </is>
      </c>
      <c r="R1321" s="18" t="inlineStr">
        <is>
          <t>Estado del registro de accion_mejora.</t>
        </is>
      </c>
      <c r="S1321" s="18" t="inlineStr">
        <is>
          <t>Media</t>
        </is>
      </c>
      <c r="T1321" s="18" t="inlineStr">
        <is>
          <t>Convención de nombre de la columna.</t>
        </is>
      </c>
      <c r="U1321" s="18" t="inlineStr"/>
      <c r="V1321" s="19" t="inlineStr">
        <is>
          <t>Pendiente</t>
        </is>
      </c>
      <c r="W1321" s="19" t="inlineStr"/>
      <c r="X1321" s="19" t="inlineStr"/>
      <c r="Y1321" s="20" t="n"/>
      <c r="Z1321" s="19" t="inlineStr"/>
      <c r="AA1321" s="18">
        <f>IF(OR(V1321="Aprobada"),R1321,IF(AND(OR(V1321="Aprobada con ajuste",V1321="Rechazada"),W1321&lt;&gt;""),W1321,""))</f>
        <v/>
      </c>
    </row>
    <row r="1322">
      <c r="A1322" s="18" t="inlineStr">
        <is>
          <t>C1321</t>
        </is>
      </c>
      <c r="B1322" s="18" t="inlineStr">
        <is>
          <t>Control interno</t>
        </is>
      </c>
      <c r="C1322" s="18" t="inlineStr">
        <is>
          <t>control_interno</t>
        </is>
      </c>
      <c r="D1322" s="18" t="inlineStr">
        <is>
          <t>accion_mejora</t>
        </is>
      </c>
      <c r="E1322" s="18" t="n">
        <v>0</v>
      </c>
      <c r="F1322" s="18" t="inlineStr">
        <is>
          <t>avance</t>
        </is>
      </c>
      <c r="G1322" s="18" t="inlineStr">
        <is>
          <t>integer</t>
        </is>
      </c>
      <c r="H1322" s="18" t="inlineStr">
        <is>
          <t>No</t>
        </is>
      </c>
      <c r="I1322" s="18" t="inlineStr"/>
      <c r="J1322" s="18" t="inlineStr"/>
      <c r="K1322" s="18" t="inlineStr"/>
      <c r="L1322" s="18" t="inlineStr">
        <is>
          <t>No</t>
        </is>
      </c>
      <c r="M1322" s="18" t="inlineStr">
        <is>
          <t>No</t>
        </is>
      </c>
      <c r="N1322" s="18" t="inlineStr"/>
      <c r="O1322" s="18" t="inlineStr"/>
      <c r="P1322" s="18" t="inlineStr"/>
      <c r="Q1322" s="18" t="inlineStr">
        <is>
          <t>Propuesta semántica</t>
        </is>
      </c>
      <c r="R1322" s="18" t="inlineStr">
        <is>
          <t>Porcentaje de avance de la acción de mejora.</t>
        </is>
      </c>
      <c r="S1322" s="18" t="inlineStr">
        <is>
          <t>Media</t>
        </is>
      </c>
      <c r="T1322" s="18" t="inlineStr">
        <is>
          <t>nombre + tipo</t>
        </is>
      </c>
      <c r="U1322" s="18" t="inlineStr">
        <is>
          <t>¿avance se expresa en porcentaje de 0 a 100?</t>
        </is>
      </c>
      <c r="V1322" s="19" t="inlineStr">
        <is>
          <t>Pendiente</t>
        </is>
      </c>
      <c r="W1322" s="19" t="inlineStr"/>
      <c r="X1322" s="19" t="inlineStr"/>
      <c r="Y1322" s="20" t="n"/>
      <c r="Z1322" s="19" t="inlineStr"/>
      <c r="AA1322" s="18">
        <f>IF(OR(V1322="Aprobada"),R1322,IF(AND(OR(V1322="Aprobada con ajuste",V1322="Rechazada"),W1322&lt;&gt;""),W1322,""))</f>
        <v/>
      </c>
    </row>
    <row r="1323">
      <c r="A1323" s="18" t="inlineStr">
        <is>
          <t>C1322</t>
        </is>
      </c>
      <c r="B1323" s="18" t="inlineStr">
        <is>
          <t>Control interno</t>
        </is>
      </c>
      <c r="C1323" s="18" t="inlineStr">
        <is>
          <t>control_interno</t>
        </is>
      </c>
      <c r="D1323" s="18" t="inlineStr">
        <is>
          <t>accion_mejora</t>
        </is>
      </c>
      <c r="E1323" s="18" t="n">
        <v>0</v>
      </c>
      <c r="F1323" s="18" t="inlineStr">
        <is>
          <t>evidencias</t>
        </is>
      </c>
      <c r="G1323" s="18" t="inlineStr">
        <is>
          <t>jsonb</t>
        </is>
      </c>
      <c r="H1323" s="18" t="inlineStr">
        <is>
          <t>No</t>
        </is>
      </c>
      <c r="I1323" s="18" t="inlineStr"/>
      <c r="J1323" s="18" t="inlineStr"/>
      <c r="K1323" s="18" t="inlineStr"/>
      <c r="L1323" s="18" t="inlineStr">
        <is>
          <t>No</t>
        </is>
      </c>
      <c r="M1323" s="18" t="inlineStr">
        <is>
          <t>No</t>
        </is>
      </c>
      <c r="N1323" s="18" t="inlineStr"/>
      <c r="O1323" s="18" t="inlineStr"/>
      <c r="P1323" s="18" t="inlineStr"/>
      <c r="Q1323" s="18" t="inlineStr">
        <is>
          <t>Propuesta semántica</t>
        </is>
      </c>
      <c r="R1323" s="18" t="inlineStr">
        <is>
          <t>Evidencias de la acción de mejora, en formato JSON.</t>
        </is>
      </c>
      <c r="S1323" s="18" t="inlineStr">
        <is>
          <t>Media</t>
        </is>
      </c>
      <c r="T1323" s="18" t="inlineStr">
        <is>
          <t>nombre + tipo jsonb</t>
        </is>
      </c>
      <c r="U1323" s="18" t="inlineStr">
        <is>
          <t>¿Qué estructura tiene evidencias (arreglo de rutas, URL o identificadores de documento)?</t>
        </is>
      </c>
      <c r="V1323" s="19" t="inlineStr">
        <is>
          <t>Pendiente</t>
        </is>
      </c>
      <c r="W1323" s="19" t="inlineStr"/>
      <c r="X1323" s="19" t="inlineStr"/>
      <c r="Y1323" s="20" t="n"/>
      <c r="Z1323" s="19" t="inlineStr"/>
      <c r="AA1323" s="18">
        <f>IF(OR(V1323="Aprobada"),R1323,IF(AND(OR(V1323="Aprobada con ajuste",V1323="Rechazada"),W1323&lt;&gt;""),W1323,""))</f>
        <v/>
      </c>
    </row>
    <row r="1324">
      <c r="A1324" s="18" t="inlineStr">
        <is>
          <t>C1323</t>
        </is>
      </c>
      <c r="B1324" s="18" t="inlineStr">
        <is>
          <t>Control interno</t>
        </is>
      </c>
      <c r="C1324" s="18" t="inlineStr">
        <is>
          <t>control_interno</t>
        </is>
      </c>
      <c r="D1324" s="18" t="inlineStr">
        <is>
          <t>accion_mejora</t>
        </is>
      </c>
      <c r="E1324" s="18" t="n">
        <v>0</v>
      </c>
      <c r="F1324" s="18" t="inlineStr">
        <is>
          <t>observaciones</t>
        </is>
      </c>
      <c r="G1324" s="18" t="inlineStr">
        <is>
          <t>text</t>
        </is>
      </c>
      <c r="H1324" s="18" t="inlineStr">
        <is>
          <t>Sí</t>
        </is>
      </c>
      <c r="I1324" s="18" t="inlineStr"/>
      <c r="J1324" s="18" t="inlineStr"/>
      <c r="K1324" s="18" t="inlineStr"/>
      <c r="L1324" s="18" t="inlineStr">
        <is>
          <t>No</t>
        </is>
      </c>
      <c r="M1324" s="18" t="inlineStr">
        <is>
          <t>No</t>
        </is>
      </c>
      <c r="N1324" s="18" t="inlineStr"/>
      <c r="O1324" s="18" t="inlineStr"/>
      <c r="P1324" s="18" t="inlineStr"/>
      <c r="Q1324" s="18" t="inlineStr">
        <is>
          <t>Regla estructural</t>
        </is>
      </c>
      <c r="R1324" s="18" t="inlineStr">
        <is>
          <t>Observaciones registradas sobre el registro.</t>
        </is>
      </c>
      <c r="S1324" s="18" t="inlineStr">
        <is>
          <t>Media</t>
        </is>
      </c>
      <c r="T1324" s="18" t="inlineStr">
        <is>
          <t>Convención de nombre de la columna.</t>
        </is>
      </c>
      <c r="U1324" s="18" t="inlineStr"/>
      <c r="V1324" s="19" t="inlineStr">
        <is>
          <t>Pendiente</t>
        </is>
      </c>
      <c r="W1324" s="19" t="inlineStr"/>
      <c r="X1324" s="19" t="inlineStr"/>
      <c r="Y1324" s="20" t="n"/>
      <c r="Z1324" s="19" t="inlineStr"/>
      <c r="AA1324" s="18">
        <f>IF(OR(V1324="Aprobada"),R1324,IF(AND(OR(V1324="Aprobada con ajuste",V1324="Rechazada"),W1324&lt;&gt;""),W1324,""))</f>
        <v/>
      </c>
    </row>
    <row r="1325">
      <c r="A1325" s="18" t="inlineStr">
        <is>
          <t>C1324</t>
        </is>
      </c>
      <c r="B1325" s="18" t="inlineStr">
        <is>
          <t>Control interno</t>
        </is>
      </c>
      <c r="C1325" s="18" t="inlineStr">
        <is>
          <t>control_interno</t>
        </is>
      </c>
      <c r="D1325" s="18" t="inlineStr">
        <is>
          <t>actividad_etapa_auditoria</t>
        </is>
      </c>
      <c r="E1325" s="18" t="n">
        <v>0</v>
      </c>
      <c r="F1325" s="18" t="inlineStr">
        <is>
          <t>nombre</t>
        </is>
      </c>
      <c r="G1325" s="18" t="inlineStr">
        <is>
          <t>character varying(500)</t>
        </is>
      </c>
      <c r="H1325" s="18" t="inlineStr">
        <is>
          <t>No</t>
        </is>
      </c>
      <c r="I1325" s="18" t="inlineStr"/>
      <c r="J1325" s="18" t="inlineStr"/>
      <c r="K1325" s="18" t="inlineStr"/>
      <c r="L1325" s="18" t="inlineStr">
        <is>
          <t>No</t>
        </is>
      </c>
      <c r="M1325" s="18" t="inlineStr">
        <is>
          <t>No</t>
        </is>
      </c>
      <c r="N1325" s="18" t="inlineStr"/>
      <c r="O1325" s="18" t="inlineStr"/>
      <c r="P1325" s="18" t="inlineStr"/>
      <c r="Q1325" s="18" t="inlineStr">
        <is>
          <t>Regla estructural</t>
        </is>
      </c>
      <c r="R1325" s="18" t="inlineStr">
        <is>
          <t>Nombre del registro de actividad_etapa_auditoria.</t>
        </is>
      </c>
      <c r="S1325" s="18" t="inlineStr">
        <is>
          <t>Media</t>
        </is>
      </c>
      <c r="T1325" s="18" t="inlineStr">
        <is>
          <t>Convención de nombre de la columna.</t>
        </is>
      </c>
      <c r="U1325" s="18" t="inlineStr"/>
      <c r="V1325" s="19" t="inlineStr">
        <is>
          <t>Pendiente</t>
        </is>
      </c>
      <c r="W1325" s="19" t="inlineStr"/>
      <c r="X1325" s="19" t="inlineStr"/>
      <c r="Y1325" s="20" t="n"/>
      <c r="Z1325" s="19" t="inlineStr"/>
      <c r="AA1325" s="18">
        <f>IF(OR(V1325="Aprobada"),R1325,IF(AND(OR(V1325="Aprobada con ajuste",V1325="Rechazada"),W1325&lt;&gt;""),W1325,""))</f>
        <v/>
      </c>
    </row>
    <row r="1326">
      <c r="A1326" s="18" t="inlineStr">
        <is>
          <t>C1325</t>
        </is>
      </c>
      <c r="B1326" s="18" t="inlineStr">
        <is>
          <t>Control interno</t>
        </is>
      </c>
      <c r="C1326" s="18" t="inlineStr">
        <is>
          <t>control_interno</t>
        </is>
      </c>
      <c r="D1326" s="18" t="inlineStr">
        <is>
          <t>actividad_etapa_auditoria</t>
        </is>
      </c>
      <c r="E1326" s="18" t="n">
        <v>0</v>
      </c>
      <c r="F1326" s="18" t="inlineStr">
        <is>
          <t>descripcion</t>
        </is>
      </c>
      <c r="G1326" s="18" t="inlineStr">
        <is>
          <t>text</t>
        </is>
      </c>
      <c r="H1326" s="18" t="inlineStr">
        <is>
          <t>Sí</t>
        </is>
      </c>
      <c r="I1326" s="18" t="inlineStr"/>
      <c r="J1326" s="18" t="inlineStr"/>
      <c r="K1326" s="18" t="inlineStr"/>
      <c r="L1326" s="18" t="inlineStr">
        <is>
          <t>No</t>
        </is>
      </c>
      <c r="M1326" s="18" t="inlineStr">
        <is>
          <t>No</t>
        </is>
      </c>
      <c r="N1326" s="18" t="inlineStr"/>
      <c r="O1326" s="18" t="inlineStr"/>
      <c r="P1326" s="18" t="inlineStr"/>
      <c r="Q1326" s="18" t="inlineStr">
        <is>
          <t>Regla estructural</t>
        </is>
      </c>
      <c r="R1326" s="18" t="inlineStr">
        <is>
          <t>Descripción del registro de actividad_etapa_auditoria.</t>
        </is>
      </c>
      <c r="S1326" s="18" t="inlineStr">
        <is>
          <t>Media</t>
        </is>
      </c>
      <c r="T1326" s="18" t="inlineStr">
        <is>
          <t>Convención de nombre de la columna.</t>
        </is>
      </c>
      <c r="U1326" s="18" t="inlineStr"/>
      <c r="V1326" s="19" t="inlineStr">
        <is>
          <t>Pendiente</t>
        </is>
      </c>
      <c r="W1326" s="19" t="inlineStr"/>
      <c r="X1326" s="19" t="inlineStr"/>
      <c r="Y1326" s="20" t="n"/>
      <c r="Z1326" s="19" t="inlineStr"/>
      <c r="AA1326" s="18">
        <f>IF(OR(V1326="Aprobada"),R1326,IF(AND(OR(V1326="Aprobada con ajuste",V1326="Rechazada"),W1326&lt;&gt;""),W1326,""))</f>
        <v/>
      </c>
    </row>
    <row r="1327">
      <c r="A1327" s="18" t="inlineStr">
        <is>
          <t>C1326</t>
        </is>
      </c>
      <c r="B1327" s="18" t="inlineStr">
        <is>
          <t>Control interno</t>
        </is>
      </c>
      <c r="C1327" s="18" t="inlineStr">
        <is>
          <t>control_interno</t>
        </is>
      </c>
      <c r="D1327" s="18" t="inlineStr">
        <is>
          <t>actividad_etapa_auditoria</t>
        </is>
      </c>
      <c r="E1327" s="18" t="n">
        <v>0</v>
      </c>
      <c r="F1327" s="18" t="inlineStr">
        <is>
          <t>tipo</t>
        </is>
      </c>
      <c r="G1327" s="18" t="inlineStr">
        <is>
          <t>character varying(100)</t>
        </is>
      </c>
      <c r="H1327" s="18" t="inlineStr">
        <is>
          <t>No</t>
        </is>
      </c>
      <c r="I1327" s="18" t="inlineStr"/>
      <c r="J1327" s="18" t="inlineStr"/>
      <c r="K1327" s="18" t="inlineStr"/>
      <c r="L1327" s="18" t="inlineStr">
        <is>
          <t>No</t>
        </is>
      </c>
      <c r="M1327" s="18" t="inlineStr">
        <is>
          <t>No</t>
        </is>
      </c>
      <c r="N1327" s="18" t="inlineStr"/>
      <c r="O1327" s="18" t="inlineStr"/>
      <c r="P1327" s="18" t="inlineStr"/>
      <c r="Q1327" s="18" t="inlineStr">
        <is>
          <t>Regla estructural</t>
        </is>
      </c>
      <c r="R1327" s="18" t="inlineStr">
        <is>
          <t>Tipo del registro de actividad_etapa_auditoria.</t>
        </is>
      </c>
      <c r="S1327" s="18" t="inlineStr">
        <is>
          <t>Media</t>
        </is>
      </c>
      <c r="T1327" s="18" t="inlineStr">
        <is>
          <t>Convención de nombre de la columna.</t>
        </is>
      </c>
      <c r="U1327" s="18" t="inlineStr"/>
      <c r="V1327" s="19" t="inlineStr">
        <is>
          <t>Pendiente</t>
        </is>
      </c>
      <c r="W1327" s="19" t="inlineStr"/>
      <c r="X1327" s="19" t="inlineStr"/>
      <c r="Y1327" s="20" t="n"/>
      <c r="Z1327" s="19" t="inlineStr"/>
      <c r="AA1327" s="18">
        <f>IF(OR(V1327="Aprobada"),R1327,IF(AND(OR(V1327="Aprobada con ajuste",V1327="Rechazada"),W1327&lt;&gt;""),W1327,""))</f>
        <v/>
      </c>
    </row>
    <row r="1328">
      <c r="A1328" s="18" t="inlineStr">
        <is>
          <t>C1327</t>
        </is>
      </c>
      <c r="B1328" s="18" t="inlineStr">
        <is>
          <t>Control interno</t>
        </is>
      </c>
      <c r="C1328" s="18" t="inlineStr">
        <is>
          <t>control_interno</t>
        </is>
      </c>
      <c r="D1328" s="18" t="inlineStr">
        <is>
          <t>actividad_etapa_auditoria</t>
        </is>
      </c>
      <c r="E1328" s="18" t="n">
        <v>0</v>
      </c>
      <c r="F1328" s="18" t="inlineStr">
        <is>
          <t>estado</t>
        </is>
      </c>
      <c r="G1328" s="18" t="inlineStr">
        <is>
          <t>character varying(50)</t>
        </is>
      </c>
      <c r="H1328" s="18" t="inlineStr">
        <is>
          <t>No</t>
        </is>
      </c>
      <c r="I1328" s="18" t="inlineStr">
        <is>
          <t>CHECK</t>
        </is>
      </c>
      <c r="J1328" s="18" t="inlineStr">
        <is>
          <t>completada, en-progreso, pendiente</t>
        </is>
      </c>
      <c r="K1328" s="18" t="inlineStr"/>
      <c r="L1328" s="18" t="inlineStr">
        <is>
          <t>Sí</t>
        </is>
      </c>
      <c r="M1328" s="18" t="inlineStr">
        <is>
          <t>No</t>
        </is>
      </c>
      <c r="N1328" s="18" t="inlineStr"/>
      <c r="O1328" s="18" t="inlineStr"/>
      <c r="P1328" s="18" t="inlineStr"/>
      <c r="Q1328" s="18" t="inlineStr">
        <is>
          <t>Regla estructural</t>
        </is>
      </c>
      <c r="R1328" s="18" t="inlineStr">
        <is>
          <t>Estado del registro de actividad_etapa_auditoria.</t>
        </is>
      </c>
      <c r="S1328" s="18" t="inlineStr">
        <is>
          <t>Media</t>
        </is>
      </c>
      <c r="T1328" s="18" t="inlineStr">
        <is>
          <t>Convención de nombre de la columna.</t>
        </is>
      </c>
      <c r="U1328" s="18" t="inlineStr"/>
      <c r="V1328" s="19" t="inlineStr">
        <is>
          <t>Pendiente</t>
        </is>
      </c>
      <c r="W1328" s="19" t="inlineStr"/>
      <c r="X1328" s="19" t="inlineStr"/>
      <c r="Y1328" s="20" t="n"/>
      <c r="Z1328" s="19" t="inlineStr"/>
      <c r="AA1328" s="18">
        <f>IF(OR(V1328="Aprobada"),R1328,IF(AND(OR(V1328="Aprobada con ajuste",V1328="Rechazada"),W1328&lt;&gt;""),W1328,""))</f>
        <v/>
      </c>
    </row>
    <row r="1329">
      <c r="A1329" s="18" t="inlineStr">
        <is>
          <t>C1328</t>
        </is>
      </c>
      <c r="B1329" s="18" t="inlineStr">
        <is>
          <t>Control interno</t>
        </is>
      </c>
      <c r="C1329" s="18" t="inlineStr">
        <is>
          <t>control_interno</t>
        </is>
      </c>
      <c r="D1329" s="18" t="inlineStr">
        <is>
          <t>actividad_etapa_auditoria</t>
        </is>
      </c>
      <c r="E1329" s="18" t="n">
        <v>0</v>
      </c>
      <c r="F1329" s="18" t="inlineStr">
        <is>
          <t>responsable</t>
        </is>
      </c>
      <c r="G1329" s="18" t="inlineStr">
        <is>
          <t>character varying(255)</t>
        </is>
      </c>
      <c r="H1329" s="18" t="inlineStr">
        <is>
          <t>Sí</t>
        </is>
      </c>
      <c r="I1329" s="18" t="inlineStr"/>
      <c r="J1329" s="18" t="inlineStr"/>
      <c r="K1329" s="18" t="inlineStr"/>
      <c r="L1329" s="18" t="inlineStr">
        <is>
          <t>No</t>
        </is>
      </c>
      <c r="M1329" s="18" t="inlineStr">
        <is>
          <t>No</t>
        </is>
      </c>
      <c r="N1329" s="18" t="inlineStr"/>
      <c r="O1329" s="18" t="inlineStr"/>
      <c r="P1329" s="18" t="inlineStr"/>
      <c r="Q1329" s="18" t="inlineStr">
        <is>
          <t>Propuesta semántica</t>
        </is>
      </c>
      <c r="R1329" s="18" t="inlineStr">
        <is>
          <t>Nombre del responsable de la actividad dentro de la etapa de auditoría.</t>
        </is>
      </c>
      <c r="S1329" s="18" t="inlineStr">
        <is>
          <t>Media</t>
        </is>
      </c>
      <c r="T1329" s="18" t="inlineStr">
        <is>
          <t>nombre + tipo + descripción de la tabla</t>
        </is>
      </c>
      <c r="U1329" s="18" t="inlineStr">
        <is>
          <t>¿responsable guarda el nombre, el correo o el identificador del usuario?</t>
        </is>
      </c>
      <c r="V1329" s="19" t="inlineStr">
        <is>
          <t>Pendiente</t>
        </is>
      </c>
      <c r="W1329" s="19" t="inlineStr"/>
      <c r="X1329" s="19" t="inlineStr"/>
      <c r="Y1329" s="20" t="n"/>
      <c r="Z1329" s="19" t="inlineStr"/>
      <c r="AA1329" s="18">
        <f>IF(OR(V1329="Aprobada"),R1329,IF(AND(OR(V1329="Aprobada con ajuste",V1329="Rechazada"),W1329&lt;&gt;""),W1329,""))</f>
        <v/>
      </c>
    </row>
    <row r="1330">
      <c r="A1330" s="18" t="inlineStr">
        <is>
          <t>C1329</t>
        </is>
      </c>
      <c r="B1330" s="18" t="inlineStr">
        <is>
          <t>Control interno</t>
        </is>
      </c>
      <c r="C1330" s="18" t="inlineStr">
        <is>
          <t>control_interno</t>
        </is>
      </c>
      <c r="D1330" s="18" t="inlineStr">
        <is>
          <t>actividad_etapa_auditoria</t>
        </is>
      </c>
      <c r="E1330" s="18" t="n">
        <v>0</v>
      </c>
      <c r="F1330" s="18" t="inlineStr">
        <is>
          <t>fecha_limite</t>
        </is>
      </c>
      <c r="G1330" s="18" t="inlineStr">
        <is>
          <t>date</t>
        </is>
      </c>
      <c r="H1330" s="18" t="inlineStr">
        <is>
          <t>Sí</t>
        </is>
      </c>
      <c r="I1330" s="18" t="inlineStr"/>
      <c r="J1330" s="18" t="inlineStr"/>
      <c r="K1330" s="18" t="inlineStr"/>
      <c r="L1330" s="18" t="inlineStr">
        <is>
          <t>No</t>
        </is>
      </c>
      <c r="M1330" s="18" t="inlineStr">
        <is>
          <t>No</t>
        </is>
      </c>
      <c r="N1330" s="18" t="inlineStr"/>
      <c r="O1330" s="18" t="inlineStr"/>
      <c r="P1330" s="18" t="inlineStr"/>
      <c r="Q1330" s="18" t="inlineStr">
        <is>
          <t>Regla estructural</t>
        </is>
      </c>
      <c r="R1330" s="18" t="inlineStr">
        <is>
          <t>Fecha límite.</t>
        </is>
      </c>
      <c r="S1330" s="18" t="inlineStr">
        <is>
          <t>Media</t>
        </is>
      </c>
      <c r="T1330" s="18" t="inlineStr">
        <is>
          <t>Convención de nombre de la columna.</t>
        </is>
      </c>
      <c r="U1330" s="18" t="inlineStr"/>
      <c r="V1330" s="19" t="inlineStr">
        <is>
          <t>Pendiente</t>
        </is>
      </c>
      <c r="W1330" s="19" t="inlineStr"/>
      <c r="X1330" s="19" t="inlineStr"/>
      <c r="Y1330" s="20" t="n"/>
      <c r="Z1330" s="19" t="inlineStr"/>
      <c r="AA1330" s="18">
        <f>IF(OR(V1330="Aprobada"),R1330,IF(AND(OR(V1330="Aprobada con ajuste",V1330="Rechazada"),W1330&lt;&gt;""),W1330,""))</f>
        <v/>
      </c>
    </row>
    <row r="1331">
      <c r="A1331" s="18" t="inlineStr">
        <is>
          <t>C1330</t>
        </is>
      </c>
      <c r="B1331" s="18" t="inlineStr">
        <is>
          <t>Control interno</t>
        </is>
      </c>
      <c r="C1331" s="18" t="inlineStr">
        <is>
          <t>control_interno</t>
        </is>
      </c>
      <c r="D1331" s="18" t="inlineStr">
        <is>
          <t>actividad_etapa_auditoria</t>
        </is>
      </c>
      <c r="E1331" s="18" t="n">
        <v>0</v>
      </c>
      <c r="F1331" s="18" t="inlineStr">
        <is>
          <t>completada</t>
        </is>
      </c>
      <c r="G1331" s="18" t="inlineStr">
        <is>
          <t>boolean</t>
        </is>
      </c>
      <c r="H1331" s="18" t="inlineStr">
        <is>
          <t>Sí</t>
        </is>
      </c>
      <c r="I1331" s="18" t="inlineStr">
        <is>
          <t>CHECK</t>
        </is>
      </c>
      <c r="J1331" s="18" t="inlineStr"/>
      <c r="K1331" s="18" t="inlineStr"/>
      <c r="L1331" s="18" t="inlineStr">
        <is>
          <t>No</t>
        </is>
      </c>
      <c r="M1331" s="18" t="inlineStr">
        <is>
          <t>No</t>
        </is>
      </c>
      <c r="N1331" s="18" t="inlineStr"/>
      <c r="O1331" s="18" t="inlineStr"/>
      <c r="P1331" s="18" t="inlineStr"/>
      <c r="Q1331" s="18" t="inlineStr">
        <is>
          <t>Regla estructural</t>
        </is>
      </c>
      <c r="R1331" s="18" t="inlineStr">
        <is>
          <t>Indica si el registro está completada.</t>
        </is>
      </c>
      <c r="S1331" s="18" t="inlineStr">
        <is>
          <t>Media</t>
        </is>
      </c>
      <c r="T1331" s="18" t="inlineStr">
        <is>
          <t>Convención de nombre de la columna.</t>
        </is>
      </c>
      <c r="U1331" s="18" t="inlineStr"/>
      <c r="V1331" s="19" t="inlineStr">
        <is>
          <t>Pendiente</t>
        </is>
      </c>
      <c r="W1331" s="19" t="inlineStr"/>
      <c r="X1331" s="19" t="inlineStr"/>
      <c r="Y1331" s="20" t="n"/>
      <c r="Z1331" s="19" t="inlineStr"/>
      <c r="AA1331" s="18">
        <f>IF(OR(V1331="Aprobada"),R1331,IF(AND(OR(V1331="Aprobada con ajuste",V1331="Rechazada"),W1331&lt;&gt;""),W1331,""))</f>
        <v/>
      </c>
    </row>
    <row r="1332">
      <c r="A1332" s="18" t="inlineStr">
        <is>
          <t>C1331</t>
        </is>
      </c>
      <c r="B1332" s="18" t="inlineStr">
        <is>
          <t>Control interno</t>
        </is>
      </c>
      <c r="C1332" s="18" t="inlineStr">
        <is>
          <t>control_interno</t>
        </is>
      </c>
      <c r="D1332" s="18" t="inlineStr">
        <is>
          <t>actividad_etapa_auditoria</t>
        </is>
      </c>
      <c r="E1332" s="18" t="n">
        <v>0</v>
      </c>
      <c r="F1332" s="18" t="inlineStr">
        <is>
          <t>fecha_completacion</t>
        </is>
      </c>
      <c r="G1332" s="18" t="inlineStr">
        <is>
          <t>timestamp without time zone</t>
        </is>
      </c>
      <c r="H1332" s="18" t="inlineStr">
        <is>
          <t>Sí</t>
        </is>
      </c>
      <c r="I1332" s="18" t="inlineStr"/>
      <c r="J1332" s="18" t="inlineStr"/>
      <c r="K1332" s="18" t="inlineStr"/>
      <c r="L1332" s="18" t="inlineStr">
        <is>
          <t>No</t>
        </is>
      </c>
      <c r="M1332" s="18" t="inlineStr">
        <is>
          <t>No</t>
        </is>
      </c>
      <c r="N1332" s="18" t="inlineStr"/>
      <c r="O1332" s="18" t="inlineStr"/>
      <c r="P1332" s="18" t="inlineStr"/>
      <c r="Q1332" s="18" t="inlineStr">
        <is>
          <t>Regla estructural</t>
        </is>
      </c>
      <c r="R1332" s="18" t="inlineStr">
        <is>
          <t>Fecha de completación.</t>
        </is>
      </c>
      <c r="S1332" s="18" t="inlineStr">
        <is>
          <t>Media</t>
        </is>
      </c>
      <c r="T1332" s="18" t="inlineStr">
        <is>
          <t>Convención de nombre de la columna.</t>
        </is>
      </c>
      <c r="U1332" s="18" t="inlineStr"/>
      <c r="V1332" s="19" t="inlineStr">
        <is>
          <t>Pendiente</t>
        </is>
      </c>
      <c r="W1332" s="19" t="inlineStr"/>
      <c r="X1332" s="19" t="inlineStr"/>
      <c r="Y1332" s="20" t="n"/>
      <c r="Z1332" s="19" t="inlineStr"/>
      <c r="AA1332" s="18">
        <f>IF(OR(V1332="Aprobada"),R1332,IF(AND(OR(V1332="Aprobada con ajuste",V1332="Rechazada"),W1332&lt;&gt;""),W1332,""))</f>
        <v/>
      </c>
    </row>
    <row r="1333">
      <c r="A1333" s="18" t="inlineStr">
        <is>
          <t>C1332</t>
        </is>
      </c>
      <c r="B1333" s="18" t="inlineStr">
        <is>
          <t>Control interno</t>
        </is>
      </c>
      <c r="C1333" s="18" t="inlineStr">
        <is>
          <t>control_interno</t>
        </is>
      </c>
      <c r="D1333" s="18" t="inlineStr">
        <is>
          <t>actividad_plan_anual_5</t>
        </is>
      </c>
      <c r="E1333" s="18" t="n">
        <v>1604</v>
      </c>
      <c r="F1333" s="18" t="inlineStr">
        <is>
          <t>plan_id</t>
        </is>
      </c>
      <c r="G1333" s="18" t="inlineStr">
        <is>
          <t>uuid</t>
        </is>
      </c>
      <c r="H1333" s="18" t="inlineStr">
        <is>
          <t>No</t>
        </is>
      </c>
      <c r="I1333" s="18" t="inlineStr"/>
      <c r="J1333" s="18" t="inlineStr"/>
      <c r="K1333" s="18" t="inlineStr"/>
      <c r="L1333" s="18" t="inlineStr">
        <is>
          <t>No</t>
        </is>
      </c>
      <c r="M1333" s="18" t="inlineStr">
        <is>
          <t>Sí</t>
        </is>
      </c>
      <c r="N1333" s="18" t="inlineStr">
        <is>
          <t>Función control_interno.fn_actualizar_cumplimiento_auditorias_vigencia; Función control_interno.fn_configurar_actividad_auditorias_plan; Vista control_interno.v_estado_vinculacion_auditorias — control_interno.fn_actualizar_cumplimiento_auditorias_vigencia: INNER JOIN control_interno.plan_anual_5_roles p ON r.plan_id = p.id | control_interno.fn_configurar_actividad_auditorias_plan: WHERE r.plan_id = p_plan_id</t>
        </is>
      </c>
      <c r="O1333" s="18" t="inlineStr">
        <is>
          <t>idx_actividad_plan_5</t>
        </is>
      </c>
      <c r="P1333" s="18" t="inlineStr">
        <is>
          <t>Mapeada en internal-institutional-control-service/src/esap/plan-anual-5-roles/entities/actividad-plan-anual-5.entity.ts:29 (ActividadPlanAnual5.planId)</t>
        </is>
      </c>
      <c r="Q1333" s="18" t="inlineStr">
        <is>
          <t>Propuesta semántica</t>
        </is>
      </c>
      <c r="R1333" s="18" t="inlineStr">
        <is>
          <t>Identificador del rol del plan anual al que pertenece la actividad (control_interno.plan_anual_5_roles).</t>
        </is>
      </c>
      <c r="S1333" s="18" t="inlineStr">
        <is>
          <t>Alta</t>
        </is>
      </c>
      <c r="T1333" s="18" t="inlineStr">
        <is>
          <t>uso en las funciones fn_actualizar_cumplimiento_auditorias_vigencia y fn_configurar_actividad_auditorias_plan ~</t>
        </is>
      </c>
      <c r="U1333" s="18" t="inlineStr"/>
      <c r="V1333" s="19" t="inlineStr">
        <is>
          <t>Pendiente</t>
        </is>
      </c>
      <c r="W1333" s="19" t="inlineStr"/>
      <c r="X1333" s="19" t="inlineStr"/>
      <c r="Y1333" s="20" t="n"/>
      <c r="Z1333" s="19" t="inlineStr"/>
      <c r="AA1333" s="18">
        <f>IF(OR(V1333="Aprobada"),R1333,IF(AND(OR(V1333="Aprobada con ajuste",V1333="Rechazada"),W1333&lt;&gt;""),W1333,""))</f>
        <v/>
      </c>
    </row>
    <row r="1334">
      <c r="A1334" s="18" t="inlineStr">
        <is>
          <t>C1333</t>
        </is>
      </c>
      <c r="B1334" s="18" t="inlineStr">
        <is>
          <t>Control interno</t>
        </is>
      </c>
      <c r="C1334" s="18" t="inlineStr">
        <is>
          <t>control_interno</t>
        </is>
      </c>
      <c r="D1334" s="18" t="inlineStr">
        <is>
          <t>actividad_plan_anual_5</t>
        </is>
      </c>
      <c r="E1334" s="18" t="n">
        <v>1604</v>
      </c>
      <c r="F1334" s="18" t="inlineStr">
        <is>
          <t>nombre</t>
        </is>
      </c>
      <c r="G1334" s="18" t="inlineStr">
        <is>
          <t>character varying(500)</t>
        </is>
      </c>
      <c r="H1334" s="18" t="inlineStr">
        <is>
          <t>No</t>
        </is>
      </c>
      <c r="I1334" s="18" t="inlineStr"/>
      <c r="J1334" s="18" t="inlineStr"/>
      <c r="K1334" s="18" t="inlineStr"/>
      <c r="L1334" s="18" t="inlineStr">
        <is>
          <t>No</t>
        </is>
      </c>
      <c r="M1334" s="18" t="inlineStr">
        <is>
          <t>Sí</t>
        </is>
      </c>
      <c r="N1334" s="18" t="inlineStr">
        <is>
          <t>Función control_interno.fn_configurar_actividad_auditorias_plan; Vista control_interno.v_estado_vinculacion_auditorias — control_interno.fn_configurar_actividad_auditorias_plan: LOWER(a.nombre) LIKE '%auditoría%'</t>
        </is>
      </c>
      <c r="O1334" s="18" t="inlineStr"/>
      <c r="P1334" s="18" t="inlineStr">
        <is>
          <t>Mapeada en internal-institutional-control-service/src/esap/plan-anual-5-roles/entities/actividad-plan-anual-5.entity.ts:37 (ActividadPlanAnual5.nombre) | Validación: IsNotEmpty, IsNotEmpty({ message: 'El nombre del documento es obligatorio' }), IsOptional, IsString, Length(1, 500), MaxLength(120)</t>
        </is>
      </c>
      <c r="Q1334" s="18" t="inlineStr">
        <is>
          <t>Regla estructural</t>
        </is>
      </c>
      <c r="R1334" s="18" t="inlineStr">
        <is>
          <t>Nombre del registro de actividad_plan_anual_5.</t>
        </is>
      </c>
      <c r="S1334" s="18" t="inlineStr">
        <is>
          <t>Media</t>
        </is>
      </c>
      <c r="T1334" s="18" t="inlineStr">
        <is>
          <t>Convención de nombre de la columna.</t>
        </is>
      </c>
      <c r="U1334" s="18" t="inlineStr"/>
      <c r="V1334" s="19" t="inlineStr">
        <is>
          <t>Pendiente</t>
        </is>
      </c>
      <c r="W1334" s="19" t="inlineStr"/>
      <c r="X1334" s="19" t="inlineStr"/>
      <c r="Y1334" s="20" t="n"/>
      <c r="Z1334" s="19" t="inlineStr"/>
      <c r="AA1334" s="18">
        <f>IF(OR(V1334="Aprobada"),R1334,IF(AND(OR(V1334="Aprobada con ajuste",V1334="Rechazada"),W1334&lt;&gt;""),W1334,""))</f>
        <v/>
      </c>
    </row>
    <row r="1335">
      <c r="A1335" s="18" t="inlineStr">
        <is>
          <t>C1334</t>
        </is>
      </c>
      <c r="B1335" s="18" t="inlineStr">
        <is>
          <t>Control interno</t>
        </is>
      </c>
      <c r="C1335" s="18" t="inlineStr">
        <is>
          <t>control_interno</t>
        </is>
      </c>
      <c r="D1335" s="18" t="inlineStr">
        <is>
          <t>actividad_plan_anual_5</t>
        </is>
      </c>
      <c r="E1335" s="18" t="n">
        <v>1604</v>
      </c>
      <c r="F1335" s="18" t="inlineStr">
        <is>
          <t>descripcion</t>
        </is>
      </c>
      <c r="G1335" s="18" t="inlineStr">
        <is>
          <t>text</t>
        </is>
      </c>
      <c r="H1335" s="18" t="inlineStr">
        <is>
          <t>Sí</t>
        </is>
      </c>
      <c r="I1335" s="18" t="inlineStr"/>
      <c r="J1335" s="18" t="inlineStr"/>
      <c r="K1335" s="18" t="inlineStr"/>
      <c r="L1335" s="18" t="inlineStr">
        <is>
          <t>No</t>
        </is>
      </c>
      <c r="M1335" s="18" t="inlineStr">
        <is>
          <t>No</t>
        </is>
      </c>
      <c r="N1335" s="18" t="inlineStr"/>
      <c r="O1335" s="18" t="inlineStr"/>
      <c r="P1335" s="18" t="inlineStr">
        <is>
          <t>Mapeada en internal-institutional-control-service/src/esap/plan-anual-5-roles/entities/actividad-plan-anual-5.entity.ts:40 (ActividadPlanAnual5.descripcion) | Validación: IsNotEmpty, IsOptional, IsString</t>
        </is>
      </c>
      <c r="Q1335" s="18" t="inlineStr">
        <is>
          <t>Regla estructural</t>
        </is>
      </c>
      <c r="R1335" s="18" t="inlineStr">
        <is>
          <t>Descripción del registro de actividad_plan_anual_5.</t>
        </is>
      </c>
      <c r="S1335" s="18" t="inlineStr">
        <is>
          <t>Media</t>
        </is>
      </c>
      <c r="T1335" s="18" t="inlineStr">
        <is>
          <t>Convención de nombre de la columna.</t>
        </is>
      </c>
      <c r="U1335" s="18" t="inlineStr"/>
      <c r="V1335" s="19" t="inlineStr">
        <is>
          <t>Pendiente</t>
        </is>
      </c>
      <c r="W1335" s="19" t="inlineStr"/>
      <c r="X1335" s="19" t="inlineStr"/>
      <c r="Y1335" s="20" t="n"/>
      <c r="Z1335" s="19" t="inlineStr"/>
      <c r="AA1335" s="18">
        <f>IF(OR(V1335="Aprobada"),R1335,IF(AND(OR(V1335="Aprobada con ajuste",V1335="Rechazada"),W1335&lt;&gt;""),W1335,""))</f>
        <v/>
      </c>
    </row>
    <row r="1336">
      <c r="A1336" s="18" t="inlineStr">
        <is>
          <t>C1335</t>
        </is>
      </c>
      <c r="B1336" s="18" t="inlineStr">
        <is>
          <t>Control interno</t>
        </is>
      </c>
      <c r="C1336" s="18" t="inlineStr">
        <is>
          <t>control_interno</t>
        </is>
      </c>
      <c r="D1336" s="18" t="inlineStr">
        <is>
          <t>actividad_plan_anual_5</t>
        </is>
      </c>
      <c r="E1336" s="18" t="n">
        <v>1604</v>
      </c>
      <c r="F1336" s="18" t="inlineStr">
        <is>
          <t>responsable</t>
        </is>
      </c>
      <c r="G1336" s="18" t="inlineStr">
        <is>
          <t>character varying(255)</t>
        </is>
      </c>
      <c r="H1336" s="18" t="inlineStr">
        <is>
          <t>No</t>
        </is>
      </c>
      <c r="I1336" s="18" t="inlineStr"/>
      <c r="J1336" s="18" t="inlineStr"/>
      <c r="K1336" s="18" t="inlineStr"/>
      <c r="L1336" s="18" t="inlineStr">
        <is>
          <t>No</t>
        </is>
      </c>
      <c r="M1336" s="18" t="inlineStr">
        <is>
          <t>No</t>
        </is>
      </c>
      <c r="N1336" s="18" t="inlineStr"/>
      <c r="O1336" s="18" t="inlineStr"/>
      <c r="P1336" s="18" t="inlineStr">
        <is>
          <t>Mapeada en internal-institutional-control-service/src/esap/plan-anual-5-roles/entities/actividad-plan-anual-5.entity.ts:43 (ActividadPlanAnual5.responsable) | Validación: IsNotEmpty, IsOptional, IsString, Length(1, 255)</t>
        </is>
      </c>
      <c r="Q1336" s="18" t="inlineStr">
        <is>
          <t>Propuesta semántica</t>
        </is>
      </c>
      <c r="R1336" s="18" t="inlineStr">
        <is>
          <t>Nombre del responsable de la actividad del plan anual (texto de 1 a 255 caracteres).</t>
        </is>
      </c>
      <c r="S1336" s="18" t="inlineStr">
        <is>
          <t>Alta</t>
        </is>
      </c>
      <c r="T1336" s="18" t="inlineStr">
        <is>
          <t>nombre + validaciones ~</t>
        </is>
      </c>
      <c r="U1336" s="18" t="inlineStr"/>
      <c r="V1336" s="19" t="inlineStr">
        <is>
          <t>Pendiente</t>
        </is>
      </c>
      <c r="W1336" s="19" t="inlineStr"/>
      <c r="X1336" s="19" t="inlineStr"/>
      <c r="Y1336" s="20" t="n"/>
      <c r="Z1336" s="19" t="inlineStr"/>
      <c r="AA1336" s="18">
        <f>IF(OR(V1336="Aprobada"),R1336,IF(AND(OR(V1336="Aprobada con ajuste",V1336="Rechazada"),W1336&lt;&gt;""),W1336,""))</f>
        <v/>
      </c>
    </row>
    <row r="1337">
      <c r="A1337" s="18" t="inlineStr">
        <is>
          <t>C1336</t>
        </is>
      </c>
      <c r="B1337" s="18" t="inlineStr">
        <is>
          <t>Control interno</t>
        </is>
      </c>
      <c r="C1337" s="18" t="inlineStr">
        <is>
          <t>control_interno</t>
        </is>
      </c>
      <c r="D1337" s="18" t="inlineStr">
        <is>
          <t>actividad_plan_anual_5</t>
        </is>
      </c>
      <c r="E1337" s="18" t="n">
        <v>1604</v>
      </c>
      <c r="F1337" s="18" t="inlineStr">
        <is>
          <t>fecha_inicio</t>
        </is>
      </c>
      <c r="G1337" s="18" t="inlineStr">
        <is>
          <t>date</t>
        </is>
      </c>
      <c r="H1337" s="18" t="inlineStr">
        <is>
          <t>No</t>
        </is>
      </c>
      <c r="I1337" s="18" t="inlineStr"/>
      <c r="J1337" s="18" t="inlineStr"/>
      <c r="K1337" s="18" t="inlineStr"/>
      <c r="L1337" s="18" t="inlineStr">
        <is>
          <t>No</t>
        </is>
      </c>
      <c r="M1337" s="18" t="inlineStr">
        <is>
          <t>Sí</t>
        </is>
      </c>
      <c r="N1337" s="18" t="inlineStr">
        <is>
          <t>Vista control_interno.v_estado_vinculacion_auditorias</t>
        </is>
      </c>
      <c r="O1337" s="18" t="inlineStr"/>
      <c r="P1337" s="18" t="inlineStr">
        <is>
          <t>Mapeada en internal-institutional-control-service/src/esap/plan-anual-5-roles/entities/actividad-plan-anual-5.entity.ts:46 (ActividadPlanAnual5.fecha_inicio) | Validación: IsDateString, IsNotEmpty, IsOptional</t>
        </is>
      </c>
      <c r="Q1337" s="18" t="inlineStr">
        <is>
          <t>Regla estructural</t>
        </is>
      </c>
      <c r="R1337" s="18" t="inlineStr">
        <is>
          <t>Fecha de inicio.</t>
        </is>
      </c>
      <c r="S1337" s="18" t="inlineStr">
        <is>
          <t>Media</t>
        </is>
      </c>
      <c r="T1337" s="18" t="inlineStr">
        <is>
          <t>Convención de nombre de la columna.</t>
        </is>
      </c>
      <c r="U1337" s="18" t="inlineStr"/>
      <c r="V1337" s="19" t="inlineStr">
        <is>
          <t>Pendiente</t>
        </is>
      </c>
      <c r="W1337" s="19" t="inlineStr"/>
      <c r="X1337" s="19" t="inlineStr"/>
      <c r="Y1337" s="20" t="n"/>
      <c r="Z1337" s="19" t="inlineStr"/>
      <c r="AA1337" s="18">
        <f>IF(OR(V1337="Aprobada"),R1337,IF(AND(OR(V1337="Aprobada con ajuste",V1337="Rechazada"),W1337&lt;&gt;""),W1337,""))</f>
        <v/>
      </c>
    </row>
    <row r="1338">
      <c r="A1338" s="18" t="inlineStr">
        <is>
          <t>C1337</t>
        </is>
      </c>
      <c r="B1338" s="18" t="inlineStr">
        <is>
          <t>Control interno</t>
        </is>
      </c>
      <c r="C1338" s="18" t="inlineStr">
        <is>
          <t>control_interno</t>
        </is>
      </c>
      <c r="D1338" s="18" t="inlineStr">
        <is>
          <t>actividad_plan_anual_5</t>
        </is>
      </c>
      <c r="E1338" s="18" t="n">
        <v>1604</v>
      </c>
      <c r="F1338" s="18" t="inlineStr">
        <is>
          <t>fecha_fin</t>
        </is>
      </c>
      <c r="G1338" s="18" t="inlineStr">
        <is>
          <t>date</t>
        </is>
      </c>
      <c r="H1338" s="18" t="inlineStr">
        <is>
          <t>No</t>
        </is>
      </c>
      <c r="I1338" s="18" t="inlineStr"/>
      <c r="J1338" s="18" t="inlineStr"/>
      <c r="K1338" s="18" t="inlineStr"/>
      <c r="L1338" s="18" t="inlineStr">
        <is>
          <t>No</t>
        </is>
      </c>
      <c r="M1338" s="18" t="inlineStr">
        <is>
          <t>No</t>
        </is>
      </c>
      <c r="N1338" s="18" t="inlineStr"/>
      <c r="O1338" s="18" t="inlineStr"/>
      <c r="P1338" s="18" t="inlineStr">
        <is>
          <t>Mapeada en internal-institutional-control-service/src/esap/plan-anual-5-roles/entities/actividad-plan-anual-5.entity.ts:49 (ActividadPlanAnual5.fecha_fin) | Validación: IsDateString, IsNotEmpty, IsOptional</t>
        </is>
      </c>
      <c r="Q1338" s="18" t="inlineStr">
        <is>
          <t>Regla estructural</t>
        </is>
      </c>
      <c r="R1338" s="18" t="inlineStr">
        <is>
          <t>Fecha de finalización.</t>
        </is>
      </c>
      <c r="S1338" s="18" t="inlineStr">
        <is>
          <t>Media</t>
        </is>
      </c>
      <c r="T1338" s="18" t="inlineStr">
        <is>
          <t>Convención de nombre de la columna.</t>
        </is>
      </c>
      <c r="U1338" s="18" t="inlineStr"/>
      <c r="V1338" s="19" t="inlineStr">
        <is>
          <t>Pendiente</t>
        </is>
      </c>
      <c r="W1338" s="19" t="inlineStr"/>
      <c r="X1338" s="19" t="inlineStr"/>
      <c r="Y1338" s="20" t="n"/>
      <c r="Z1338" s="19" t="inlineStr"/>
      <c r="AA1338" s="18">
        <f>IF(OR(V1338="Aprobada"),R1338,IF(AND(OR(V1338="Aprobada con ajuste",V1338="Rechazada"),W1338&lt;&gt;""),W1338,""))</f>
        <v/>
      </c>
    </row>
    <row r="1339">
      <c r="A1339" s="18" t="inlineStr">
        <is>
          <t>C1338</t>
        </is>
      </c>
      <c r="B1339" s="18" t="inlineStr">
        <is>
          <t>Control interno</t>
        </is>
      </c>
      <c r="C1339" s="18" t="inlineStr">
        <is>
          <t>control_interno</t>
        </is>
      </c>
      <c r="D1339" s="18" t="inlineStr">
        <is>
          <t>actividad_plan_anual_5</t>
        </is>
      </c>
      <c r="E1339" s="18" t="n">
        <v>1604</v>
      </c>
      <c r="F1339" s="18" t="inlineStr">
        <is>
          <t>estado</t>
        </is>
      </c>
      <c r="G1339" s="18" t="inlineStr">
        <is>
          <t>character varying(50)</t>
        </is>
      </c>
      <c r="H1339" s="18" t="inlineStr">
        <is>
          <t>No</t>
        </is>
      </c>
      <c r="I1339" s="18" t="inlineStr">
        <is>
          <t>CHECK</t>
        </is>
      </c>
      <c r="J1339" s="18" t="inlineStr">
        <is>
          <t>completada, en-progreso, pendiente, retrasada</t>
        </is>
      </c>
      <c r="K1339" s="18" t="inlineStr"/>
      <c r="L1339" s="18" t="inlineStr">
        <is>
          <t>Sí</t>
        </is>
      </c>
      <c r="M1339" s="18" t="inlineStr">
        <is>
          <t>Sí</t>
        </is>
      </c>
      <c r="N1339" s="18" t="inlineStr">
        <is>
          <t>Función control_interno.fn_actualizar_cumplimiento_auditorias_vigencia — control_interno.fn_actualizar_cumplimiento_auditorias_vigencia: estado = CASE</t>
        </is>
      </c>
      <c r="O1339" s="18" t="inlineStr">
        <is>
          <t>idx_actividad_estado_5</t>
        </is>
      </c>
      <c r="P1339" s="18" t="inlineStr">
        <is>
          <t>Mapeada en internal-institutional-control-service/src/esap/plan-anual-5-roles/entities/actividad-plan-anual-5.entity.ts:52 (ActividadPlanAnual5.estado) | Validación: IsEnum(AccionCorrectivaEstado), IsEnum(EstadoEtapa), IsEnum(EstadoPlanIndividual), IsEnum(EstadoTarea), IsEnum(HallazgoEstado), IsEnum(PlanMejoramientoEstado)</t>
        </is>
      </c>
      <c r="Q1339" s="18" t="inlineStr">
        <is>
          <t>Regla estructural</t>
        </is>
      </c>
      <c r="R1339" s="18" t="inlineStr">
        <is>
          <t>Estado del registro de actividad_plan_anual_5.</t>
        </is>
      </c>
      <c r="S1339" s="18" t="inlineStr">
        <is>
          <t>Media</t>
        </is>
      </c>
      <c r="T1339" s="18" t="inlineStr">
        <is>
          <t>Convención de nombre de la columna.</t>
        </is>
      </c>
      <c r="U1339" s="18" t="inlineStr"/>
      <c r="V1339" s="19" t="inlineStr">
        <is>
          <t>Pendiente</t>
        </is>
      </c>
      <c r="W1339" s="19" t="inlineStr"/>
      <c r="X1339" s="19" t="inlineStr"/>
      <c r="Y1339" s="20" t="n"/>
      <c r="Z1339" s="19" t="inlineStr"/>
      <c r="AA1339" s="18">
        <f>IF(OR(V1339="Aprobada"),R1339,IF(AND(OR(V1339="Aprobada con ajuste",V1339="Rechazada"),W1339&lt;&gt;""),W1339,""))</f>
        <v/>
      </c>
    </row>
    <row r="1340">
      <c r="A1340" s="18" t="inlineStr">
        <is>
          <t>C1339</t>
        </is>
      </c>
      <c r="B1340" s="18" t="inlineStr">
        <is>
          <t>Control interno</t>
        </is>
      </c>
      <c r="C1340" s="18" t="inlineStr">
        <is>
          <t>control_interno</t>
        </is>
      </c>
      <c r="D1340" s="18" t="inlineStr">
        <is>
          <t>actividad_plan_anual_5</t>
        </is>
      </c>
      <c r="E1340" s="18" t="n">
        <v>1604</v>
      </c>
      <c r="F1340" s="18" t="inlineStr">
        <is>
          <t>porcentaje_avance</t>
        </is>
      </c>
      <c r="G1340" s="18" t="inlineStr">
        <is>
          <t>integer</t>
        </is>
      </c>
      <c r="H1340" s="18" t="inlineStr">
        <is>
          <t>Sí</t>
        </is>
      </c>
      <c r="I1340" s="18" t="inlineStr">
        <is>
          <t>CHECK</t>
        </is>
      </c>
      <c r="J1340" s="18" t="inlineStr"/>
      <c r="K1340" s="18" t="inlineStr"/>
      <c r="L1340" s="18" t="inlineStr">
        <is>
          <t>No</t>
        </is>
      </c>
      <c r="M1340" s="18" t="inlineStr">
        <is>
          <t>Sí</t>
        </is>
      </c>
      <c r="N1340" s="18" t="inlineStr">
        <is>
          <t>Función control_interno.fn_actualizar_cumplimiento_auditorias_vigencia; Vista control_interno.v_estado_vinculacion_auditorias — control_interno.fn_actualizar_cumplimiento_auditorias_vigencia: porcentaje_avance = v_cumplimiento.porcentaje_cumplimiento,</t>
        </is>
      </c>
      <c r="O1340" s="18" t="inlineStr"/>
      <c r="P1340" s="18" t="inlineStr">
        <is>
          <t>Mapeada en internal-institutional-control-service/src/esap/plan-anual-5-roles/entities/actividad-plan-anual-5.entity.ts:60 (ActividadPlanAnual5.porcentaje_avance) | Validación: IsInt, IsOptional, Max(100), Min(0)</t>
        </is>
      </c>
      <c r="Q1340" s="18" t="inlineStr">
        <is>
          <t>Propuesta semántica</t>
        </is>
      </c>
      <c r="R1340" s="18" t="inlineStr">
        <is>
          <t>Porcentaje de avance de la actividad, de 0 a 100; en actividades de auditoría lo actualiza el cálculo de cumplimiento de la vigencia.</t>
        </is>
      </c>
      <c r="S1340" s="18" t="inlineStr">
        <is>
          <t>Alta</t>
        </is>
      </c>
      <c r="T1340" s="18" t="inlineStr">
        <is>
          <t>uso en la función fn_actualizar_cumplimiento_auditorias_vigencia + validaciones Min(0), Max(100) ~</t>
        </is>
      </c>
      <c r="U1340" s="18" t="inlineStr"/>
      <c r="V1340" s="19" t="inlineStr">
        <is>
          <t>Pendiente</t>
        </is>
      </c>
      <c r="W1340" s="19" t="inlineStr"/>
      <c r="X1340" s="19" t="inlineStr"/>
      <c r="Y1340" s="20" t="n"/>
      <c r="Z1340" s="19" t="inlineStr"/>
      <c r="AA1340" s="18">
        <f>IF(OR(V1340="Aprobada"),R1340,IF(AND(OR(V1340="Aprobada con ajuste",V1340="Rechazada"),W1340&lt;&gt;""),W1340,""))</f>
        <v/>
      </c>
    </row>
    <row r="1341">
      <c r="A1341" s="18" t="inlineStr">
        <is>
          <t>C1340</t>
        </is>
      </c>
      <c r="B1341" s="18" t="inlineStr">
        <is>
          <t>Control interno</t>
        </is>
      </c>
      <c r="C1341" s="18" t="inlineStr">
        <is>
          <t>control_interno</t>
        </is>
      </c>
      <c r="D1341" s="18" t="inlineStr">
        <is>
          <t>actividad_plan_anual_5</t>
        </is>
      </c>
      <c r="E1341" s="18" t="n">
        <v>1604</v>
      </c>
      <c r="F1341" s="18" t="inlineStr">
        <is>
          <t>observaciones</t>
        </is>
      </c>
      <c r="G1341" s="18" t="inlineStr">
        <is>
          <t>text</t>
        </is>
      </c>
      <c r="H1341" s="18" t="inlineStr">
        <is>
          <t>Sí</t>
        </is>
      </c>
      <c r="I1341" s="18" t="inlineStr"/>
      <c r="J1341" s="18" t="inlineStr"/>
      <c r="K1341" s="18" t="inlineStr"/>
      <c r="L1341" s="18" t="inlineStr">
        <is>
          <t>No</t>
        </is>
      </c>
      <c r="M1341" s="18" t="inlineStr">
        <is>
          <t>No</t>
        </is>
      </c>
      <c r="N1341" s="18" t="inlineStr"/>
      <c r="O1341" s="18" t="inlineStr"/>
      <c r="P1341" s="18" t="inlineStr">
        <is>
          <t>Mapeada en internal-institutional-control-service/src/esap/plan-anual-5-roles/entities/actividad-plan-anual-5.entity.ts:63 (ActividadPlanAnual5.observaciones) | Validación: IsOptional, IsString</t>
        </is>
      </c>
      <c r="Q1341" s="18" t="inlineStr">
        <is>
          <t>Regla estructural</t>
        </is>
      </c>
      <c r="R1341" s="18" t="inlineStr">
        <is>
          <t>Observaciones registradas sobre el registro.</t>
        </is>
      </c>
      <c r="S1341" s="18" t="inlineStr">
        <is>
          <t>Media</t>
        </is>
      </c>
      <c r="T1341" s="18" t="inlineStr">
        <is>
          <t>Convención de nombre de la columna.</t>
        </is>
      </c>
      <c r="U1341" s="18" t="inlineStr"/>
      <c r="V1341" s="19" t="inlineStr">
        <is>
          <t>Pendiente</t>
        </is>
      </c>
      <c r="W1341" s="19" t="inlineStr"/>
      <c r="X1341" s="19" t="inlineStr"/>
      <c r="Y1341" s="20" t="n"/>
      <c r="Z1341" s="19" t="inlineStr"/>
      <c r="AA1341" s="18">
        <f>IF(OR(V1341="Aprobada"),R1341,IF(AND(OR(V1341="Aprobada con ajuste",V1341="Rechazada"),W1341&lt;&gt;""),W1341,""))</f>
        <v/>
      </c>
    </row>
    <row r="1342">
      <c r="A1342" s="18" t="inlineStr">
        <is>
          <t>C1341</t>
        </is>
      </c>
      <c r="B1342" s="18" t="inlineStr">
        <is>
          <t>Control interno</t>
        </is>
      </c>
      <c r="C1342" s="18" t="inlineStr">
        <is>
          <t>control_interno</t>
        </is>
      </c>
      <c r="D1342" s="18" t="inlineStr">
        <is>
          <t>actividad_plan_anual_5</t>
        </is>
      </c>
      <c r="E1342" s="18" t="n">
        <v>1604</v>
      </c>
      <c r="F1342" s="18" t="inlineStr">
        <is>
          <t>prioridad</t>
        </is>
      </c>
      <c r="G1342" s="18" t="inlineStr">
        <is>
          <t>character varying(20)</t>
        </is>
      </c>
      <c r="H1342" s="18" t="inlineStr">
        <is>
          <t>No</t>
        </is>
      </c>
      <c r="I1342" s="18" t="inlineStr">
        <is>
          <t>CHECK</t>
        </is>
      </c>
      <c r="J1342" s="18" t="inlineStr">
        <is>
          <t>Alta, Baja, Media</t>
        </is>
      </c>
      <c r="K1342" s="18" t="inlineStr"/>
      <c r="L1342" s="18" t="inlineStr">
        <is>
          <t>Sí</t>
        </is>
      </c>
      <c r="M1342" s="18" t="inlineStr">
        <is>
          <t>No</t>
        </is>
      </c>
      <c r="N1342" s="18" t="inlineStr"/>
      <c r="O1342" s="18" t="inlineStr"/>
      <c r="P1342" s="18" t="inlineStr">
        <is>
          <t>Mapeada en internal-institutional-control-service/src/esap/plan-anual-5-roles/entities/actividad-plan-anual-5.entity.ts:66 (ActividadPlanAnual5.prioridad) | Validación: IsEnum(PrioridadAuditoria), IsEnum(PrioridadAuditoriaProgramada), IsEnum(PrioridadNotificacion), IsEnum(PrioridadTarea), IsEnum(['Alta', 'Media', 'Baja']), IsInt</t>
        </is>
      </c>
      <c r="Q1342" s="18" t="inlineStr">
        <is>
          <t>Propuesta semántica</t>
        </is>
      </c>
      <c r="R1342" s="18" t="inlineStr">
        <is>
          <t>Prioridad de la actividad. Valores permitidos: Alta, Media, Baja; por defecto Media.</t>
        </is>
      </c>
      <c r="S1342" s="18" t="inlineStr">
        <is>
          <t>Alta</t>
        </is>
      </c>
      <c r="T1342" s="18" t="inlineStr">
        <is>
          <t>valores permitidos del CHECK + defecto ~</t>
        </is>
      </c>
      <c r="U1342" s="18" t="inlineStr"/>
      <c r="V1342" s="19" t="inlineStr">
        <is>
          <t>Pendiente</t>
        </is>
      </c>
      <c r="W1342" s="19" t="inlineStr"/>
      <c r="X1342" s="19" t="inlineStr"/>
      <c r="Y1342" s="20" t="n"/>
      <c r="Z1342" s="19" t="inlineStr"/>
      <c r="AA1342" s="18">
        <f>IF(OR(V1342="Aprobada"),R1342,IF(AND(OR(V1342="Aprobada con ajuste",V1342="Rechazada"),W1342&lt;&gt;""),W1342,""))</f>
        <v/>
      </c>
    </row>
    <row r="1343">
      <c r="A1343" s="18" t="inlineStr">
        <is>
          <t>C1342</t>
        </is>
      </c>
      <c r="B1343" s="18" t="inlineStr">
        <is>
          <t>Control interno</t>
        </is>
      </c>
      <c r="C1343" s="18" t="inlineStr">
        <is>
          <t>control_interno</t>
        </is>
      </c>
      <c r="D1343" s="18" t="inlineStr">
        <is>
          <t>actividad_plan_anual_5</t>
        </is>
      </c>
      <c r="E1343" s="18" t="n">
        <v>1604</v>
      </c>
      <c r="F1343" s="18" t="inlineStr">
        <is>
          <t>activo</t>
        </is>
      </c>
      <c r="G1343" s="18" t="inlineStr">
        <is>
          <t>boolean</t>
        </is>
      </c>
      <c r="H1343" s="18" t="inlineStr">
        <is>
          <t>Sí</t>
        </is>
      </c>
      <c r="I1343" s="18" t="inlineStr"/>
      <c r="J1343" s="18" t="inlineStr"/>
      <c r="K1343" s="18" t="inlineStr"/>
      <c r="L1343" s="18" t="inlineStr">
        <is>
          <t>No</t>
        </is>
      </c>
      <c r="M1343" s="18" t="inlineStr">
        <is>
          <t>No</t>
        </is>
      </c>
      <c r="N1343" s="18" t="inlineStr"/>
      <c r="O1343" s="18" t="inlineStr">
        <is>
          <t>idx_actividad_plan_anual_5_activo</t>
        </is>
      </c>
      <c r="P1343" s="18" t="inlineStr">
        <is>
          <t>internal-institutional-control-service/src/esap/plan-anual-5-roles/entities/actividad-plan-anual-5.entity.ts:201: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343" s="18" t="inlineStr">
        <is>
          <t>Código fuente</t>
        </is>
      </c>
      <c r="R1343" s="18" t="inlineStr">
        <is>
          <t>Indica si la actividad del plan anual está activa. Por defecto verdadero.</t>
        </is>
      </c>
      <c r="S1343" s="18" t="inlineStr">
        <is>
          <t>Alta</t>
        </is>
      </c>
      <c r="T1343" s="18" t="inlineStr">
        <is>
          <t>nombre + tipo + propuesta por regla</t>
        </is>
      </c>
      <c r="U1343" s="18" t="inlineStr"/>
      <c r="V1343" s="19" t="inlineStr">
        <is>
          <t>Pendiente</t>
        </is>
      </c>
      <c r="W1343" s="19" t="inlineStr"/>
      <c r="X1343" s="19" t="inlineStr"/>
      <c r="Y1343" s="20" t="n"/>
      <c r="Z1343" s="19" t="inlineStr"/>
      <c r="AA1343" s="18">
        <f>IF(OR(V1343="Aprobada"),R1343,IF(AND(OR(V1343="Aprobada con ajuste",V1343="Rechazada"),W1343&lt;&gt;""),W1343,""))</f>
        <v/>
      </c>
    </row>
    <row r="1344">
      <c r="A1344" s="18" t="inlineStr">
        <is>
          <t>C1343</t>
        </is>
      </c>
      <c r="B1344" s="18" t="inlineStr">
        <is>
          <t>Control interno</t>
        </is>
      </c>
      <c r="C1344" s="18" t="inlineStr">
        <is>
          <t>control_interno</t>
        </is>
      </c>
      <c r="D1344" s="18" t="inlineStr">
        <is>
          <t>actividad_plan_anual_5</t>
        </is>
      </c>
      <c r="E1344" s="18" t="n">
        <v>1604</v>
      </c>
      <c r="F1344" s="18" t="inlineStr">
        <is>
          <t>total_auditorias_programadas</t>
        </is>
      </c>
      <c r="G1344" s="18" t="inlineStr">
        <is>
          <t>integer</t>
        </is>
      </c>
      <c r="H1344" s="18" t="inlineStr">
        <is>
          <t>Sí</t>
        </is>
      </c>
      <c r="I1344" s="18" t="inlineStr"/>
      <c r="J1344" s="18" t="inlineStr"/>
      <c r="K1344" s="18" t="inlineStr"/>
      <c r="L1344" s="18" t="inlineStr">
        <is>
          <t>No</t>
        </is>
      </c>
      <c r="M1344" s="18" t="inlineStr">
        <is>
          <t>Sí</t>
        </is>
      </c>
      <c r="N1344" s="18" t="inlineStr">
        <is>
          <t>Función control_interno.fn_actualizar_cumplimiento_auditorias_vigencia; Vista control_interno.v_estado_vinculacion_auditorias — control_interno.fn_actualizar_cumplimiento_auditorias_vigencia: total_auditorias_programadas = v_cumplimiento.total_programadas,</t>
        </is>
      </c>
      <c r="O1344" s="18" t="inlineStr"/>
      <c r="P1344" s="18" t="inlineStr">
        <is>
          <t>internal-institutional-control-service/src/esap/plan-anual-5-roles/entities/actividad-plan-anual-5.entity.ts:114: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</t>
        </is>
      </c>
      <c r="Q1344" s="18" t="inlineStr">
        <is>
          <t>Código fuente</t>
        </is>
      </c>
      <c r="R1344" s="18" t="inlineStr">
        <is>
          <t>Total de auditorías programadas asociadas a la actividad del plan anual; lo actualiza la función fn_actualizar_cumplimiento_auditorias_vigencia. Por defecto 0.</t>
        </is>
      </c>
      <c r="S1344" s="18" t="inlineStr">
        <is>
          <t>Alta</t>
        </is>
      </c>
      <c r="T1344" s="18" t="inlineStr">
        <is>
          <t>uso en la función control_interno.fn_actualizar_cumplimiento_auditorias_vigencia</t>
        </is>
      </c>
      <c r="U1344" s="18" t="inlineStr"/>
      <c r="V1344" s="19" t="inlineStr">
        <is>
          <t>Pendiente</t>
        </is>
      </c>
      <c r="W1344" s="19" t="inlineStr"/>
      <c r="X1344" s="19" t="inlineStr"/>
      <c r="Y1344" s="20" t="n"/>
      <c r="Z1344" s="19" t="inlineStr"/>
      <c r="AA1344" s="18">
        <f>IF(OR(V1344="Aprobada"),R1344,IF(AND(OR(V1344="Aprobada con ajuste",V1344="Rechazada"),W1344&lt;&gt;""),W1344,""))</f>
        <v/>
      </c>
    </row>
    <row r="1345">
      <c r="A1345" s="18" t="inlineStr">
        <is>
          <t>C1344</t>
        </is>
      </c>
      <c r="B1345" s="18" t="inlineStr">
        <is>
          <t>Control interno</t>
        </is>
      </c>
      <c r="C1345" s="18" t="inlineStr">
        <is>
          <t>control_interno</t>
        </is>
      </c>
      <c r="D1345" s="18" t="inlineStr">
        <is>
          <t>actividad_plan_anual_5</t>
        </is>
      </c>
      <c r="E1345" s="18" t="n">
        <v>1604</v>
      </c>
      <c r="F1345" s="18" t="inlineStr">
        <is>
          <t>total_auditorias_finalizadas</t>
        </is>
      </c>
      <c r="G1345" s="18" t="inlineStr">
        <is>
          <t>integer</t>
        </is>
      </c>
      <c r="H1345" s="18" t="inlineStr">
        <is>
          <t>Sí</t>
        </is>
      </c>
      <c r="I1345" s="18" t="inlineStr"/>
      <c r="J1345" s="18" t="inlineStr"/>
      <c r="K1345" s="18" t="inlineStr"/>
      <c r="L1345" s="18" t="inlineStr">
        <is>
          <t>No</t>
        </is>
      </c>
      <c r="M1345" s="18" t="inlineStr">
        <is>
          <t>Sí</t>
        </is>
      </c>
      <c r="N1345" s="18" t="inlineStr">
        <is>
          <t>Función control_interno.fn_actualizar_cumplimiento_auditorias_vigencia; Vista control_interno.v_estado_vinculacion_auditorias — control_interno.fn_actualizar_cumplimiento_auditorias_vigencia: total_auditorias_finalizadas = v_cumplimiento.total_finalizadas,</t>
        </is>
      </c>
      <c r="O1345" s="18" t="inlineStr"/>
      <c r="P1345" s="18" t="inlineStr">
        <is>
          <t>internal-institutional-control-service/src/esap/plan-anual-5-roles/entities/actividad-plan-anual-5.entity.ts:117: ═══════════════════════════════════════════════════════════════════════════ NUEVOS CAMPOS - Migración 129 ═══════════════════════════════════════════════════════════════════════════</t>
        </is>
      </c>
      <c r="Q1345" s="18" t="inlineStr">
        <is>
          <t>Código fuente</t>
        </is>
      </c>
      <c r="R1345" s="18" t="inlineStr">
        <is>
          <t>Total de auditorías finalizadas asociadas a la actividad del plan anual; lo actualiza la función fn_actualizar_cumplimiento_auditorias_vigencia. Por defecto 0.</t>
        </is>
      </c>
      <c r="S1345" s="18" t="inlineStr">
        <is>
          <t>Alta</t>
        </is>
      </c>
      <c r="T1345" s="18" t="inlineStr">
        <is>
          <t>uso en la función control_interno.fn_actualizar_cumplimiento_auditorias_vigencia</t>
        </is>
      </c>
      <c r="U1345" s="18" t="inlineStr"/>
      <c r="V1345" s="19" t="inlineStr">
        <is>
          <t>Pendiente</t>
        </is>
      </c>
      <c r="W1345" s="19" t="inlineStr"/>
      <c r="X1345" s="19" t="inlineStr"/>
      <c r="Y1345" s="20" t="n"/>
      <c r="Z1345" s="19" t="inlineStr"/>
      <c r="AA1345" s="18">
        <f>IF(OR(V1345="Aprobada"),R1345,IF(AND(OR(V1345="Aprobada con ajuste",V1345="Rechazada"),W1345&lt;&gt;""),W1345,""))</f>
        <v/>
      </c>
    </row>
    <row r="1346">
      <c r="A1346" s="18" t="inlineStr">
        <is>
          <t>C1345</t>
        </is>
      </c>
      <c r="B1346" s="18" t="inlineStr">
        <is>
          <t>Control interno</t>
        </is>
      </c>
      <c r="C1346" s="18" t="inlineStr">
        <is>
          <t>control_interno</t>
        </is>
      </c>
      <c r="D1346" s="18" t="inlineStr">
        <is>
          <t>actividad_proceso_auditoria</t>
        </is>
      </c>
      <c r="E1346" s="18" t="n">
        <v>0</v>
      </c>
      <c r="F1346" s="18" t="inlineStr">
        <is>
          <t>fase</t>
        </is>
      </c>
      <c r="G1346" s="18" t="inlineStr">
        <is>
          <t>character varying(50)</t>
        </is>
      </c>
      <c r="H1346" s="18" t="inlineStr">
        <is>
          <t>No</t>
        </is>
      </c>
      <c r="I1346" s="18" t="inlineStr">
        <is>
          <t>CHECK</t>
        </is>
      </c>
      <c r="J1346" s="18" t="inlineStr">
        <is>
          <t>Comunicación, Ejecución, Planeación, Seguimiento</t>
        </is>
      </c>
      <c r="K1346" s="18" t="inlineStr"/>
      <c r="L1346" s="18" t="inlineStr">
        <is>
          <t>Sí</t>
        </is>
      </c>
      <c r="M1346" s="18" t="inlineStr">
        <is>
          <t>Sí</t>
        </is>
      </c>
      <c r="N1346" s="18" t="inlineStr">
        <is>
          <t>Función control_interno.actualizar_actividades_auditoria — control_interno.actualizar_actividades_auditoria: -- Obtener la fase actual de la auditoría</t>
        </is>
      </c>
      <c r="O1346" s="18" t="inlineStr">
        <is>
          <t>idx_actividad_fase, uq_actividad_fase_orden</t>
        </is>
      </c>
      <c r="P1346" s="18" t="inlineStr"/>
      <c r="Q1346" s="18" t="inlineStr">
        <is>
          <t>Propuesta semántica</t>
        </is>
      </c>
      <c r="R1346" s="18" t="inlineStr">
        <is>
          <t>Fase del proceso de auditoría a la que pertenece la actividad. Valores permitidos: Planeación, Comunicación, Ejecución, Seguimiento.</t>
        </is>
      </c>
      <c r="S1346" s="18" t="inlineStr">
        <is>
          <t>Alta</t>
        </is>
      </c>
      <c r="T1346" s="18" t="inlineStr">
        <is>
          <t>valores permitidos del CHECK + uso en la función actualizar_actividades_auditoria ~</t>
        </is>
      </c>
      <c r="U1346" s="18" t="inlineStr"/>
      <c r="V1346" s="19" t="inlineStr">
        <is>
          <t>Pendiente</t>
        </is>
      </c>
      <c r="W1346" s="19" t="inlineStr"/>
      <c r="X1346" s="19" t="inlineStr"/>
      <c r="Y1346" s="20" t="n"/>
      <c r="Z1346" s="19" t="inlineStr"/>
      <c r="AA1346" s="18">
        <f>IF(OR(V1346="Aprobada"),R1346,IF(AND(OR(V1346="Aprobada con ajuste",V1346="Rechazada"),W1346&lt;&gt;""),W1346,""))</f>
        <v/>
      </c>
    </row>
    <row r="1347">
      <c r="A1347" s="18" t="inlineStr">
        <is>
          <t>C1346</t>
        </is>
      </c>
      <c r="B1347" s="18" t="inlineStr">
        <is>
          <t>Control interno</t>
        </is>
      </c>
      <c r="C1347" s="18" t="inlineStr">
        <is>
          <t>control_interno</t>
        </is>
      </c>
      <c r="D1347" s="18" t="inlineStr">
        <is>
          <t>actividad_proceso_auditoria</t>
        </is>
      </c>
      <c r="E1347" s="18" t="n">
        <v>0</v>
      </c>
      <c r="F1347" s="18" t="inlineStr">
        <is>
          <t>nombre</t>
        </is>
      </c>
      <c r="G1347" s="18" t="inlineStr">
        <is>
          <t>character varying(255)</t>
        </is>
      </c>
      <c r="H1347" s="18" t="inlineStr">
        <is>
          <t>No</t>
        </is>
      </c>
      <c r="I1347" s="18" t="inlineStr"/>
      <c r="J1347" s="18" t="inlineStr"/>
      <c r="K1347" s="18" t="inlineStr"/>
      <c r="L1347" s="18" t="inlineStr">
        <is>
          <t>No</t>
        </is>
      </c>
      <c r="M1347" s="18" t="inlineStr">
        <is>
          <t>No</t>
        </is>
      </c>
      <c r="N1347" s="18" t="inlineStr"/>
      <c r="O1347" s="18" t="inlineStr"/>
      <c r="P1347" s="18" t="inlineStr"/>
      <c r="Q1347" s="18" t="inlineStr">
        <is>
          <t>Regla estructural</t>
        </is>
      </c>
      <c r="R1347" s="18" t="inlineStr">
        <is>
          <t>Nombre del registro de actividad_proceso_auditoria.</t>
        </is>
      </c>
      <c r="S1347" s="18" t="inlineStr">
        <is>
          <t>Media</t>
        </is>
      </c>
      <c r="T1347" s="18" t="inlineStr">
        <is>
          <t>Convención de nombre de la columna.</t>
        </is>
      </c>
      <c r="U1347" s="18" t="inlineStr"/>
      <c r="V1347" s="19" t="inlineStr">
        <is>
          <t>Pendiente</t>
        </is>
      </c>
      <c r="W1347" s="19" t="inlineStr"/>
      <c r="X1347" s="19" t="inlineStr"/>
      <c r="Y1347" s="20" t="n"/>
      <c r="Z1347" s="19" t="inlineStr"/>
      <c r="AA1347" s="18">
        <f>IF(OR(V1347="Aprobada"),R1347,IF(AND(OR(V1347="Aprobada con ajuste",V1347="Rechazada"),W1347&lt;&gt;""),W1347,""))</f>
        <v/>
      </c>
    </row>
    <row r="1348">
      <c r="A1348" s="18" t="inlineStr">
        <is>
          <t>C1347</t>
        </is>
      </c>
      <c r="B1348" s="18" t="inlineStr">
        <is>
          <t>Control interno</t>
        </is>
      </c>
      <c r="C1348" s="18" t="inlineStr">
        <is>
          <t>control_interno</t>
        </is>
      </c>
      <c r="D1348" s="18" t="inlineStr">
        <is>
          <t>actividad_proceso_auditoria</t>
        </is>
      </c>
      <c r="E1348" s="18" t="n">
        <v>0</v>
      </c>
      <c r="F1348" s="18" t="inlineStr">
        <is>
          <t>descripcion</t>
        </is>
      </c>
      <c r="G1348" s="18" t="inlineStr">
        <is>
          <t>text</t>
        </is>
      </c>
      <c r="H1348" s="18" t="inlineStr">
        <is>
          <t>Sí</t>
        </is>
      </c>
      <c r="I1348" s="18" t="inlineStr"/>
      <c r="J1348" s="18" t="inlineStr"/>
      <c r="K1348" s="18" t="inlineStr"/>
      <c r="L1348" s="18" t="inlineStr">
        <is>
          <t>No</t>
        </is>
      </c>
      <c r="M1348" s="18" t="inlineStr">
        <is>
          <t>No</t>
        </is>
      </c>
      <c r="N1348" s="18" t="inlineStr"/>
      <c r="O1348" s="18" t="inlineStr"/>
      <c r="P1348" s="18" t="inlineStr"/>
      <c r="Q1348" s="18" t="inlineStr">
        <is>
          <t>Regla estructural</t>
        </is>
      </c>
      <c r="R1348" s="18" t="inlineStr">
        <is>
          <t>Descripción del registro de actividad_proceso_auditoria.</t>
        </is>
      </c>
      <c r="S1348" s="18" t="inlineStr">
        <is>
          <t>Media</t>
        </is>
      </c>
      <c r="T1348" s="18" t="inlineStr">
        <is>
          <t>Convención de nombre de la columna.</t>
        </is>
      </c>
      <c r="U1348" s="18" t="inlineStr"/>
      <c r="V1348" s="19" t="inlineStr">
        <is>
          <t>Pendiente</t>
        </is>
      </c>
      <c r="W1348" s="19" t="inlineStr"/>
      <c r="X1348" s="19" t="inlineStr"/>
      <c r="Y1348" s="20" t="n"/>
      <c r="Z1348" s="19" t="inlineStr"/>
      <c r="AA1348" s="18">
        <f>IF(OR(V1348="Aprobada"),R1348,IF(AND(OR(V1348="Aprobada con ajuste",V1348="Rechazada"),W1348&lt;&gt;""),W1348,""))</f>
        <v/>
      </c>
    </row>
    <row r="1349">
      <c r="A1349" s="18" t="inlineStr">
        <is>
          <t>C1348</t>
        </is>
      </c>
      <c r="B1349" s="18" t="inlineStr">
        <is>
          <t>Control interno</t>
        </is>
      </c>
      <c r="C1349" s="18" t="inlineStr">
        <is>
          <t>control_interno</t>
        </is>
      </c>
      <c r="D1349" s="18" t="inlineStr">
        <is>
          <t>actividad_proceso_auditoria</t>
        </is>
      </c>
      <c r="E1349" s="18" t="n">
        <v>0</v>
      </c>
      <c r="F1349" s="18" t="inlineStr">
        <is>
          <t>orden</t>
        </is>
      </c>
      <c r="G1349" s="18" t="inlineStr">
        <is>
          <t>integer</t>
        </is>
      </c>
      <c r="H1349" s="18" t="inlineStr">
        <is>
          <t>No</t>
        </is>
      </c>
      <c r="I1349" s="18" t="inlineStr">
        <is>
          <t>CHECK</t>
        </is>
      </c>
      <c r="J1349" s="18" t="inlineStr"/>
      <c r="K1349" s="18" t="inlineStr"/>
      <c r="L1349" s="18" t="inlineStr">
        <is>
          <t>No</t>
        </is>
      </c>
      <c r="M1349" s="18" t="inlineStr">
        <is>
          <t>No</t>
        </is>
      </c>
      <c r="N1349" s="18" t="inlineStr"/>
      <c r="O1349" s="18" t="inlineStr">
        <is>
          <t>uq_actividad_fase_orden</t>
        </is>
      </c>
      <c r="P1349" s="18" t="inlineStr">
        <is>
          <t>db/migrations/old/036_add_auditorias_kanban_completo.sql:733: Máximo 3 actividades por fase</t>
        </is>
      </c>
      <c r="Q1349" s="18" t="inlineStr">
        <is>
          <t>Código fuente</t>
        </is>
      </c>
      <c r="R1349" s="18" t="inlineStr">
        <is>
          <t>Posición de la actividad dentro de la fase del proceso de auditoría; máximo tres actividades por fase.</t>
        </is>
      </c>
      <c r="S1349" s="18" t="inlineStr">
        <is>
          <t>Alta</t>
        </is>
      </c>
      <c r="T1349" s="18" t="inlineStr">
        <is>
          <t>código: db/migrations/old/036_add_auditorias_kanban_completo.sql:733</t>
        </is>
      </c>
      <c r="U1349" s="18" t="inlineStr"/>
      <c r="V1349" s="19" t="inlineStr">
        <is>
          <t>Pendiente</t>
        </is>
      </c>
      <c r="W1349" s="19" t="inlineStr"/>
      <c r="X1349" s="19" t="inlineStr"/>
      <c r="Y1349" s="20" t="n"/>
      <c r="Z1349" s="19" t="inlineStr"/>
      <c r="AA1349" s="18">
        <f>IF(OR(V1349="Aprobada"),R1349,IF(AND(OR(V1349="Aprobada con ajuste",V1349="Rechazada"),W1349&lt;&gt;""),W1349,""))</f>
        <v/>
      </c>
    </row>
    <row r="1350">
      <c r="A1350" s="18" t="inlineStr">
        <is>
          <t>C1349</t>
        </is>
      </c>
      <c r="B1350" s="18" t="inlineStr">
        <is>
          <t>Control interno</t>
        </is>
      </c>
      <c r="C1350" s="18" t="inlineStr">
        <is>
          <t>control_interno</t>
        </is>
      </c>
      <c r="D1350" s="18" t="inlineStr">
        <is>
          <t>actividad_proceso_auditoria</t>
        </is>
      </c>
      <c r="E1350" s="18" t="n">
        <v>0</v>
      </c>
      <c r="F1350" s="18" t="inlineStr">
        <is>
          <t>estado</t>
        </is>
      </c>
      <c r="G1350" s="18" t="inlineStr">
        <is>
          <t>character varying(50)</t>
        </is>
      </c>
      <c r="H1350" s="18" t="inlineStr">
        <is>
          <t>No</t>
        </is>
      </c>
      <c r="I1350" s="18" t="inlineStr">
        <is>
          <t>CHECK</t>
        </is>
      </c>
      <c r="J1350" s="18" t="inlineStr">
        <is>
          <t>completada, en-progreso, pendiente</t>
        </is>
      </c>
      <c r="K1350" s="18" t="inlineStr"/>
      <c r="L1350" s="18" t="inlineStr">
        <is>
          <t>Sí</t>
        </is>
      </c>
      <c r="M1350" s="18" t="inlineStr">
        <is>
          <t>Sí</t>
        </is>
      </c>
      <c r="N1350" s="18" t="inlineStr">
        <is>
          <t>Función control_interno.actualizar_actividades_auditoria; Trigger trigger_actualizar_actividades — control_interno.actualizar_actividades_auditoria: SELECT COUNT(*), COUNT(*) FILTER (WHERE estado = 'completada')</t>
        </is>
      </c>
      <c r="O1350" s="18" t="inlineStr">
        <is>
          <t>idx_actividad_estado</t>
        </is>
      </c>
      <c r="P1350" s="18" t="inlineStr"/>
      <c r="Q1350" s="18" t="inlineStr">
        <is>
          <t>Regla estructural</t>
        </is>
      </c>
      <c r="R1350" s="18" t="inlineStr">
        <is>
          <t>Estado del registro de actividad_proceso_auditoria.</t>
        </is>
      </c>
      <c r="S1350" s="18" t="inlineStr">
        <is>
          <t>Media</t>
        </is>
      </c>
      <c r="T1350" s="18" t="inlineStr">
        <is>
          <t>Convención de nombre de la columna.</t>
        </is>
      </c>
      <c r="U1350" s="18" t="inlineStr"/>
      <c r="V1350" s="19" t="inlineStr">
        <is>
          <t>Pendiente</t>
        </is>
      </c>
      <c r="W1350" s="19" t="inlineStr"/>
      <c r="X1350" s="19" t="inlineStr"/>
      <c r="Y1350" s="20" t="n"/>
      <c r="Z1350" s="19" t="inlineStr"/>
      <c r="AA1350" s="18">
        <f>IF(OR(V1350="Aprobada"),R1350,IF(AND(OR(V1350="Aprobada con ajuste",V1350="Rechazada"),W1350&lt;&gt;""),W1350,""))</f>
        <v/>
      </c>
    </row>
    <row r="1351">
      <c r="A1351" s="18" t="inlineStr">
        <is>
          <t>C1350</t>
        </is>
      </c>
      <c r="B1351" s="18" t="inlineStr">
        <is>
          <t>Control interno</t>
        </is>
      </c>
      <c r="C1351" s="18" t="inlineStr">
        <is>
          <t>control_interno</t>
        </is>
      </c>
      <c r="D1351" s="18" t="inlineStr">
        <is>
          <t>actividad_proceso_auditoria</t>
        </is>
      </c>
      <c r="E1351" s="18" t="n">
        <v>0</v>
      </c>
      <c r="F1351" s="18" t="inlineStr">
        <is>
          <t>fecha_limite</t>
        </is>
      </c>
      <c r="G1351" s="18" t="inlineStr">
        <is>
          <t>date</t>
        </is>
      </c>
      <c r="H1351" s="18" t="inlineStr">
        <is>
          <t>Sí</t>
        </is>
      </c>
      <c r="I1351" s="18" t="inlineStr"/>
      <c r="J1351" s="18" t="inlineStr"/>
      <c r="K1351" s="18" t="inlineStr"/>
      <c r="L1351" s="18" t="inlineStr">
        <is>
          <t>No</t>
        </is>
      </c>
      <c r="M1351" s="18" t="inlineStr">
        <is>
          <t>No</t>
        </is>
      </c>
      <c r="N1351" s="18" t="inlineStr"/>
      <c r="O1351" s="18" t="inlineStr"/>
      <c r="P1351" s="18" t="inlineStr"/>
      <c r="Q1351" s="18" t="inlineStr">
        <is>
          <t>Regla estructural</t>
        </is>
      </c>
      <c r="R1351" s="18" t="inlineStr">
        <is>
          <t>Fecha límite.</t>
        </is>
      </c>
      <c r="S1351" s="18" t="inlineStr">
        <is>
          <t>Media</t>
        </is>
      </c>
      <c r="T1351" s="18" t="inlineStr">
        <is>
          <t>Convención de nombre de la columna.</t>
        </is>
      </c>
      <c r="U1351" s="18" t="inlineStr"/>
      <c r="V1351" s="19" t="inlineStr">
        <is>
          <t>Pendiente</t>
        </is>
      </c>
      <c r="W1351" s="19" t="inlineStr"/>
      <c r="X1351" s="19" t="inlineStr"/>
      <c r="Y1351" s="20" t="n"/>
      <c r="Z1351" s="19" t="inlineStr"/>
      <c r="AA1351" s="18">
        <f>IF(OR(V1351="Aprobada"),R1351,IF(AND(OR(V1351="Aprobada con ajuste",V1351="Rechazada"),W1351&lt;&gt;""),W1351,""))</f>
        <v/>
      </c>
    </row>
    <row r="1352">
      <c r="A1352" s="18" t="inlineStr">
        <is>
          <t>C1351</t>
        </is>
      </c>
      <c r="B1352" s="18" t="inlineStr">
        <is>
          <t>Control interno</t>
        </is>
      </c>
      <c r="C1352" s="18" t="inlineStr">
        <is>
          <t>control_interno</t>
        </is>
      </c>
      <c r="D1352" s="18" t="inlineStr">
        <is>
          <t>actividad_proceso_auditoria</t>
        </is>
      </c>
      <c r="E1352" s="18" t="n">
        <v>0</v>
      </c>
      <c r="F1352" s="18" t="inlineStr">
        <is>
          <t>fecha_completacion</t>
        </is>
      </c>
      <c r="G1352" s="18" t="inlineStr">
        <is>
          <t>timestamp without time zone</t>
        </is>
      </c>
      <c r="H1352" s="18" t="inlineStr">
        <is>
          <t>Sí</t>
        </is>
      </c>
      <c r="I1352" s="18" t="inlineStr"/>
      <c r="J1352" s="18" t="inlineStr"/>
      <c r="K1352" s="18" t="inlineStr"/>
      <c r="L1352" s="18" t="inlineStr">
        <is>
          <t>No</t>
        </is>
      </c>
      <c r="M1352" s="18" t="inlineStr">
        <is>
          <t>No</t>
        </is>
      </c>
      <c r="N1352" s="18" t="inlineStr"/>
      <c r="O1352" s="18" t="inlineStr"/>
      <c r="P1352" s="18" t="inlineStr"/>
      <c r="Q1352" s="18" t="inlineStr">
        <is>
          <t>Regla estructural</t>
        </is>
      </c>
      <c r="R1352" s="18" t="inlineStr">
        <is>
          <t>Fecha de completación.</t>
        </is>
      </c>
      <c r="S1352" s="18" t="inlineStr">
        <is>
          <t>Media</t>
        </is>
      </c>
      <c r="T1352" s="18" t="inlineStr">
        <is>
          <t>Convención de nombre de la columna.</t>
        </is>
      </c>
      <c r="U1352" s="18" t="inlineStr"/>
      <c r="V1352" s="19" t="inlineStr">
        <is>
          <t>Pendiente</t>
        </is>
      </c>
      <c r="W1352" s="19" t="inlineStr"/>
      <c r="X1352" s="19" t="inlineStr"/>
      <c r="Y1352" s="20" t="n"/>
      <c r="Z1352" s="19" t="inlineStr"/>
      <c r="AA1352" s="18">
        <f>IF(OR(V1352="Aprobada"),R1352,IF(AND(OR(V1352="Aprobada con ajuste",V1352="Rechazada"),W1352&lt;&gt;""),W1352,""))</f>
        <v/>
      </c>
    </row>
    <row r="1353">
      <c r="A1353" s="18" t="inlineStr">
        <is>
          <t>C1352</t>
        </is>
      </c>
      <c r="B1353" s="18" t="inlineStr">
        <is>
          <t>Control interno</t>
        </is>
      </c>
      <c r="C1353" s="18" t="inlineStr">
        <is>
          <t>control_interno</t>
        </is>
      </c>
      <c r="D1353" s="18" t="inlineStr">
        <is>
          <t>actividad_proceso_auditoria</t>
        </is>
      </c>
      <c r="E1353" s="18" t="n">
        <v>0</v>
      </c>
      <c r="F1353" s="18" t="inlineStr">
        <is>
          <t>observaciones</t>
        </is>
      </c>
      <c r="G1353" s="18" t="inlineStr">
        <is>
          <t>text</t>
        </is>
      </c>
      <c r="H1353" s="18" t="inlineStr">
        <is>
          <t>Sí</t>
        </is>
      </c>
      <c r="I1353" s="18" t="inlineStr"/>
      <c r="J1353" s="18" t="inlineStr"/>
      <c r="K1353" s="18" t="inlineStr"/>
      <c r="L1353" s="18" t="inlineStr">
        <is>
          <t>No</t>
        </is>
      </c>
      <c r="M1353" s="18" t="inlineStr">
        <is>
          <t>No</t>
        </is>
      </c>
      <c r="N1353" s="18" t="inlineStr"/>
      <c r="O1353" s="18" t="inlineStr"/>
      <c r="P1353" s="18" t="inlineStr"/>
      <c r="Q1353" s="18" t="inlineStr">
        <is>
          <t>Regla estructural</t>
        </is>
      </c>
      <c r="R1353" s="18" t="inlineStr">
        <is>
          <t>Observaciones registradas sobre el registro.</t>
        </is>
      </c>
      <c r="S1353" s="18" t="inlineStr">
        <is>
          <t>Media</t>
        </is>
      </c>
      <c r="T1353" s="18" t="inlineStr">
        <is>
          <t>Convención de nombre de la columna.</t>
        </is>
      </c>
      <c r="U1353" s="18" t="inlineStr"/>
      <c r="V1353" s="19" t="inlineStr">
        <is>
          <t>Pendiente</t>
        </is>
      </c>
      <c r="W1353" s="19" t="inlineStr"/>
      <c r="X1353" s="19" t="inlineStr"/>
      <c r="Y1353" s="20" t="n"/>
      <c r="Z1353" s="19" t="inlineStr"/>
      <c r="AA1353" s="18">
        <f>IF(OR(V1353="Aprobada"),R1353,IF(AND(OR(V1353="Aprobada con ajuste",V1353="Rechazada"),W1353&lt;&gt;""),W1353,""))</f>
        <v/>
      </c>
    </row>
    <row r="1354">
      <c r="A1354" s="18" t="inlineStr">
        <is>
          <t>C1353</t>
        </is>
      </c>
      <c r="B1354" s="18" t="inlineStr">
        <is>
          <t>Control interno</t>
        </is>
      </c>
      <c r="C1354" s="18" t="inlineStr">
        <is>
          <t>control_interno</t>
        </is>
      </c>
      <c r="D1354" s="18" t="inlineStr">
        <is>
          <t>actividad_rol</t>
        </is>
      </c>
      <c r="E1354" s="18" t="n">
        <v>0</v>
      </c>
      <c r="F1354" s="18" t="inlineStr">
        <is>
          <t>nombre</t>
        </is>
      </c>
      <c r="G1354" s="18" t="inlineStr">
        <is>
          <t>character varying(255)</t>
        </is>
      </c>
      <c r="H1354" s="18" t="inlineStr">
        <is>
          <t>No</t>
        </is>
      </c>
      <c r="I1354" s="18" t="inlineStr"/>
      <c r="J1354" s="18" t="inlineStr"/>
      <c r="K1354" s="18" t="inlineStr"/>
      <c r="L1354" s="18" t="inlineStr">
        <is>
          <t>No</t>
        </is>
      </c>
      <c r="M1354" s="18" t="inlineStr">
        <is>
          <t>No</t>
        </is>
      </c>
      <c r="N1354" s="18" t="inlineStr"/>
      <c r="O1354" s="18" t="inlineStr"/>
      <c r="P1354" s="18" t="inlineStr"/>
      <c r="Q1354" s="18" t="inlineStr">
        <is>
          <t>Regla estructural</t>
        </is>
      </c>
      <c r="R1354" s="18" t="inlineStr">
        <is>
          <t>Nombre del registro de actividad_rol.</t>
        </is>
      </c>
      <c r="S1354" s="18" t="inlineStr">
        <is>
          <t>Media</t>
        </is>
      </c>
      <c r="T1354" s="18" t="inlineStr">
        <is>
          <t>Convención de nombre de la columna.</t>
        </is>
      </c>
      <c r="U1354" s="18" t="inlineStr"/>
      <c r="V1354" s="19" t="inlineStr">
        <is>
          <t>Pendiente</t>
        </is>
      </c>
      <c r="W1354" s="19" t="inlineStr"/>
      <c r="X1354" s="19" t="inlineStr"/>
      <c r="Y1354" s="20" t="n"/>
      <c r="Z1354" s="19" t="inlineStr"/>
      <c r="AA1354" s="18">
        <f>IF(OR(V1354="Aprobada"),R1354,IF(AND(OR(V1354="Aprobada con ajuste",V1354="Rechazada"),W1354&lt;&gt;""),W1354,""))</f>
        <v/>
      </c>
    </row>
    <row r="1355">
      <c r="A1355" s="18" t="inlineStr">
        <is>
          <t>C1354</t>
        </is>
      </c>
      <c r="B1355" s="18" t="inlineStr">
        <is>
          <t>Control interno</t>
        </is>
      </c>
      <c r="C1355" s="18" t="inlineStr">
        <is>
          <t>control_interno</t>
        </is>
      </c>
      <c r="D1355" s="18" t="inlineStr">
        <is>
          <t>actividad_rol</t>
        </is>
      </c>
      <c r="E1355" s="18" t="n">
        <v>0</v>
      </c>
      <c r="F1355" s="18" t="inlineStr">
        <is>
          <t>descripcion</t>
        </is>
      </c>
      <c r="G1355" s="18" t="inlineStr">
        <is>
          <t>text</t>
        </is>
      </c>
      <c r="H1355" s="18" t="inlineStr">
        <is>
          <t>Sí</t>
        </is>
      </c>
      <c r="I1355" s="18" t="inlineStr"/>
      <c r="J1355" s="18" t="inlineStr"/>
      <c r="K1355" s="18" t="inlineStr"/>
      <c r="L1355" s="18" t="inlineStr">
        <is>
          <t>No</t>
        </is>
      </c>
      <c r="M1355" s="18" t="inlineStr">
        <is>
          <t>No</t>
        </is>
      </c>
      <c r="N1355" s="18" t="inlineStr"/>
      <c r="O1355" s="18" t="inlineStr"/>
      <c r="P1355" s="18" t="inlineStr"/>
      <c r="Q1355" s="18" t="inlineStr">
        <is>
          <t>Regla estructural</t>
        </is>
      </c>
      <c r="R1355" s="18" t="inlineStr">
        <is>
          <t>Descripción del registro de actividad_rol.</t>
        </is>
      </c>
      <c r="S1355" s="18" t="inlineStr">
        <is>
          <t>Media</t>
        </is>
      </c>
      <c r="T1355" s="18" t="inlineStr">
        <is>
          <t>Convención de nombre de la columna.</t>
        </is>
      </c>
      <c r="U1355" s="18" t="inlineStr"/>
      <c r="V1355" s="19" t="inlineStr">
        <is>
          <t>Pendiente</t>
        </is>
      </c>
      <c r="W1355" s="19" t="inlineStr"/>
      <c r="X1355" s="19" t="inlineStr"/>
      <c r="Y1355" s="20" t="n"/>
      <c r="Z1355" s="19" t="inlineStr"/>
      <c r="AA1355" s="18">
        <f>IF(OR(V1355="Aprobada"),R1355,IF(AND(OR(V1355="Aprobada con ajuste",V1355="Rechazada"),W1355&lt;&gt;""),W1355,""))</f>
        <v/>
      </c>
    </row>
    <row r="1356">
      <c r="A1356" s="18" t="inlineStr">
        <is>
          <t>C1355</t>
        </is>
      </c>
      <c r="B1356" s="18" t="inlineStr">
        <is>
          <t>Control interno</t>
        </is>
      </c>
      <c r="C1356" s="18" t="inlineStr">
        <is>
          <t>control_interno</t>
        </is>
      </c>
      <c r="D1356" s="18" t="inlineStr">
        <is>
          <t>actividad_rol</t>
        </is>
      </c>
      <c r="E1356" s="18" t="n">
        <v>0</v>
      </c>
      <c r="F1356" s="18" t="inlineStr">
        <is>
          <t>orden</t>
        </is>
      </c>
      <c r="G1356" s="18" t="inlineStr">
        <is>
          <t>integer</t>
        </is>
      </c>
      <c r="H1356" s="18" t="inlineStr">
        <is>
          <t>Sí</t>
        </is>
      </c>
      <c r="I1356" s="18" t="inlineStr"/>
      <c r="J1356" s="18" t="inlineStr"/>
      <c r="K1356" s="18" t="inlineStr"/>
      <c r="L1356" s="18" t="inlineStr">
        <is>
          <t>No</t>
        </is>
      </c>
      <c r="M1356" s="18" t="inlineStr">
        <is>
          <t>No</t>
        </is>
      </c>
      <c r="N1356" s="18" t="inlineStr"/>
      <c r="O1356" s="18" t="inlineStr"/>
      <c r="P1356" s="18" t="inlineStr"/>
      <c r="Q1356" s="18" t="inlineStr">
        <is>
          <t>Regla estructural</t>
        </is>
      </c>
      <c r="R1356" s="18" t="inlineStr">
        <is>
          <t>Posición del registro para su ordenamiento.</t>
        </is>
      </c>
      <c r="S1356" s="18" t="inlineStr">
        <is>
          <t>Media</t>
        </is>
      </c>
      <c r="T1356" s="18" t="inlineStr">
        <is>
          <t>Convención de nombre de la columna.</t>
        </is>
      </c>
      <c r="U1356" s="18" t="inlineStr"/>
      <c r="V1356" s="19" t="inlineStr">
        <is>
          <t>Pendiente</t>
        </is>
      </c>
      <c r="W1356" s="19" t="inlineStr"/>
      <c r="X1356" s="19" t="inlineStr"/>
      <c r="Y1356" s="20" t="n"/>
      <c r="Z1356" s="19" t="inlineStr"/>
      <c r="AA1356" s="18">
        <f>IF(OR(V1356="Aprobada"),R1356,IF(AND(OR(V1356="Aprobada con ajuste",V1356="Rechazada"),W1356&lt;&gt;""),W1356,""))</f>
        <v/>
      </c>
    </row>
    <row r="1357">
      <c r="A1357" s="18" t="inlineStr">
        <is>
          <t>C1356</t>
        </is>
      </c>
      <c r="B1357" s="18" t="inlineStr">
        <is>
          <t>Control interno</t>
        </is>
      </c>
      <c r="C1357" s="18" t="inlineStr">
        <is>
          <t>control_interno</t>
        </is>
      </c>
      <c r="D1357" s="18" t="inlineStr">
        <is>
          <t>actividad_rol</t>
        </is>
      </c>
      <c r="E1357" s="18" t="n">
        <v>0</v>
      </c>
      <c r="F1357" s="18" t="inlineStr">
        <is>
          <t>activa</t>
        </is>
      </c>
      <c r="G1357" s="18" t="inlineStr">
        <is>
          <t>boolean</t>
        </is>
      </c>
      <c r="H1357" s="18" t="inlineStr">
        <is>
          <t>Sí</t>
        </is>
      </c>
      <c r="I1357" s="18" t="inlineStr"/>
      <c r="J1357" s="18" t="inlineStr"/>
      <c r="K1357" s="18" t="inlineStr"/>
      <c r="L1357" s="18" t="inlineStr">
        <is>
          <t>No</t>
        </is>
      </c>
      <c r="M1357" s="18" t="inlineStr">
        <is>
          <t>No</t>
        </is>
      </c>
      <c r="N1357" s="18" t="inlineStr"/>
      <c r="O1357" s="18" t="inlineStr"/>
      <c r="P1357" s="18" t="inlineStr"/>
      <c r="Q1357" s="18" t="inlineStr">
        <is>
          <t>Regla estructural</t>
        </is>
      </c>
      <c r="R1357" s="18" t="inlineStr">
        <is>
          <t>Indica si el registro está activo.</t>
        </is>
      </c>
      <c r="S1357" s="18" t="inlineStr">
        <is>
          <t>Media</t>
        </is>
      </c>
      <c r="T1357" s="18" t="inlineStr">
        <is>
          <t>Convención de nombre de la columna.</t>
        </is>
      </c>
      <c r="U1357" s="18" t="inlineStr"/>
      <c r="V1357" s="19" t="inlineStr">
        <is>
          <t>Pendiente</t>
        </is>
      </c>
      <c r="W1357" s="19" t="inlineStr"/>
      <c r="X1357" s="19" t="inlineStr"/>
      <c r="Y1357" s="20" t="n"/>
      <c r="Z1357" s="19" t="inlineStr"/>
      <c r="AA1357" s="18">
        <f>IF(OR(V1357="Aprobada"),R1357,IF(AND(OR(V1357="Aprobada con ajuste",V1357="Rechazada"),W1357&lt;&gt;""),W1357,""))</f>
        <v/>
      </c>
    </row>
    <row r="1358">
      <c r="A1358" s="18" t="inlineStr">
        <is>
          <t>C1357</t>
        </is>
      </c>
      <c r="B1358" s="18" t="inlineStr">
        <is>
          <t>Control interno</t>
        </is>
      </c>
      <c r="C1358" s="18" t="inlineStr">
        <is>
          <t>control_interno</t>
        </is>
      </c>
      <c r="D1358" s="18" t="inlineStr">
        <is>
          <t>adjunto_actividad_plan_anual_5</t>
        </is>
      </c>
      <c r="E1358" s="18" t="n">
        <v>21</v>
      </c>
      <c r="F1358" s="18" t="inlineStr">
        <is>
          <t>nombre</t>
        </is>
      </c>
      <c r="G1358" s="18" t="inlineStr">
        <is>
          <t>character varying(255)</t>
        </is>
      </c>
      <c r="H1358" s="18" t="inlineStr">
        <is>
          <t>No</t>
        </is>
      </c>
      <c r="I1358" s="18" t="inlineStr"/>
      <c r="J1358" s="18" t="inlineStr"/>
      <c r="K1358" s="18" t="inlineStr"/>
      <c r="L1358" s="18" t="inlineStr">
        <is>
          <t>No</t>
        </is>
      </c>
      <c r="M1358" s="18" t="inlineStr">
        <is>
          <t>No</t>
        </is>
      </c>
      <c r="N1358" s="18" t="inlineStr"/>
      <c r="O1358" s="18" t="inlineStr"/>
      <c r="P1358" s="18" t="inlineStr">
        <is>
          <t>db/migrations/129_add_campos_actividad_plan_anual_y_adjuntos.sql:56: Información del archivo | Validación: IsNotEmpty, IsNotEmpty({ message: 'El nombre del documento es obligatorio' }), IsOptional, IsString, Length(1, 500), MaxLength(120)</t>
        </is>
      </c>
      <c r="Q1358" s="18" t="inlineStr">
        <is>
          <t>Código fuente</t>
        </is>
      </c>
      <c r="R1358" s="18" t="inlineStr">
        <is>
          <t>Nombre del archivo adjunto (evidencia) de la actividad del Plan Anual de Auditoría.</t>
        </is>
      </c>
      <c r="S1358" s="18" t="inlineStr">
        <is>
          <t>Alta</t>
        </is>
      </c>
      <c r="T1358" s="18" t="inlineStr">
        <is>
          <t>código: db/migrations/129_add_campos_actividad_plan_anual_y_adjuntos.sql:56</t>
        </is>
      </c>
      <c r="U1358" s="18" t="inlineStr"/>
      <c r="V1358" s="19" t="inlineStr">
        <is>
          <t>Pendiente</t>
        </is>
      </c>
      <c r="W1358" s="19" t="inlineStr"/>
      <c r="X1358" s="19" t="inlineStr"/>
      <c r="Y1358" s="20" t="n"/>
      <c r="Z1358" s="19" t="inlineStr"/>
      <c r="AA1358" s="18">
        <f>IF(OR(V1358="Aprobada"),R1358,IF(AND(OR(V1358="Aprobada con ajuste",V1358="Rechazada"),W1358&lt;&gt;""),W1358,""))</f>
        <v/>
      </c>
    </row>
    <row r="1359">
      <c r="A1359" s="18" t="inlineStr">
        <is>
          <t>C1358</t>
        </is>
      </c>
      <c r="B1359" s="18" t="inlineStr">
        <is>
          <t>Control interno</t>
        </is>
      </c>
      <c r="C1359" s="18" t="inlineStr">
        <is>
          <t>control_interno</t>
        </is>
      </c>
      <c r="D1359" s="18" t="inlineStr">
        <is>
          <t>adjunto_actividad_plan_anual_5</t>
        </is>
      </c>
      <c r="E1359" s="18" t="n">
        <v>21</v>
      </c>
      <c r="F1359" s="18" t="inlineStr">
        <is>
          <t>fecha_carga</t>
        </is>
      </c>
      <c r="G1359" s="18" t="inlineStr">
        <is>
          <t>timestamp without time zone</t>
        </is>
      </c>
      <c r="H1359" s="18" t="inlineStr">
        <is>
          <t>Sí</t>
        </is>
      </c>
      <c r="I1359" s="18" t="inlineStr"/>
      <c r="J1359" s="18" t="inlineStr"/>
      <c r="K1359" s="18" t="inlineStr"/>
      <c r="L1359" s="18" t="inlineStr">
        <is>
          <t>No</t>
        </is>
      </c>
      <c r="M1359" s="18" t="inlineStr">
        <is>
          <t>No</t>
        </is>
      </c>
      <c r="N1359" s="18" t="inlineStr"/>
      <c r="O1359" s="18" t="inlineStr">
        <is>
          <t>idx_adjunto_actividad_plan_anual_5_fecha</t>
        </is>
      </c>
      <c r="P1359" s="18" t="inlineStr">
        <is>
          <t>db/migrations/129_add_campos_actividad_plan_anual_y_adjuntos.sql:61: Información de carga | Validación: IsNotEmpty({ message: 'La fecha de carga es obligatoria' }), IsString</t>
        </is>
      </c>
      <c r="Q1359" s="18" t="inlineStr">
        <is>
          <t>Código fuente</t>
        </is>
      </c>
      <c r="R1359" s="18" t="inlineStr">
        <is>
          <t>Fecha y hora en que se cargó el archivo; por defecto el momento de registro.</t>
        </is>
      </c>
      <c r="S1359" s="18" t="inlineStr">
        <is>
          <t>Alta</t>
        </is>
      </c>
      <c r="T1359" s="18" t="inlineStr">
        <is>
          <t>código: db/migrations/129_add_campos_actividad_plan_anual_y_adjuntos.sql:61</t>
        </is>
      </c>
      <c r="U1359" s="18" t="inlineStr"/>
      <c r="V1359" s="19" t="inlineStr">
        <is>
          <t>Pendiente</t>
        </is>
      </c>
      <c r="W1359" s="19" t="inlineStr"/>
      <c r="X1359" s="19" t="inlineStr"/>
      <c r="Y1359" s="20" t="n"/>
      <c r="Z1359" s="19" t="inlineStr"/>
      <c r="AA1359" s="18">
        <f>IF(OR(V1359="Aprobada"),R1359,IF(AND(OR(V1359="Aprobada con ajuste",V1359="Rechazada"),W1359&lt;&gt;""),W1359,""))</f>
        <v/>
      </c>
    </row>
    <row r="1360">
      <c r="A1360" s="18" t="inlineStr">
        <is>
          <t>C1359</t>
        </is>
      </c>
      <c r="B1360" s="18" t="inlineStr">
        <is>
          <t>Control interno</t>
        </is>
      </c>
      <c r="C1360" s="18" t="inlineStr">
        <is>
          <t>control_interno</t>
        </is>
      </c>
      <c r="D1360" s="18" t="inlineStr">
        <is>
          <t>adjunto_actividad_plan_anual_5</t>
        </is>
      </c>
      <c r="E1360" s="18" t="n">
        <v>21</v>
      </c>
      <c r="F1360" s="18" t="inlineStr">
        <is>
          <t>cargado_por</t>
        </is>
      </c>
      <c r="G1360" s="18" t="inlineStr">
        <is>
          <t>character varying(255)</t>
        </is>
      </c>
      <c r="H1360" s="18" t="inlineStr">
        <is>
          <t>Sí</t>
        </is>
      </c>
      <c r="I1360" s="18" t="inlineStr"/>
      <c r="J1360" s="18" t="inlineStr"/>
      <c r="K1360" s="18" t="inlineStr"/>
      <c r="L1360" s="18" t="inlineStr">
        <is>
          <t>No</t>
        </is>
      </c>
      <c r="M1360" s="18" t="inlineStr">
        <is>
          <t>No</t>
        </is>
      </c>
      <c r="N1360" s="18" t="inlineStr"/>
      <c r="O1360" s="18" t="inlineStr"/>
      <c r="P1360" s="18" t="inlineStr">
        <is>
          <t>db/migrations/129_add_campos_actividad_plan_anual_y_adjuntos.sql:62: Nombre del usuario que cargó | Validación: IsOptional, IsString</t>
        </is>
      </c>
      <c r="Q1360" s="18" t="inlineStr">
        <is>
          <t>Código fuente</t>
        </is>
      </c>
      <c r="R1360" s="18" t="inlineStr">
        <is>
          <t>Nombre del usuario que cargó el archivo.</t>
        </is>
      </c>
      <c r="S1360" s="18" t="inlineStr">
        <is>
          <t>Alta</t>
        </is>
      </c>
      <c r="T1360" s="18" t="inlineStr">
        <is>
          <t>código: db/migrations/129_add_campos_actividad_plan_anual_y_adjuntos.sql:62</t>
        </is>
      </c>
      <c r="U1360" s="18" t="inlineStr"/>
      <c r="V1360" s="19" t="inlineStr">
        <is>
          <t>Pendiente</t>
        </is>
      </c>
      <c r="W1360" s="19" t="inlineStr"/>
      <c r="X1360" s="19" t="inlineStr"/>
      <c r="Y1360" s="20" t="n"/>
      <c r="Z1360" s="19" t="inlineStr"/>
      <c r="AA1360" s="18">
        <f>IF(OR(V1360="Aprobada"),R1360,IF(AND(OR(V1360="Aprobada con ajuste",V1360="Rechazada"),W1360&lt;&gt;""),W1360,""))</f>
        <v/>
      </c>
    </row>
    <row r="1361">
      <c r="A1361" s="18" t="inlineStr">
        <is>
          <t>C1360</t>
        </is>
      </c>
      <c r="B1361" s="18" t="inlineStr">
        <is>
          <t>Control interno</t>
        </is>
      </c>
      <c r="C1361" s="18" t="inlineStr">
        <is>
          <t>control_interno</t>
        </is>
      </c>
      <c r="D1361" s="18" t="inlineStr">
        <is>
          <t>adjunto_actividad_plan_anual_5</t>
        </is>
      </c>
      <c r="E1361" s="18" t="n">
        <v>21</v>
      </c>
      <c r="F1361" s="18" t="inlineStr">
        <is>
          <t>cargado_por_id</t>
        </is>
      </c>
      <c r="G1361" s="18" t="inlineStr">
        <is>
          <t>bigint</t>
        </is>
      </c>
      <c r="H1361" s="18" t="inlineStr">
        <is>
          <t>Sí</t>
        </is>
      </c>
      <c r="I1361" s="18" t="inlineStr"/>
      <c r="J1361" s="18" t="inlineStr"/>
      <c r="K1361" s="18" t="inlineStr"/>
      <c r="L1361" s="18" t="inlineStr">
        <is>
          <t>No</t>
        </is>
      </c>
      <c r="M1361" s="18" t="inlineStr">
        <is>
          <t>No</t>
        </is>
      </c>
      <c r="N1361" s="18" t="inlineStr"/>
      <c r="O1361" s="18" t="inlineStr"/>
      <c r="P1361" s="18" t="inlineStr">
        <is>
          <t>db/migrations/129_add_campos_actividad_plan_anual_y_adjuntos.sql:63: ID del usuario (FK opcional a personas) | Validación: IsNumber, IsOptional</t>
        </is>
      </c>
      <c r="Q1361" s="18" t="inlineStr">
        <is>
          <t>Código fuente</t>
        </is>
      </c>
      <c r="R1361" s="18" t="inlineStr">
        <is>
          <t>Identificador del usuario que cargó el archivo; referencia opcional a la persona en auth.personas.</t>
        </is>
      </c>
      <c r="S1361" s="18" t="inlineStr">
        <is>
          <t>Alta</t>
        </is>
      </c>
      <c r="T1361" s="18" t="inlineStr">
        <is>
          <t>código: db/migrations/129_add_campos_actividad_plan_anual_y_adjuntos.sql:63</t>
        </is>
      </c>
      <c r="U1361" s="18" t="inlineStr"/>
      <c r="V1361" s="19" t="inlineStr">
        <is>
          <t>Pendiente</t>
        </is>
      </c>
      <c r="W1361" s="19" t="inlineStr"/>
      <c r="X1361" s="19" t="inlineStr"/>
      <c r="Y1361" s="20" t="n"/>
      <c r="Z1361" s="19" t="inlineStr"/>
      <c r="AA1361" s="18">
        <f>IF(OR(V1361="Aprobada"),R1361,IF(AND(OR(V1361="Aprobada con ajuste",V1361="Rechazada"),W1361&lt;&gt;""),W1361,""))</f>
        <v/>
      </c>
    </row>
    <row r="1362">
      <c r="A1362" s="18" t="inlineStr">
        <is>
          <t>C1361</t>
        </is>
      </c>
      <c r="B1362" s="18" t="inlineStr">
        <is>
          <t>Control interno</t>
        </is>
      </c>
      <c r="C1362" s="18" t="inlineStr">
        <is>
          <t>control_interno</t>
        </is>
      </c>
      <c r="D1362" s="18" t="inlineStr">
        <is>
          <t>adjunto_actividad_plan_anual_5</t>
        </is>
      </c>
      <c r="E1362" s="18" t="n">
        <v>21</v>
      </c>
      <c r="F1362" s="18" t="inlineStr">
        <is>
          <t>hash_archivo</t>
        </is>
      </c>
      <c r="G1362" s="18" t="inlineStr">
        <is>
          <t>character varying(255)</t>
        </is>
      </c>
      <c r="H1362" s="18" t="inlineStr">
        <is>
          <t>Sí</t>
        </is>
      </c>
      <c r="I1362" s="18" t="inlineStr"/>
      <c r="J1362" s="18" t="inlineStr"/>
      <c r="K1362" s="18" t="inlineStr"/>
      <c r="L1362" s="18" t="inlineStr">
        <is>
          <t>No</t>
        </is>
      </c>
      <c r="M1362" s="18" t="inlineStr">
        <is>
          <t>No</t>
        </is>
      </c>
      <c r="N1362" s="18" t="inlineStr"/>
      <c r="O1362" s="18" t="inlineStr"/>
      <c r="P1362" s="18" t="inlineStr">
        <is>
          <t>db/migrations/129_add_campos_actividad_plan_anual_y_adjuntos.sql:70: Metadatos adicionales Hash SHA256 para verificar integridad (opcional) | Validación: IsOptional, IsString</t>
        </is>
      </c>
      <c r="Q1362" s="18" t="inlineStr">
        <is>
          <t>Código fuente</t>
        </is>
      </c>
      <c r="R1362" s="18" t="inlineStr">
        <is>
          <t>Hash SHA-256 del archivo para verificar su integridad (opcional).</t>
        </is>
      </c>
      <c r="S1362" s="18" t="inlineStr">
        <is>
          <t>Alta</t>
        </is>
      </c>
      <c r="T1362" s="18" t="inlineStr">
        <is>
          <t>código: db/migrations/129_add_campos_actividad_plan_anual_y_adjuntos.sql:70</t>
        </is>
      </c>
      <c r="U1362" s="18" t="inlineStr"/>
      <c r="V1362" s="19" t="inlineStr">
        <is>
          <t>Pendiente</t>
        </is>
      </c>
      <c r="W1362" s="19" t="inlineStr"/>
      <c r="X1362" s="19" t="inlineStr"/>
      <c r="Y1362" s="20" t="n"/>
      <c r="Z1362" s="19" t="inlineStr"/>
      <c r="AA1362" s="18">
        <f>IF(OR(V1362="Aprobada"),R1362,IF(AND(OR(V1362="Aprobada con ajuste",V1362="Rechazada"),W1362&lt;&gt;""),W1362,""))</f>
        <v/>
      </c>
    </row>
    <row r="1363">
      <c r="A1363" s="18" t="inlineStr">
        <is>
          <t>C1362</t>
        </is>
      </c>
      <c r="B1363" s="18" t="inlineStr">
        <is>
          <t>Control interno</t>
        </is>
      </c>
      <c r="C1363" s="18" t="inlineStr">
        <is>
          <t>control_interno</t>
        </is>
      </c>
      <c r="D1363" s="18" t="inlineStr">
        <is>
          <t>alerta_plan</t>
        </is>
      </c>
      <c r="E1363" s="18" t="n">
        <v>21</v>
      </c>
      <c r="F1363" s="18" t="inlineStr">
        <is>
          <t>tipo</t>
        </is>
      </c>
      <c r="G1363" s="18" t="inlineStr">
        <is>
          <t>character varying(50)</t>
        </is>
      </c>
      <c r="H1363" s="18" t="inlineStr">
        <is>
          <t>No</t>
        </is>
      </c>
      <c r="I1363" s="18" t="inlineStr"/>
      <c r="J1363" s="18" t="inlineStr"/>
      <c r="K1363" s="18" t="inlineStr"/>
      <c r="L1363" s="18" t="inlineStr">
        <is>
          <t>No</t>
        </is>
      </c>
      <c r="M1363" s="18" t="inlineStr">
        <is>
          <t>No</t>
        </is>
      </c>
      <c r="N1363" s="18" t="inlineStr"/>
      <c r="O1363" s="18" t="inlineStr"/>
      <c r="P1363" s="18" t="inlineStr">
        <is>
          <t>internal-institutional-control-service/src/esap/planes-mejoramiento/entities/alerta-plan.entity.ts:55: Tipo de alerta según EM-PT-002 act. 6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363" s="18" t="inlineStr">
        <is>
          <t>Código fuente</t>
        </is>
      </c>
      <c r="R1363" s="18" t="inlineStr">
        <is>
          <t>Tipo de alerta generada en el seguimiento del plan, según EM-PT-002 actividad 6.</t>
        </is>
      </c>
      <c r="S1363" s="18" t="inlineStr">
        <is>
          <t>Media</t>
        </is>
      </c>
      <c r="T1363" s="18" t="inlineStr">
        <is>
          <t>código: internal-institutional-control-service/src/esap/planes-mejoramiento/entities/alerta-plan.entity.ts:55</t>
        </is>
      </c>
      <c r="U1363" s="18" t="inlineStr">
        <is>
          <t>¿Qué valores toma tipo en alerta_plan y qué condición genera cada uno?</t>
        </is>
      </c>
      <c r="V1363" s="19" t="inlineStr">
        <is>
          <t>Pendiente</t>
        </is>
      </c>
      <c r="W1363" s="19" t="inlineStr"/>
      <c r="X1363" s="19" t="inlineStr"/>
      <c r="Y1363" s="20" t="n"/>
      <c r="Z1363" s="19" t="inlineStr"/>
      <c r="AA1363" s="18">
        <f>IF(OR(V1363="Aprobada"),R1363,IF(AND(OR(V1363="Aprobada con ajuste",V1363="Rechazada"),W1363&lt;&gt;""),W1363,""))</f>
        <v/>
      </c>
    </row>
    <row r="1364">
      <c r="A1364" s="18" t="inlineStr">
        <is>
          <t>C1363</t>
        </is>
      </c>
      <c r="B1364" s="18" t="inlineStr">
        <is>
          <t>Control interno</t>
        </is>
      </c>
      <c r="C1364" s="18" t="inlineStr">
        <is>
          <t>control_interno</t>
        </is>
      </c>
      <c r="D1364" s="18" t="inlineStr">
        <is>
          <t>alerta_plan</t>
        </is>
      </c>
      <c r="E1364" s="18" t="n">
        <v>21</v>
      </c>
      <c r="F1364" s="18" t="inlineStr">
        <is>
          <t>descripcion</t>
        </is>
      </c>
      <c r="G1364" s="18" t="inlineStr">
        <is>
          <t>text</t>
        </is>
      </c>
      <c r="H1364" s="18" t="inlineStr">
        <is>
          <t>Sí</t>
        </is>
      </c>
      <c r="I1364" s="18" t="inlineStr"/>
      <c r="J1364" s="18" t="inlineStr"/>
      <c r="K1364" s="18" t="inlineStr"/>
      <c r="L1364" s="18" t="inlineStr">
        <is>
          <t>No</t>
        </is>
      </c>
      <c r="M1364" s="18" t="inlineStr">
        <is>
          <t>No</t>
        </is>
      </c>
      <c r="N1364" s="18" t="inlineStr"/>
      <c r="O1364" s="18" t="inlineStr"/>
      <c r="P1364" s="18" t="inlineStr">
        <is>
          <t>internal-institutional-control-service/src/esap/planes-mejoramiento/entities/alerta-plan.entity.ts:59: Descripción legible de la alerta | Validación: IsNotEmpty, IsOptional, IsString</t>
        </is>
      </c>
      <c r="Q1364" s="18" t="inlineStr">
        <is>
          <t>Código fuente</t>
        </is>
      </c>
      <c r="R1364" s="18" t="inlineStr">
        <is>
          <t>Descripción legible de la alerta.</t>
        </is>
      </c>
      <c r="S1364" s="18" t="inlineStr">
        <is>
          <t>Alta</t>
        </is>
      </c>
      <c r="T1364" s="18" t="inlineStr">
        <is>
          <t>código: internal-institutional-control-service/src/esap/planes-mejoramiento/entities/alerta-plan.entity.ts:59</t>
        </is>
      </c>
      <c r="U1364" s="18" t="inlineStr"/>
      <c r="V1364" s="19" t="inlineStr">
        <is>
          <t>Pendiente</t>
        </is>
      </c>
      <c r="W1364" s="19" t="inlineStr"/>
      <c r="X1364" s="19" t="inlineStr"/>
      <c r="Y1364" s="20" t="n"/>
      <c r="Z1364" s="19" t="inlineStr"/>
      <c r="AA1364" s="18">
        <f>IF(OR(V1364="Aprobada"),R1364,IF(AND(OR(V1364="Aprobada con ajuste",V1364="Rechazada"),W1364&lt;&gt;""),W1364,""))</f>
        <v/>
      </c>
    </row>
    <row r="1365">
      <c r="A1365" s="18" t="inlineStr">
        <is>
          <t>C1364</t>
        </is>
      </c>
      <c r="B1365" s="18" t="inlineStr">
        <is>
          <t>Control interno</t>
        </is>
      </c>
      <c r="C1365" s="18" t="inlineStr">
        <is>
          <t>control_interno</t>
        </is>
      </c>
      <c r="D1365" s="18" t="inlineStr">
        <is>
          <t>alerta_plan</t>
        </is>
      </c>
      <c r="E1365" s="18" t="n">
        <v>21</v>
      </c>
      <c r="F1365" s="18" t="inlineStr">
        <is>
          <t>generada_at</t>
        </is>
      </c>
      <c r="G1365" s="18" t="inlineStr">
        <is>
          <t>timestamp with time zone</t>
        </is>
      </c>
      <c r="H1365" s="18" t="inlineStr">
        <is>
          <t>Sí</t>
        </is>
      </c>
      <c r="I1365" s="18" t="inlineStr"/>
      <c r="J1365" s="18" t="inlineStr"/>
      <c r="K1365" s="18" t="inlineStr"/>
      <c r="L1365" s="18" t="inlineStr">
        <is>
          <t>No</t>
        </is>
      </c>
      <c r="M1365" s="18" t="inlineStr">
        <is>
          <t>No</t>
        </is>
      </c>
      <c r="N1365" s="18" t="inlineStr"/>
      <c r="O1365" s="18" t="inlineStr"/>
      <c r="P1365" s="18" t="inlineStr">
        <is>
          <t>Mapeada en internal-institutional-control-service/src/esap/planes-mejoramiento/entities/alerta-plan.entity.ts:62 (AlertaPlan.generadaAt)</t>
        </is>
      </c>
      <c r="Q1365" s="18" t="inlineStr">
        <is>
          <t>Regla estructural</t>
        </is>
      </c>
      <c r="R1365" s="18" t="inlineStr">
        <is>
          <t>Fecha y hora de la generación.</t>
        </is>
      </c>
      <c r="S1365" s="18" t="inlineStr">
        <is>
          <t>Media</t>
        </is>
      </c>
      <c r="T1365" s="18" t="inlineStr">
        <is>
          <t>Convención de nombre de la columna.</t>
        </is>
      </c>
      <c r="U1365" s="18" t="inlineStr"/>
      <c r="V1365" s="19" t="inlineStr">
        <is>
          <t>Pendiente</t>
        </is>
      </c>
      <c r="W1365" s="19" t="inlineStr"/>
      <c r="X1365" s="19" t="inlineStr"/>
      <c r="Y1365" s="20" t="n"/>
      <c r="Z1365" s="19" t="inlineStr"/>
      <c r="AA1365" s="18">
        <f>IF(OR(V1365="Aprobada"),R1365,IF(AND(OR(V1365="Aprobada con ajuste",V1365="Rechazada"),W1365&lt;&gt;""),W1365,""))</f>
        <v/>
      </c>
    </row>
    <row r="1366">
      <c r="A1366" s="18" t="inlineStr">
        <is>
          <t>C1365</t>
        </is>
      </c>
      <c r="B1366" s="18" t="inlineStr">
        <is>
          <t>Control interno</t>
        </is>
      </c>
      <c r="C1366" s="18" t="inlineStr">
        <is>
          <t>control_interno</t>
        </is>
      </c>
      <c r="D1366" s="18" t="inlineStr">
        <is>
          <t>alerta_plan</t>
        </is>
      </c>
      <c r="E1366" s="18" t="n">
        <v>21</v>
      </c>
      <c r="F1366" s="18" t="inlineStr">
        <is>
          <t>atendida</t>
        </is>
      </c>
      <c r="G1366" s="18" t="inlineStr">
        <is>
          <t>boolean</t>
        </is>
      </c>
      <c r="H1366" s="18" t="inlineStr">
        <is>
          <t>Sí</t>
        </is>
      </c>
      <c r="I1366" s="18" t="inlineStr"/>
      <c r="J1366" s="18" t="inlineStr"/>
      <c r="K1366" s="18" t="inlineStr"/>
      <c r="L1366" s="18" t="inlineStr">
        <is>
          <t>No</t>
        </is>
      </c>
      <c r="M1366" s="18" t="inlineStr">
        <is>
          <t>No</t>
        </is>
      </c>
      <c r="N1366" s="18" t="inlineStr"/>
      <c r="O1366" s="18" t="inlineStr"/>
      <c r="P1366" s="18" t="inlineStr">
        <is>
          <t>internal-institutional-control-service/src/esap/planes-mejoramiento/entities/alerta-plan.entity.ts:66: ¿Ha sido atendida/resuelta?</t>
        </is>
      </c>
      <c r="Q1366" s="18" t="inlineStr">
        <is>
          <t>Código fuente</t>
        </is>
      </c>
      <c r="R1366" s="18" t="inlineStr">
        <is>
          <t>Indica si la alerta fue atendida o resuelta; por defecto falso.</t>
        </is>
      </c>
      <c r="S1366" s="18" t="inlineStr">
        <is>
          <t>Alta</t>
        </is>
      </c>
      <c r="T1366" s="18" t="inlineStr">
        <is>
          <t>código: internal-institutional-control-service/src/esap/planes-mejoramiento/entities/alerta-plan.entity.ts:66</t>
        </is>
      </c>
      <c r="U1366" s="18" t="inlineStr"/>
      <c r="V1366" s="19" t="inlineStr">
        <is>
          <t>Pendiente</t>
        </is>
      </c>
      <c r="W1366" s="19" t="inlineStr"/>
      <c r="X1366" s="19" t="inlineStr"/>
      <c r="Y1366" s="20" t="n"/>
      <c r="Z1366" s="19" t="inlineStr"/>
      <c r="AA1366" s="18">
        <f>IF(OR(V1366="Aprobada"),R1366,IF(AND(OR(V1366="Aprobada con ajuste",V1366="Rechazada"),W1366&lt;&gt;""),W1366,""))</f>
        <v/>
      </c>
    </row>
    <row r="1367">
      <c r="A1367" s="18" t="inlineStr">
        <is>
          <t>C1366</t>
        </is>
      </c>
      <c r="B1367" s="18" t="inlineStr">
        <is>
          <t>Control interno</t>
        </is>
      </c>
      <c r="C1367" s="18" t="inlineStr">
        <is>
          <t>control_interno</t>
        </is>
      </c>
      <c r="D1367" s="18" t="inlineStr">
        <is>
          <t>alerta_plan</t>
        </is>
      </c>
      <c r="E1367" s="18" t="n">
        <v>21</v>
      </c>
      <c r="F1367" s="18" t="inlineStr">
        <is>
          <t>atendida_at</t>
        </is>
      </c>
      <c r="G1367" s="18" t="inlineStr">
        <is>
          <t>timestamp with time zone</t>
        </is>
      </c>
      <c r="H1367" s="18" t="inlineStr">
        <is>
          <t>Sí</t>
        </is>
      </c>
      <c r="I1367" s="18" t="inlineStr"/>
      <c r="J1367" s="18" t="inlineStr"/>
      <c r="K1367" s="18" t="inlineStr"/>
      <c r="L1367" s="18" t="inlineStr">
        <is>
          <t>No</t>
        </is>
      </c>
      <c r="M1367" s="18" t="inlineStr">
        <is>
          <t>No</t>
        </is>
      </c>
      <c r="N1367" s="18" t="inlineStr"/>
      <c r="O1367" s="18" t="inlineStr"/>
      <c r="P1367" s="18" t="inlineStr">
        <is>
          <t>internal-institutional-control-service/src/esap/planes-mejoramiento/entities/alerta-plan.entity.ts:70: Fecha en que se atendió</t>
        </is>
      </c>
      <c r="Q1367" s="18" t="inlineStr">
        <is>
          <t>Código fuente</t>
        </is>
      </c>
      <c r="R1367" s="18" t="inlineStr">
        <is>
          <t>Fecha y hora en que se atendió la alerta.</t>
        </is>
      </c>
      <c r="S1367" s="18" t="inlineStr">
        <is>
          <t>Alta</t>
        </is>
      </c>
      <c r="T1367" s="18" t="inlineStr">
        <is>
          <t>código: internal-institutional-control-service/src/esap/planes-mejoramiento/entities/alerta-plan.entity.ts:70</t>
        </is>
      </c>
      <c r="U1367" s="18" t="inlineStr"/>
      <c r="V1367" s="19" t="inlineStr">
        <is>
          <t>Pendiente</t>
        </is>
      </c>
      <c r="W1367" s="19" t="inlineStr"/>
      <c r="X1367" s="19" t="inlineStr"/>
      <c r="Y1367" s="20" t="n"/>
      <c r="Z1367" s="19" t="inlineStr"/>
      <c r="AA1367" s="18">
        <f>IF(OR(V1367="Aprobada"),R1367,IF(AND(OR(V1367="Aprobada con ajuste",V1367="Rechazada"),W1367&lt;&gt;""),W1367,""))</f>
        <v/>
      </c>
    </row>
    <row r="1368">
      <c r="A1368" s="18" t="inlineStr">
        <is>
          <t>C1367</t>
        </is>
      </c>
      <c r="B1368" s="18" t="inlineStr">
        <is>
          <t>Control interno</t>
        </is>
      </c>
      <c r="C1368" s="18" t="inlineStr">
        <is>
          <t>control_interno</t>
        </is>
      </c>
      <c r="D1368" s="18" t="inlineStr">
        <is>
          <t>alerta_plan</t>
        </is>
      </c>
      <c r="E1368" s="18" t="n">
        <v>21</v>
      </c>
      <c r="F1368" s="18" t="inlineStr">
        <is>
          <t>atendida_por_id</t>
        </is>
      </c>
      <c r="G1368" s="18" t="inlineStr">
        <is>
          <t>character varying(255)</t>
        </is>
      </c>
      <c r="H1368" s="18" t="inlineStr">
        <is>
          <t>Sí</t>
        </is>
      </c>
      <c r="I1368" s="18" t="inlineStr"/>
      <c r="J1368" s="18" t="inlineStr"/>
      <c r="K1368" s="18" t="inlineStr"/>
      <c r="L1368" s="18" t="inlineStr">
        <is>
          <t>No</t>
        </is>
      </c>
      <c r="M1368" s="18" t="inlineStr">
        <is>
          <t>No</t>
        </is>
      </c>
      <c r="N1368" s="18" t="inlineStr"/>
      <c r="O1368" s="18" t="inlineStr"/>
      <c r="P1368" s="18" t="inlineStr">
        <is>
          <t>internal-institutional-control-service/src/esap/planes-mejoramiento/entities/alerta-plan.entity.ts:74: ID del usuario que atendió la alerta</t>
        </is>
      </c>
      <c r="Q1368" s="18" t="inlineStr">
        <is>
          <t>Código fuente</t>
        </is>
      </c>
      <c r="R1368" s="18" t="inlineStr">
        <is>
          <t>Identificador del usuario que atendió la alerta.</t>
        </is>
      </c>
      <c r="S1368" s="18" t="inlineStr">
        <is>
          <t>Alta</t>
        </is>
      </c>
      <c r="T1368" s="18" t="inlineStr">
        <is>
          <t>código: internal-institutional-control-service/src/esap/planes-mejoramiento/entities/alerta-plan.entity.ts:74</t>
        </is>
      </c>
      <c r="U1368" s="18" t="inlineStr"/>
      <c r="V1368" s="19" t="inlineStr">
        <is>
          <t>Pendiente</t>
        </is>
      </c>
      <c r="W1368" s="19" t="inlineStr"/>
      <c r="X1368" s="19" t="inlineStr"/>
      <c r="Y1368" s="20" t="n"/>
      <c r="Z1368" s="19" t="inlineStr"/>
      <c r="AA1368" s="18">
        <f>IF(OR(V1368="Aprobada"),R1368,IF(AND(OR(V1368="Aprobada con ajuste",V1368="Rechazada"),W1368&lt;&gt;""),W1368,""))</f>
        <v/>
      </c>
    </row>
    <row r="1369">
      <c r="A1369" s="18" t="inlineStr">
        <is>
          <t>C1368</t>
        </is>
      </c>
      <c r="B1369" s="18" t="inlineStr">
        <is>
          <t>Control interno</t>
        </is>
      </c>
      <c r="C1369" s="18" t="inlineStr">
        <is>
          <t>control_interno</t>
        </is>
      </c>
      <c r="D1369" s="18" t="inlineStr">
        <is>
          <t>ampliacion_plazo</t>
        </is>
      </c>
      <c r="E1369" s="18" t="n">
        <v>0</v>
      </c>
      <c r="F1369" s="18" t="inlineStr">
        <is>
          <t>fecha_fin_original</t>
        </is>
      </c>
      <c r="G1369" s="18" t="inlineStr">
        <is>
          <t>date</t>
        </is>
      </c>
      <c r="H1369" s="18" t="inlineStr">
        <is>
          <t>No</t>
        </is>
      </c>
      <c r="I1369" s="18" t="inlineStr"/>
      <c r="J1369" s="18" t="inlineStr"/>
      <c r="K1369" s="18" t="inlineStr"/>
      <c r="L1369" s="18" t="inlineStr">
        <is>
          <t>No</t>
        </is>
      </c>
      <c r="M1369" s="18" t="inlineStr">
        <is>
          <t>No</t>
        </is>
      </c>
      <c r="N1369" s="18" t="inlineStr"/>
      <c r="O1369" s="18" t="inlineStr"/>
      <c r="P1369" s="18" t="inlineStr"/>
      <c r="Q1369" s="18" t="inlineStr">
        <is>
          <t>Regla estructural</t>
        </is>
      </c>
      <c r="R1369" s="18" t="inlineStr">
        <is>
          <t>Fecha de fin original.</t>
        </is>
      </c>
      <c r="S1369" s="18" t="inlineStr">
        <is>
          <t>Media</t>
        </is>
      </c>
      <c r="T1369" s="18" t="inlineStr">
        <is>
          <t>Convención de nombre de la columna.</t>
        </is>
      </c>
      <c r="U1369" s="18" t="inlineStr"/>
      <c r="V1369" s="19" t="inlineStr">
        <is>
          <t>Pendiente</t>
        </is>
      </c>
      <c r="W1369" s="19" t="inlineStr"/>
      <c r="X1369" s="19" t="inlineStr"/>
      <c r="Y1369" s="20" t="n"/>
      <c r="Z1369" s="19" t="inlineStr"/>
      <c r="AA1369" s="18">
        <f>IF(OR(V1369="Aprobada"),R1369,IF(AND(OR(V1369="Aprobada con ajuste",V1369="Rechazada"),W1369&lt;&gt;""),W1369,""))</f>
        <v/>
      </c>
    </row>
    <row r="1370">
      <c r="A1370" s="18" t="inlineStr">
        <is>
          <t>C1369</t>
        </is>
      </c>
      <c r="B1370" s="18" t="inlineStr">
        <is>
          <t>Control interno</t>
        </is>
      </c>
      <c r="C1370" s="18" t="inlineStr">
        <is>
          <t>control_interno</t>
        </is>
      </c>
      <c r="D1370" s="18" t="inlineStr">
        <is>
          <t>ampliacion_plazo</t>
        </is>
      </c>
      <c r="E1370" s="18" t="n">
        <v>0</v>
      </c>
      <c r="F1370" s="18" t="inlineStr">
        <is>
          <t>fecha_fin_solicitada</t>
        </is>
      </c>
      <c r="G1370" s="18" t="inlineStr">
        <is>
          <t>date</t>
        </is>
      </c>
      <c r="H1370" s="18" t="inlineStr">
        <is>
          <t>No</t>
        </is>
      </c>
      <c r="I1370" s="18" t="inlineStr"/>
      <c r="J1370" s="18" t="inlineStr"/>
      <c r="K1370" s="18" t="inlineStr"/>
      <c r="L1370" s="18" t="inlineStr">
        <is>
          <t>No</t>
        </is>
      </c>
      <c r="M1370" s="18" t="inlineStr">
        <is>
          <t>No</t>
        </is>
      </c>
      <c r="N1370" s="18" t="inlineStr"/>
      <c r="O1370" s="18" t="inlineStr"/>
      <c r="P1370" s="18" t="inlineStr"/>
      <c r="Q1370" s="18" t="inlineStr">
        <is>
          <t>Regla estructural</t>
        </is>
      </c>
      <c r="R1370" s="18" t="inlineStr">
        <is>
          <t>Fecha de fin solicitada.</t>
        </is>
      </c>
      <c r="S1370" s="18" t="inlineStr">
        <is>
          <t>Media</t>
        </is>
      </c>
      <c r="T1370" s="18" t="inlineStr">
        <is>
          <t>Convención de nombre de la columna.</t>
        </is>
      </c>
      <c r="U1370" s="18" t="inlineStr"/>
      <c r="V1370" s="19" t="inlineStr">
        <is>
          <t>Pendiente</t>
        </is>
      </c>
      <c r="W1370" s="19" t="inlineStr"/>
      <c r="X1370" s="19" t="inlineStr"/>
      <c r="Y1370" s="20" t="n"/>
      <c r="Z1370" s="19" t="inlineStr"/>
      <c r="AA1370" s="18">
        <f>IF(OR(V1370="Aprobada"),R1370,IF(AND(OR(V1370="Aprobada con ajuste",V1370="Rechazada"),W1370&lt;&gt;""),W1370,""))</f>
        <v/>
      </c>
    </row>
    <row r="1371">
      <c r="A1371" s="18" t="inlineStr">
        <is>
          <t>C1370</t>
        </is>
      </c>
      <c r="B1371" s="18" t="inlineStr">
        <is>
          <t>Control interno</t>
        </is>
      </c>
      <c r="C1371" s="18" t="inlineStr">
        <is>
          <t>control_interno</t>
        </is>
      </c>
      <c r="D1371" s="18" t="inlineStr">
        <is>
          <t>ampliacion_plazo</t>
        </is>
      </c>
      <c r="E1371" s="18" t="n">
        <v>0</v>
      </c>
      <c r="F1371" s="18" t="inlineStr">
        <is>
          <t>fecha_solicitud</t>
        </is>
      </c>
      <c r="G1371" s="18" t="inlineStr">
        <is>
          <t>timestamp without time zone</t>
        </is>
      </c>
      <c r="H1371" s="18" t="inlineStr">
        <is>
          <t>No</t>
        </is>
      </c>
      <c r="I1371" s="18" t="inlineStr"/>
      <c r="J1371" s="18" t="inlineStr"/>
      <c r="K1371" s="18" t="inlineStr"/>
      <c r="L1371" s="18" t="inlineStr">
        <is>
          <t>No</t>
        </is>
      </c>
      <c r="M1371" s="18" t="inlineStr">
        <is>
          <t>No</t>
        </is>
      </c>
      <c r="N1371" s="18" t="inlineStr"/>
      <c r="O1371" s="18" t="inlineStr">
        <is>
          <t>idx_ampliacion_fecha_solicitud</t>
        </is>
      </c>
      <c r="P1371" s="18" t="inlineStr"/>
      <c r="Q1371" s="18" t="inlineStr">
        <is>
          <t>Regla estructural</t>
        </is>
      </c>
      <c r="R1371" s="18" t="inlineStr">
        <is>
          <t>Fecha de solicitud.</t>
        </is>
      </c>
      <c r="S1371" s="18" t="inlineStr">
        <is>
          <t>Media</t>
        </is>
      </c>
      <c r="T1371" s="18" t="inlineStr">
        <is>
          <t>Convención de nombre de la columna.</t>
        </is>
      </c>
      <c r="U1371" s="18" t="inlineStr"/>
      <c r="V1371" s="19" t="inlineStr">
        <is>
          <t>Pendiente</t>
        </is>
      </c>
      <c r="W1371" s="19" t="inlineStr"/>
      <c r="X1371" s="19" t="inlineStr"/>
      <c r="Y1371" s="20" t="n"/>
      <c r="Z1371" s="19" t="inlineStr"/>
      <c r="AA1371" s="18">
        <f>IF(OR(V1371="Aprobada"),R1371,IF(AND(OR(V1371="Aprobada con ajuste",V1371="Rechazada"),W1371&lt;&gt;""),W1371,""))</f>
        <v/>
      </c>
    </row>
    <row r="1372">
      <c r="A1372" s="18" t="inlineStr">
        <is>
          <t>C1371</t>
        </is>
      </c>
      <c r="B1372" s="18" t="inlineStr">
        <is>
          <t>Control interno</t>
        </is>
      </c>
      <c r="C1372" s="18" t="inlineStr">
        <is>
          <t>control_interno</t>
        </is>
      </c>
      <c r="D1372" s="18" t="inlineStr">
        <is>
          <t>ampliacion_plazo</t>
        </is>
      </c>
      <c r="E1372" s="18" t="n">
        <v>0</v>
      </c>
      <c r="F1372" s="18" t="inlineStr">
        <is>
          <t>fecha_respuesta</t>
        </is>
      </c>
      <c r="G1372" s="18" t="inlineStr">
        <is>
          <t>timestamp without time zone</t>
        </is>
      </c>
      <c r="H1372" s="18" t="inlineStr">
        <is>
          <t>Sí</t>
        </is>
      </c>
      <c r="I1372" s="18" t="inlineStr"/>
      <c r="J1372" s="18" t="inlineStr"/>
      <c r="K1372" s="18" t="inlineStr"/>
      <c r="L1372" s="18" t="inlineStr">
        <is>
          <t>No</t>
        </is>
      </c>
      <c r="M1372" s="18" t="inlineStr">
        <is>
          <t>No</t>
        </is>
      </c>
      <c r="N1372" s="18" t="inlineStr"/>
      <c r="O1372" s="18" t="inlineStr"/>
      <c r="P1372" s="18" t="inlineStr"/>
      <c r="Q1372" s="18" t="inlineStr">
        <is>
          <t>Regla estructural</t>
        </is>
      </c>
      <c r="R1372" s="18" t="inlineStr">
        <is>
          <t>Fecha de respuesta.</t>
        </is>
      </c>
      <c r="S1372" s="18" t="inlineStr">
        <is>
          <t>Media</t>
        </is>
      </c>
      <c r="T1372" s="18" t="inlineStr">
        <is>
          <t>Convención de nombre de la columna.</t>
        </is>
      </c>
      <c r="U1372" s="18" t="inlineStr"/>
      <c r="V1372" s="19" t="inlineStr">
        <is>
          <t>Pendiente</t>
        </is>
      </c>
      <c r="W1372" s="19" t="inlineStr"/>
      <c r="X1372" s="19" t="inlineStr"/>
      <c r="Y1372" s="20" t="n"/>
      <c r="Z1372" s="19" t="inlineStr"/>
      <c r="AA1372" s="18">
        <f>IF(OR(V1372="Aprobada"),R1372,IF(AND(OR(V1372="Aprobada con ajuste",V1372="Rechazada"),W1372&lt;&gt;""),W1372,""))</f>
        <v/>
      </c>
    </row>
    <row r="1373">
      <c r="A1373" s="18" t="inlineStr">
        <is>
          <t>C1372</t>
        </is>
      </c>
      <c r="B1373" s="18" t="inlineStr">
        <is>
          <t>Control interno</t>
        </is>
      </c>
      <c r="C1373" s="18" t="inlineStr">
        <is>
          <t>control_interno</t>
        </is>
      </c>
      <c r="D1373" s="18" t="inlineStr">
        <is>
          <t>ampliacion_plazo</t>
        </is>
      </c>
      <c r="E1373" s="18" t="n">
        <v>0</v>
      </c>
      <c r="F1373" s="18" t="inlineStr">
        <is>
          <t>justificacion</t>
        </is>
      </c>
      <c r="G1373" s="18" t="inlineStr">
        <is>
          <t>text</t>
        </is>
      </c>
      <c r="H1373" s="18" t="inlineStr">
        <is>
          <t>No</t>
        </is>
      </c>
      <c r="I1373" s="18" t="inlineStr"/>
      <c r="J1373" s="18" t="inlineStr"/>
      <c r="K1373" s="18" t="inlineStr"/>
      <c r="L1373" s="18" t="inlineStr">
        <is>
          <t>No</t>
        </is>
      </c>
      <c r="M1373" s="18" t="inlineStr">
        <is>
          <t>No</t>
        </is>
      </c>
      <c r="N1373" s="18" t="inlineStr"/>
      <c r="O1373" s="18" t="inlineStr"/>
      <c r="P1373" s="18" t="inlineStr"/>
      <c r="Q1373" s="18" t="inlineStr">
        <is>
          <t>Propuesta semántica</t>
        </is>
      </c>
      <c r="R1373" s="18" t="inlineStr">
        <is>
          <t>Justificación de la solicitud de ampliación de plazo de la auditoría.</t>
        </is>
      </c>
      <c r="S1373" s="18" t="inlineStr">
        <is>
          <t>Alta</t>
        </is>
      </c>
      <c r="T1373" s="18" t="inlineStr">
        <is>
          <t>nombre + tipo + descripción de la tabla ~</t>
        </is>
      </c>
      <c r="U1373" s="18" t="inlineStr"/>
      <c r="V1373" s="19" t="inlineStr">
        <is>
          <t>Pendiente</t>
        </is>
      </c>
      <c r="W1373" s="19" t="inlineStr"/>
      <c r="X1373" s="19" t="inlineStr"/>
      <c r="Y1373" s="20" t="n"/>
      <c r="Z1373" s="19" t="inlineStr"/>
      <c r="AA1373" s="18">
        <f>IF(OR(V1373="Aprobada"),R1373,IF(AND(OR(V1373="Aprobada con ajuste",V1373="Rechazada"),W1373&lt;&gt;""),W1373,""))</f>
        <v/>
      </c>
    </row>
    <row r="1374">
      <c r="A1374" s="18" t="inlineStr">
        <is>
          <t>C1373</t>
        </is>
      </c>
      <c r="B1374" s="18" t="inlineStr">
        <is>
          <t>Control interno</t>
        </is>
      </c>
      <c r="C1374" s="18" t="inlineStr">
        <is>
          <t>control_interno</t>
        </is>
      </c>
      <c r="D1374" s="18" t="inlineStr">
        <is>
          <t>ampliacion_plazo</t>
        </is>
      </c>
      <c r="E1374" s="18" t="n">
        <v>0</v>
      </c>
      <c r="F1374" s="18" t="inlineStr">
        <is>
          <t>motivo_rechazo</t>
        </is>
      </c>
      <c r="G1374" s="18" t="inlineStr">
        <is>
          <t>text</t>
        </is>
      </c>
      <c r="H1374" s="18" t="inlineStr">
        <is>
          <t>Sí</t>
        </is>
      </c>
      <c r="I1374" s="18" t="inlineStr"/>
      <c r="J1374" s="18" t="inlineStr"/>
      <c r="K1374" s="18" t="inlineStr"/>
      <c r="L1374" s="18" t="inlineStr">
        <is>
          <t>No</t>
        </is>
      </c>
      <c r="M1374" s="18" t="inlineStr">
        <is>
          <t>No</t>
        </is>
      </c>
      <c r="N1374" s="18" t="inlineStr"/>
      <c r="O1374" s="18" t="inlineStr"/>
      <c r="P1374" s="18" t="inlineStr"/>
      <c r="Q1374" s="18" t="inlineStr">
        <is>
          <t>Regla estructural</t>
        </is>
      </c>
      <c r="R1374" s="18" t="inlineStr">
        <is>
          <t>Motivo del rechazo.</t>
        </is>
      </c>
      <c r="S1374" s="18" t="inlineStr">
        <is>
          <t>Media</t>
        </is>
      </c>
      <c r="T1374" s="18" t="inlineStr">
        <is>
          <t>Convención de nombre de la columna.</t>
        </is>
      </c>
      <c r="U1374" s="18" t="inlineStr"/>
      <c r="V1374" s="19" t="inlineStr">
        <is>
          <t>Pendiente</t>
        </is>
      </c>
      <c r="W1374" s="19" t="inlineStr"/>
      <c r="X1374" s="19" t="inlineStr"/>
      <c r="Y1374" s="20" t="n"/>
      <c r="Z1374" s="19" t="inlineStr"/>
      <c r="AA1374" s="18">
        <f>IF(OR(V1374="Aprobada"),R1374,IF(AND(OR(V1374="Aprobada con ajuste",V1374="Rechazada"),W1374&lt;&gt;""),W1374,""))</f>
        <v/>
      </c>
    </row>
    <row r="1375">
      <c r="A1375" s="18" t="inlineStr">
        <is>
          <t>C1374</t>
        </is>
      </c>
      <c r="B1375" s="18" t="inlineStr">
        <is>
          <t>Control interno</t>
        </is>
      </c>
      <c r="C1375" s="18" t="inlineStr">
        <is>
          <t>control_interno</t>
        </is>
      </c>
      <c r="D1375" s="18" t="inlineStr">
        <is>
          <t>ampliacion_plazo</t>
        </is>
      </c>
      <c r="E1375" s="18" t="n">
        <v>0</v>
      </c>
      <c r="F1375" s="18" t="inlineStr">
        <is>
          <t>comentarios</t>
        </is>
      </c>
      <c r="G1375" s="18" t="inlineStr">
        <is>
          <t>text</t>
        </is>
      </c>
      <c r="H1375" s="18" t="inlineStr">
        <is>
          <t>Sí</t>
        </is>
      </c>
      <c r="I1375" s="18" t="inlineStr"/>
      <c r="J1375" s="18" t="inlineStr"/>
      <c r="K1375" s="18" t="inlineStr"/>
      <c r="L1375" s="18" t="inlineStr">
        <is>
          <t>No</t>
        </is>
      </c>
      <c r="M1375" s="18" t="inlineStr">
        <is>
          <t>No</t>
        </is>
      </c>
      <c r="N1375" s="18" t="inlineStr"/>
      <c r="O1375" s="18" t="inlineStr"/>
      <c r="P1375" s="18" t="inlineStr"/>
      <c r="Q1375" s="18" t="inlineStr">
        <is>
          <t>Propuesta semántica</t>
        </is>
      </c>
      <c r="R1375" s="18" t="inlineStr">
        <is>
          <t>Comentarios adicionales sobre la solicitud de ampliación de plazo.</t>
        </is>
      </c>
      <c r="S1375" s="18" t="inlineStr">
        <is>
          <t>Media</t>
        </is>
      </c>
      <c r="T1375" s="18" t="inlineStr">
        <is>
          <t>nombre + tipo</t>
        </is>
      </c>
      <c r="U1375" s="18" t="inlineStr">
        <is>
          <t>¿comentarios los registra el solicitante o quien aprueba o rechaza?</t>
        </is>
      </c>
      <c r="V1375" s="19" t="inlineStr">
        <is>
          <t>Pendiente</t>
        </is>
      </c>
      <c r="W1375" s="19" t="inlineStr"/>
      <c r="X1375" s="19" t="inlineStr"/>
      <c r="Y1375" s="20" t="n"/>
      <c r="Z1375" s="19" t="inlineStr"/>
      <c r="AA1375" s="18">
        <f>IF(OR(V1375="Aprobada"),R1375,IF(AND(OR(V1375="Aprobada con ajuste",V1375="Rechazada"),W1375&lt;&gt;""),W1375,""))</f>
        <v/>
      </c>
    </row>
    <row r="1376">
      <c r="A1376" s="18" t="inlineStr">
        <is>
          <t>C1375</t>
        </is>
      </c>
      <c r="B1376" s="18" t="inlineStr">
        <is>
          <t>Control interno</t>
        </is>
      </c>
      <c r="C1376" s="18" t="inlineStr">
        <is>
          <t>control_interno</t>
        </is>
      </c>
      <c r="D1376" s="18" t="inlineStr">
        <is>
          <t>ampliacion_plazo</t>
        </is>
      </c>
      <c r="E1376" s="18" t="n">
        <v>0</v>
      </c>
      <c r="F1376" s="18" t="inlineStr">
        <is>
          <t>solicitado_por</t>
        </is>
      </c>
      <c r="G1376" s="18" t="inlineStr">
        <is>
          <t>character varying(100)</t>
        </is>
      </c>
      <c r="H1376" s="18" t="inlineStr">
        <is>
          <t>No</t>
        </is>
      </c>
      <c r="I1376" s="18" t="inlineStr"/>
      <c r="J1376" s="18" t="inlineStr"/>
      <c r="K1376" s="18" t="inlineStr"/>
      <c r="L1376" s="18" t="inlineStr">
        <is>
          <t>No</t>
        </is>
      </c>
      <c r="M1376" s="18" t="inlineStr">
        <is>
          <t>No</t>
        </is>
      </c>
      <c r="N1376" s="18" t="inlineStr"/>
      <c r="O1376" s="18" t="inlineStr"/>
      <c r="P1376" s="18" t="inlineStr"/>
      <c r="Q1376" s="18" t="inlineStr">
        <is>
          <t>Regla estructural</t>
        </is>
      </c>
      <c r="R1376" s="18" t="inlineStr">
        <is>
          <t>Usuario que realizó la solicitud.</t>
        </is>
      </c>
      <c r="S1376" s="18" t="inlineStr">
        <is>
          <t>Media</t>
        </is>
      </c>
      <c r="T1376" s="18" t="inlineStr">
        <is>
          <t>Convención de nombre de la columna.</t>
        </is>
      </c>
      <c r="U1376" s="18" t="inlineStr"/>
      <c r="V1376" s="19" t="inlineStr">
        <is>
          <t>Pendiente</t>
        </is>
      </c>
      <c r="W1376" s="19" t="inlineStr"/>
      <c r="X1376" s="19" t="inlineStr"/>
      <c r="Y1376" s="20" t="n"/>
      <c r="Z1376" s="19" t="inlineStr"/>
      <c r="AA1376" s="18">
        <f>IF(OR(V1376="Aprobada"),R1376,IF(AND(OR(V1376="Aprobada con ajuste",V1376="Rechazada"),W1376&lt;&gt;""),W1376,""))</f>
        <v/>
      </c>
    </row>
    <row r="1377">
      <c r="A1377" s="18" t="inlineStr">
        <is>
          <t>C1376</t>
        </is>
      </c>
      <c r="B1377" s="18" t="inlineStr">
        <is>
          <t>Control interno</t>
        </is>
      </c>
      <c r="C1377" s="18" t="inlineStr">
        <is>
          <t>control_interno</t>
        </is>
      </c>
      <c r="D1377" s="18" t="inlineStr">
        <is>
          <t>ampliacion_plazo</t>
        </is>
      </c>
      <c r="E1377" s="18" t="n">
        <v>0</v>
      </c>
      <c r="F1377" s="18" t="inlineStr">
        <is>
          <t>aprobado_rechazado_por</t>
        </is>
      </c>
      <c r="G1377" s="18" t="inlineStr">
        <is>
          <t>character varying(100)</t>
        </is>
      </c>
      <c r="H1377" s="18" t="inlineStr">
        <is>
          <t>Sí</t>
        </is>
      </c>
      <c r="I1377" s="18" t="inlineStr"/>
      <c r="J1377" s="18" t="inlineStr"/>
      <c r="K1377" s="18" t="inlineStr"/>
      <c r="L1377" s="18" t="inlineStr">
        <is>
          <t>No</t>
        </is>
      </c>
      <c r="M1377" s="18" t="inlineStr">
        <is>
          <t>No</t>
        </is>
      </c>
      <c r="N1377" s="18" t="inlineStr"/>
      <c r="O1377" s="18" t="inlineStr"/>
      <c r="P1377" s="18" t="inlineStr"/>
      <c r="Q1377" s="18" t="inlineStr">
        <is>
          <t>Propuesta semántica</t>
        </is>
      </c>
      <c r="R1377" s="18" t="inlineStr">
        <is>
          <t>Usuario que aprobó o rechazó la solicitud de ampliación de plazo.</t>
        </is>
      </c>
      <c r="S1377" s="18" t="inlineStr">
        <is>
          <t>Media</t>
        </is>
      </c>
      <c r="T1377" s="18" t="inlineStr">
        <is>
          <t>nombre + columnas vecinas (estado, fecha_respuesta)</t>
        </is>
      </c>
      <c r="U1377" s="18" t="inlineStr">
        <is>
          <t>¿aprobado_rechazado_por guarda el nombre, el correo o el identificador del usuario?</t>
        </is>
      </c>
      <c r="V1377" s="19" t="inlineStr">
        <is>
          <t>Pendiente</t>
        </is>
      </c>
      <c r="W1377" s="19" t="inlineStr"/>
      <c r="X1377" s="19" t="inlineStr"/>
      <c r="Y1377" s="20" t="n"/>
      <c r="Z1377" s="19" t="inlineStr"/>
      <c r="AA1377" s="18">
        <f>IF(OR(V1377="Aprobada"),R1377,IF(AND(OR(V1377="Aprobada con ajuste",V1377="Rechazada"),W1377&lt;&gt;""),W1377,""))</f>
        <v/>
      </c>
    </row>
    <row r="1378">
      <c r="A1378" s="18" t="inlineStr">
        <is>
          <t>C1377</t>
        </is>
      </c>
      <c r="B1378" s="18" t="inlineStr">
        <is>
          <t>Control interno</t>
        </is>
      </c>
      <c r="C1378" s="18" t="inlineStr">
        <is>
          <t>control_interno</t>
        </is>
      </c>
      <c r="D1378" s="18" t="inlineStr">
        <is>
          <t>aprobacion</t>
        </is>
      </c>
      <c r="E1378" s="18" t="n">
        <v>10</v>
      </c>
      <c r="F1378" s="18" t="inlineStr">
        <is>
          <t>codigo</t>
        </is>
      </c>
      <c r="G1378" s="18" t="inlineStr">
        <is>
          <t>character varying(255)</t>
        </is>
      </c>
      <c r="H1378" s="18" t="inlineStr">
        <is>
          <t>Sí</t>
        </is>
      </c>
      <c r="I1378" s="18" t="inlineStr">
        <is>
          <t>Única</t>
        </is>
      </c>
      <c r="J1378" s="18" t="inlineStr"/>
      <c r="K1378" s="18" t="inlineStr"/>
      <c r="L1378" s="18" t="inlineStr">
        <is>
          <t>No</t>
        </is>
      </c>
      <c r="M1378" s="18" t="inlineStr">
        <is>
          <t>No</t>
        </is>
      </c>
      <c r="N1378" s="18" t="inlineStr"/>
      <c r="O1378" s="18" t="inlineStr">
        <is>
          <t>aprobacion_codigo_key</t>
        </is>
      </c>
      <c r="P1378" s="18" t="inlineStr">
        <is>
          <t>Mapeada en internal-institutional-control-service/src/esap/aprobaciones/entities/aprobacion.entity.ts:34 (Aprobacion.codigo) | Validación: IsNotEmpty, IsOptional, IsString, Length(1, 50), MaxLength(80)</t>
        </is>
      </c>
      <c r="Q1378" s="18" t="inlineStr">
        <is>
          <t>Regla estructural</t>
        </is>
      </c>
      <c r="R1378" s="18" t="inlineStr">
        <is>
          <t>Código del registro de aprobacion. Único en la tabla.</t>
        </is>
      </c>
      <c r="S1378" s="18" t="inlineStr">
        <is>
          <t>Media</t>
        </is>
      </c>
      <c r="T1378" s="18" t="inlineStr">
        <is>
          <t>Convención de nombre de la columna.</t>
        </is>
      </c>
      <c r="U1378" s="18" t="inlineStr"/>
      <c r="V1378" s="19" t="inlineStr">
        <is>
          <t>Pendiente</t>
        </is>
      </c>
      <c r="W1378" s="19" t="inlineStr"/>
      <c r="X1378" s="19" t="inlineStr"/>
      <c r="Y1378" s="20" t="n"/>
      <c r="Z1378" s="19" t="inlineStr"/>
      <c r="AA1378" s="18">
        <f>IF(OR(V1378="Aprobada"),R1378,IF(AND(OR(V1378="Aprobada con ajuste",V1378="Rechazada"),W1378&lt;&gt;""),W1378,""))</f>
        <v/>
      </c>
    </row>
    <row r="1379">
      <c r="A1379" s="18" t="inlineStr">
        <is>
          <t>C1378</t>
        </is>
      </c>
      <c r="B1379" s="18" t="inlineStr">
        <is>
          <t>Control interno</t>
        </is>
      </c>
      <c r="C1379" s="18" t="inlineStr">
        <is>
          <t>control_interno</t>
        </is>
      </c>
      <c r="D1379" s="18" t="inlineStr">
        <is>
          <t>aprobacion</t>
        </is>
      </c>
      <c r="E1379" s="18" t="n">
        <v>10</v>
      </c>
      <c r="F1379" s="18" t="inlineStr">
        <is>
          <t>tipo</t>
        </is>
      </c>
      <c r="G1379" s="18" t="inlineStr">
        <is>
          <t>character varying(100)</t>
        </is>
      </c>
      <c r="H1379" s="18" t="inlineStr">
        <is>
          <t>Sí</t>
        </is>
      </c>
      <c r="I1379" s="18" t="inlineStr">
        <is>
          <t>CHECK</t>
        </is>
      </c>
      <c r="J1379" s="18" t="inlineStr">
        <is>
          <t>documento, informe, plan-auditoria, plan-mejora</t>
        </is>
      </c>
      <c r="K1379" s="18" t="inlineStr"/>
      <c r="L1379" s="18" t="inlineStr">
        <is>
          <t>Sí</t>
        </is>
      </c>
      <c r="M1379" s="18" t="inlineStr">
        <is>
          <t>No</t>
        </is>
      </c>
      <c r="N1379" s="18" t="inlineStr"/>
      <c r="O1379" s="18" t="inlineStr">
        <is>
          <t>idx_aprobacion_tipo</t>
        </is>
      </c>
      <c r="P1379" s="18" t="inlineStr">
        <is>
          <t>Mapeada en internal-institutional-control-service/src/esap/aprobaciones/entities/aprobacion.entity.ts:37 (Aprobacion.tipo)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379" s="18" t="inlineStr">
        <is>
          <t>Regla estructural</t>
        </is>
      </c>
      <c r="R1379" s="18" t="inlineStr">
        <is>
          <t>Tipo del registro de aprobacion.</t>
        </is>
      </c>
      <c r="S1379" s="18" t="inlineStr">
        <is>
          <t>Media</t>
        </is>
      </c>
      <c r="T1379" s="18" t="inlineStr">
        <is>
          <t>Convención de nombre de la columna.</t>
        </is>
      </c>
      <c r="U1379" s="18" t="inlineStr"/>
      <c r="V1379" s="19" t="inlineStr">
        <is>
          <t>Pendiente</t>
        </is>
      </c>
      <c r="W1379" s="19" t="inlineStr"/>
      <c r="X1379" s="19" t="inlineStr"/>
      <c r="Y1379" s="20" t="n"/>
      <c r="Z1379" s="19" t="inlineStr"/>
      <c r="AA1379" s="18">
        <f>IF(OR(V1379="Aprobada"),R1379,IF(AND(OR(V1379="Aprobada con ajuste",V1379="Rechazada"),W1379&lt;&gt;""),W1379,""))</f>
        <v/>
      </c>
    </row>
    <row r="1380">
      <c r="A1380" s="18" t="inlineStr">
        <is>
          <t>C1379</t>
        </is>
      </c>
      <c r="B1380" s="18" t="inlineStr">
        <is>
          <t>Control interno</t>
        </is>
      </c>
      <c r="C1380" s="18" t="inlineStr">
        <is>
          <t>control_interno</t>
        </is>
      </c>
      <c r="D1380" s="18" t="inlineStr">
        <is>
          <t>aprobacion</t>
        </is>
      </c>
      <c r="E1380" s="18" t="n">
        <v>10</v>
      </c>
      <c r="F1380" s="18" t="inlineStr">
        <is>
          <t>titulo</t>
        </is>
      </c>
      <c r="G1380" s="18" t="inlineStr">
        <is>
          <t>character varying(500)</t>
        </is>
      </c>
      <c r="H1380" s="18" t="inlineStr">
        <is>
          <t>Sí</t>
        </is>
      </c>
      <c r="I1380" s="18" t="inlineStr"/>
      <c r="J1380" s="18" t="inlineStr"/>
      <c r="K1380" s="18" t="inlineStr"/>
      <c r="L1380" s="18" t="inlineStr">
        <is>
          <t>No</t>
        </is>
      </c>
      <c r="M1380" s="18" t="inlineStr">
        <is>
          <t>No</t>
        </is>
      </c>
      <c r="N1380" s="18" t="inlineStr"/>
      <c r="O1380" s="18" t="inlineStr"/>
      <c r="P1380" s="18" t="inlineStr">
        <is>
          <t>Mapeada en internal-institutional-control-service/src/esap/aprobaciones/entities/aprobacion.entity.ts:45 (Aprobacion.titulo) | Validación: IsNotEmpty, IsOptional, IsString, MaxLength(255), MaxLength(500)</t>
        </is>
      </c>
      <c r="Q1380" s="18" t="inlineStr">
        <is>
          <t>Propuesta semántica</t>
        </is>
      </c>
      <c r="R1380" s="18" t="inlineStr">
        <is>
          <t>Título de la solicitud de aprobación.</t>
        </is>
      </c>
      <c r="S1380" s="18" t="inlineStr">
        <is>
          <t>Alta</t>
        </is>
      </c>
      <c r="T1380" s="18" t="inlineStr">
        <is>
          <t>nombre + tipo + validaciones ~</t>
        </is>
      </c>
      <c r="U1380" s="18" t="inlineStr"/>
      <c r="V1380" s="19" t="inlineStr">
        <is>
          <t>Pendiente</t>
        </is>
      </c>
      <c r="W1380" s="19" t="inlineStr"/>
      <c r="X1380" s="19" t="inlineStr"/>
      <c r="Y1380" s="20" t="n"/>
      <c r="Z1380" s="19" t="inlineStr"/>
      <c r="AA1380" s="18">
        <f>IF(OR(V1380="Aprobada"),R1380,IF(AND(OR(V1380="Aprobada con ajuste",V1380="Rechazada"),W1380&lt;&gt;""),W1380,""))</f>
        <v/>
      </c>
    </row>
    <row r="1381">
      <c r="A1381" s="18" t="inlineStr">
        <is>
          <t>C1380</t>
        </is>
      </c>
      <c r="B1381" s="18" t="inlineStr">
        <is>
          <t>Control interno</t>
        </is>
      </c>
      <c r="C1381" s="18" t="inlineStr">
        <is>
          <t>control_interno</t>
        </is>
      </c>
      <c r="D1381" s="18" t="inlineStr">
        <is>
          <t>aprobacion</t>
        </is>
      </c>
      <c r="E1381" s="18" t="n">
        <v>10</v>
      </c>
      <c r="F1381" s="18" t="inlineStr">
        <is>
          <t>descripcion</t>
        </is>
      </c>
      <c r="G1381" s="18" t="inlineStr">
        <is>
          <t>text</t>
        </is>
      </c>
      <c r="H1381" s="18" t="inlineStr">
        <is>
          <t>Sí</t>
        </is>
      </c>
      <c r="I1381" s="18" t="inlineStr"/>
      <c r="J1381" s="18" t="inlineStr"/>
      <c r="K1381" s="18" t="inlineStr"/>
      <c r="L1381" s="18" t="inlineStr">
        <is>
          <t>No</t>
        </is>
      </c>
      <c r="M1381" s="18" t="inlineStr">
        <is>
          <t>No</t>
        </is>
      </c>
      <c r="N1381" s="18" t="inlineStr"/>
      <c r="O1381" s="18" t="inlineStr"/>
      <c r="P1381" s="18" t="inlineStr">
        <is>
          <t>Mapeada en internal-institutional-control-service/src/esap/aprobaciones/entities/aprobacion.entity.ts:48 (Aprobacion.descripcion) | Validación: IsNotEmpty, IsOptional, IsString</t>
        </is>
      </c>
      <c r="Q1381" s="18" t="inlineStr">
        <is>
          <t>Regla estructural</t>
        </is>
      </c>
      <c r="R1381" s="18" t="inlineStr">
        <is>
          <t>Descripción del registro de aprobacion.</t>
        </is>
      </c>
      <c r="S1381" s="18" t="inlineStr">
        <is>
          <t>Media</t>
        </is>
      </c>
      <c r="T1381" s="18" t="inlineStr">
        <is>
          <t>Convención de nombre de la columna.</t>
        </is>
      </c>
      <c r="U1381" s="18" t="inlineStr"/>
      <c r="V1381" s="19" t="inlineStr">
        <is>
          <t>Pendiente</t>
        </is>
      </c>
      <c r="W1381" s="19" t="inlineStr"/>
      <c r="X1381" s="19" t="inlineStr"/>
      <c r="Y1381" s="20" t="n"/>
      <c r="Z1381" s="19" t="inlineStr"/>
      <c r="AA1381" s="18">
        <f>IF(OR(V1381="Aprobada"),R1381,IF(AND(OR(V1381="Aprobada con ajuste",V1381="Rechazada"),W1381&lt;&gt;""),W1381,""))</f>
        <v/>
      </c>
    </row>
    <row r="1382">
      <c r="A1382" s="18" t="inlineStr">
        <is>
          <t>C1381</t>
        </is>
      </c>
      <c r="B1382" s="18" t="inlineStr">
        <is>
          <t>Control interno</t>
        </is>
      </c>
      <c r="C1382" s="18" t="inlineStr">
        <is>
          <t>control_interno</t>
        </is>
      </c>
      <c r="D1382" s="18" t="inlineStr">
        <is>
          <t>aprobacion</t>
        </is>
      </c>
      <c r="E1382" s="18" t="n">
        <v>10</v>
      </c>
      <c r="F1382" s="18" t="inlineStr">
        <is>
          <t>solicitante</t>
        </is>
      </c>
      <c r="G1382" s="18" t="inlineStr">
        <is>
          <t>character varying(255)</t>
        </is>
      </c>
      <c r="H1382" s="18" t="inlineStr">
        <is>
          <t>Sí</t>
        </is>
      </c>
      <c r="I1382" s="18" t="inlineStr"/>
      <c r="J1382" s="18" t="inlineStr"/>
      <c r="K1382" s="18" t="inlineStr"/>
      <c r="L1382" s="18" t="inlineStr">
        <is>
          <t>No</t>
        </is>
      </c>
      <c r="M1382" s="18" t="inlineStr">
        <is>
          <t>No</t>
        </is>
      </c>
      <c r="N1382" s="18" t="inlineStr"/>
      <c r="O1382" s="18" t="inlineStr"/>
      <c r="P1382" s="18" t="inlineStr">
        <is>
          <t>Mapeada en internal-institutional-control-service/src/esap/aprobaciones/entities/aprobacion.entity.ts:51 (Aprobacion.solicitante) | Validación: IsNotEmpty, IsString</t>
        </is>
      </c>
      <c r="Q1382" s="18" t="inlineStr">
        <is>
          <t>Propuesta semántica</t>
        </is>
      </c>
      <c r="R1382" s="18" t="inlineStr">
        <is>
          <t>Nombre del usuario que presenta la solicitud de aprobación.</t>
        </is>
      </c>
      <c r="S1382" s="18" t="inlineStr">
        <is>
          <t>Media</t>
        </is>
      </c>
      <c r="T1382" s="18" t="inlineStr">
        <is>
          <t>nombre + tipo</t>
        </is>
      </c>
      <c r="U1382" s="18" t="inlineStr">
        <is>
          <t>¿solicitante guarda el nombre, el correo o el identificador del usuario?</t>
        </is>
      </c>
      <c r="V1382" s="19" t="inlineStr">
        <is>
          <t>Pendiente</t>
        </is>
      </c>
      <c r="W1382" s="19" t="inlineStr"/>
      <c r="X1382" s="19" t="inlineStr"/>
      <c r="Y1382" s="20" t="n"/>
      <c r="Z1382" s="19" t="inlineStr"/>
      <c r="AA1382" s="18">
        <f>IF(OR(V1382="Aprobada"),R1382,IF(AND(OR(V1382="Aprobada con ajuste",V1382="Rechazada"),W1382&lt;&gt;""),W1382,""))</f>
        <v/>
      </c>
    </row>
    <row r="1383">
      <c r="A1383" s="18" t="inlineStr">
        <is>
          <t>C1382</t>
        </is>
      </c>
      <c r="B1383" s="18" t="inlineStr">
        <is>
          <t>Control interno</t>
        </is>
      </c>
      <c r="C1383" s="18" t="inlineStr">
        <is>
          <t>control_interno</t>
        </is>
      </c>
      <c r="D1383" s="18" t="inlineStr">
        <is>
          <t>aprobacion</t>
        </is>
      </c>
      <c r="E1383" s="18" t="n">
        <v>10</v>
      </c>
      <c r="F1383" s="18" t="inlineStr">
        <is>
          <t>fecha_solicitud</t>
        </is>
      </c>
      <c r="G1383" s="18" t="inlineStr">
        <is>
          <t>date</t>
        </is>
      </c>
      <c r="H1383" s="18" t="inlineStr">
        <is>
          <t>Sí</t>
        </is>
      </c>
      <c r="I1383" s="18" t="inlineStr"/>
      <c r="J1383" s="18" t="inlineStr"/>
      <c r="K1383" s="18" t="inlineStr"/>
      <c r="L1383" s="18" t="inlineStr">
        <is>
          <t>No</t>
        </is>
      </c>
      <c r="M1383" s="18" t="inlineStr">
        <is>
          <t>No</t>
        </is>
      </c>
      <c r="N1383" s="18" t="inlineStr"/>
      <c r="O1383" s="18" t="inlineStr">
        <is>
          <t>idx_aprobacion_fecha_solicitud</t>
        </is>
      </c>
      <c r="P1383" s="18" t="inlineStr">
        <is>
          <t>Mapeada en internal-institutional-control-service/src/esap/aprobaciones/entities/aprobacion.entity.ts:54 (Aprobacion.fechaSolicitud) | Validación: IsDateString, IsOptional</t>
        </is>
      </c>
      <c r="Q1383" s="18" t="inlineStr">
        <is>
          <t>Regla estructural</t>
        </is>
      </c>
      <c r="R1383" s="18" t="inlineStr">
        <is>
          <t>Fecha de solicitud.</t>
        </is>
      </c>
      <c r="S1383" s="18" t="inlineStr">
        <is>
          <t>Media</t>
        </is>
      </c>
      <c r="T1383" s="18" t="inlineStr">
        <is>
          <t>Convención de nombre de la columna.</t>
        </is>
      </c>
      <c r="U1383" s="18" t="inlineStr"/>
      <c r="V1383" s="19" t="inlineStr">
        <is>
          <t>Pendiente</t>
        </is>
      </c>
      <c r="W1383" s="19" t="inlineStr"/>
      <c r="X1383" s="19" t="inlineStr"/>
      <c r="Y1383" s="20" t="n"/>
      <c r="Z1383" s="19" t="inlineStr"/>
      <c r="AA1383" s="18">
        <f>IF(OR(V1383="Aprobada"),R1383,IF(AND(OR(V1383="Aprobada con ajuste",V1383="Rechazada"),W1383&lt;&gt;""),W1383,""))</f>
        <v/>
      </c>
    </row>
    <row r="1384">
      <c r="A1384" s="18" t="inlineStr">
        <is>
          <t>C1383</t>
        </is>
      </c>
      <c r="B1384" s="18" t="inlineStr">
        <is>
          <t>Control interno</t>
        </is>
      </c>
      <c r="C1384" s="18" t="inlineStr">
        <is>
          <t>control_interno</t>
        </is>
      </c>
      <c r="D1384" s="18" t="inlineStr">
        <is>
          <t>aprobacion</t>
        </is>
      </c>
      <c r="E1384" s="18" t="n">
        <v>10</v>
      </c>
      <c r="F1384" s="18" t="inlineStr">
        <is>
          <t>prioridad</t>
        </is>
      </c>
      <c r="G1384" s="18" t="inlineStr">
        <is>
          <t>character varying(20)</t>
        </is>
      </c>
      <c r="H1384" s="18" t="inlineStr">
        <is>
          <t>No</t>
        </is>
      </c>
      <c r="I1384" s="18" t="inlineStr">
        <is>
          <t>CHECK</t>
        </is>
      </c>
      <c r="J1384" s="18" t="inlineStr">
        <is>
          <t>Alta, Baja, Media</t>
        </is>
      </c>
      <c r="K1384" s="18" t="inlineStr"/>
      <c r="L1384" s="18" t="inlineStr">
        <is>
          <t>Sí</t>
        </is>
      </c>
      <c r="M1384" s="18" t="inlineStr">
        <is>
          <t>No</t>
        </is>
      </c>
      <c r="N1384" s="18" t="inlineStr"/>
      <c r="O1384" s="18" t="inlineStr">
        <is>
          <t>idx_aprobacion_prioridad</t>
        </is>
      </c>
      <c r="P1384" s="18" t="inlineStr">
        <is>
          <t>Mapeada en internal-institutional-control-service/src/esap/aprobaciones/entities/aprobacion.entity.ts:57 (Aprobacion.prioridad) | Validación: IsEnum(PrioridadAuditoria), IsEnum(PrioridadAuditoriaProgramada), IsEnum(PrioridadNotificacion), IsEnum(PrioridadTarea), IsEnum(['Alta', 'Media', 'Baja']), IsInt</t>
        </is>
      </c>
      <c r="Q1384" s="18" t="inlineStr">
        <is>
          <t>Propuesta semántica</t>
        </is>
      </c>
      <c r="R1384" s="18" t="inlineStr">
        <is>
          <t>Prioridad de la solicitud de aprobación. Valores permitidos: Alta, Media, Baja; por defecto Media.</t>
        </is>
      </c>
      <c r="S1384" s="18" t="inlineStr">
        <is>
          <t>Alta</t>
        </is>
      </c>
      <c r="T1384" s="18" t="inlineStr">
        <is>
          <t>valores permitidos del CHECK + defecto ~</t>
        </is>
      </c>
      <c r="U1384" s="18" t="inlineStr"/>
      <c r="V1384" s="19" t="inlineStr">
        <is>
          <t>Pendiente</t>
        </is>
      </c>
      <c r="W1384" s="19" t="inlineStr"/>
      <c r="X1384" s="19" t="inlineStr"/>
      <c r="Y1384" s="20" t="n"/>
      <c r="Z1384" s="19" t="inlineStr"/>
      <c r="AA1384" s="18">
        <f>IF(OR(V1384="Aprobada"),R1384,IF(AND(OR(V1384="Aprobada con ajuste",V1384="Rechazada"),W1384&lt;&gt;""),W1384,""))</f>
        <v/>
      </c>
    </row>
    <row r="1385">
      <c r="A1385" s="18" t="inlineStr">
        <is>
          <t>C1384</t>
        </is>
      </c>
      <c r="B1385" s="18" t="inlineStr">
        <is>
          <t>Control interno</t>
        </is>
      </c>
      <c r="C1385" s="18" t="inlineStr">
        <is>
          <t>control_interno</t>
        </is>
      </c>
      <c r="D1385" s="18" t="inlineStr">
        <is>
          <t>aprobacion</t>
        </is>
      </c>
      <c r="E1385" s="18" t="n">
        <v>10</v>
      </c>
      <c r="F1385" s="18" t="inlineStr">
        <is>
          <t>estado</t>
        </is>
      </c>
      <c r="G1385" s="18" t="inlineStr">
        <is>
          <t>character varying(50)</t>
        </is>
      </c>
      <c r="H1385" s="18" t="inlineStr">
        <is>
          <t>No</t>
        </is>
      </c>
      <c r="I1385" s="18" t="inlineStr">
        <is>
          <t>CHECK</t>
        </is>
      </c>
      <c r="J1385" s="18" t="inlineStr">
        <is>
          <t>aprobado, en-revision, pendiente, rechazado</t>
        </is>
      </c>
      <c r="K1385" s="18" t="inlineStr"/>
      <c r="L1385" s="18" t="inlineStr">
        <is>
          <t>Sí</t>
        </is>
      </c>
      <c r="M1385" s="18" t="inlineStr">
        <is>
          <t>Sí</t>
        </is>
      </c>
      <c r="N1385" s="18" t="inlineStr">
        <is>
          <t>Función control_interno.trigger_evento_actualizacion_plan — control_interno.trigger_evento_actualizacion_plan: -- Solo registrar si cambió el estado</t>
        </is>
      </c>
      <c r="O1385" s="18" t="inlineStr">
        <is>
          <t>idx_aprobacion_estado</t>
        </is>
      </c>
      <c r="P1385" s="18" t="inlineStr">
        <is>
          <t>Mapeada en internal-institutional-control-service/src/esap/aprobaciones/entities/aprobacion.entity.ts:65 (Aprobacion.estado) | Validación: IsEnum(AccionCorrectivaEstado), IsEnum(EstadoEtapa), IsEnum(EstadoPlanIndividual), IsEnum(EstadoTarea), IsEnum(HallazgoEstado), IsEnum(PlanMejoramientoEstado)</t>
        </is>
      </c>
      <c r="Q1385" s="18" t="inlineStr">
        <is>
          <t>Regla estructural</t>
        </is>
      </c>
      <c r="R1385" s="18" t="inlineStr">
        <is>
          <t>Estado del registro de aprobacion.</t>
        </is>
      </c>
      <c r="S1385" s="18" t="inlineStr">
        <is>
          <t>Media</t>
        </is>
      </c>
      <c r="T1385" s="18" t="inlineStr">
        <is>
          <t>Convención de nombre de la columna.</t>
        </is>
      </c>
      <c r="U1385" s="18" t="inlineStr"/>
      <c r="V1385" s="19" t="inlineStr">
        <is>
          <t>Pendiente</t>
        </is>
      </c>
      <c r="W1385" s="19" t="inlineStr"/>
      <c r="X1385" s="19" t="inlineStr"/>
      <c r="Y1385" s="20" t="n"/>
      <c r="Z1385" s="19" t="inlineStr"/>
      <c r="AA1385" s="18">
        <f>IF(OR(V1385="Aprobada"),R1385,IF(AND(OR(V1385="Aprobada con ajuste",V1385="Rechazada"),W1385&lt;&gt;""),W1385,""))</f>
        <v/>
      </c>
    </row>
    <row r="1386">
      <c r="A1386" s="18" t="inlineStr">
        <is>
          <t>C1385</t>
        </is>
      </c>
      <c r="B1386" s="18" t="inlineStr">
        <is>
          <t>Control interno</t>
        </is>
      </c>
      <c r="C1386" s="18" t="inlineStr">
        <is>
          <t>control_interno</t>
        </is>
      </c>
      <c r="D1386" s="18" t="inlineStr">
        <is>
          <t>aprobacion</t>
        </is>
      </c>
      <c r="E1386" s="18" t="n">
        <v>10</v>
      </c>
      <c r="F1386" s="18" t="inlineStr">
        <is>
          <t>territorial</t>
        </is>
      </c>
      <c r="G1386" s="18" t="inlineStr">
        <is>
          <t>character varying(255)</t>
        </is>
      </c>
      <c r="H1386" s="18" t="inlineStr">
        <is>
          <t>Sí</t>
        </is>
      </c>
      <c r="I1386" s="18" t="inlineStr"/>
      <c r="J1386" s="18" t="inlineStr"/>
      <c r="K1386" s="18" t="inlineStr"/>
      <c r="L1386" s="18" t="inlineStr">
        <is>
          <t>No</t>
        </is>
      </c>
      <c r="M1386" s="18" t="inlineStr">
        <is>
          <t>No</t>
        </is>
      </c>
      <c r="N1386" s="18" t="inlineStr"/>
      <c r="O1386" s="18" t="inlineStr"/>
      <c r="P1386" s="18" t="inlineStr">
        <is>
          <t>Mapeada en internal-institutional-control-service/src/esap/aprobaciones/entities/aprobacion.entity.ts:73 (Aprobacion.territorial) | Validación: IsNotEmpty, IsOptional, IsString</t>
        </is>
      </c>
      <c r="Q1386" s="18" t="inlineStr">
        <is>
          <t>Propuesta semántica</t>
        </is>
      </c>
      <c r="R1386" s="18" t="inlineStr">
        <is>
          <t>Dirección territorial asociada a la solicitud de aprobación.</t>
        </is>
      </c>
      <c r="S1386" s="18" t="inlineStr">
        <is>
          <t>Media</t>
        </is>
      </c>
      <c r="T1386" s="18" t="inlineStr">
        <is>
          <t>nombre + columnas vecinas (sede)</t>
        </is>
      </c>
      <c r="U1386" s="18" t="inlineStr">
        <is>
          <t>¿territorial se toma de un catálogo de direcciones territoriales o es texto libre?</t>
        </is>
      </c>
      <c r="V1386" s="19" t="inlineStr">
        <is>
          <t>Pendiente</t>
        </is>
      </c>
      <c r="W1386" s="19" t="inlineStr"/>
      <c r="X1386" s="19" t="inlineStr"/>
      <c r="Y1386" s="20" t="n"/>
      <c r="Z1386" s="19" t="inlineStr"/>
      <c r="AA1386" s="18">
        <f>IF(OR(V1386="Aprobada"),R1386,IF(AND(OR(V1386="Aprobada con ajuste",V1386="Rechazada"),W1386&lt;&gt;""),W1386,""))</f>
        <v/>
      </c>
    </row>
    <row r="1387">
      <c r="A1387" s="18" t="inlineStr">
        <is>
          <t>C1386</t>
        </is>
      </c>
      <c r="B1387" s="18" t="inlineStr">
        <is>
          <t>Control interno</t>
        </is>
      </c>
      <c r="C1387" s="18" t="inlineStr">
        <is>
          <t>control_interno</t>
        </is>
      </c>
      <c r="D1387" s="18" t="inlineStr">
        <is>
          <t>aprobacion</t>
        </is>
      </c>
      <c r="E1387" s="18" t="n">
        <v>10</v>
      </c>
      <c r="F1387" s="18" t="inlineStr">
        <is>
          <t>sede</t>
        </is>
      </c>
      <c r="G1387" s="18" t="inlineStr">
        <is>
          <t>character varying(255)</t>
        </is>
      </c>
      <c r="H1387" s="18" t="inlineStr">
        <is>
          <t>Sí</t>
        </is>
      </c>
      <c r="I1387" s="18" t="inlineStr"/>
      <c r="J1387" s="18" t="inlineStr"/>
      <c r="K1387" s="18" t="inlineStr"/>
      <c r="L1387" s="18" t="inlineStr">
        <is>
          <t>No</t>
        </is>
      </c>
      <c r="M1387" s="18" t="inlineStr">
        <is>
          <t>No</t>
        </is>
      </c>
      <c r="N1387" s="18" t="inlineStr"/>
      <c r="O1387" s="18" t="inlineStr"/>
      <c r="P1387" s="18" t="inlineStr">
        <is>
          <t>Mapeada en internal-institutional-control-service/src/esap/aprobaciones/entities/aprobacion.entity.ts:76 (Aprobacion.sede) | Validación: IsNotEmpty, IsOptional, IsString</t>
        </is>
      </c>
      <c r="Q1387" s="18" t="inlineStr">
        <is>
          <t>Propuesta semántica</t>
        </is>
      </c>
      <c r="R1387" s="18" t="inlineStr">
        <is>
          <t>Sede asociada a la solicitud de aprobación.</t>
        </is>
      </c>
      <c r="S1387" s="18" t="inlineStr">
        <is>
          <t>Media</t>
        </is>
      </c>
      <c r="T1387" s="18" t="inlineStr">
        <is>
          <t>nombre + columnas vecinas (territorial)</t>
        </is>
      </c>
      <c r="U1387" s="18" t="inlineStr">
        <is>
          <t>¿sede se toma de un catálogo de sedes o es texto libre?</t>
        </is>
      </c>
      <c r="V1387" s="19" t="inlineStr">
        <is>
          <t>Pendiente</t>
        </is>
      </c>
      <c r="W1387" s="19" t="inlineStr"/>
      <c r="X1387" s="19" t="inlineStr"/>
      <c r="Y1387" s="20" t="n"/>
      <c r="Z1387" s="19" t="inlineStr"/>
      <c r="AA1387" s="18">
        <f>IF(OR(V1387="Aprobada"),R1387,IF(AND(OR(V1387="Aprobada con ajuste",V1387="Rechazada"),W1387&lt;&gt;""),W1387,""))</f>
        <v/>
      </c>
    </row>
    <row r="1388">
      <c r="A1388" s="18" t="inlineStr">
        <is>
          <t>C1387</t>
        </is>
      </c>
      <c r="B1388" s="18" t="inlineStr">
        <is>
          <t>Control interno</t>
        </is>
      </c>
      <c r="C1388" s="18" t="inlineStr">
        <is>
          <t>control_interno</t>
        </is>
      </c>
      <c r="D1388" s="18" t="inlineStr">
        <is>
          <t>aprobacion</t>
        </is>
      </c>
      <c r="E1388" s="18" t="n">
        <v>10</v>
      </c>
      <c r="F1388" s="18" t="inlineStr">
        <is>
          <t>relacionado</t>
        </is>
      </c>
      <c r="G1388" s="18" t="inlineStr">
        <is>
          <t>character varying(255)</t>
        </is>
      </c>
      <c r="H1388" s="18" t="inlineStr">
        <is>
          <t>Sí</t>
        </is>
      </c>
      <c r="I1388" s="18" t="inlineStr"/>
      <c r="J1388" s="18" t="inlineStr"/>
      <c r="K1388" s="18" t="inlineStr"/>
      <c r="L1388" s="18" t="inlineStr">
        <is>
          <t>No</t>
        </is>
      </c>
      <c r="M1388" s="18" t="inlineStr">
        <is>
          <t>No</t>
        </is>
      </c>
      <c r="N1388" s="18" t="inlineStr"/>
      <c r="O1388" s="18" t="inlineStr"/>
      <c r="P1388" s="18" t="inlineStr">
        <is>
          <t>Mapeada en internal-institutional-control-service/src/esap/aprobaciones/entities/aprobacion.entity.ts:79 (Aprobacion.relacionado) | Validación: IsOptional, IsString</t>
        </is>
      </c>
      <c r="Q1388" s="18" t="inlineStr">
        <is>
          <t>Propuesta semántica</t>
        </is>
      </c>
      <c r="R1388" s="18" t="inlineStr">
        <is>
          <t>Referencia al elemento relacionado con la solicitud de aprobación (por ejemplo, el código de la auditoría o documento).</t>
        </is>
      </c>
      <c r="S1388" s="18" t="inlineStr">
        <is>
          <t>Baja</t>
        </is>
      </c>
      <c r="T1388" s="18" t="inlineStr">
        <is>
          <t>nombre + tipo</t>
        </is>
      </c>
      <c r="U1388" s="18" t="inlineStr">
        <is>
          <t>¿Qué contiene relacionado: un código, un identificador o un texto descriptivo? ¿A qué entidades puede referirse?</t>
        </is>
      </c>
      <c r="V1388" s="19" t="inlineStr">
        <is>
          <t>Pendiente</t>
        </is>
      </c>
      <c r="W1388" s="19" t="inlineStr"/>
      <c r="X1388" s="19" t="inlineStr"/>
      <c r="Y1388" s="20" t="n"/>
      <c r="Z1388" s="19" t="inlineStr"/>
      <c r="AA1388" s="18">
        <f>IF(OR(V1388="Aprobada"),R1388,IF(AND(OR(V1388="Aprobada con ajuste",V1388="Rechazada"),W1388&lt;&gt;""),W1388,""))</f>
        <v/>
      </c>
    </row>
    <row r="1389">
      <c r="A1389" s="18" t="inlineStr">
        <is>
          <t>C1388</t>
        </is>
      </c>
      <c r="B1389" s="18" t="inlineStr">
        <is>
          <t>Control interno</t>
        </is>
      </c>
      <c r="C1389" s="18" t="inlineStr">
        <is>
          <t>control_interno</t>
        </is>
      </c>
      <c r="D1389" s="18" t="inlineStr">
        <is>
          <t>aprobacion</t>
        </is>
      </c>
      <c r="E1389" s="18" t="n">
        <v>10</v>
      </c>
      <c r="F1389" s="18" t="inlineStr">
        <is>
          <t>documentos_count</t>
        </is>
      </c>
      <c r="G1389" s="18" t="inlineStr">
        <is>
          <t>integer</t>
        </is>
      </c>
      <c r="H1389" s="18" t="inlineStr">
        <is>
          <t>Sí</t>
        </is>
      </c>
      <c r="I1389" s="18" t="inlineStr"/>
      <c r="J1389" s="18" t="inlineStr"/>
      <c r="K1389" s="18" t="inlineStr"/>
      <c r="L1389" s="18" t="inlineStr">
        <is>
          <t>No</t>
        </is>
      </c>
      <c r="M1389" s="18" t="inlineStr">
        <is>
          <t>No</t>
        </is>
      </c>
      <c r="N1389" s="18" t="inlineStr"/>
      <c r="O1389" s="18" t="inlineStr"/>
      <c r="P1389" s="18" t="inlineStr">
        <is>
          <t>internal-institutional-control-service/src/esap/aprobaciones/entities/aprobacion.entity.ts:106: Contador de documentos (la relación está en documento_aprobacion)</t>
        </is>
      </c>
      <c r="Q1389" s="18" t="inlineStr">
        <is>
          <t>Código fuente</t>
        </is>
      </c>
      <c r="R1389" s="18" t="inlineStr">
        <is>
          <t>Cantidad de documentos asociados a la aprobación; la relación se guarda en documento_aprobacion. Por defecto 0.</t>
        </is>
      </c>
      <c r="S1389" s="18" t="inlineStr">
        <is>
          <t>Alta</t>
        </is>
      </c>
      <c r="T1389" s="18" t="inlineStr">
        <is>
          <t>código: internal-institutional-control-service/src/esap/aprobaciones/entities/aprobacion.entity.ts:106</t>
        </is>
      </c>
      <c r="U1389" s="18" t="inlineStr"/>
      <c r="V1389" s="19" t="inlineStr">
        <is>
          <t>Pendiente</t>
        </is>
      </c>
      <c r="W1389" s="19" t="inlineStr"/>
      <c r="X1389" s="19" t="inlineStr"/>
      <c r="Y1389" s="20" t="n"/>
      <c r="Z1389" s="19" t="inlineStr"/>
      <c r="AA1389" s="18">
        <f>IF(OR(V1389="Aprobada"),R1389,IF(AND(OR(V1389="Aprobada con ajuste",V1389="Rechazada"),W1389&lt;&gt;""),W1389,""))</f>
        <v/>
      </c>
    </row>
    <row r="1390">
      <c r="A1390" s="18" t="inlineStr">
        <is>
          <t>C1389</t>
        </is>
      </c>
      <c r="B1390" s="18" t="inlineStr">
        <is>
          <t>Control interno</t>
        </is>
      </c>
      <c r="C1390" s="18" t="inlineStr">
        <is>
          <t>control_interno</t>
        </is>
      </c>
      <c r="D1390" s="18" t="inlineStr">
        <is>
          <t>aprobacion</t>
        </is>
      </c>
      <c r="E1390" s="18" t="n">
        <v>10</v>
      </c>
      <c r="F1390" s="18" t="inlineStr">
        <is>
          <t>aprobado_por</t>
        </is>
      </c>
      <c r="G1390" s="18" t="inlineStr">
        <is>
          <t>character varying(255)</t>
        </is>
      </c>
      <c r="H1390" s="18" t="inlineStr">
        <is>
          <t>Sí</t>
        </is>
      </c>
      <c r="I1390" s="18" t="inlineStr"/>
      <c r="J1390" s="18" t="inlineStr"/>
      <c r="K1390" s="18" t="inlineStr"/>
      <c r="L1390" s="18" t="inlineStr">
        <is>
          <t>No</t>
        </is>
      </c>
      <c r="M1390" s="18" t="inlineStr">
        <is>
          <t>Sí</t>
        </is>
      </c>
      <c r="N1390" s="18" t="inlineStr">
        <is>
          <t>Función control_interno.trigger_evento_actualizacion_plan — control_interno.trigger_evento_actualizacion_plan: COALESCE(NEW.aprobado_por, NEW.responsable_implementacion),  -- usar aprobado_por si es aprobación, sino responsable_imp</t>
        </is>
      </c>
      <c r="O1390" s="18" t="inlineStr"/>
      <c r="P1390" s="18" t="inlineStr">
        <is>
          <t>Mapeada en internal-institutional-control-service/src/esap/aprobaciones/entities/aprobacion.entity.ts:92 (Aprobacion.aprobadoPor) | Validación: IsOptional, IsString, Length(0, 255)</t>
        </is>
      </c>
      <c r="Q1390" s="18" t="inlineStr">
        <is>
          <t>Regla estructural</t>
        </is>
      </c>
      <c r="R1390" s="18" t="inlineStr">
        <is>
          <t>Usuario que realizó la aprobación.</t>
        </is>
      </c>
      <c r="S1390" s="18" t="inlineStr">
        <is>
          <t>Media</t>
        </is>
      </c>
      <c r="T1390" s="18" t="inlineStr">
        <is>
          <t>Convención de nombre de la columna.</t>
        </is>
      </c>
      <c r="U1390" s="18" t="inlineStr"/>
      <c r="V1390" s="19" t="inlineStr">
        <is>
          <t>Pendiente</t>
        </is>
      </c>
      <c r="W1390" s="19" t="inlineStr"/>
      <c r="X1390" s="19" t="inlineStr"/>
      <c r="Y1390" s="20" t="n"/>
      <c r="Z1390" s="19" t="inlineStr"/>
      <c r="AA1390" s="18">
        <f>IF(OR(V1390="Aprobada"),R1390,IF(AND(OR(V1390="Aprobada con ajuste",V1390="Rechazada"),W1390&lt;&gt;""),W1390,""))</f>
        <v/>
      </c>
    </row>
    <row r="1391">
      <c r="A1391" s="18" t="inlineStr">
        <is>
          <t>C1390</t>
        </is>
      </c>
      <c r="B1391" s="18" t="inlineStr">
        <is>
          <t>Control interno</t>
        </is>
      </c>
      <c r="C1391" s="18" t="inlineStr">
        <is>
          <t>control_interno</t>
        </is>
      </c>
      <c r="D1391" s="18" t="inlineStr">
        <is>
          <t>aprobacion</t>
        </is>
      </c>
      <c r="E1391" s="18" t="n">
        <v>10</v>
      </c>
      <c r="F1391" s="18" t="inlineStr">
        <is>
          <t>fecha_aprobacion</t>
        </is>
      </c>
      <c r="G1391" s="18" t="inlineStr">
        <is>
          <t>timestamp without time zone</t>
        </is>
      </c>
      <c r="H1391" s="18" t="inlineStr">
        <is>
          <t>Sí</t>
        </is>
      </c>
      <c r="I1391" s="18" t="inlineStr"/>
      <c r="J1391" s="18" t="inlineStr"/>
      <c r="K1391" s="18" t="inlineStr"/>
      <c r="L1391" s="18" t="inlineStr">
        <is>
          <t>No</t>
        </is>
      </c>
      <c r="M1391" s="18" t="inlineStr">
        <is>
          <t>No</t>
        </is>
      </c>
      <c r="N1391" s="18" t="inlineStr"/>
      <c r="O1391" s="18" t="inlineStr"/>
      <c r="P1391" s="18" t="inlineStr">
        <is>
          <t>Mapeada en internal-institutional-control-service/src/esap/aprobaciones/entities/aprobacion.entity.ts:89 (Aprobacion.fechaAprobacion) | Validación: IsDateString, IsOptional</t>
        </is>
      </c>
      <c r="Q1391" s="18" t="inlineStr">
        <is>
          <t>Regla estructural</t>
        </is>
      </c>
      <c r="R1391" s="18" t="inlineStr">
        <is>
          <t>Fecha de aprobación.</t>
        </is>
      </c>
      <c r="S1391" s="18" t="inlineStr">
        <is>
          <t>Media</t>
        </is>
      </c>
      <c r="T1391" s="18" t="inlineStr">
        <is>
          <t>Convención de nombre de la columna.</t>
        </is>
      </c>
      <c r="U1391" s="18" t="inlineStr"/>
      <c r="V1391" s="19" t="inlineStr">
        <is>
          <t>Pendiente</t>
        </is>
      </c>
      <c r="W1391" s="19" t="inlineStr"/>
      <c r="X1391" s="19" t="inlineStr"/>
      <c r="Y1391" s="20" t="n"/>
      <c r="Z1391" s="19" t="inlineStr"/>
      <c r="AA1391" s="18">
        <f>IF(OR(V1391="Aprobada"),R1391,IF(AND(OR(V1391="Aprobada con ajuste",V1391="Rechazada"),W1391&lt;&gt;""),W1391,""))</f>
        <v/>
      </c>
    </row>
    <row r="1392">
      <c r="A1392" s="18" t="inlineStr">
        <is>
          <t>C1391</t>
        </is>
      </c>
      <c r="B1392" s="18" t="inlineStr">
        <is>
          <t>Control interno</t>
        </is>
      </c>
      <c r="C1392" s="18" t="inlineStr">
        <is>
          <t>control_interno</t>
        </is>
      </c>
      <c r="D1392" s="18" t="inlineStr">
        <is>
          <t>aprobacion</t>
        </is>
      </c>
      <c r="E1392" s="18" t="n">
        <v>10</v>
      </c>
      <c r="F1392" s="18" t="inlineStr">
        <is>
          <t>rechazado_por</t>
        </is>
      </c>
      <c r="G1392" s="18" t="inlineStr">
        <is>
          <t>character varying(255)</t>
        </is>
      </c>
      <c r="H1392" s="18" t="inlineStr">
        <is>
          <t>Sí</t>
        </is>
      </c>
      <c r="I1392" s="18" t="inlineStr"/>
      <c r="J1392" s="18" t="inlineStr"/>
      <c r="K1392" s="18" t="inlineStr"/>
      <c r="L1392" s="18" t="inlineStr">
        <is>
          <t>No</t>
        </is>
      </c>
      <c r="M1392" s="18" t="inlineStr">
        <is>
          <t>No</t>
        </is>
      </c>
      <c r="N1392" s="18" t="inlineStr"/>
      <c r="O1392" s="18" t="inlineStr"/>
      <c r="P1392" s="18" t="inlineStr">
        <is>
          <t>Mapeada en internal-institutional-control-service/src/esap/aprobaciones/entities/aprobacion.entity.ts:102 (Aprobacion.rechazadoPor)</t>
        </is>
      </c>
      <c r="Q1392" s="18" t="inlineStr">
        <is>
          <t>Regla estructural</t>
        </is>
      </c>
      <c r="R1392" s="18" t="inlineStr">
        <is>
          <t>Usuario que realizó el rechazo.</t>
        </is>
      </c>
      <c r="S1392" s="18" t="inlineStr">
        <is>
          <t>Media</t>
        </is>
      </c>
      <c r="T1392" s="18" t="inlineStr">
        <is>
          <t>Convención de nombre de la columna.</t>
        </is>
      </c>
      <c r="U1392" s="18" t="inlineStr"/>
      <c r="V1392" s="19" t="inlineStr">
        <is>
          <t>Pendiente</t>
        </is>
      </c>
      <c r="W1392" s="19" t="inlineStr"/>
      <c r="X1392" s="19" t="inlineStr"/>
      <c r="Y1392" s="20" t="n"/>
      <c r="Z1392" s="19" t="inlineStr"/>
      <c r="AA1392" s="18">
        <f>IF(OR(V1392="Aprobada"),R1392,IF(AND(OR(V1392="Aprobada con ajuste",V1392="Rechazada"),W1392&lt;&gt;""),W1392,""))</f>
        <v/>
      </c>
    </row>
    <row r="1393">
      <c r="A1393" s="18" t="inlineStr">
        <is>
          <t>C1392</t>
        </is>
      </c>
      <c r="B1393" s="18" t="inlineStr">
        <is>
          <t>Control interno</t>
        </is>
      </c>
      <c r="C1393" s="18" t="inlineStr">
        <is>
          <t>control_interno</t>
        </is>
      </c>
      <c r="D1393" s="18" t="inlineStr">
        <is>
          <t>aprobacion</t>
        </is>
      </c>
      <c r="E1393" s="18" t="n">
        <v>10</v>
      </c>
      <c r="F1393" s="18" t="inlineStr">
        <is>
          <t>fecha_rechazo</t>
        </is>
      </c>
      <c r="G1393" s="18" t="inlineStr">
        <is>
          <t>timestamp without time zone</t>
        </is>
      </c>
      <c r="H1393" s="18" t="inlineStr">
        <is>
          <t>Sí</t>
        </is>
      </c>
      <c r="I1393" s="18" t="inlineStr"/>
      <c r="J1393" s="18" t="inlineStr"/>
      <c r="K1393" s="18" t="inlineStr"/>
      <c r="L1393" s="18" t="inlineStr">
        <is>
          <t>No</t>
        </is>
      </c>
      <c r="M1393" s="18" t="inlineStr">
        <is>
          <t>No</t>
        </is>
      </c>
      <c r="N1393" s="18" t="inlineStr"/>
      <c r="O1393" s="18" t="inlineStr"/>
      <c r="P1393" s="18" t="inlineStr">
        <is>
          <t>Mapeada en internal-institutional-control-service/src/esap/aprobaciones/entities/aprobacion.entity.ts:99 (Aprobacion.fechaRechazo)</t>
        </is>
      </c>
      <c r="Q1393" s="18" t="inlineStr">
        <is>
          <t>Regla estructural</t>
        </is>
      </c>
      <c r="R1393" s="18" t="inlineStr">
        <is>
          <t>Fecha de rechazo.</t>
        </is>
      </c>
      <c r="S1393" s="18" t="inlineStr">
        <is>
          <t>Media</t>
        </is>
      </c>
      <c r="T1393" s="18" t="inlineStr">
        <is>
          <t>Convención de nombre de la columna.</t>
        </is>
      </c>
      <c r="U1393" s="18" t="inlineStr"/>
      <c r="V1393" s="19" t="inlineStr">
        <is>
          <t>Pendiente</t>
        </is>
      </c>
      <c r="W1393" s="19" t="inlineStr"/>
      <c r="X1393" s="19" t="inlineStr"/>
      <c r="Y1393" s="20" t="n"/>
      <c r="Z1393" s="19" t="inlineStr"/>
      <c r="AA1393" s="18">
        <f>IF(OR(V1393="Aprobada"),R1393,IF(AND(OR(V1393="Aprobada con ajuste",V1393="Rechazada"),W1393&lt;&gt;""),W1393,""))</f>
        <v/>
      </c>
    </row>
    <row r="1394">
      <c r="A1394" s="18" t="inlineStr">
        <is>
          <t>C1393</t>
        </is>
      </c>
      <c r="B1394" s="18" t="inlineStr">
        <is>
          <t>Control interno</t>
        </is>
      </c>
      <c r="C1394" s="18" t="inlineStr">
        <is>
          <t>control_interno</t>
        </is>
      </c>
      <c r="D1394" s="18" t="inlineStr">
        <is>
          <t>aprobacion</t>
        </is>
      </c>
      <c r="E1394" s="18" t="n">
        <v>10</v>
      </c>
      <c r="F1394" s="18" t="inlineStr">
        <is>
          <t>motivo_rechazo</t>
        </is>
      </c>
      <c r="G1394" s="18" t="inlineStr">
        <is>
          <t>text</t>
        </is>
      </c>
      <c r="H1394" s="18" t="inlineStr">
        <is>
          <t>Sí</t>
        </is>
      </c>
      <c r="I1394" s="18" t="inlineStr"/>
      <c r="J1394" s="18" t="inlineStr"/>
      <c r="K1394" s="18" t="inlineStr"/>
      <c r="L1394" s="18" t="inlineStr">
        <is>
          <t>No</t>
        </is>
      </c>
      <c r="M1394" s="18" t="inlineStr">
        <is>
          <t>No</t>
        </is>
      </c>
      <c r="N1394" s="18" t="inlineStr"/>
      <c r="O1394" s="18" t="inlineStr"/>
      <c r="P1394" s="18" t="inlineStr">
        <is>
          <t>internal-institutional-control-service/src/esap/aprobaciones/entities/aprobacion.entity.ts:96: Campos para rechazo | Validación: IsNotEmpty, IsOptional, IsString</t>
        </is>
      </c>
      <c r="Q1394" s="18" t="inlineStr">
        <is>
          <t>Código fuente</t>
        </is>
      </c>
      <c r="R1394" s="18" t="inlineStr">
        <is>
          <t>Motivo del rechazo de la solicitud de aprobación.</t>
        </is>
      </c>
      <c r="S1394" s="18" t="inlineStr">
        <is>
          <t>Alta</t>
        </is>
      </c>
      <c r="T1394" s="18" t="inlineStr">
        <is>
          <t>código: internal-institutional-control-service/src/esap/aprobaciones/entities/aprobacion.entity.ts:96</t>
        </is>
      </c>
      <c r="U1394" s="18" t="inlineStr"/>
      <c r="V1394" s="19" t="inlineStr">
        <is>
          <t>Pendiente</t>
        </is>
      </c>
      <c r="W1394" s="19" t="inlineStr"/>
      <c r="X1394" s="19" t="inlineStr"/>
      <c r="Y1394" s="20" t="n"/>
      <c r="Z1394" s="19" t="inlineStr"/>
      <c r="AA1394" s="18">
        <f>IF(OR(V1394="Aprobada"),R1394,IF(AND(OR(V1394="Aprobada con ajuste",V1394="Rechazada"),W1394&lt;&gt;""),W1394,""))</f>
        <v/>
      </c>
    </row>
    <row r="1395">
      <c r="A1395" s="18" t="inlineStr">
        <is>
          <t>C1394</t>
        </is>
      </c>
      <c r="B1395" s="18" t="inlineStr">
        <is>
          <t>Control interno</t>
        </is>
      </c>
      <c r="C1395" s="18" t="inlineStr">
        <is>
          <t>control_interno</t>
        </is>
      </c>
      <c r="D1395" s="18" t="inlineStr">
        <is>
          <t>aprobacion</t>
        </is>
      </c>
      <c r="E1395" s="18" t="n">
        <v>10</v>
      </c>
      <c r="F1395" s="18" t="inlineStr">
        <is>
          <t>observaciones</t>
        </is>
      </c>
      <c r="G1395" s="18" t="inlineStr">
        <is>
          <t>text</t>
        </is>
      </c>
      <c r="H1395" s="18" t="inlineStr">
        <is>
          <t>Sí</t>
        </is>
      </c>
      <c r="I1395" s="18" t="inlineStr"/>
      <c r="J1395" s="18" t="inlineStr"/>
      <c r="K1395" s="18" t="inlineStr"/>
      <c r="L1395" s="18" t="inlineStr">
        <is>
          <t>No</t>
        </is>
      </c>
      <c r="M1395" s="18" t="inlineStr">
        <is>
          <t>No</t>
        </is>
      </c>
      <c r="N1395" s="18" t="inlineStr"/>
      <c r="O1395" s="18" t="inlineStr"/>
      <c r="P1395" s="18" t="inlineStr">
        <is>
          <t>internal-institutional-control-service/src/esap/aprobaciones/entities/aprobacion.entity.ts:86: Campos para aprobación | Validación: IsOptional, IsString</t>
        </is>
      </c>
      <c r="Q1395" s="18" t="inlineStr">
        <is>
          <t>Código fuente</t>
        </is>
      </c>
      <c r="R1395" s="18" t="inlineStr">
        <is>
          <t>Observaciones registradas al aprobar la solicitud.</t>
        </is>
      </c>
      <c r="S1395" s="18" t="inlineStr">
        <is>
          <t>Media</t>
        </is>
      </c>
      <c r="T1395" s="18" t="inlineStr">
        <is>
          <t>código: internal-institutional-control-service/src/esap/aprobaciones/entities/aprobacion.entity.ts:86</t>
        </is>
      </c>
      <c r="U1395" s="18" t="inlineStr">
        <is>
          <t>¿observaciones se diligencia solo al aprobar o también en otras decisiones sobre la solicitud?</t>
        </is>
      </c>
      <c r="V1395" s="19" t="inlineStr">
        <is>
          <t>Pendiente</t>
        </is>
      </c>
      <c r="W1395" s="19" t="inlineStr"/>
      <c r="X1395" s="19" t="inlineStr"/>
      <c r="Y1395" s="20" t="n"/>
      <c r="Z1395" s="19" t="inlineStr"/>
      <c r="AA1395" s="18">
        <f>IF(OR(V1395="Aprobada"),R1395,IF(AND(OR(V1395="Aprobada con ajuste",V1395="Rechazada"),W1395&lt;&gt;""),W1395,""))</f>
        <v/>
      </c>
    </row>
    <row r="1396">
      <c r="A1396" s="18" t="inlineStr">
        <is>
          <t>C1395</t>
        </is>
      </c>
      <c r="B1396" s="18" t="inlineStr">
        <is>
          <t>Control interno</t>
        </is>
      </c>
      <c r="C1396" s="18" t="inlineStr">
        <is>
          <t>control_interno</t>
        </is>
      </c>
      <c r="D1396" s="18" t="inlineStr">
        <is>
          <t>aprobacion</t>
        </is>
      </c>
      <c r="E1396" s="18" t="n">
        <v>10</v>
      </c>
      <c r="F1396" s="18" t="inlineStr">
        <is>
          <t>area</t>
        </is>
      </c>
      <c r="G1396" s="18" t="inlineStr">
        <is>
          <t>character varying(255)</t>
        </is>
      </c>
      <c r="H1396" s="18" t="inlineStr">
        <is>
          <t>Sí</t>
        </is>
      </c>
      <c r="I1396" s="18" t="inlineStr"/>
      <c r="J1396" s="18" t="inlineStr"/>
      <c r="K1396" s="18" t="inlineStr"/>
      <c r="L1396" s="18" t="inlineStr">
        <is>
          <t>No</t>
        </is>
      </c>
      <c r="M1396" s="18" t="inlineStr">
        <is>
          <t>No</t>
        </is>
      </c>
      <c r="N1396" s="18" t="inlineStr"/>
      <c r="O1396" s="18" t="inlineStr"/>
      <c r="P1396" s="18" t="inlineStr">
        <is>
          <t>Mapeada en internal-institutional-control-service/src/esap/aprobaciones/entities/aprobacion.entity.ts:82 (Aprobacion.area) | Validación: IsNotEmpty, IsOptional, IsString, Length(1, 255), MaxLength(255)</t>
        </is>
      </c>
      <c r="Q1396" s="18" t="inlineStr">
        <is>
          <t>Propuesta semántica</t>
        </is>
      </c>
      <c r="R1396" s="18" t="inlineStr">
        <is>
          <t>Área o dependencia que origina o atiende la solicitud de aprobación.</t>
        </is>
      </c>
      <c r="S1396" s="18" t="inlineStr">
        <is>
          <t>Media</t>
        </is>
      </c>
      <c r="T1396" s="18" t="inlineStr">
        <is>
          <t>nombre + tipo + validaciones</t>
        </is>
      </c>
      <c r="U1396" s="18" t="inlineStr">
        <is>
          <t>¿area es el área del solicitante o el área responsable de aprobar?</t>
        </is>
      </c>
      <c r="V1396" s="19" t="inlineStr">
        <is>
          <t>Pendiente</t>
        </is>
      </c>
      <c r="W1396" s="19" t="inlineStr"/>
      <c r="X1396" s="19" t="inlineStr"/>
      <c r="Y1396" s="20" t="n"/>
      <c r="Z1396" s="19" t="inlineStr"/>
      <c r="AA1396" s="18">
        <f>IF(OR(V1396="Aprobada"),R1396,IF(AND(OR(V1396="Aprobada con ajuste",V1396="Rechazada"),W1396&lt;&gt;""),W1396,""))</f>
        <v/>
      </c>
    </row>
    <row r="1397">
      <c r="A1397" s="18" t="inlineStr">
        <is>
          <t>C1396</t>
        </is>
      </c>
      <c r="B1397" s="18" t="inlineStr">
        <is>
          <t>Control interno</t>
        </is>
      </c>
      <c r="C1397" s="18" t="inlineStr">
        <is>
          <t>control_interno</t>
        </is>
      </c>
      <c r="D1397" s="18" t="inlineStr">
        <is>
          <t>auditor_perfil</t>
        </is>
      </c>
      <c r="E1397" s="18" t="n">
        <v>0</v>
      </c>
      <c r="F1397" s="18" t="inlineStr">
        <is>
          <t>cargo</t>
        </is>
      </c>
      <c r="G1397" s="18" t="inlineStr">
        <is>
          <t>character varying(100)</t>
        </is>
      </c>
      <c r="H1397" s="18" t="inlineStr">
        <is>
          <t>Sí</t>
        </is>
      </c>
      <c r="I1397" s="18" t="inlineStr"/>
      <c r="J1397" s="18" t="inlineStr"/>
      <c r="K1397" s="18" t="inlineStr"/>
      <c r="L1397" s="18" t="inlineStr">
        <is>
          <t>No</t>
        </is>
      </c>
      <c r="M1397" s="18" t="inlineStr">
        <is>
          <t>Sí</t>
        </is>
      </c>
      <c r="N1397" s="18" t="inlineStr">
        <is>
          <t>Vista control_interno.v_auditor_disponibilidad; Vista control_interno.v_auditorias_kanban_completo</t>
        </is>
      </c>
      <c r="O1397" s="18" t="inlineStr"/>
      <c r="P1397" s="18" t="inlineStr">
        <is>
          <t>db/migrations/old/036_add_auditorias_kanban_completo.sql:957: Ej: "Auditor Líder", "Auditor Senior", "Auditor Junior" | Validación: IsNotEmpty, IsString</t>
        </is>
      </c>
      <c r="Q1397" s="18" t="inlineStr">
        <is>
          <t>Código fuente</t>
        </is>
      </c>
      <c r="R1397" s="18" t="inlineStr">
        <is>
          <t>Cargo del auditor (por ejemplo, Auditor Líder, Auditor Senior, Auditor Junior).</t>
        </is>
      </c>
      <c r="S1397" s="18" t="inlineStr">
        <is>
          <t>Alta</t>
        </is>
      </c>
      <c r="T1397" s="18" t="inlineStr">
        <is>
          <t>código: db/migrations/old/036_add_auditorias_kanban_completo.sql:957</t>
        </is>
      </c>
      <c r="U1397" s="18" t="inlineStr"/>
      <c r="V1397" s="19" t="inlineStr">
        <is>
          <t>Pendiente</t>
        </is>
      </c>
      <c r="W1397" s="19" t="inlineStr"/>
      <c r="X1397" s="19" t="inlineStr"/>
      <c r="Y1397" s="20" t="n"/>
      <c r="Z1397" s="19" t="inlineStr"/>
      <c r="AA1397" s="18">
        <f>IF(OR(V1397="Aprobada"),R1397,IF(AND(OR(V1397="Aprobada con ajuste",V1397="Rechazada"),W1397&lt;&gt;""),W1397,""))</f>
        <v/>
      </c>
    </row>
    <row r="1398">
      <c r="A1398" s="18" t="inlineStr">
        <is>
          <t>C1397</t>
        </is>
      </c>
      <c r="B1398" s="18" t="inlineStr">
        <is>
          <t>Control interno</t>
        </is>
      </c>
      <c r="C1398" s="18" t="inlineStr">
        <is>
          <t>control_interno</t>
        </is>
      </c>
      <c r="D1398" s="18" t="inlineStr">
        <is>
          <t>auditor_perfil</t>
        </is>
      </c>
      <c r="E1398" s="18" t="n">
        <v>0</v>
      </c>
      <c r="F1398" s="18" t="inlineStr">
        <is>
          <t>nivel_experiencia</t>
        </is>
      </c>
      <c r="G1398" s="18" t="inlineStr">
        <is>
          <t>character varying(50)</t>
        </is>
      </c>
      <c r="H1398" s="18" t="inlineStr">
        <is>
          <t>Sí</t>
        </is>
      </c>
      <c r="I1398" s="18" t="inlineStr">
        <is>
          <t>CHECK</t>
        </is>
      </c>
      <c r="J1398" s="18" t="inlineStr">
        <is>
          <t>Intermedio, Jefe, Junior, Líder, Senior</t>
        </is>
      </c>
      <c r="K1398" s="18" t="inlineStr"/>
      <c r="L1398" s="18" t="inlineStr">
        <is>
          <t>Sí</t>
        </is>
      </c>
      <c r="M1398" s="18" t="inlineStr">
        <is>
          <t>Sí</t>
        </is>
      </c>
      <c r="N1398" s="18" t="inlineStr">
        <is>
          <t>Vista control_interno.v_auditor_disponibilidad</t>
        </is>
      </c>
      <c r="O1398" s="18" t="inlineStr"/>
      <c r="P1398" s="18" t="inlineStr">
        <is>
          <t>Mapeada en internal-institutional-control-service/src/esap/auditorias/entities/auditor-perfil.entity.ts:43 (AuditorPerfil.nivelExperiencia)</t>
        </is>
      </c>
      <c r="Q1398" s="18" t="inlineStr">
        <is>
          <t>Propuesta semántica</t>
        </is>
      </c>
      <c r="R1398" s="18" t="inlineStr">
        <is>
          <t>Nivel de experiencia del auditor. Valores permitidos: Junior, Intermedio, Senior, Líder, Jefe.</t>
        </is>
      </c>
      <c r="S1398" s="18" t="inlineStr">
        <is>
          <t>Alta</t>
        </is>
      </c>
      <c r="T1398" s="18" t="inlineStr">
        <is>
          <t>valores permitidos del CHECK ~</t>
        </is>
      </c>
      <c r="U1398" s="18" t="inlineStr"/>
      <c r="V1398" s="19" t="inlineStr">
        <is>
          <t>Pendiente</t>
        </is>
      </c>
      <c r="W1398" s="19" t="inlineStr"/>
      <c r="X1398" s="19" t="inlineStr"/>
      <c r="Y1398" s="20" t="n"/>
      <c r="Z1398" s="19" t="inlineStr"/>
      <c r="AA1398" s="18">
        <f>IF(OR(V1398="Aprobada"),R1398,IF(AND(OR(V1398="Aprobada con ajuste",V1398="Rechazada"),W1398&lt;&gt;""),W1398,""))</f>
        <v/>
      </c>
    </row>
    <row r="1399">
      <c r="A1399" s="18" t="inlineStr">
        <is>
          <t>C1398</t>
        </is>
      </c>
      <c r="B1399" s="18" t="inlineStr">
        <is>
          <t>Control interno</t>
        </is>
      </c>
      <c r="C1399" s="18" t="inlineStr">
        <is>
          <t>control_interno</t>
        </is>
      </c>
      <c r="D1399" s="18" t="inlineStr">
        <is>
          <t>auditor_perfil</t>
        </is>
      </c>
      <c r="E1399" s="18" t="n">
        <v>0</v>
      </c>
      <c r="F1399" s="18" t="inlineStr">
        <is>
          <t>fecha_ultima_actividad</t>
        </is>
      </c>
      <c r="G1399" s="18" t="inlineStr">
        <is>
          <t>date</t>
        </is>
      </c>
      <c r="H1399" s="18" t="inlineStr">
        <is>
          <t>Sí</t>
        </is>
      </c>
      <c r="I1399" s="18" t="inlineStr"/>
      <c r="J1399" s="18" t="inlineStr"/>
      <c r="K1399" s="18" t="inlineStr"/>
      <c r="L1399" s="18" t="inlineStr">
        <is>
          <t>No</t>
        </is>
      </c>
      <c r="M1399" s="18" t="inlineStr">
        <is>
          <t>Sí</t>
        </is>
      </c>
      <c r="N1399" s="18" t="inlineStr">
        <is>
          <t>Vista control_interno.v_auditor_disponibilidad</t>
        </is>
      </c>
      <c r="O1399" s="18" t="inlineStr"/>
      <c r="P1399" s="18" t="inlineStr">
        <is>
          <t>Mapeada en internal-institutional-control-service/src/esap/auditorias/entities/auditor-perfil.entity.ts:59 (AuditorPerfil.fechaUltimaActividad)</t>
        </is>
      </c>
      <c r="Q1399" s="18" t="inlineStr">
        <is>
          <t>Regla estructural</t>
        </is>
      </c>
      <c r="R1399" s="18" t="inlineStr">
        <is>
          <t>Fecha de última actividad.</t>
        </is>
      </c>
      <c r="S1399" s="18" t="inlineStr">
        <is>
          <t>Media</t>
        </is>
      </c>
      <c r="T1399" s="18" t="inlineStr">
        <is>
          <t>Convención de nombre de la columna.</t>
        </is>
      </c>
      <c r="U1399" s="18" t="inlineStr"/>
      <c r="V1399" s="19" t="inlineStr">
        <is>
          <t>Pendiente</t>
        </is>
      </c>
      <c r="W1399" s="19" t="inlineStr"/>
      <c r="X1399" s="19" t="inlineStr"/>
      <c r="Y1399" s="20" t="n"/>
      <c r="Z1399" s="19" t="inlineStr"/>
      <c r="AA1399" s="18">
        <f>IF(OR(V1399="Aprobada"),R1399,IF(AND(OR(V1399="Aprobada con ajuste",V1399="Rechazada"),W1399&lt;&gt;""),W1399,""))</f>
        <v/>
      </c>
    </row>
    <row r="1400">
      <c r="A1400" s="18" t="inlineStr">
        <is>
          <t>C1399</t>
        </is>
      </c>
      <c r="B1400" s="18" t="inlineStr">
        <is>
          <t>Control interno</t>
        </is>
      </c>
      <c r="C1400" s="18" t="inlineStr">
        <is>
          <t>control_interno</t>
        </is>
      </c>
      <c r="D1400" s="18" t="inlineStr">
        <is>
          <t>auditor_perfil</t>
        </is>
      </c>
      <c r="E1400" s="18" t="n">
        <v>0</v>
      </c>
      <c r="F1400" s="18" t="inlineStr">
        <is>
          <t>observaciones</t>
        </is>
      </c>
      <c r="G1400" s="18" t="inlineStr">
        <is>
          <t>text</t>
        </is>
      </c>
      <c r="H1400" s="18" t="inlineStr">
        <is>
          <t>Sí</t>
        </is>
      </c>
      <c r="I1400" s="18" t="inlineStr"/>
      <c r="J1400" s="18" t="inlineStr"/>
      <c r="K1400" s="18" t="inlineStr"/>
      <c r="L1400" s="18" t="inlineStr">
        <is>
          <t>No</t>
        </is>
      </c>
      <c r="M1400" s="18" t="inlineStr">
        <is>
          <t>Sí</t>
        </is>
      </c>
      <c r="N1400" s="18" t="inlineStr">
        <is>
          <t>Vista control_interno.v_auditor_disponibilidad</t>
        </is>
      </c>
      <c r="O1400" s="18" t="inlineStr"/>
      <c r="P1400" s="18" t="inlineStr">
        <is>
          <t>Mapeada en internal-institutional-control-service/src/esap/auditorias/entities/auditor-perfil.entity.ts:62 (AuditorPerfil.observaciones) | Validación: IsOptional, IsString</t>
        </is>
      </c>
      <c r="Q1400" s="18" t="inlineStr">
        <is>
          <t>Regla estructural</t>
        </is>
      </c>
      <c r="R1400" s="18" t="inlineStr">
        <is>
          <t>Observaciones registradas sobre el registro.</t>
        </is>
      </c>
      <c r="S1400" s="18" t="inlineStr">
        <is>
          <t>Media</t>
        </is>
      </c>
      <c r="T1400" s="18" t="inlineStr">
        <is>
          <t>Convención de nombre de la columna.</t>
        </is>
      </c>
      <c r="U1400" s="18" t="inlineStr"/>
      <c r="V1400" s="19" t="inlineStr">
        <is>
          <t>Pendiente</t>
        </is>
      </c>
      <c r="W1400" s="19" t="inlineStr"/>
      <c r="X1400" s="19" t="inlineStr"/>
      <c r="Y1400" s="20" t="n"/>
      <c r="Z1400" s="19" t="inlineStr"/>
      <c r="AA1400" s="18">
        <f>IF(OR(V1400="Aprobada"),R1400,IF(AND(OR(V1400="Aprobada con ajuste",V1400="Rechazada"),W1400&lt;&gt;""),W1400,""))</f>
        <v/>
      </c>
    </row>
    <row r="1401">
      <c r="A1401" s="18" t="inlineStr">
        <is>
          <t>C1400</t>
        </is>
      </c>
      <c r="B1401" s="18" t="inlineStr">
        <is>
          <t>Control interno</t>
        </is>
      </c>
      <c r="C1401" s="18" t="inlineStr">
        <is>
          <t>control_interno</t>
        </is>
      </c>
      <c r="D1401" s="18" t="inlineStr">
        <is>
          <t>auditor_perfil</t>
        </is>
      </c>
      <c r="E1401" s="18" t="n">
        <v>0</v>
      </c>
      <c r="F1401" s="18" t="inlineStr">
        <is>
          <t>activo</t>
        </is>
      </c>
      <c r="G1401" s="18" t="inlineStr">
        <is>
          <t>boolean</t>
        </is>
      </c>
      <c r="H1401" s="18" t="inlineStr">
        <is>
          <t>Sí</t>
        </is>
      </c>
      <c r="I1401" s="18" t="inlineStr"/>
      <c r="J1401" s="18" t="inlineStr"/>
      <c r="K1401" s="18" t="inlineStr"/>
      <c r="L1401" s="18" t="inlineStr">
        <is>
          <t>No</t>
        </is>
      </c>
      <c r="M1401" s="18" t="inlineStr">
        <is>
          <t>Sí</t>
        </is>
      </c>
      <c r="N1401" s="18" t="inlineStr">
        <is>
          <t>Vista control_interno.v_auditor_disponibilidad; Vista control_interno.v_auditorias_kanban_completo</t>
        </is>
      </c>
      <c r="O1401" s="18" t="inlineStr">
        <is>
          <t>idx_auditor_perfil_activo</t>
        </is>
      </c>
      <c r="P1401" s="18" t="inlineStr">
        <is>
          <t>Mapeada en internal-institutional-control-service/src/esap/auditorias/entities/auditor-perfil.entity.ts:65 (AuditorPerfil.activo) | Validación: IsBoolean, IsOptional</t>
        </is>
      </c>
      <c r="Q1401" s="18" t="inlineStr">
        <is>
          <t>Regla estructural</t>
        </is>
      </c>
      <c r="R1401" s="18" t="inlineStr">
        <is>
          <t>Indica si el registro está activo.</t>
        </is>
      </c>
      <c r="S1401" s="18" t="inlineStr">
        <is>
          <t>Media</t>
        </is>
      </c>
      <c r="T1401" s="18" t="inlineStr">
        <is>
          <t>Convención de nombre de la columna.</t>
        </is>
      </c>
      <c r="U1401" s="18" t="inlineStr"/>
      <c r="V1401" s="19" t="inlineStr">
        <is>
          <t>Pendiente</t>
        </is>
      </c>
      <c r="W1401" s="19" t="inlineStr"/>
      <c r="X1401" s="19" t="inlineStr"/>
      <c r="Y1401" s="20" t="n"/>
      <c r="Z1401" s="19" t="inlineStr"/>
      <c r="AA1401" s="18">
        <f>IF(OR(V1401="Aprobada"),R1401,IF(AND(OR(V1401="Aprobada con ajuste",V1401="Rechazada"),W1401&lt;&gt;""),W1401,""))</f>
        <v/>
      </c>
    </row>
    <row r="1402">
      <c r="A1402" s="18" t="inlineStr">
        <is>
          <t>C1401</t>
        </is>
      </c>
      <c r="B1402" s="18" t="inlineStr">
        <is>
          <t>Control interno</t>
        </is>
      </c>
      <c r="C1402" s="18" t="inlineStr">
        <is>
          <t>control_interno</t>
        </is>
      </c>
      <c r="D1402" s="18" t="inlineStr">
        <is>
          <t>auditoria</t>
        </is>
      </c>
      <c r="E1402" s="18" t="n">
        <v>70</v>
      </c>
      <c r="F1402" s="18" t="inlineStr">
        <is>
          <t>codigo</t>
        </is>
      </c>
      <c r="G1402" s="18" t="inlineStr">
        <is>
          <t>character varying(255)</t>
        </is>
      </c>
      <c r="H1402" s="18" t="inlineStr">
        <is>
          <t>No</t>
        </is>
      </c>
      <c r="I1402" s="18" t="inlineStr">
        <is>
          <t>Única</t>
        </is>
      </c>
      <c r="J1402" s="18" t="inlineStr"/>
      <c r="K1402" s="18" t="inlineStr"/>
      <c r="L1402" s="18" t="inlineStr">
        <is>
          <t>No</t>
        </is>
      </c>
      <c r="M1402" s="18" t="inlineStr">
        <is>
          <t>Sí</t>
        </is>
      </c>
      <c r="N1402" s="18" t="inlineStr">
        <is>
          <t>Vista control_interno.v_auditorias_finalizadas; Vista control_interno.v_auditorias_kanban_completo</t>
        </is>
      </c>
      <c r="O1402" s="18" t="inlineStr">
        <is>
          <t>auditoria_codigo_key, idx_auditoria_codigo</t>
        </is>
      </c>
      <c r="P1402" s="18" t="inlineStr">
        <is>
          <t>internal-institutional-control-service/src/esap/auditorias/entities/auditoria.entity.ts:89: AUD-YYYY-### | Validación: IsNotEmpty, IsOptional, IsString, Length(1, 50), MaxLength(80)</t>
        </is>
      </c>
      <c r="Q1402" s="18" t="inlineStr">
        <is>
          <t>Código fuente</t>
        </is>
      </c>
      <c r="R1402" s="18" t="inlineStr">
        <is>
          <t>Código único de la auditoría, con formato AUD-YYYY-### (año y consecutivo).</t>
        </is>
      </c>
      <c r="S1402" s="18" t="inlineStr">
        <is>
          <t>Alta</t>
        </is>
      </c>
      <c r="T1402" s="18" t="inlineStr">
        <is>
          <t>código: internal-institutional-control-service/src/esap/auditorias/entities/auditoria.entity.ts:89</t>
        </is>
      </c>
      <c r="U1402" s="18" t="inlineStr"/>
      <c r="V1402" s="19" t="inlineStr">
        <is>
          <t>Pendiente</t>
        </is>
      </c>
      <c r="W1402" s="19" t="inlineStr"/>
      <c r="X1402" s="19" t="inlineStr"/>
      <c r="Y1402" s="20" t="n"/>
      <c r="Z1402" s="19" t="inlineStr"/>
      <c r="AA1402" s="18">
        <f>IF(OR(V1402="Aprobada"),R1402,IF(AND(OR(V1402="Aprobada con ajuste",V1402="Rechazada"),W1402&lt;&gt;""),W1402,""))</f>
        <v/>
      </c>
    </row>
    <row r="1403">
      <c r="A1403" s="18" t="inlineStr">
        <is>
          <t>C1402</t>
        </is>
      </c>
      <c r="B1403" s="18" t="inlineStr">
        <is>
          <t>Control interno</t>
        </is>
      </c>
      <c r="C1403" s="18" t="inlineStr">
        <is>
          <t>control_interno</t>
        </is>
      </c>
      <c r="D1403" s="18" t="inlineStr">
        <is>
          <t>auditoria</t>
        </is>
      </c>
      <c r="E1403" s="18" t="n">
        <v>70</v>
      </c>
      <c r="F1403" s="18" t="inlineStr">
        <is>
          <t>nombre</t>
        </is>
      </c>
      <c r="G1403" s="18" t="inlineStr">
        <is>
          <t>character varying(500)</t>
        </is>
      </c>
      <c r="H1403" s="18" t="inlineStr">
        <is>
          <t>No</t>
        </is>
      </c>
      <c r="I1403" s="18" t="inlineStr"/>
      <c r="J1403" s="18" t="inlineStr"/>
      <c r="K1403" s="18" t="inlineStr"/>
      <c r="L1403" s="18" t="inlineStr">
        <is>
          <t>No</t>
        </is>
      </c>
      <c r="M1403" s="18" t="inlineStr">
        <is>
          <t>Sí</t>
        </is>
      </c>
      <c r="N1403" s="18" t="inlineStr">
        <is>
          <t>Función control_interno.fn_configurar_actividad_auditorias_plan; Vista control_interno.v_auditor_disponibilidad; Vista control_interno.v_auditorias_finalizadas; Vista control_interno.v_auditorias_kanban_completo; Vista control_interno.v_estado_vinculacion_auditorias — control_interno.fn_configurar_actividad_auditorias_plan: LOWER(a.nombre) LIKE '%auditoría%'</t>
        </is>
      </c>
      <c r="O1403" s="18" t="inlineStr"/>
      <c r="P1403" s="18" t="inlineStr">
        <is>
          <t>Mapeada en internal-institutional-control-service/src/esap/auditorias/entities/auditoria.entity.ts:92 (Auditoria.nombre) | Validación: IsNotEmpty, IsNotEmpty({ message: 'El nombre del documento es obligatorio' }), IsOptional, IsString, Length(1, 500), MaxLength(120)</t>
        </is>
      </c>
      <c r="Q1403" s="18" t="inlineStr">
        <is>
          <t>Regla estructural</t>
        </is>
      </c>
      <c r="R1403" s="18" t="inlineStr">
        <is>
          <t>Nombre del registro de auditoria.</t>
        </is>
      </c>
      <c r="S1403" s="18" t="inlineStr">
        <is>
          <t>Media</t>
        </is>
      </c>
      <c r="T1403" s="18" t="inlineStr">
        <is>
          <t>Convención de nombre de la columna.</t>
        </is>
      </c>
      <c r="U1403" s="18" t="inlineStr"/>
      <c r="V1403" s="19" t="inlineStr">
        <is>
          <t>Pendiente</t>
        </is>
      </c>
      <c r="W1403" s="19" t="inlineStr"/>
      <c r="X1403" s="19" t="inlineStr"/>
      <c r="Y1403" s="20" t="n"/>
      <c r="Z1403" s="19" t="inlineStr"/>
      <c r="AA1403" s="18">
        <f>IF(OR(V1403="Aprobada"),R1403,IF(AND(OR(V1403="Aprobada con ajuste",V1403="Rechazada"),W1403&lt;&gt;""),W1403,""))</f>
        <v/>
      </c>
    </row>
    <row r="1404">
      <c r="A1404" s="18" t="inlineStr">
        <is>
          <t>C1403</t>
        </is>
      </c>
      <c r="B1404" s="18" t="inlineStr">
        <is>
          <t>Control interno</t>
        </is>
      </c>
      <c r="C1404" s="18" t="inlineStr">
        <is>
          <t>control_interno</t>
        </is>
      </c>
      <c r="D1404" s="18" t="inlineStr">
        <is>
          <t>auditoria</t>
        </is>
      </c>
      <c r="E1404" s="18" t="n">
        <v>70</v>
      </c>
      <c r="F1404" s="18" t="inlineStr">
        <is>
          <t>tipo</t>
        </is>
      </c>
      <c r="G1404" s="18" t="inlineStr">
        <is>
          <t>character varying(50)</t>
        </is>
      </c>
      <c r="H1404" s="18" t="inlineStr">
        <is>
          <t>No</t>
        </is>
      </c>
      <c r="I1404" s="18" t="inlineStr"/>
      <c r="J1404" s="18" t="inlineStr"/>
      <c r="K1404" s="18" t="inlineStr"/>
      <c r="L1404" s="18" t="inlineStr">
        <is>
          <t>No</t>
        </is>
      </c>
      <c r="M1404" s="18" t="inlineStr">
        <is>
          <t>Sí</t>
        </is>
      </c>
      <c r="N1404" s="18" t="inlineStr">
        <is>
          <t>Función control_interno.actualizar_contadores_documentos_informes; Función control_interno.fn_calcular_cumplimiento_auditorias; Vista control_interno.v_auditorias_finalizadas; Vista control_interno.v_auditorias_kanban_completo; Vista control_interno.v_resumen_auditorias_por_año — control_interno.actualizar_contadores_documentos_informes: -- Determinar el ID de la auditoría y el tipo de documento | control_interno.fn_calcular_cumplimiento_auditorias: COALESCE(tipo, 'regular') AS tipo_grupo,</t>
        </is>
      </c>
      <c r="O1404" s="18" t="inlineStr">
        <is>
          <t>idx_auditoria_tipo</t>
        </is>
      </c>
      <c r="P1404" s="18" t="inlineStr">
        <is>
          <t>internal-institutional-control-service/src/esap/auditorias/entities/auditoria.entity.ts:98: Cambiado de TipoAuditoria a string para permitir tipos personalizados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404" s="18" t="inlineStr">
        <is>
          <t>Código fuente</t>
        </is>
      </c>
      <c r="R1404" s="18" t="inlineStr">
        <is>
          <t>Tipo de auditoría; admite tipos personalizados además de los predefinidos.</t>
        </is>
      </c>
      <c r="S1404" s="18" t="inlineStr">
        <is>
          <t>Media</t>
        </is>
      </c>
      <c r="T1404" s="18" t="inlineStr">
        <is>
          <t>código: internal-institutional-control-service/src/esap/auditorias/entities/auditoria.entity.ts:98; uso en la función control_interno.fn_calcular_cumplimiento_auditorias</t>
        </is>
      </c>
      <c r="U1404" s="18" t="inlineStr">
        <is>
          <t>¿Cuáles son los tipos predefinidos de auditoría y quién puede crear tipos personalizados?</t>
        </is>
      </c>
      <c r="V1404" s="19" t="inlineStr">
        <is>
          <t>Pendiente</t>
        </is>
      </c>
      <c r="W1404" s="19" t="inlineStr"/>
      <c r="X1404" s="19" t="inlineStr"/>
      <c r="Y1404" s="20" t="n"/>
      <c r="Z1404" s="19" t="inlineStr"/>
      <c r="AA1404" s="18">
        <f>IF(OR(V1404="Aprobada"),R1404,IF(AND(OR(V1404="Aprobada con ajuste",V1404="Rechazada"),W1404&lt;&gt;""),W1404,""))</f>
        <v/>
      </c>
    </row>
    <row r="1405">
      <c r="A1405" s="18" t="inlineStr">
        <is>
          <t>C1404</t>
        </is>
      </c>
      <c r="B1405" s="18" t="inlineStr">
        <is>
          <t>Control interno</t>
        </is>
      </c>
      <c r="C1405" s="18" t="inlineStr">
        <is>
          <t>control_interno</t>
        </is>
      </c>
      <c r="D1405" s="18" t="inlineStr">
        <is>
          <t>auditoria</t>
        </is>
      </c>
      <c r="E1405" s="18" t="n">
        <v>70</v>
      </c>
      <c r="F1405" s="18" t="inlineStr">
        <is>
          <t>territorial</t>
        </is>
      </c>
      <c r="G1405" s="18" t="inlineStr">
        <is>
          <t>character varying(255)</t>
        </is>
      </c>
      <c r="H1405" s="18" t="inlineStr">
        <is>
          <t>No</t>
        </is>
      </c>
      <c r="I1405" s="18" t="inlineStr">
        <is>
          <t>CHECK</t>
        </is>
      </c>
      <c r="J1405" s="18" t="inlineStr"/>
      <c r="K1405" s="18" t="inlineStr"/>
      <c r="L1405" s="18" t="inlineStr">
        <is>
          <t>No</t>
        </is>
      </c>
      <c r="M1405" s="18" t="inlineStr">
        <is>
          <t>Sí</t>
        </is>
      </c>
      <c r="N1405" s="18" t="inlineStr">
        <is>
          <t>Vista control_interno.v_auditorias_kanban_completo</t>
        </is>
      </c>
      <c r="O1405" s="18" t="inlineStr">
        <is>
          <t>idx_auditoria_territorial</t>
        </is>
      </c>
      <c r="P1405" s="18" t="inlineStr">
        <is>
          <t>Mapeada en internal-institutional-control-service/src/esap/auditorias/entities/auditoria.entity.ts:113 (Auditoria.territorial) | Validación: IsNotEmpty, IsOptional, IsString</t>
        </is>
      </c>
      <c r="Q1405" s="18" t="inlineStr">
        <is>
          <t>Propuesta semántica</t>
        </is>
      </c>
      <c r="R1405" s="18" t="inlineStr">
        <is>
          <t>Dirección territorial donde se realiza la auditoría.</t>
        </is>
      </c>
      <c r="S1405" s="18" t="inlineStr">
        <is>
          <t>Media</t>
        </is>
      </c>
      <c r="T1405" s="18" t="inlineStr">
        <is>
          <t>nombre + columnas vecinas (sede) + índice</t>
        </is>
      </c>
      <c r="U1405" s="18" t="inlineStr">
        <is>
          <t>¿territorial se toma de un catálogo de direcciones territoriales o es texto libre?</t>
        </is>
      </c>
      <c r="V1405" s="19" t="inlineStr">
        <is>
          <t>Pendiente</t>
        </is>
      </c>
      <c r="W1405" s="19" t="inlineStr"/>
      <c r="X1405" s="19" t="inlineStr"/>
      <c r="Y1405" s="20" t="n"/>
      <c r="Z1405" s="19" t="inlineStr"/>
      <c r="AA1405" s="18">
        <f>IF(OR(V1405="Aprobada"),R1405,IF(AND(OR(V1405="Aprobada con ajuste",V1405="Rechazada"),W1405&lt;&gt;""),W1405,""))</f>
        <v/>
      </c>
    </row>
    <row r="1406">
      <c r="A1406" s="18" t="inlineStr">
        <is>
          <t>C1405</t>
        </is>
      </c>
      <c r="B1406" s="18" t="inlineStr">
        <is>
          <t>Control interno</t>
        </is>
      </c>
      <c r="C1406" s="18" t="inlineStr">
        <is>
          <t>control_interno</t>
        </is>
      </c>
      <c r="D1406" s="18" t="inlineStr">
        <is>
          <t>auditoria</t>
        </is>
      </c>
      <c r="E1406" s="18" t="n">
        <v>70</v>
      </c>
      <c r="F1406" s="18" t="inlineStr">
        <is>
          <t>progreso</t>
        </is>
      </c>
      <c r="G1406" s="18" t="inlineStr">
        <is>
          <t>integer</t>
        </is>
      </c>
      <c r="H1406" s="18" t="inlineStr">
        <is>
          <t>Sí</t>
        </is>
      </c>
      <c r="I1406" s="18" t="inlineStr">
        <is>
          <t>CHECK</t>
        </is>
      </c>
      <c r="J1406" s="18" t="inlineStr"/>
      <c r="K1406" s="18" t="inlineStr"/>
      <c r="L1406" s="18" t="inlineStr">
        <is>
          <t>No</t>
        </is>
      </c>
      <c r="M1406" s="18" t="inlineStr">
        <is>
          <t>Sí</t>
        </is>
      </c>
      <c r="N1406" s="18" t="inlineStr">
        <is>
          <t>Vista control_interno.v_auditorias_finalizadas; Vista control_interno.v_auditorias_kanban_completo; Vista control_interno.v_auditorias_por_estado</t>
        </is>
      </c>
      <c r="O1406" s="18" t="inlineStr"/>
      <c r="P1406" s="18" t="inlineStr">
        <is>
          <t>internal-institutional-control-service/src/esap/auditorias/entities/auditoria.entity.ts:155: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0-100 | Validación: IsInt, IsOptional, Max(100), Min(0)</t>
        </is>
      </c>
      <c r="Q1406" s="18" t="inlineStr">
        <is>
          <t>Código fuente</t>
        </is>
      </c>
      <c r="R1406" s="18" t="inlineStr">
        <is>
          <t>Porcentaje de avance de la auditoría, de 0 a 100. Por defecto 0.</t>
        </is>
      </c>
      <c r="S1406" s="18" t="inlineStr">
        <is>
          <t>Alta</t>
        </is>
      </c>
      <c r="T1406" s="18" t="inlineStr">
        <is>
          <t>código: internal-institutional-control-service/src/esap/auditorias/entities/auditoria.entity.ts:155</t>
        </is>
      </c>
      <c r="U1406" s="18" t="inlineStr"/>
      <c r="V1406" s="19" t="inlineStr">
        <is>
          <t>Pendiente</t>
        </is>
      </c>
      <c r="W1406" s="19" t="inlineStr"/>
      <c r="X1406" s="19" t="inlineStr"/>
      <c r="Y1406" s="20" t="n"/>
      <c r="Z1406" s="19" t="inlineStr"/>
      <c r="AA1406" s="18">
        <f>IF(OR(V1406="Aprobada"),R1406,IF(AND(OR(V1406="Aprobada con ajuste",V1406="Rechazada"),W1406&lt;&gt;""),W1406,""))</f>
        <v/>
      </c>
    </row>
    <row r="1407">
      <c r="A1407" s="18" t="inlineStr">
        <is>
          <t>C1406</t>
        </is>
      </c>
      <c r="B1407" s="18" t="inlineStr">
        <is>
          <t>Control interno</t>
        </is>
      </c>
      <c r="C1407" s="18" t="inlineStr">
        <is>
          <t>control_interno</t>
        </is>
      </c>
      <c r="D1407" s="18" t="inlineStr">
        <is>
          <t>auditoria</t>
        </is>
      </c>
      <c r="E1407" s="18" t="n">
        <v>70</v>
      </c>
      <c r="F1407" s="18" t="inlineStr">
        <is>
          <t>prioridad</t>
        </is>
      </c>
      <c r="G1407" s="18" t="inlineStr">
        <is>
          <t>character varying(20)</t>
        </is>
      </c>
      <c r="H1407" s="18" t="inlineStr">
        <is>
          <t>No</t>
        </is>
      </c>
      <c r="I1407" s="18" t="inlineStr">
        <is>
          <t>CHECK</t>
        </is>
      </c>
      <c r="J1407" s="18" t="inlineStr">
        <is>
          <t>Alta, Baja, Media</t>
        </is>
      </c>
      <c r="K1407" s="18" t="inlineStr"/>
      <c r="L1407" s="18" t="inlineStr">
        <is>
          <t>Sí</t>
        </is>
      </c>
      <c r="M1407" s="18" t="inlineStr">
        <is>
          <t>Sí</t>
        </is>
      </c>
      <c r="N1407" s="18" t="inlineStr">
        <is>
          <t>Vista control_interno.v_auditorias_kanban_completo</t>
        </is>
      </c>
      <c r="O1407" s="18" t="inlineStr">
        <is>
          <t>idx_auditoria_prioridad</t>
        </is>
      </c>
      <c r="P1407" s="18" t="inlineStr">
        <is>
          <t>internal-institutional-control-service/src/esap/auditorias/entities/auditoria.entity.ts:158: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IsEnum(PrioridadAuditoria), IsEnum(PrioridadAuditoriaProgramada), IsEnum(PrioridadNotificacion), IsEnum(PrioridadTarea), IsEnum(['Alta', 'Media', 'Baja']), IsInt</t>
        </is>
      </c>
      <c r="Q1407" s="18" t="inlineStr">
        <is>
          <t>Código fuente</t>
        </is>
      </c>
      <c r="R1407" s="18" t="inlineStr">
        <is>
          <t>Prioridad de la auditoría. Valores permitidos: Alta, Media, Baja; por defecto Media.</t>
        </is>
      </c>
      <c r="S1407" s="18" t="inlineStr">
        <is>
          <t>Alta</t>
        </is>
      </c>
      <c r="T1407" s="18" t="inlineStr">
        <is>
          <t>valores permitidos del CHECK</t>
        </is>
      </c>
      <c r="U1407" s="18" t="inlineStr"/>
      <c r="V1407" s="19" t="inlineStr">
        <is>
          <t>Pendiente</t>
        </is>
      </c>
      <c r="W1407" s="19" t="inlineStr"/>
      <c r="X1407" s="19" t="inlineStr"/>
      <c r="Y1407" s="20" t="n"/>
      <c r="Z1407" s="19" t="inlineStr"/>
      <c r="AA1407" s="18">
        <f>IF(OR(V1407="Aprobada"),R1407,IF(AND(OR(V1407="Aprobada con ajuste",V1407="Rechazada"),W1407&lt;&gt;""),W1407,""))</f>
        <v/>
      </c>
    </row>
    <row r="1408">
      <c r="A1408" s="18" t="inlineStr">
        <is>
          <t>C1407</t>
        </is>
      </c>
      <c r="B1408" s="18" t="inlineStr">
        <is>
          <t>Control interno</t>
        </is>
      </c>
      <c r="C1408" s="18" t="inlineStr">
        <is>
          <t>control_interno</t>
        </is>
      </c>
      <c r="D1408" s="18" t="inlineStr">
        <is>
          <t>auditoria</t>
        </is>
      </c>
      <c r="E1408" s="18" t="n">
        <v>70</v>
      </c>
      <c r="F1408" s="18" t="inlineStr">
        <is>
          <t>hallazgos</t>
        </is>
      </c>
      <c r="G1408" s="18" t="inlineStr">
        <is>
          <t>integer</t>
        </is>
      </c>
      <c r="H1408" s="18" t="inlineStr">
        <is>
          <t>Sí</t>
        </is>
      </c>
      <c r="I1408" s="18" t="inlineStr">
        <is>
          <t>CHECK</t>
        </is>
      </c>
      <c r="J1408" s="18" t="inlineStr"/>
      <c r="K1408" s="18" t="inlineStr"/>
      <c r="L1408" s="18" t="inlineStr">
        <is>
          <t>No</t>
        </is>
      </c>
      <c r="M1408" s="18" t="inlineStr">
        <is>
          <t>Sí</t>
        </is>
      </c>
      <c r="N1408" s="18" t="inlineStr">
        <is>
          <t>Vista control_interno.v_auditorias_finalizadas; Vista control_interno.v_auditorias_kanban_completo; Vista control_interno.v_auditorias_por_estado</t>
        </is>
      </c>
      <c r="O1408" s="18" t="inlineStr"/>
      <c r="P1408" s="18" t="inlineStr">
        <is>
          <t>internal-institutional-control-service/src/esap/auditorias/entities/auditoria.entity.ts:166: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      </is>
      </c>
      <c r="Q1408" s="18" t="inlineStr">
        <is>
          <t>Código fuente</t>
        </is>
      </c>
      <c r="R1408" s="18" t="inlineStr">
        <is>
          <t>Número de hallazgos registrados en la auditoría. Por defecto 0.</t>
        </is>
      </c>
      <c r="S1408" s="18" t="inlineStr">
        <is>
          <t>Media</t>
        </is>
      </c>
      <c r="T1408" s="18" t="inlineStr">
        <is>
          <t>nombre + tipo + columnas vecinas</t>
        </is>
      </c>
      <c r="U1408" s="18" t="inlineStr">
        <is>
          <t>¿El contador se actualiza automáticamente desde los hallazgos registrados o se diligencia manualmente?</t>
        </is>
      </c>
      <c r="V1408" s="19" t="inlineStr">
        <is>
          <t>Pendiente</t>
        </is>
      </c>
      <c r="W1408" s="19" t="inlineStr"/>
      <c r="X1408" s="19" t="inlineStr"/>
      <c r="Y1408" s="20" t="n"/>
      <c r="Z1408" s="19" t="inlineStr"/>
      <c r="AA1408" s="18">
        <f>IF(OR(V1408="Aprobada"),R1408,IF(AND(OR(V1408="Aprobada con ajuste",V1408="Rechazada"),W1408&lt;&gt;""),W1408,""))</f>
        <v/>
      </c>
    </row>
    <row r="1409">
      <c r="A1409" s="18" t="inlineStr">
        <is>
          <t>C1408</t>
        </is>
      </c>
      <c r="B1409" s="18" t="inlineStr">
        <is>
          <t>Control interno</t>
        </is>
      </c>
      <c r="C1409" s="18" t="inlineStr">
        <is>
          <t>control_interno</t>
        </is>
      </c>
      <c r="D1409" s="18" t="inlineStr">
        <is>
          <t>auditoria</t>
        </is>
      </c>
      <c r="E1409" s="18" t="n">
        <v>70</v>
      </c>
      <c r="F1409" s="18" t="inlineStr">
        <is>
          <t>semaforo</t>
        </is>
      </c>
      <c r="G1409" s="18" t="inlineStr">
        <is>
          <t>character varying(20)</t>
        </is>
      </c>
      <c r="H1409" s="18" t="inlineStr">
        <is>
          <t>Sí</t>
        </is>
      </c>
      <c r="I1409" s="18" t="inlineStr">
        <is>
          <t>CHECK</t>
        </is>
      </c>
      <c r="J1409" s="18" t="inlineStr">
        <is>
          <t>amarillo, rojo, verde</t>
        </is>
      </c>
      <c r="K1409" s="18" t="inlineStr"/>
      <c r="L1409" s="18" t="inlineStr">
        <is>
          <t>Sí</t>
        </is>
      </c>
      <c r="M1409" s="18" t="inlineStr">
        <is>
          <t>Sí</t>
        </is>
      </c>
      <c r="N1409" s="18" t="inlineStr">
        <is>
          <t>Vista control_interno.v_auditorias_kanban_completo; Vista control_interno.v_auditorias_por_estado</t>
        </is>
      </c>
      <c r="O1409" s="18" t="inlineStr">
        <is>
          <t>idx_auditoria_semaforo</t>
        </is>
      </c>
      <c r="P1409" s="18" t="inlineStr">
        <is>
          <t>internal-institutional-control-service/src/esap/auditorias/entities/auditoria.entity.ts:176: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IsEnum(SemaforoColor), IsOptional</t>
        </is>
      </c>
      <c r="Q1409" s="18" t="inlineStr">
        <is>
          <t>Código fuente</t>
        </is>
      </c>
      <c r="R1409" s="18" t="inlineStr">
        <is>
          <t>Color del semáforo de seguimiento de la auditoría. Valores permitidos: verde, amarillo, rojo; por defecto verde.</t>
        </is>
      </c>
      <c r="S1409" s="18" t="inlineStr">
        <is>
          <t>Media</t>
        </is>
      </c>
      <c r="T1409" s="18" t="inlineStr">
        <is>
          <t>valores permitidos del CHECK</t>
        </is>
      </c>
      <c r="U1409" s="18" t="inlineStr">
        <is>
          <t>¿Qué criterio asigna cada color del semáforo?</t>
        </is>
      </c>
      <c r="V1409" s="19" t="inlineStr">
        <is>
          <t>Pendiente</t>
        </is>
      </c>
      <c r="W1409" s="19" t="inlineStr"/>
      <c r="X1409" s="19" t="inlineStr"/>
      <c r="Y1409" s="20" t="n"/>
      <c r="Z1409" s="19" t="inlineStr"/>
      <c r="AA1409" s="18">
        <f>IF(OR(V1409="Aprobada"),R1409,IF(AND(OR(V1409="Aprobada con ajuste",V1409="Rechazada"),W1409&lt;&gt;""),W1409,""))</f>
        <v/>
      </c>
    </row>
    <row r="1410">
      <c r="A1410" s="18" t="inlineStr">
        <is>
          <t>C1409</t>
        </is>
      </c>
      <c r="B1410" s="18" t="inlineStr">
        <is>
          <t>Control interno</t>
        </is>
      </c>
      <c r="C1410" s="18" t="inlineStr">
        <is>
          <t>control_interno</t>
        </is>
      </c>
      <c r="D1410" s="18" t="inlineStr">
        <is>
          <t>auditoria</t>
        </is>
      </c>
      <c r="E1410" s="18" t="n">
        <v>70</v>
      </c>
      <c r="F1410" s="18" t="inlineStr">
        <is>
          <t>tipo_kanban</t>
        </is>
      </c>
      <c r="G1410" s="18" t="inlineStr">
        <is>
          <t>character varying(50)</t>
        </is>
      </c>
      <c r="H1410" s="18" t="inlineStr">
        <is>
          <t>Sí</t>
        </is>
      </c>
      <c r="I1410" s="18" t="inlineStr">
        <is>
          <t>CHECK</t>
        </is>
      </c>
      <c r="J1410" s="18" t="inlineStr">
        <is>
          <t>especial, regular, territorial</t>
        </is>
      </c>
      <c r="K1410" s="18" t="inlineStr"/>
      <c r="L1410" s="18" t="inlineStr">
        <is>
          <t>Sí</t>
        </is>
      </c>
      <c r="M1410" s="18" t="inlineStr">
        <is>
          <t>Sí</t>
        </is>
      </c>
      <c r="N1410" s="18" t="inlineStr">
        <is>
          <t>Vista control_interno.v_auditorias_kanban_completo</t>
        </is>
      </c>
      <c r="O1410" s="18" t="inlineStr">
        <is>
          <t>idx_auditoria_tipo_kanban</t>
        </is>
      </c>
      <c r="P1410" s="18" t="inlineStr">
        <is>
          <t>internal-institutional-control-service/src/esap/auditorias/entities/auditoria.entity.ts:179: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IsEnum(TipoKanban), IsOptional, IsString</t>
        </is>
      </c>
      <c r="Q1410" s="18" t="inlineStr">
        <is>
          <t>Código fuente</t>
        </is>
      </c>
      <c r="R1410" s="18" t="inlineStr">
        <is>
          <t>Tipo de auditoría en el tablero Kanban. Valores permitidos: regular, especial, territorial; por defecto regular.</t>
        </is>
      </c>
      <c r="S1410" s="18" t="inlineStr">
        <is>
          <t>Media</t>
        </is>
      </c>
      <c r="T1410" s="18" t="inlineStr">
        <is>
          <t>valores permitidos del CHECK</t>
        </is>
      </c>
      <c r="U1410" s="18" t="inlineStr">
        <is>
          <t>¿En qué se diferencia tipo_kanban de tipo y cuál se usa en los reportes?</t>
        </is>
      </c>
      <c r="V1410" s="19" t="inlineStr">
        <is>
          <t>Pendiente</t>
        </is>
      </c>
      <c r="W1410" s="19" t="inlineStr"/>
      <c r="X1410" s="19" t="inlineStr"/>
      <c r="Y1410" s="20" t="n"/>
      <c r="Z1410" s="19" t="inlineStr"/>
      <c r="AA1410" s="18">
        <f>IF(OR(V1410="Aprobada"),R1410,IF(AND(OR(V1410="Aprobada con ajuste",V1410="Rechazada"),W1410&lt;&gt;""),W1410,""))</f>
        <v/>
      </c>
    </row>
    <row r="1411">
      <c r="A1411" s="18" t="inlineStr">
        <is>
          <t>C1410</t>
        </is>
      </c>
      <c r="B1411" s="18" t="inlineStr">
        <is>
          <t>Control interno</t>
        </is>
      </c>
      <c r="C1411" s="18" t="inlineStr">
        <is>
          <t>control_interno</t>
        </is>
      </c>
      <c r="D1411" s="18" t="inlineStr">
        <is>
          <t>auditoria</t>
        </is>
      </c>
      <c r="E1411" s="18" t="n">
        <v>70</v>
      </c>
      <c r="F1411" s="18" t="inlineStr">
        <is>
          <t>prioridad_kanban</t>
        </is>
      </c>
      <c r="G1411" s="18" t="inlineStr">
        <is>
          <t>character varying(20)</t>
        </is>
      </c>
      <c r="H1411" s="18" t="inlineStr">
        <is>
          <t>Sí</t>
        </is>
      </c>
      <c r="I1411" s="18" t="inlineStr">
        <is>
          <t>CHECK</t>
        </is>
      </c>
      <c r="J1411" s="18" t="inlineStr">
        <is>
          <t>alta, baja, crítica, media</t>
        </is>
      </c>
      <c r="K1411" s="18" t="inlineStr"/>
      <c r="L1411" s="18" t="inlineStr">
        <is>
          <t>Sí</t>
        </is>
      </c>
      <c r="M1411" s="18" t="inlineStr">
        <is>
          <t>Sí</t>
        </is>
      </c>
      <c r="N1411" s="18" t="inlineStr">
        <is>
          <t>Vista control_interno.v_auditorias_kanban_completo</t>
        </is>
      </c>
      <c r="O1411" s="18" t="inlineStr">
        <is>
          <t>idx_auditoria_prioridad_kanban</t>
        </is>
      </c>
      <c r="P1411" s="18" t="inlineStr">
        <is>
          <t>internal-institutional-control-service/src/esap/auditorias/entities/auditoria.entity.ts:182: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IsEnum(PrioridadKanban), IsOptional</t>
        </is>
      </c>
      <c r="Q1411" s="18" t="inlineStr">
        <is>
          <t>Código fuente</t>
        </is>
      </c>
      <c r="R1411" s="18" t="inlineStr">
        <is>
          <t>Prioridad de la auditoría en el tablero Kanban. Valores permitidos: baja, media, alta, crítica; por defecto media.</t>
        </is>
      </c>
      <c r="S1411" s="18" t="inlineStr">
        <is>
          <t>Media</t>
        </is>
      </c>
      <c r="T1411" s="18" t="inlineStr">
        <is>
          <t>valores permitidos del CHECK</t>
        </is>
      </c>
      <c r="U1411" s="18" t="inlineStr">
        <is>
          <t>¿En qué se diferencia prioridad_kanban de prioridad (Alta, Media, Baja) y cuál se usa en la gestión?</t>
        </is>
      </c>
      <c r="V1411" s="19" t="inlineStr">
        <is>
          <t>Pendiente</t>
        </is>
      </c>
      <c r="W1411" s="19" t="inlineStr"/>
      <c r="X1411" s="19" t="inlineStr"/>
      <c r="Y1411" s="20" t="n"/>
      <c r="Z1411" s="19" t="inlineStr"/>
      <c r="AA1411" s="18">
        <f>IF(OR(V1411="Aprobada"),R1411,IF(AND(OR(V1411="Aprobada con ajuste",V1411="Rechazada"),W1411&lt;&gt;""),W1411,""))</f>
        <v/>
      </c>
    </row>
    <row r="1412">
      <c r="A1412" s="18" t="inlineStr">
        <is>
          <t>C1411</t>
        </is>
      </c>
      <c r="B1412" s="18" t="inlineStr">
        <is>
          <t>Control interno</t>
        </is>
      </c>
      <c r="C1412" s="18" t="inlineStr">
        <is>
          <t>control_interno</t>
        </is>
      </c>
      <c r="D1412" s="18" t="inlineStr">
        <is>
          <t>auditoria</t>
        </is>
      </c>
      <c r="E1412" s="18" t="n">
        <v>70</v>
      </c>
      <c r="F1412" s="18" t="inlineStr">
        <is>
          <t>area_objetivo</t>
        </is>
      </c>
      <c r="G1412" s="18" t="inlineStr">
        <is>
          <t>character varying(255)</t>
        </is>
      </c>
      <c r="H1412" s="18" t="inlineStr">
        <is>
          <t>Sí</t>
        </is>
      </c>
      <c r="I1412" s="18" t="inlineStr"/>
      <c r="J1412" s="18" t="inlineStr"/>
      <c r="K1412" s="18" t="inlineStr"/>
      <c r="L1412" s="18" t="inlineStr">
        <is>
          <t>No</t>
        </is>
      </c>
      <c r="M1412" s="18" t="inlineStr">
        <is>
          <t>Sí</t>
        </is>
      </c>
      <c r="N1412" s="18" t="inlineStr">
        <is>
          <t>Vista control_interno.v_auditorias_kanban_completo</t>
        </is>
      </c>
      <c r="O1412" s="18" t="inlineStr"/>
      <c r="P1412" s="18" t="inlineStr">
        <is>
          <t>internal-institutional-control-service/src/esap/auditorias/entities/auditoria.entity.ts:185: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12" s="18" t="inlineStr">
        <is>
          <t>Código fuente</t>
        </is>
      </c>
      <c r="R1412" s="18" t="inlineStr">
        <is>
          <t>Área objetivo de la auditoría.</t>
        </is>
      </c>
      <c r="S1412" s="18" t="inlineStr">
        <is>
          <t>Media</t>
        </is>
      </c>
      <c r="T1412" s="18" t="inlineStr">
        <is>
          <t>nombre + tipo + columnas vecinas</t>
        </is>
      </c>
      <c r="U1412" s="18" t="inlineStr">
        <is>
          <t>¿Es texto libre o corresponde a una dependencia del catálogo institucional?</t>
        </is>
      </c>
      <c r="V1412" s="19" t="inlineStr">
        <is>
          <t>Pendiente</t>
        </is>
      </c>
      <c r="W1412" s="19" t="inlineStr"/>
      <c r="X1412" s="19" t="inlineStr"/>
      <c r="Y1412" s="20" t="n"/>
      <c r="Z1412" s="19" t="inlineStr"/>
      <c r="AA1412" s="18">
        <f>IF(OR(V1412="Aprobada"),R1412,IF(AND(OR(V1412="Aprobada con ajuste",V1412="Rechazada"),W1412&lt;&gt;""),W1412,""))</f>
        <v/>
      </c>
    </row>
    <row r="1413">
      <c r="A1413" s="18" t="inlineStr">
        <is>
          <t>C1412</t>
        </is>
      </c>
      <c r="B1413" s="18" t="inlineStr">
        <is>
          <t>Control interno</t>
        </is>
      </c>
      <c r="C1413" s="18" t="inlineStr">
        <is>
          <t>control_interno</t>
        </is>
      </c>
      <c r="D1413" s="18" t="inlineStr">
        <is>
          <t>auditoria</t>
        </is>
      </c>
      <c r="E1413" s="18" t="n">
        <v>70</v>
      </c>
      <c r="F1413" s="18" t="inlineStr">
        <is>
          <t>permite_cambiar_objetivos</t>
        </is>
      </c>
      <c r="G1413" s="18" t="inlineStr">
        <is>
          <t>boolean</t>
        </is>
      </c>
      <c r="H1413" s="18" t="inlineStr">
        <is>
          <t>Sí</t>
        </is>
      </c>
      <c r="I1413" s="18" t="inlineStr"/>
      <c r="J1413" s="18" t="inlineStr"/>
      <c r="K1413" s="18" t="inlineStr"/>
      <c r="L1413" s="18" t="inlineStr">
        <is>
          <t>No</t>
        </is>
      </c>
      <c r="M1413" s="18" t="inlineStr">
        <is>
          <t>No</t>
        </is>
      </c>
      <c r="N1413" s="18" t="inlineStr"/>
      <c r="O1413" s="18" t="inlineStr"/>
      <c r="P1413" s="18" t="inlineStr">
        <is>
          <t>internal-institutional-control-service/src/esap/auditorias/entities/auditoria.entity.ts:188: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413" s="18" t="inlineStr">
        <is>
          <t>Código fuente</t>
        </is>
      </c>
      <c r="R1413" s="18" t="inlineStr">
        <is>
          <t>Indica si se permite cambiar los objetivos de la auditoría. Por defecto verdadero.</t>
        </is>
      </c>
      <c r="S1413" s="18" t="inlineStr">
        <is>
          <t>Media</t>
        </is>
      </c>
      <c r="T1413" s="18" t="inlineStr">
        <is>
          <t>nombre + tipo + propuesta por regla</t>
        </is>
      </c>
      <c r="U1413" s="18" t="inlineStr">
        <is>
          <t>¿En qué fase o por qué rol se bloquea el cambio de objetivos?</t>
        </is>
      </c>
      <c r="V1413" s="19" t="inlineStr">
        <is>
          <t>Pendiente</t>
        </is>
      </c>
      <c r="W1413" s="19" t="inlineStr"/>
      <c r="X1413" s="19" t="inlineStr"/>
      <c r="Y1413" s="20" t="n"/>
      <c r="Z1413" s="19" t="inlineStr"/>
      <c r="AA1413" s="18">
        <f>IF(OR(V1413="Aprobada"),R1413,IF(AND(OR(V1413="Aprobada con ajuste",V1413="Rechazada"),W1413&lt;&gt;""),W1413,""))</f>
        <v/>
      </c>
    </row>
    <row r="1414">
      <c r="A1414" s="18" t="inlineStr">
        <is>
          <t>C1413</t>
        </is>
      </c>
      <c r="B1414" s="18" t="inlineStr">
        <is>
          <t>Control interno</t>
        </is>
      </c>
      <c r="C1414" s="18" t="inlineStr">
        <is>
          <t>control_interno</t>
        </is>
      </c>
      <c r="D1414" s="18" t="inlineStr">
        <is>
          <t>auditoria</t>
        </is>
      </c>
      <c r="E1414" s="18" t="n">
        <v>70</v>
      </c>
      <c r="F1414" s="18" t="inlineStr">
        <is>
          <t>alcance</t>
        </is>
      </c>
      <c r="G1414" s="18" t="inlineStr">
        <is>
          <t>text</t>
        </is>
      </c>
      <c r="H1414" s="18" t="inlineStr">
        <is>
          <t>Sí</t>
        </is>
      </c>
      <c r="I1414" s="18" t="inlineStr"/>
      <c r="J1414" s="18" t="inlineStr"/>
      <c r="K1414" s="18" t="inlineStr"/>
      <c r="L1414" s="18" t="inlineStr">
        <is>
          <t>No</t>
        </is>
      </c>
      <c r="M1414" s="18" t="inlineStr">
        <is>
          <t>Sí</t>
        </is>
      </c>
      <c r="N1414" s="18" t="inlineStr">
        <is>
          <t>Vista control_interno.v_auditorias_kanban_completo</t>
        </is>
      </c>
      <c r="O1414" s="18" t="inlineStr"/>
      <c r="P1414" s="18" t="inlineStr">
        <is>
          <t>internal-institutional-control-service/src/esap/auditorias/entities/auditoria.entity.ts:256: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db/migrations/old/047_add_alcance_auditoria.sql:21: Alcance de la auditoría. Define las áreas a evaluar, procesos incluidos, etc. | Validación: IsNotEmpty, IsOptional, IsString</t>
        </is>
      </c>
      <c r="Q1414" s="18" t="inlineStr">
        <is>
          <t>Código fuente</t>
        </is>
      </c>
      <c r="R1414" s="18" t="inlineStr">
        <is>
          <t>Alcance de la auditoría: áreas a evaluar y procesos incluidos.</t>
        </is>
      </c>
      <c r="S1414" s="18" t="inlineStr">
        <is>
          <t>Alta</t>
        </is>
      </c>
      <c r="T1414" s="18" t="inlineStr">
        <is>
          <t>código: db/migrations/old/047_add_alcance_auditoria.sql:21</t>
        </is>
      </c>
      <c r="U1414" s="18" t="inlineStr"/>
      <c r="V1414" s="19" t="inlineStr">
        <is>
          <t>Pendiente</t>
        </is>
      </c>
      <c r="W1414" s="19" t="inlineStr"/>
      <c r="X1414" s="19" t="inlineStr"/>
      <c r="Y1414" s="20" t="n"/>
      <c r="Z1414" s="19" t="inlineStr"/>
      <c r="AA1414" s="18">
        <f>IF(OR(V1414="Aprobada"),R1414,IF(AND(OR(V1414="Aprobada con ajuste",V1414="Rechazada"),W1414&lt;&gt;""),W1414,""))</f>
        <v/>
      </c>
    </row>
    <row r="1415">
      <c r="A1415" s="18" t="inlineStr">
        <is>
          <t>C1414</t>
        </is>
      </c>
      <c r="B1415" s="18" t="inlineStr">
        <is>
          <t>Control interno</t>
        </is>
      </c>
      <c r="C1415" s="18" t="inlineStr">
        <is>
          <t>control_interno</t>
        </is>
      </c>
      <c r="D1415" s="18" t="inlineStr">
        <is>
          <t>auditoria</t>
        </is>
      </c>
      <c r="E1415" s="18" t="n">
        <v>70</v>
      </c>
      <c r="F1415" s="18" t="inlineStr">
        <is>
          <t>proceso_auditado</t>
        </is>
      </c>
      <c r="G1415" s="18" t="inlineStr">
        <is>
          <t>character varying(500)</t>
        </is>
      </c>
      <c r="H1415" s="18" t="inlineStr">
        <is>
          <t>Sí</t>
        </is>
      </c>
      <c r="I1415" s="18" t="inlineStr"/>
      <c r="J1415" s="18" t="inlineStr"/>
      <c r="K1415" s="18" t="inlineStr"/>
      <c r="L1415" s="18" t="inlineStr">
        <is>
          <t>No</t>
        </is>
      </c>
      <c r="M1415" s="18" t="inlineStr">
        <is>
          <t>Sí</t>
        </is>
      </c>
      <c r="N1415" s="18" t="inlineStr">
        <is>
          <t>Vista control_interno.v_auditorias_kanban_completo</t>
        </is>
      </c>
      <c r="O1415" s="18" t="inlineStr"/>
      <c r="P1415" s="18" t="inlineStr">
        <is>
          <t>internal-institutional-control-service/src/esap/auditorias/entities/auditoria.entity.ts:259: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15" s="18" t="inlineStr">
        <is>
          <t>Código fuente</t>
        </is>
      </c>
      <c r="R1415" s="18" t="inlineStr">
        <is>
          <t>Nombre del proceso auditado.</t>
        </is>
      </c>
      <c r="S1415" s="18" t="inlineStr">
        <is>
          <t>Media</t>
        </is>
      </c>
      <c r="T1415" s="18" t="inlineStr">
        <is>
          <t>nombre + tipo + columnas vecinas</t>
        </is>
      </c>
      <c r="U1415" s="18" t="inlineStr">
        <is>
          <t>¿Es texto libre o se toma del universo de procesos auditables (proceso_auditable)?</t>
        </is>
      </c>
      <c r="V1415" s="19" t="inlineStr">
        <is>
          <t>Pendiente</t>
        </is>
      </c>
      <c r="W1415" s="19" t="inlineStr"/>
      <c r="X1415" s="19" t="inlineStr"/>
      <c r="Y1415" s="20" t="n"/>
      <c r="Z1415" s="19" t="inlineStr"/>
      <c r="AA1415" s="18">
        <f>IF(OR(V1415="Aprobada"),R1415,IF(AND(OR(V1415="Aprobada con ajuste",V1415="Rechazada"),W1415&lt;&gt;""),W1415,""))</f>
        <v/>
      </c>
    </row>
    <row r="1416">
      <c r="A1416" s="18" t="inlineStr">
        <is>
          <t>C1415</t>
        </is>
      </c>
      <c r="B1416" s="18" t="inlineStr">
        <is>
          <t>Control interno</t>
        </is>
      </c>
      <c r="C1416" s="18" t="inlineStr">
        <is>
          <t>control_interno</t>
        </is>
      </c>
      <c r="D1416" s="18" t="inlineStr">
        <is>
          <t>auditoria</t>
        </is>
      </c>
      <c r="E1416" s="18" t="n">
        <v>70</v>
      </c>
      <c r="F1416" s="18" t="inlineStr">
        <is>
          <t>responsable_area_nombre</t>
        </is>
      </c>
      <c r="G1416" s="18" t="inlineStr">
        <is>
          <t>character varying(255)</t>
        </is>
      </c>
      <c r="H1416" s="18" t="inlineStr">
        <is>
          <t>Sí</t>
        </is>
      </c>
      <c r="I1416" s="18" t="inlineStr"/>
      <c r="J1416" s="18" t="inlineStr"/>
      <c r="K1416" s="18" t="inlineStr"/>
      <c r="L1416" s="18" t="inlineStr">
        <is>
          <t>No</t>
        </is>
      </c>
      <c r="M1416" s="18" t="inlineStr">
        <is>
          <t>Sí</t>
        </is>
      </c>
      <c r="N1416" s="18" t="inlineStr">
        <is>
          <t>Vista control_interno.v_auditorias_kanban_completo</t>
        </is>
      </c>
      <c r="O1416" s="18" t="inlineStr"/>
      <c r="P1416" s="18" t="inlineStr">
        <is>
          <t>internal-institutional-control-service/src/esap/auditorias/entities/auditoria.entity.ts:262: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16" s="18" t="inlineStr">
        <is>
          <t>Código fuente</t>
        </is>
      </c>
      <c r="R1416" s="18" t="inlineStr">
        <is>
          <t>Nombre del responsable del área auditada.</t>
        </is>
      </c>
      <c r="S1416" s="18" t="inlineStr">
        <is>
          <t>Alta</t>
        </is>
      </c>
      <c r="T1416" s="18" t="inlineStr">
        <is>
          <t>nombre + tipo + columnas vecinas</t>
        </is>
      </c>
      <c r="U1416" s="18" t="inlineStr"/>
      <c r="V1416" s="19" t="inlineStr">
        <is>
          <t>Pendiente</t>
        </is>
      </c>
      <c r="W1416" s="19" t="inlineStr"/>
      <c r="X1416" s="19" t="inlineStr"/>
      <c r="Y1416" s="20" t="n"/>
      <c r="Z1416" s="19" t="inlineStr"/>
      <c r="AA1416" s="18">
        <f>IF(OR(V1416="Aprobada"),R1416,IF(AND(OR(V1416="Aprobada con ajuste",V1416="Rechazada"),W1416&lt;&gt;""),W1416,""))</f>
        <v/>
      </c>
    </row>
    <row r="1417">
      <c r="A1417" s="18" t="inlineStr">
        <is>
          <t>C1416</t>
        </is>
      </c>
      <c r="B1417" s="18" t="inlineStr">
        <is>
          <t>Control interno</t>
        </is>
      </c>
      <c r="C1417" s="18" t="inlineStr">
        <is>
          <t>control_interno</t>
        </is>
      </c>
      <c r="D1417" s="18" t="inlineStr">
        <is>
          <t>auditoria</t>
        </is>
      </c>
      <c r="E1417" s="18" t="n">
        <v>70</v>
      </c>
      <c r="F1417" s="18" t="inlineStr">
        <is>
          <t>responsable_area_cargo</t>
        </is>
      </c>
      <c r="G1417" s="18" t="inlineStr">
        <is>
          <t>character varying(255)</t>
        </is>
      </c>
      <c r="H1417" s="18" t="inlineStr">
        <is>
          <t>Sí</t>
        </is>
      </c>
      <c r="I1417" s="18" t="inlineStr"/>
      <c r="J1417" s="18" t="inlineStr"/>
      <c r="K1417" s="18" t="inlineStr"/>
      <c r="L1417" s="18" t="inlineStr">
        <is>
          <t>No</t>
        </is>
      </c>
      <c r="M1417" s="18" t="inlineStr">
        <is>
          <t>Sí</t>
        </is>
      </c>
      <c r="N1417" s="18" t="inlineStr">
        <is>
          <t>Vista control_interno.v_auditorias_kanban_completo</t>
        </is>
      </c>
      <c r="O1417" s="18" t="inlineStr"/>
      <c r="P1417" s="18" t="inlineStr">
        <is>
          <t>internal-institutional-control-service/src/esap/auditorias/entities/auditoria.entity.ts:265: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17" s="18" t="inlineStr">
        <is>
          <t>Código fuente</t>
        </is>
      </c>
      <c r="R1417" s="18" t="inlineStr">
        <is>
          <t>Cargo del responsable del área auditada.</t>
        </is>
      </c>
      <c r="S1417" s="18" t="inlineStr">
        <is>
          <t>Alta</t>
        </is>
      </c>
      <c r="T1417" s="18" t="inlineStr">
        <is>
          <t>nombre + tipo + columnas vecinas</t>
        </is>
      </c>
      <c r="U1417" s="18" t="inlineStr"/>
      <c r="V1417" s="19" t="inlineStr">
        <is>
          <t>Pendiente</t>
        </is>
      </c>
      <c r="W1417" s="19" t="inlineStr"/>
      <c r="X1417" s="19" t="inlineStr"/>
      <c r="Y1417" s="20" t="n"/>
      <c r="Z1417" s="19" t="inlineStr"/>
      <c r="AA1417" s="18">
        <f>IF(OR(V1417="Aprobada"),R1417,IF(AND(OR(V1417="Aprobada con ajuste",V1417="Rechazada"),W1417&lt;&gt;""),W1417,""))</f>
        <v/>
      </c>
    </row>
    <row r="1418">
      <c r="A1418" s="18" t="inlineStr">
        <is>
          <t>C1417</t>
        </is>
      </c>
      <c r="B1418" s="18" t="inlineStr">
        <is>
          <t>Control interno</t>
        </is>
      </c>
      <c r="C1418" s="18" t="inlineStr">
        <is>
          <t>control_interno</t>
        </is>
      </c>
      <c r="D1418" s="18" t="inlineStr">
        <is>
          <t>auditoria</t>
        </is>
      </c>
      <c r="E1418" s="18" t="n">
        <v>70</v>
      </c>
      <c r="F1418" s="18" t="inlineStr">
        <is>
          <t>responsable_area_email</t>
        </is>
      </c>
      <c r="G1418" s="18" t="inlineStr">
        <is>
          <t>character varying(255)</t>
        </is>
      </c>
      <c r="H1418" s="18" t="inlineStr">
        <is>
          <t>Sí</t>
        </is>
      </c>
      <c r="I1418" s="18" t="inlineStr"/>
      <c r="J1418" s="18" t="inlineStr"/>
      <c r="K1418" s="18" t="inlineStr"/>
      <c r="L1418" s="18" t="inlineStr">
        <is>
          <t>No</t>
        </is>
      </c>
      <c r="M1418" s="18" t="inlineStr">
        <is>
          <t>Sí</t>
        </is>
      </c>
      <c r="N1418" s="18" t="inlineStr">
        <is>
          <t>Vista control_interno.v_auditorias_kanban_completo</t>
        </is>
      </c>
      <c r="O1418" s="18" t="inlineStr"/>
      <c r="P1418" s="18" t="inlineStr">
        <is>
          <t>internal-institutional-control-service/src/esap/auditorias/entities/auditoria.entity.ts:268: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18" s="18" t="inlineStr">
        <is>
          <t>Código fuente</t>
        </is>
      </c>
      <c r="R1418" s="18" t="inlineStr">
        <is>
          <t>Correo electrónico del responsable del área auditada.</t>
        </is>
      </c>
      <c r="S1418" s="18" t="inlineStr">
        <is>
          <t>Alta</t>
        </is>
      </c>
      <c r="T1418" s="18" t="inlineStr">
        <is>
          <t>nombre + tipo + columnas vecinas</t>
        </is>
      </c>
      <c r="U1418" s="18" t="inlineStr"/>
      <c r="V1418" s="19" t="inlineStr">
        <is>
          <t>Pendiente</t>
        </is>
      </c>
      <c r="W1418" s="19" t="inlineStr"/>
      <c r="X1418" s="19" t="inlineStr"/>
      <c r="Y1418" s="20" t="n"/>
      <c r="Z1418" s="19" t="inlineStr"/>
      <c r="AA1418" s="18">
        <f>IF(OR(V1418="Aprobada"),R1418,IF(AND(OR(V1418="Aprobada con ajuste",V1418="Rechazada"),W1418&lt;&gt;""),W1418,""))</f>
        <v/>
      </c>
    </row>
    <row r="1419">
      <c r="A1419" s="18" t="inlineStr">
        <is>
          <t>C1418</t>
        </is>
      </c>
      <c r="B1419" s="18" t="inlineStr">
        <is>
          <t>Control interno</t>
        </is>
      </c>
      <c r="C1419" s="18" t="inlineStr">
        <is>
          <t>control_interno</t>
        </is>
      </c>
      <c r="D1419" s="18" t="inlineStr">
        <is>
          <t>auditoria</t>
        </is>
      </c>
      <c r="E1419" s="18" t="n">
        <v>70</v>
      </c>
      <c r="F1419" s="18" t="inlineStr">
        <is>
          <t>fecha_reunion_apertura</t>
        </is>
      </c>
      <c r="G1419" s="18" t="inlineStr">
        <is>
          <t>timestamp without time zone</t>
        </is>
      </c>
      <c r="H1419" s="18" t="inlineStr">
        <is>
          <t>Sí</t>
        </is>
      </c>
      <c r="I1419" s="18" t="inlineStr"/>
      <c r="J1419" s="18" t="inlineStr"/>
      <c r="K1419" s="18" t="inlineStr"/>
      <c r="L1419" s="18" t="inlineStr">
        <is>
          <t>No</t>
        </is>
      </c>
      <c r="M1419" s="18" t="inlineStr">
        <is>
          <t>Sí</t>
        </is>
      </c>
      <c r="N1419" s="18" t="inlineStr">
        <is>
          <t>Vista control_interno.v_auditorias_kanban_completo</t>
        </is>
      </c>
      <c r="O1419" s="18" t="inlineStr">
        <is>
          <t>idx_auditoria_fecha_reunion</t>
        </is>
      </c>
      <c r="P1419" s="18" t="inlineStr">
        <is>
          <t>internal-institutional-control-service/src/esap/auditorias/entities/auditoria.entity.ts:271: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      </is>
      </c>
      <c r="Q1419" s="18" t="inlineStr">
        <is>
          <t>Código fuente</t>
        </is>
      </c>
      <c r="R1419" s="18" t="inlineStr">
        <is>
          <t>Fecha y hora de la reunión de apertura de la auditoría.</t>
        </is>
      </c>
      <c r="S1419" s="18" t="inlineStr">
        <is>
          <t>Alta</t>
        </is>
      </c>
      <c r="T1419" s="18" t="inlineStr">
        <is>
          <t>nombre + tipo + propuesta por regla</t>
        </is>
      </c>
      <c r="U1419" s="18" t="inlineStr"/>
      <c r="V1419" s="19" t="inlineStr">
        <is>
          <t>Pendiente</t>
        </is>
      </c>
      <c r="W1419" s="19" t="inlineStr"/>
      <c r="X1419" s="19" t="inlineStr"/>
      <c r="Y1419" s="20" t="n"/>
      <c r="Z1419" s="19" t="inlineStr"/>
      <c r="AA1419" s="18">
        <f>IF(OR(V1419="Aprobada"),R1419,IF(AND(OR(V1419="Aprobada con ajuste",V1419="Rechazada"),W1419&lt;&gt;""),W1419,""))</f>
        <v/>
      </c>
    </row>
    <row r="1420">
      <c r="A1420" s="18" t="inlineStr">
        <is>
          <t>C1419</t>
        </is>
      </c>
      <c r="B1420" s="18" t="inlineStr">
        <is>
          <t>Control interno</t>
        </is>
      </c>
      <c r="C1420" s="18" t="inlineStr">
        <is>
          <t>control_interno</t>
        </is>
      </c>
      <c r="D1420" s="18" t="inlineStr">
        <is>
          <t>auditoria</t>
        </is>
      </c>
      <c r="E1420" s="18" t="n">
        <v>70</v>
      </c>
      <c r="F1420" s="18" t="inlineStr">
        <is>
          <t>metodologia</t>
        </is>
      </c>
      <c r="G1420" s="18" t="inlineStr">
        <is>
          <t>text</t>
        </is>
      </c>
      <c r="H1420" s="18" t="inlineStr">
        <is>
          <t>Sí</t>
        </is>
      </c>
      <c r="I1420" s="18" t="inlineStr"/>
      <c r="J1420" s="18" t="inlineStr"/>
      <c r="K1420" s="18" t="inlineStr"/>
      <c r="L1420" s="18" t="inlineStr">
        <is>
          <t>No</t>
        </is>
      </c>
      <c r="M1420" s="18" t="inlineStr">
        <is>
          <t>No</t>
        </is>
      </c>
      <c r="N1420" s="18" t="inlineStr"/>
      <c r="O1420" s="18" t="inlineStr"/>
      <c r="P1420" s="18" t="inlineStr"/>
      <c r="Q1420" s="18" t="inlineStr">
        <is>
          <t>Propuesta semántica</t>
        </is>
      </c>
      <c r="R1420" s="18" t="inlineStr">
        <is>
          <t>Metodología aplicada en la auditoría.</t>
        </is>
      </c>
      <c r="S1420" s="18" t="inlineStr">
        <is>
          <t>Alta</t>
        </is>
      </c>
      <c r="T1420" s="18" t="inlineStr">
        <is>
          <t>nombre + tipo ~</t>
        </is>
      </c>
      <c r="U1420" s="18" t="inlineStr"/>
      <c r="V1420" s="19" t="inlineStr">
        <is>
          <t>Pendiente</t>
        </is>
      </c>
      <c r="W1420" s="19" t="inlineStr"/>
      <c r="X1420" s="19" t="inlineStr"/>
      <c r="Y1420" s="20" t="n"/>
      <c r="Z1420" s="19" t="inlineStr"/>
      <c r="AA1420" s="18">
        <f>IF(OR(V1420="Aprobada"),R1420,IF(AND(OR(V1420="Aprobada con ajuste",V1420="Rechazada"),W1420&lt;&gt;""),W1420,""))</f>
        <v/>
      </c>
    </row>
    <row r="1421">
      <c r="A1421" s="18" t="inlineStr">
        <is>
          <t>C1420</t>
        </is>
      </c>
      <c r="B1421" s="18" t="inlineStr">
        <is>
          <t>Control interno</t>
        </is>
      </c>
      <c r="C1421" s="18" t="inlineStr">
        <is>
          <t>control_interno</t>
        </is>
      </c>
      <c r="D1421" s="18" t="inlineStr">
        <is>
          <t>auditoria</t>
        </is>
      </c>
      <c r="E1421" s="18" t="n">
        <v>70</v>
      </c>
      <c r="F1421" s="18" t="inlineStr">
        <is>
          <t>periodicidad</t>
        </is>
      </c>
      <c r="G1421" s="18" t="inlineStr">
        <is>
          <t>character varying(20)</t>
        </is>
      </c>
      <c r="H1421" s="18" t="inlineStr">
        <is>
          <t>Sí</t>
        </is>
      </c>
      <c r="I1421" s="18" t="inlineStr">
        <is>
          <t>CHECK</t>
        </is>
      </c>
      <c r="J1421" s="18" t="inlineStr">
        <is>
          <t>anual, semestral, trimestral, unica</t>
        </is>
      </c>
      <c r="K1421" s="18" t="inlineStr"/>
      <c r="L1421" s="18" t="inlineStr">
        <is>
          <t>Sí</t>
        </is>
      </c>
      <c r="M1421" s="18" t="inlineStr">
        <is>
          <t>No</t>
        </is>
      </c>
      <c r="N1421" s="18" t="inlineStr"/>
      <c r="O1421" s="18" t="inlineStr"/>
      <c r="P1421" s="18" t="inlineStr"/>
      <c r="Q1421" s="18" t="inlineStr">
        <is>
          <t>Propuesta semántica</t>
        </is>
      </c>
      <c r="R1421" s="18" t="inlineStr">
        <is>
          <t>Periodicidad de la auditoría. Valores permitidos: unica, trimestral, semestral, anual; por defecto unica.</t>
        </is>
      </c>
      <c r="S1421" s="18" t="inlineStr">
        <is>
          <t>Alta</t>
        </is>
      </c>
      <c r="T1421" s="18" t="inlineStr">
        <is>
          <t>valores permitidos del CHECK + defecto ~</t>
        </is>
      </c>
      <c r="U1421" s="18" t="inlineStr"/>
      <c r="V1421" s="19" t="inlineStr">
        <is>
          <t>Pendiente</t>
        </is>
      </c>
      <c r="W1421" s="19" t="inlineStr"/>
      <c r="X1421" s="19" t="inlineStr"/>
      <c r="Y1421" s="20" t="n"/>
      <c r="Z1421" s="19" t="inlineStr"/>
      <c r="AA1421" s="18">
        <f>IF(OR(V1421="Aprobada"),R1421,IF(AND(OR(V1421="Aprobada con ajuste",V1421="Rechazada"),W1421&lt;&gt;""),W1421,""))</f>
        <v/>
      </c>
    </row>
    <row r="1422">
      <c r="A1422" s="18" t="inlineStr">
        <is>
          <t>C1421</t>
        </is>
      </c>
      <c r="B1422" s="18" t="inlineStr">
        <is>
          <t>Control interno</t>
        </is>
      </c>
      <c r="C1422" s="18" t="inlineStr">
        <is>
          <t>control_interno</t>
        </is>
      </c>
      <c r="D1422" s="18" t="inlineStr">
        <is>
          <t>auditoria</t>
        </is>
      </c>
      <c r="E1422" s="18" t="n">
        <v>70</v>
      </c>
      <c r="F1422" s="18" t="inlineStr">
        <is>
          <t>presupuesto_estimado</t>
        </is>
      </c>
      <c r="G1422" s="18" t="inlineStr">
        <is>
          <t>numeric(15,2)</t>
        </is>
      </c>
      <c r="H1422" s="18" t="inlineStr">
        <is>
          <t>Sí</t>
        </is>
      </c>
      <c r="I1422" s="18" t="inlineStr"/>
      <c r="J1422" s="18" t="inlineStr"/>
      <c r="K1422" s="18" t="inlineStr"/>
      <c r="L1422" s="18" t="inlineStr">
        <is>
          <t>No</t>
        </is>
      </c>
      <c r="M1422" s="18" t="inlineStr">
        <is>
          <t>No</t>
        </is>
      </c>
      <c r="N1422" s="18" t="inlineStr"/>
      <c r="O1422" s="18" t="inlineStr"/>
      <c r="P1422" s="18" t="inlineStr">
        <is>
          <t>internal-institutional-control-service/src/esap/auditorias/entities/auditoria.entity.ts:253: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IsNumber, IsOptional</t>
        </is>
      </c>
      <c r="Q1422" s="18" t="inlineStr">
        <is>
          <t>Código fuente</t>
        </is>
      </c>
      <c r="R1422" s="18" t="inlineStr">
        <is>
          <t>Presupuesto estimado de la auditoría.</t>
        </is>
      </c>
      <c r="S1422" s="18" t="inlineStr">
        <is>
          <t>Media</t>
        </is>
      </c>
      <c r="T1422" s="18" t="inlineStr">
        <is>
          <t>nombre + tipo</t>
        </is>
      </c>
      <c r="U1422" s="18" t="inlineStr">
        <is>
          <t>¿En qué moneda se registra y qué rubros incluye?</t>
        </is>
      </c>
      <c r="V1422" s="19" t="inlineStr">
        <is>
          <t>Pendiente</t>
        </is>
      </c>
      <c r="W1422" s="19" t="inlineStr"/>
      <c r="X1422" s="19" t="inlineStr"/>
      <c r="Y1422" s="20" t="n"/>
      <c r="Z1422" s="19" t="inlineStr"/>
      <c r="AA1422" s="18">
        <f>IF(OR(V1422="Aprobada"),R1422,IF(AND(OR(V1422="Aprobada con ajuste",V1422="Rechazada"),W1422&lt;&gt;""),W1422,""))</f>
        <v/>
      </c>
    </row>
    <row r="1423">
      <c r="A1423" s="18" t="inlineStr">
        <is>
          <t>C1422</t>
        </is>
      </c>
      <c r="B1423" s="18" t="inlineStr">
        <is>
          <t>Control interno</t>
        </is>
      </c>
      <c r="C1423" s="18" t="inlineStr">
        <is>
          <t>control_interno</t>
        </is>
      </c>
      <c r="D1423" s="18" t="inlineStr">
        <is>
          <t>auditoria</t>
        </is>
      </c>
      <c r="E1423" s="18" t="n">
        <v>70</v>
      </c>
      <c r="F1423" s="18" t="inlineStr">
        <is>
          <t>observaciones_adicionales</t>
        </is>
      </c>
      <c r="G1423" s="18" t="inlineStr">
        <is>
          <t>text</t>
        </is>
      </c>
      <c r="H1423" s="18" t="inlineStr">
        <is>
          <t>Sí</t>
        </is>
      </c>
      <c r="I1423" s="18" t="inlineStr"/>
      <c r="J1423" s="18" t="inlineStr"/>
      <c r="K1423" s="18" t="inlineStr"/>
      <c r="L1423" s="18" t="inlineStr">
        <is>
          <t>No</t>
        </is>
      </c>
      <c r="M1423" s="18" t="inlineStr">
        <is>
          <t>No</t>
        </is>
      </c>
      <c r="N1423" s="18" t="inlineStr"/>
      <c r="O1423" s="18" t="inlineStr"/>
      <c r="P1423" s="18" t="inlineStr">
        <is>
          <t>internal-institutional-control-service/src/esap/auditorias/entities/auditoria.entity.ts:274: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23" s="18" t="inlineStr">
        <is>
          <t>Código fuente</t>
        </is>
      </c>
      <c r="R1423" s="18" t="inlineStr">
        <is>
          <t>Observaciones adicionales sobre la auditoría.</t>
        </is>
      </c>
      <c r="S1423" s="18" t="inlineStr">
        <is>
          <t>Alta</t>
        </is>
      </c>
      <c r="T1423" s="18" t="inlineStr">
        <is>
          <t>nombre + tipo</t>
        </is>
      </c>
      <c r="U1423" s="18" t="inlineStr"/>
      <c r="V1423" s="19" t="inlineStr">
        <is>
          <t>Pendiente</t>
        </is>
      </c>
      <c r="W1423" s="19" t="inlineStr"/>
      <c r="X1423" s="19" t="inlineStr"/>
      <c r="Y1423" s="20" t="n"/>
      <c r="Z1423" s="19" t="inlineStr"/>
      <c r="AA1423" s="18">
        <f>IF(OR(V1423="Aprobada"),R1423,IF(AND(OR(V1423="Aprobada con ajuste",V1423="Rechazada"),W1423&lt;&gt;""),W1423,""))</f>
        <v/>
      </c>
    </row>
    <row r="1424">
      <c r="A1424" s="18" t="inlineStr">
        <is>
          <t>C1423</t>
        </is>
      </c>
      <c r="B1424" s="18" t="inlineStr">
        <is>
          <t>Control interno</t>
        </is>
      </c>
      <c r="C1424" s="18" t="inlineStr">
        <is>
          <t>control_interno</t>
        </is>
      </c>
      <c r="D1424" s="18" t="inlineStr">
        <is>
          <t>auditoria</t>
        </is>
      </c>
      <c r="E1424" s="18" t="n">
        <v>70</v>
      </c>
      <c r="F1424" s="18" t="inlineStr">
        <is>
          <t>archivada</t>
        </is>
      </c>
      <c r="G1424" s="18" t="inlineStr">
        <is>
          <t>boolean</t>
        </is>
      </c>
      <c r="H1424" s="18" t="inlineStr">
        <is>
          <t>Sí</t>
        </is>
      </c>
      <c r="I1424" s="18" t="inlineStr"/>
      <c r="J1424" s="18" t="inlineStr"/>
      <c r="K1424" s="18" t="inlineStr"/>
      <c r="L1424" s="18" t="inlineStr">
        <is>
          <t>No</t>
        </is>
      </c>
      <c r="M1424" s="18" t="inlineStr">
        <is>
          <t>Sí</t>
        </is>
      </c>
      <c r="N1424" s="18" t="inlineStr">
        <is>
          <t>Función control_interno.fn_calcular_cumplimiento_auditorias; Función control_interno.fn_vincular_auditorias_actividad; Trigger trg_actualizar_cumplimiento_auditorias; Vista control_interno.v_auditor_disponibilidad; Vista control_interno.v_auditorias_finalizadas; Vista control_interno.v_estado_vinculacion_auditorias; Vista control_interno.v_resumen_auditorias_por_año — control_interno.fn_calcular_cumplimiento_auditorias: AND archivada = false | control_interno.fn_vincular_auditorias_actividad: AND archivada = false</t>
        </is>
      </c>
      <c r="O1424" s="18" t="inlineStr">
        <is>
          <t>idx_auditoria_archivada</t>
        </is>
      </c>
      <c r="P1424" s="18" t="inlineStr">
        <is>
          <t>internal-institutional-control-service/src/esap/auditorias/entities/auditoria.entity.ts:301: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424" s="18" t="inlineStr">
        <is>
          <t>Código fuente</t>
        </is>
      </c>
      <c r="R1424" s="18" t="inlineStr">
        <is>
          <t>Indica si la auditoría está archivada. Por defecto falso; las funciones de cumplimiento y de vinculación al plan anual excluyen las auditorías archivadas.</t>
        </is>
      </c>
      <c r="S1424" s="18" t="inlineStr">
        <is>
          <t>Alta</t>
        </is>
      </c>
      <c r="T1424" s="18" t="inlineStr">
        <is>
          <t>uso en las funciones control_interno.fn_calcular_cumplimiento_auditorias y fn_vincular_auditorias_actividad</t>
        </is>
      </c>
      <c r="U1424" s="18" t="inlineStr"/>
      <c r="V1424" s="19" t="inlineStr">
        <is>
          <t>Pendiente</t>
        </is>
      </c>
      <c r="W1424" s="19" t="inlineStr"/>
      <c r="X1424" s="19" t="inlineStr"/>
      <c r="Y1424" s="20" t="n"/>
      <c r="Z1424" s="19" t="inlineStr"/>
      <c r="AA1424" s="18">
        <f>IF(OR(V1424="Aprobada"),R1424,IF(AND(OR(V1424="Aprobada con ajuste",V1424="Rechazada"),W1424&lt;&gt;""),W1424,""))</f>
        <v/>
      </c>
    </row>
    <row r="1425">
      <c r="A1425" s="18" t="inlineStr">
        <is>
          <t>C1424</t>
        </is>
      </c>
      <c r="B1425" s="18" t="inlineStr">
        <is>
          <t>Control interno</t>
        </is>
      </c>
      <c r="C1425" s="18" t="inlineStr">
        <is>
          <t>control_interno</t>
        </is>
      </c>
      <c r="D1425" s="18" t="inlineStr">
        <is>
          <t>auditoria</t>
        </is>
      </c>
      <c r="E1425" s="18" t="n">
        <v>70</v>
      </c>
      <c r="F1425" s="18" t="inlineStr">
        <is>
          <t>fecha_archivo</t>
        </is>
      </c>
      <c r="G1425" s="18" t="inlineStr">
        <is>
          <t>timestamp without time zone</t>
        </is>
      </c>
      <c r="H1425" s="18" t="inlineStr">
        <is>
          <t>Sí</t>
        </is>
      </c>
      <c r="I1425" s="18" t="inlineStr"/>
      <c r="J1425" s="18" t="inlineStr"/>
      <c r="K1425" s="18" t="inlineStr"/>
      <c r="L1425" s="18" t="inlineStr">
        <is>
          <t>No</t>
        </is>
      </c>
      <c r="M1425" s="18" t="inlineStr">
        <is>
          <t>No</t>
        </is>
      </c>
      <c r="N1425" s="18" t="inlineStr"/>
      <c r="O1425" s="18" t="inlineStr"/>
      <c r="P1425" s="18" t="inlineStr">
        <is>
          <t>internal-institutional-control-service/src/esap/auditorias/entities/auditoria.entity.ts:304: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      </is>
      </c>
      <c r="Q1425" s="18" t="inlineStr">
        <is>
          <t>Código fuente</t>
        </is>
      </c>
      <c r="R1425" s="18" t="inlineStr">
        <is>
          <t>Fecha y hora en que se archivó la auditoría.</t>
        </is>
      </c>
      <c r="S1425" s="18" t="inlineStr">
        <is>
          <t>Alta</t>
        </is>
      </c>
      <c r="T1425" s="18" t="inlineStr">
        <is>
          <t>nombre + tipo + columnas vecinas (archivada)</t>
        </is>
      </c>
      <c r="U1425" s="18" t="inlineStr"/>
      <c r="V1425" s="19" t="inlineStr">
        <is>
          <t>Pendiente</t>
        </is>
      </c>
      <c r="W1425" s="19" t="inlineStr"/>
      <c r="X1425" s="19" t="inlineStr"/>
      <c r="Y1425" s="20" t="n"/>
      <c r="Z1425" s="19" t="inlineStr"/>
      <c r="AA1425" s="18">
        <f>IF(OR(V1425="Aprobada"),R1425,IF(AND(OR(V1425="Aprobada con ajuste",V1425="Rechazada"),W1425&lt;&gt;""),W1425,""))</f>
        <v/>
      </c>
    </row>
    <row r="1426">
      <c r="A1426" s="18" t="inlineStr">
        <is>
          <t>C1425</t>
        </is>
      </c>
      <c r="B1426" s="18" t="inlineStr">
        <is>
          <t>Control interno</t>
        </is>
      </c>
      <c r="C1426" s="18" t="inlineStr">
        <is>
          <t>control_interno</t>
        </is>
      </c>
      <c r="D1426" s="18" t="inlineStr">
        <is>
          <t>auditoria</t>
        </is>
      </c>
      <c r="E1426" s="18" t="n">
        <v>70</v>
      </c>
      <c r="F1426" s="18" t="inlineStr">
        <is>
          <t>fecha_eliminacion</t>
        </is>
      </c>
      <c r="G1426" s="18" t="inlineStr">
        <is>
          <t>timestamp without time zone</t>
        </is>
      </c>
      <c r="H1426" s="18" t="inlineStr">
        <is>
          <t>Sí</t>
        </is>
      </c>
      <c r="I1426" s="18" t="inlineStr"/>
      <c r="J1426" s="18" t="inlineStr"/>
      <c r="K1426" s="18" t="inlineStr"/>
      <c r="L1426" s="18" t="inlineStr">
        <is>
          <t>No</t>
        </is>
      </c>
      <c r="M1426" s="18" t="inlineStr">
        <is>
          <t>No</t>
        </is>
      </c>
      <c r="N1426" s="18" t="inlineStr"/>
      <c r="O1426" s="18" t="inlineStr"/>
      <c r="P1426" s="18" t="inlineStr">
        <is>
          <t>internal-institutional-control-service/src/esap/auditorias/entities/auditoria.entity.ts:310: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</t>
        </is>
      </c>
      <c r="Q1426" s="18" t="inlineStr">
        <is>
          <t>Código fuente</t>
        </is>
      </c>
      <c r="R1426" s="18" t="inlineStr">
        <is>
          <t>Fecha y hora en que se eliminó la auditoría.</t>
        </is>
      </c>
      <c r="S1426" s="18" t="inlineStr">
        <is>
          <t>Media</t>
        </is>
      </c>
      <c r="T1426" s="18" t="inlineStr">
        <is>
          <t>nombre + tipo + columnas vecinas (activa)</t>
        </is>
      </c>
      <c r="U1426" s="18" t="inlineStr">
        <is>
          <t>¿Es un borrado lógico que acompaña al indicador activa?</t>
        </is>
      </c>
      <c r="V1426" s="19" t="inlineStr">
        <is>
          <t>Pendiente</t>
        </is>
      </c>
      <c r="W1426" s="19" t="inlineStr"/>
      <c r="X1426" s="19" t="inlineStr"/>
      <c r="Y1426" s="20" t="n"/>
      <c r="Z1426" s="19" t="inlineStr"/>
      <c r="AA1426" s="18">
        <f>IF(OR(V1426="Aprobada"),R1426,IF(AND(OR(V1426="Aprobada con ajuste",V1426="Rechazada"),W1426&lt;&gt;""),W1426,""))</f>
        <v/>
      </c>
    </row>
    <row r="1427">
      <c r="A1427" s="18" t="inlineStr">
        <is>
          <t>C1426</t>
        </is>
      </c>
      <c r="B1427" s="18" t="inlineStr">
        <is>
          <t>Control interno</t>
        </is>
      </c>
      <c r="C1427" s="18" t="inlineStr">
        <is>
          <t>control_interno</t>
        </is>
      </c>
      <c r="D1427" s="18" t="inlineStr">
        <is>
          <t>auditoria</t>
        </is>
      </c>
      <c r="E1427" s="18" t="n">
        <v>70</v>
      </c>
      <c r="F1427" s="18" t="inlineStr">
        <is>
          <t>riesgo_kanban</t>
        </is>
      </c>
      <c r="G1427" s="18" t="inlineStr">
        <is>
          <t>character varying(20)</t>
        </is>
      </c>
      <c r="H1427" s="18" t="inlineStr">
        <is>
          <t>Sí</t>
        </is>
      </c>
      <c r="I1427" s="18" t="inlineStr">
        <is>
          <t>CHECK</t>
        </is>
      </c>
      <c r="J1427" s="18" t="inlineStr">
        <is>
          <t>Alto, Bajo, Medio</t>
        </is>
      </c>
      <c r="K1427" s="18" t="inlineStr"/>
      <c r="L1427" s="18" t="inlineStr">
        <is>
          <t>Sí</t>
        </is>
      </c>
      <c r="M1427" s="18" t="inlineStr">
        <is>
          <t>Sí</t>
        </is>
      </c>
      <c r="N1427" s="18" t="inlineStr">
        <is>
          <t>Vista control_interno.v_auditorias_kanban_completo</t>
        </is>
      </c>
      <c r="O1427" s="18" t="inlineStr">
        <is>
          <t>idx_auditoria_riesgo_kanban</t>
        </is>
      </c>
      <c r="P1427" s="18" t="inlineStr">
        <is>
          <t>internal-institutional-control-service/src/esap/auditorias/entities/auditoria.entity.ts:173: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IsEnum(RiesgoKanban), IsOptional</t>
        </is>
      </c>
      <c r="Q1427" s="18" t="inlineStr">
        <is>
          <t>Código fuente</t>
        </is>
      </c>
      <c r="R1427" s="18" t="inlineStr">
        <is>
          <t>Nivel de riesgo de la auditoría en el tablero Kanban. Valores permitidos: Alto, Medio, Bajo.</t>
        </is>
      </c>
      <c r="S1427" s="18" t="inlineStr">
        <is>
          <t>Media</t>
        </is>
      </c>
      <c r="T1427" s="18" t="inlineStr">
        <is>
          <t>valores permitidos del CHECK</t>
        </is>
      </c>
      <c r="U1427" s="18" t="inlineStr">
        <is>
          <t>¿Cómo se determina el nivel de riesgo y qué relación tiene con calificacion_riesgo?</t>
        </is>
      </c>
      <c r="V1427" s="19" t="inlineStr">
        <is>
          <t>Pendiente</t>
        </is>
      </c>
      <c r="W1427" s="19" t="inlineStr"/>
      <c r="X1427" s="19" t="inlineStr"/>
      <c r="Y1427" s="20" t="n"/>
      <c r="Z1427" s="19" t="inlineStr"/>
      <c r="AA1427" s="18">
        <f>IF(OR(V1427="Aprobada"),R1427,IF(AND(OR(V1427="Aprobada con ajuste",V1427="Rechazada"),W1427&lt;&gt;""),W1427,""))</f>
        <v/>
      </c>
    </row>
    <row r="1428">
      <c r="A1428" s="18" t="inlineStr">
        <is>
          <t>C1427</t>
        </is>
      </c>
      <c r="B1428" s="18" t="inlineStr">
        <is>
          <t>Control interno</t>
        </is>
      </c>
      <c r="C1428" s="18" t="inlineStr">
        <is>
          <t>control_interno</t>
        </is>
      </c>
      <c r="D1428" s="18" t="inlineStr">
        <is>
          <t>auditoria</t>
        </is>
      </c>
      <c r="E1428" s="18" t="n">
        <v>70</v>
      </c>
      <c r="F1428" s="18" t="inlineStr">
        <is>
          <t>ultima_actuacion</t>
        </is>
      </c>
      <c r="G1428" s="18" t="inlineStr">
        <is>
          <t>text</t>
        </is>
      </c>
      <c r="H1428" s="18" t="inlineStr">
        <is>
          <t>Sí</t>
        </is>
      </c>
      <c r="I1428" s="18" t="inlineStr"/>
      <c r="J1428" s="18" t="inlineStr"/>
      <c r="K1428" s="18" t="inlineStr"/>
      <c r="L1428" s="18" t="inlineStr">
        <is>
          <t>No</t>
        </is>
      </c>
      <c r="M1428" s="18" t="inlineStr">
        <is>
          <t>Sí</t>
        </is>
      </c>
      <c r="N1428" s="18" t="inlineStr">
        <is>
          <t>Vista control_interno.v_auditorias_kanban_completo</t>
        </is>
      </c>
      <c r="O1428" s="18" t="inlineStr"/>
      <c r="P1428" s="18" t="inlineStr">
        <is>
          <t>internal-institutional-control-service/src/esap/auditorias/entities/auditoria.entity.ts:194: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428" s="18" t="inlineStr">
        <is>
          <t>Código fuente</t>
        </is>
      </c>
      <c r="R1428" s="18" t="inlineStr">
        <is>
          <t>Descripción de la última actuación registrada en la auditoría.</t>
        </is>
      </c>
      <c r="S1428" s="18" t="inlineStr">
        <is>
          <t>Media</t>
        </is>
      </c>
      <c r="T1428" s="18" t="inlineStr">
        <is>
          <t>nombre + tipo + columnas vecinas</t>
        </is>
      </c>
      <c r="U1428" s="18" t="inlineStr">
        <is>
          <t>¿Se actualiza automáticamente desde el historial de la auditoría o se diligencia manualmente?</t>
        </is>
      </c>
      <c r="V1428" s="19" t="inlineStr">
        <is>
          <t>Pendiente</t>
        </is>
      </c>
      <c r="W1428" s="19" t="inlineStr"/>
      <c r="X1428" s="19" t="inlineStr"/>
      <c r="Y1428" s="20" t="n"/>
      <c r="Z1428" s="19" t="inlineStr"/>
      <c r="AA1428" s="18">
        <f>IF(OR(V1428="Aprobada"),R1428,IF(AND(OR(V1428="Aprobada con ajuste",V1428="Rechazada"),W1428&lt;&gt;""),W1428,""))</f>
        <v/>
      </c>
    </row>
    <row r="1429">
      <c r="A1429" s="18" t="inlineStr">
        <is>
          <t>C1428</t>
        </is>
      </c>
      <c r="B1429" s="18" t="inlineStr">
        <is>
          <t>Control interno</t>
        </is>
      </c>
      <c r="C1429" s="18" t="inlineStr">
        <is>
          <t>control_interno</t>
        </is>
      </c>
      <c r="D1429" s="18" t="inlineStr">
        <is>
          <t>auditoria</t>
        </is>
      </c>
      <c r="E1429" s="18" t="n">
        <v>70</v>
      </c>
      <c r="F1429" s="18" t="inlineStr">
        <is>
          <t>dias_restantes</t>
        </is>
      </c>
      <c r="G1429" s="18" t="inlineStr">
        <is>
          <t>integer</t>
        </is>
      </c>
      <c r="H1429" s="18" t="inlineStr">
        <is>
          <t>Sí</t>
        </is>
      </c>
      <c r="I1429" s="18" t="inlineStr"/>
      <c r="J1429" s="18" t="inlineStr"/>
      <c r="K1429" s="18" t="inlineStr"/>
      <c r="L1429" s="18" t="inlineStr">
        <is>
          <t>No</t>
        </is>
      </c>
      <c r="M1429" s="18" t="inlineStr">
        <is>
          <t>Sí</t>
        </is>
      </c>
      <c r="N1429" s="18" t="inlineStr">
        <is>
          <t>Vista control_interno.v_auditorias_kanban_completo</t>
        </is>
      </c>
      <c r="O1429" s="18" t="inlineStr"/>
      <c r="P1429" s="18" t="inlineStr">
        <is>
          <t>internal-institutional-control-service/src/esap/auditorias/entities/auditoria.entity.ts:198: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</t>
        </is>
      </c>
      <c r="Q1429" s="18" t="inlineStr">
        <is>
          <t>Código fuente</t>
        </is>
      </c>
      <c r="R1429" s="18" t="inlineStr">
        <is>
          <t>Número de días restantes hasta la fecha de finalización de la auditoría. Por defecto 0.</t>
        </is>
      </c>
      <c r="S1429" s="18" t="inlineStr">
        <is>
          <t>Media</t>
        </is>
      </c>
      <c r="T1429" s="18" t="inlineStr">
        <is>
          <t>nombre + tipo + columnas vecinas</t>
        </is>
      </c>
      <c r="U1429" s="18" t="inlineStr">
        <is>
          <t>¿Se calcula contra fecha_fin y con qué periodicidad se actualiza?</t>
        </is>
      </c>
      <c r="V1429" s="19" t="inlineStr">
        <is>
          <t>Pendiente</t>
        </is>
      </c>
      <c r="W1429" s="19" t="inlineStr"/>
      <c r="X1429" s="19" t="inlineStr"/>
      <c r="Y1429" s="20" t="n"/>
      <c r="Z1429" s="19" t="inlineStr"/>
      <c r="AA1429" s="18">
        <f>IF(OR(V1429="Aprobada"),R1429,IF(AND(OR(V1429="Aprobada con ajuste",V1429="Rechazada"),W1429&lt;&gt;""),W1429,""))</f>
        <v/>
      </c>
    </row>
    <row r="1430">
      <c r="A1430" s="18" t="inlineStr">
        <is>
          <t>C1429</t>
        </is>
      </c>
      <c r="B1430" s="18" t="inlineStr">
        <is>
          <t>Control interno</t>
        </is>
      </c>
      <c r="C1430" s="18" t="inlineStr">
        <is>
          <t>control_interno</t>
        </is>
      </c>
      <c r="D1430" s="18" t="inlineStr">
        <is>
          <t>auditoria</t>
        </is>
      </c>
      <c r="E1430" s="18" t="n">
        <v>70</v>
      </c>
      <c r="F1430" s="18" t="inlineStr">
        <is>
          <t>porcentaje_tiempo</t>
        </is>
      </c>
      <c r="G1430" s="18" t="inlineStr">
        <is>
          <t>integer</t>
        </is>
      </c>
      <c r="H1430" s="18" t="inlineStr">
        <is>
          <t>Sí</t>
        </is>
      </c>
      <c r="I1430" s="18" t="inlineStr">
        <is>
          <t>CHECK</t>
        </is>
      </c>
      <c r="J1430" s="18" t="inlineStr"/>
      <c r="K1430" s="18" t="inlineStr"/>
      <c r="L1430" s="18" t="inlineStr">
        <is>
          <t>No</t>
        </is>
      </c>
      <c r="M1430" s="18" t="inlineStr">
        <is>
          <t>Sí</t>
        </is>
      </c>
      <c r="N1430" s="18" t="inlineStr">
        <is>
          <t>Vista control_interno.v_auditorias_kanban_completo</t>
        </is>
      </c>
      <c r="O1430" s="18" t="inlineStr"/>
      <c r="P1430" s="18" t="inlineStr">
        <is>
          <t>internal-institutional-control-service/src/esap/auditorias/entities/auditoria.entity.ts:201: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Max(100), Min(0)</t>
        </is>
      </c>
      <c r="Q1430" s="18" t="inlineStr">
        <is>
          <t>Código fuente</t>
        </is>
      </c>
      <c r="R1430" s="18" t="inlineStr">
        <is>
          <t>Porcentaje del tiempo programado de la auditoría que ha transcurrido, de 0 a 100. Por defecto 0.</t>
        </is>
      </c>
      <c r="S1430" s="18" t="inlineStr">
        <is>
          <t>Media</t>
        </is>
      </c>
      <c r="T1430" s="18" t="inlineStr">
        <is>
          <t>nombre + tipo + validaciones Min(0), Max(100)</t>
        </is>
      </c>
      <c r="U1430" s="18" t="inlineStr">
        <is>
          <t>¿Se calcula entre fecha_inicio y fecha_fin y quién lo actualiza?</t>
        </is>
      </c>
      <c r="V1430" s="19" t="inlineStr">
        <is>
          <t>Pendiente</t>
        </is>
      </c>
      <c r="W1430" s="19" t="inlineStr"/>
      <c r="X1430" s="19" t="inlineStr"/>
      <c r="Y1430" s="20" t="n"/>
      <c r="Z1430" s="19" t="inlineStr"/>
      <c r="AA1430" s="18">
        <f>IF(OR(V1430="Aprobada"),R1430,IF(AND(OR(V1430="Aprobada con ajuste",V1430="Rechazada"),W1430&lt;&gt;""),W1430,""))</f>
        <v/>
      </c>
    </row>
    <row r="1431">
      <c r="A1431" s="18" t="inlineStr">
        <is>
          <t>C1430</t>
        </is>
      </c>
      <c r="B1431" s="18" t="inlineStr">
        <is>
          <t>Control interno</t>
        </is>
      </c>
      <c r="C1431" s="18" t="inlineStr">
        <is>
          <t>control_interno</t>
        </is>
      </c>
      <c r="D1431" s="18" t="inlineStr">
        <is>
          <t>auditoria</t>
        </is>
      </c>
      <c r="E1431" s="18" t="n">
        <v>70</v>
      </c>
      <c r="F1431" s="18" t="inlineStr">
        <is>
          <t>total_documentos</t>
        </is>
      </c>
      <c r="G1431" s="18" t="inlineStr">
        <is>
          <t>integer</t>
        </is>
      </c>
      <c r="H1431" s="18" t="inlineStr">
        <is>
          <t>Sí</t>
        </is>
      </c>
      <c r="I1431" s="18" t="inlineStr"/>
      <c r="J1431" s="18" t="inlineStr"/>
      <c r="K1431" s="18" t="inlineStr"/>
      <c r="L1431" s="18" t="inlineStr">
        <is>
          <t>No</t>
        </is>
      </c>
      <c r="M1431" s="18" t="inlineStr">
        <is>
          <t>Sí</t>
        </is>
      </c>
      <c r="N1431" s="18" t="inlineStr">
        <is>
          <t>Función control_interno.actualizar_contadores_documentos_informes; Vista control_interno.v_auditorias_kanban_completo — control_interno.actualizar_contadores_documentos_informes: total_documentos = COALESCE(total_docs, 0),</t>
        </is>
      </c>
      <c r="O1431" s="18" t="inlineStr"/>
      <c r="P1431" s="18" t="inlineStr">
        <is>
          <t>internal-institutional-control-service/src/esap/auditorias/entities/auditoria.entity.ts:204: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      </is>
      </c>
      <c r="Q1431" s="18" t="inlineStr">
        <is>
          <t>Código fuente</t>
        </is>
      </c>
      <c r="R1431" s="18" t="inlineStr">
        <is>
          <t>Número de documentos asociados a la auditoría; lo actualiza la función actualizar_contadores_documentos_informes. Por defecto 0.</t>
        </is>
      </c>
      <c r="S1431" s="18" t="inlineStr">
        <is>
          <t>Alta</t>
        </is>
      </c>
      <c r="T1431" s="18" t="inlineStr">
        <is>
          <t>uso en la función control_interno.actualizar_contadores_documentos_informes</t>
        </is>
      </c>
      <c r="U1431" s="18" t="inlineStr"/>
      <c r="V1431" s="19" t="inlineStr">
        <is>
          <t>Pendiente</t>
        </is>
      </c>
      <c r="W1431" s="19" t="inlineStr"/>
      <c r="X1431" s="19" t="inlineStr"/>
      <c r="Y1431" s="20" t="n"/>
      <c r="Z1431" s="19" t="inlineStr"/>
      <c r="AA1431" s="18">
        <f>IF(OR(V1431="Aprobada"),R1431,IF(AND(OR(V1431="Aprobada con ajuste",V1431="Rechazada"),W1431&lt;&gt;""),W1431,""))</f>
        <v/>
      </c>
    </row>
    <row r="1432">
      <c r="A1432" s="18" t="inlineStr">
        <is>
          <t>C1431</t>
        </is>
      </c>
      <c r="B1432" s="18" t="inlineStr">
        <is>
          <t>Control interno</t>
        </is>
      </c>
      <c r="C1432" s="18" t="inlineStr">
        <is>
          <t>control_interno</t>
        </is>
      </c>
      <c r="D1432" s="18" t="inlineStr">
        <is>
          <t>auditoria</t>
        </is>
      </c>
      <c r="E1432" s="18" t="n">
        <v>70</v>
      </c>
      <c r="F1432" s="18" t="inlineStr">
        <is>
          <t>total_informes</t>
        </is>
      </c>
      <c r="G1432" s="18" t="inlineStr">
        <is>
          <t>integer</t>
        </is>
      </c>
      <c r="H1432" s="18" t="inlineStr">
        <is>
          <t>Sí</t>
        </is>
      </c>
      <c r="I1432" s="18" t="inlineStr"/>
      <c r="J1432" s="18" t="inlineStr"/>
      <c r="K1432" s="18" t="inlineStr"/>
      <c r="L1432" s="18" t="inlineStr">
        <is>
          <t>No</t>
        </is>
      </c>
      <c r="M1432" s="18" t="inlineStr">
        <is>
          <t>Sí</t>
        </is>
      </c>
      <c r="N1432" s="18" t="inlineStr">
        <is>
          <t>Función control_interno.actualizar_contadores_documentos_informes; Vista control_interno.v_auditorias_kanban_completo — control_interno.actualizar_contadores_documentos_informes: total_informes = COALESCE(total_inf, 0),</t>
        </is>
      </c>
      <c r="O1432" s="18" t="inlineStr"/>
      <c r="P1432" s="18" t="inlineStr">
        <is>
          <t>internal-institutional-control-service/src/esap/auditorias/entities/auditoria.entity.ts:207: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      </is>
      </c>
      <c r="Q1432" s="18" t="inlineStr">
        <is>
          <t>Código fuente</t>
        </is>
      </c>
      <c r="R1432" s="18" t="inlineStr">
        <is>
          <t>Número de documentos de tipo informe asociados a la auditoría; lo actualiza la función actualizar_contadores_documentos_informes. Por defecto 0.</t>
        </is>
      </c>
      <c r="S1432" s="18" t="inlineStr">
        <is>
          <t>Alta</t>
        </is>
      </c>
      <c r="T1432" s="18" t="inlineStr">
        <is>
          <t>uso en la función control_interno.actualizar_contadores_documentos_informes</t>
        </is>
      </c>
      <c r="U1432" s="18" t="inlineStr"/>
      <c r="V1432" s="19" t="inlineStr">
        <is>
          <t>Pendiente</t>
        </is>
      </c>
      <c r="W1432" s="19" t="inlineStr"/>
      <c r="X1432" s="19" t="inlineStr"/>
      <c r="Y1432" s="20" t="n"/>
      <c r="Z1432" s="19" t="inlineStr"/>
      <c r="AA1432" s="18">
        <f>IF(OR(V1432="Aprobada"),R1432,IF(AND(OR(V1432="Aprobada con ajuste",V1432="Rechazada"),W1432&lt;&gt;""),W1432,""))</f>
        <v/>
      </c>
    </row>
    <row r="1433">
      <c r="A1433" s="18" t="inlineStr">
        <is>
          <t>C1432</t>
        </is>
      </c>
      <c r="B1433" s="18" t="inlineStr">
        <is>
          <t>Control interno</t>
        </is>
      </c>
      <c r="C1433" s="18" t="inlineStr">
        <is>
          <t>control_interno</t>
        </is>
      </c>
      <c r="D1433" s="18" t="inlineStr">
        <is>
          <t>auditoria</t>
        </is>
      </c>
      <c r="E1433" s="18" t="n">
        <v>70</v>
      </c>
      <c r="F1433" s="18" t="inlineStr">
        <is>
          <t>total_tareas</t>
        </is>
      </c>
      <c r="G1433" s="18" t="inlineStr">
        <is>
          <t>integer</t>
        </is>
      </c>
      <c r="H1433" s="18" t="inlineStr">
        <is>
          <t>Sí</t>
        </is>
      </c>
      <c r="I1433" s="18" t="inlineStr"/>
      <c r="J1433" s="18" t="inlineStr"/>
      <c r="K1433" s="18" t="inlineStr"/>
      <c r="L1433" s="18" t="inlineStr">
        <is>
          <t>No</t>
        </is>
      </c>
      <c r="M1433" s="18" t="inlineStr">
        <is>
          <t>Sí</t>
        </is>
      </c>
      <c r="N1433" s="18" t="inlineStr">
        <is>
          <t>Vista control_interno.v_auditorias_kanban_completo</t>
        </is>
      </c>
      <c r="O1433" s="18" t="inlineStr"/>
      <c r="P1433" s="18" t="inlineStr">
        <is>
          <t>internal-institutional-control-service/src/esap/auditorias/entities/auditoria.entity.ts:210: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      </is>
      </c>
      <c r="Q1433" s="18" t="inlineStr">
        <is>
          <t>Código fuente</t>
        </is>
      </c>
      <c r="R1433" s="18" t="inlineStr">
        <is>
          <t>Número de tareas asociadas a la auditoría. Por defecto 0.</t>
        </is>
      </c>
      <c r="S1433" s="18" t="inlineStr">
        <is>
          <t>Media</t>
        </is>
      </c>
      <c r="T1433" s="18" t="inlineStr">
        <is>
          <t>nombre + tipo + columnas vecinas</t>
        </is>
      </c>
      <c r="U1433" s="18" t="inlineStr">
        <is>
          <t>¿Cuenta los registros de tareas_auditoria y quién actualiza el contador?</t>
        </is>
      </c>
      <c r="V1433" s="19" t="inlineStr">
        <is>
          <t>Pendiente</t>
        </is>
      </c>
      <c r="W1433" s="19" t="inlineStr"/>
      <c r="X1433" s="19" t="inlineStr"/>
      <c r="Y1433" s="20" t="n"/>
      <c r="Z1433" s="19" t="inlineStr"/>
      <c r="AA1433" s="18">
        <f>IF(OR(V1433="Aprobada"),R1433,IF(AND(OR(V1433="Aprobada con ajuste",V1433="Rechazada"),W1433&lt;&gt;""),W1433,""))</f>
        <v/>
      </c>
    </row>
    <row r="1434">
      <c r="A1434" s="18" t="inlineStr">
        <is>
          <t>C1433</t>
        </is>
      </c>
      <c r="B1434" s="18" t="inlineStr">
        <is>
          <t>Control interno</t>
        </is>
      </c>
      <c r="C1434" s="18" t="inlineStr">
        <is>
          <t>control_interno</t>
        </is>
      </c>
      <c r="D1434" s="18" t="inlineStr">
        <is>
          <t>auditoria</t>
        </is>
      </c>
      <c r="E1434" s="18" t="n">
        <v>70</v>
      </c>
      <c r="F1434" s="18" t="inlineStr">
        <is>
          <t>actividades_completas</t>
        </is>
      </c>
      <c r="G1434" s="18" t="inlineStr">
        <is>
          <t>boolean</t>
        </is>
      </c>
      <c r="H1434" s="18" t="inlineStr">
        <is>
          <t>Sí</t>
        </is>
      </c>
      <c r="I1434" s="18" t="inlineStr"/>
      <c r="J1434" s="18" t="inlineStr"/>
      <c r="K1434" s="18" t="inlineStr"/>
      <c r="L1434" s="18" t="inlineStr">
        <is>
          <t>No</t>
        </is>
      </c>
      <c r="M1434" s="18" t="inlineStr">
        <is>
          <t>Sí</t>
        </is>
      </c>
      <c r="N1434" s="18" t="inlineStr">
        <is>
          <t>Función control_interno.actualizar_actividades_auditoria; Vista control_interno.v_auditorias_kanban_completo — control_interno.actualizar_actividades_auditoria: SET actividades_completas = (pendientes = 0),</t>
        </is>
      </c>
      <c r="O1434" s="18" t="inlineStr"/>
      <c r="P1434" s="18" t="inlineStr">
        <is>
          <t>internal-institutional-control-service/src/esap/auditorias/entities/auditoria.entity.ts:213: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434" s="18" t="inlineStr">
        <is>
          <t>Código fuente</t>
        </is>
      </c>
      <c r="R1434" s="18" t="inlineStr">
        <is>
          <t>Indica si todas las actividades de la auditoría están completas, es decir, si no hay actividades pendientes; lo actualiza la función actualizar_actividades_auditoria.</t>
        </is>
      </c>
      <c r="S1434" s="18" t="inlineStr">
        <is>
          <t>Alta</t>
        </is>
      </c>
      <c r="T1434" s="18" t="inlineStr">
        <is>
          <t>uso en la función control_interno.actualizar_actividades_auditoria</t>
        </is>
      </c>
      <c r="U1434" s="18" t="inlineStr"/>
      <c r="V1434" s="19" t="inlineStr">
        <is>
          <t>Pendiente</t>
        </is>
      </c>
      <c r="W1434" s="19" t="inlineStr"/>
      <c r="X1434" s="19" t="inlineStr"/>
      <c r="Y1434" s="20" t="n"/>
      <c r="Z1434" s="19" t="inlineStr"/>
      <c r="AA1434" s="18">
        <f>IF(OR(V1434="Aprobada"),R1434,IF(AND(OR(V1434="Aprobada con ajuste",V1434="Rechazada"),W1434&lt;&gt;""),W1434,""))</f>
        <v/>
      </c>
    </row>
    <row r="1435">
      <c r="A1435" s="18" t="inlineStr">
        <is>
          <t>C1434</t>
        </is>
      </c>
      <c r="B1435" s="18" t="inlineStr">
        <is>
          <t>Control interno</t>
        </is>
      </c>
      <c r="C1435" s="18" t="inlineStr">
        <is>
          <t>control_interno</t>
        </is>
      </c>
      <c r="D1435" s="18" t="inlineStr">
        <is>
          <t>auditoria</t>
        </is>
      </c>
      <c r="E1435" s="18" t="n">
        <v>70</v>
      </c>
      <c r="F1435" s="18" t="inlineStr">
        <is>
          <t>actividades_pendientes</t>
        </is>
      </c>
      <c r="G1435" s="18" t="inlineStr">
        <is>
          <t>integer</t>
        </is>
      </c>
      <c r="H1435" s="18" t="inlineStr">
        <is>
          <t>Sí</t>
        </is>
      </c>
      <c r="I1435" s="18" t="inlineStr">
        <is>
          <t>CHECK</t>
        </is>
      </c>
      <c r="J1435" s="18" t="inlineStr"/>
      <c r="K1435" s="18" t="inlineStr"/>
      <c r="L1435" s="18" t="inlineStr">
        <is>
          <t>No</t>
        </is>
      </c>
      <c r="M1435" s="18" t="inlineStr">
        <is>
          <t>Sí</t>
        </is>
      </c>
      <c r="N1435" s="18" t="inlineStr">
        <is>
          <t>Función control_interno.actualizar_actividades_auditoria; Vista control_interno.v_auditorias_kanban_completo — control_interno.actualizar_actividades_auditoria: actividades_pendientes = pendientes</t>
        </is>
      </c>
      <c r="O1435" s="18" t="inlineStr"/>
      <c r="P1435" s="18" t="inlineStr">
        <is>
          <t>internal-institutional-control-service/src/esap/auditorias/entities/auditoria.entity.ts:216: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IsInt, IsOptional, Min(0)</t>
        </is>
      </c>
      <c r="Q1435" s="18" t="inlineStr">
        <is>
          <t>Código fuente</t>
        </is>
      </c>
      <c r="R1435" s="18" t="inlineStr">
        <is>
          <t>Número de actividades pendientes de la auditoría; lo actualiza la función actualizar_actividades_auditoria. Por defecto 0.</t>
        </is>
      </c>
      <c r="S1435" s="18" t="inlineStr">
        <is>
          <t>Alta</t>
        </is>
      </c>
      <c r="T1435" s="18" t="inlineStr">
        <is>
          <t>uso en la función control_interno.actualizar_actividades_auditoria</t>
        </is>
      </c>
      <c r="U1435" s="18" t="inlineStr"/>
      <c r="V1435" s="19" t="inlineStr">
        <is>
          <t>Pendiente</t>
        </is>
      </c>
      <c r="W1435" s="19" t="inlineStr"/>
      <c r="X1435" s="19" t="inlineStr"/>
      <c r="Y1435" s="20" t="n"/>
      <c r="Z1435" s="19" t="inlineStr"/>
      <c r="AA1435" s="18">
        <f>IF(OR(V1435="Aprobada"),R1435,IF(AND(OR(V1435="Aprobada con ajuste",V1435="Rechazada"),W1435&lt;&gt;""),W1435,""))</f>
        <v/>
      </c>
    </row>
    <row r="1436">
      <c r="A1436" s="18" t="inlineStr">
        <is>
          <t>C1435</t>
        </is>
      </c>
      <c r="B1436" s="18" t="inlineStr">
        <is>
          <t>Control interno</t>
        </is>
      </c>
      <c r="C1436" s="18" t="inlineStr">
        <is>
          <t>control_interno</t>
        </is>
      </c>
      <c r="D1436" s="18" t="inlineStr">
        <is>
          <t>auditoria</t>
        </is>
      </c>
      <c r="E1436" s="18" t="n">
        <v>70</v>
      </c>
      <c r="F1436" s="18" t="inlineStr">
        <is>
          <t>periodo_inicio</t>
        </is>
      </c>
      <c r="G1436" s="18" t="inlineStr">
        <is>
          <t>date</t>
        </is>
      </c>
      <c r="H1436" s="18" t="inlineStr">
        <is>
          <t>Sí</t>
        </is>
      </c>
      <c r="I1436" s="18" t="inlineStr"/>
      <c r="J1436" s="18" t="inlineStr"/>
      <c r="K1436" s="18" t="inlineStr"/>
      <c r="L1436" s="18" t="inlineStr">
        <is>
          <t>No</t>
        </is>
      </c>
      <c r="M1436" s="18" t="inlineStr">
        <is>
          <t>No</t>
        </is>
      </c>
      <c r="N1436" s="18" t="inlineStr"/>
      <c r="O1436" s="18" t="inlineStr"/>
      <c r="P1436" s="18" t="inlineStr">
        <is>
          <t>internal-institutional-control-service/src/esap/auditorias/entities/auditoria.entity.ts:247: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      </is>
      </c>
      <c r="Q1436" s="18" t="inlineStr">
        <is>
          <t>Código fuente</t>
        </is>
      </c>
      <c r="R1436" s="18" t="inlineStr">
        <is>
          <t>Fecha de inicio del periodo evaluado por la auditoría.</t>
        </is>
      </c>
      <c r="S1436" s="18" t="inlineStr">
        <is>
          <t>Media</t>
        </is>
      </c>
      <c r="T1436" s="18" t="inlineStr">
        <is>
          <t>nombre + tipo + columnas vecinas (periodo_fin)</t>
        </is>
      </c>
      <c r="U1436" s="18" t="inlineStr">
        <is>
          <t>¿Es el inicio del periodo de gestión auditado o del periodo de ejecución de la auditoría?</t>
        </is>
      </c>
      <c r="V1436" s="19" t="inlineStr">
        <is>
          <t>Pendiente</t>
        </is>
      </c>
      <c r="W1436" s="19" t="inlineStr"/>
      <c r="X1436" s="19" t="inlineStr"/>
      <c r="Y1436" s="20" t="n"/>
      <c r="Z1436" s="19" t="inlineStr"/>
      <c r="AA1436" s="18">
        <f>IF(OR(V1436="Aprobada"),R1436,IF(AND(OR(V1436="Aprobada con ajuste",V1436="Rechazada"),W1436&lt;&gt;""),W1436,""))</f>
        <v/>
      </c>
    </row>
    <row r="1437">
      <c r="A1437" s="18" t="inlineStr">
        <is>
          <t>C1436</t>
        </is>
      </c>
      <c r="B1437" s="18" t="inlineStr">
        <is>
          <t>Control interno</t>
        </is>
      </c>
      <c r="C1437" s="18" t="inlineStr">
        <is>
          <t>control_interno</t>
        </is>
      </c>
      <c r="D1437" s="18" t="inlineStr">
        <is>
          <t>auditoria</t>
        </is>
      </c>
      <c r="E1437" s="18" t="n">
        <v>70</v>
      </c>
      <c r="F1437" s="18" t="inlineStr">
        <is>
          <t>periodo_fin</t>
        </is>
      </c>
      <c r="G1437" s="18" t="inlineStr">
        <is>
          <t>date</t>
        </is>
      </c>
      <c r="H1437" s="18" t="inlineStr">
        <is>
          <t>Sí</t>
        </is>
      </c>
      <c r="I1437" s="18" t="inlineStr"/>
      <c r="J1437" s="18" t="inlineStr"/>
      <c r="K1437" s="18" t="inlineStr"/>
      <c r="L1437" s="18" t="inlineStr">
        <is>
          <t>No</t>
        </is>
      </c>
      <c r="M1437" s="18" t="inlineStr">
        <is>
          <t>No</t>
        </is>
      </c>
      <c r="N1437" s="18" t="inlineStr"/>
      <c r="O1437" s="18" t="inlineStr"/>
      <c r="P1437" s="18" t="inlineStr">
        <is>
          <t>internal-institutional-control-service/src/esap/auditorias/entities/auditoria.entity.ts:250: ═══════════════════════════════════════════════════════════════════ CRONOGRAMA DE 3 ETAPAS: Planeación → Ejecución → Comunicación ═══════════════════════════════════════════════════════════════════ | Validación: IsDateString, IsOptional</t>
        </is>
      </c>
      <c r="Q1437" s="18" t="inlineStr">
        <is>
          <t>Código fuente</t>
        </is>
      </c>
      <c r="R1437" s="18" t="inlineStr">
        <is>
          <t>Fecha de fin del periodo evaluado por la auditoría.</t>
        </is>
      </c>
      <c r="S1437" s="18" t="inlineStr">
        <is>
          <t>Media</t>
        </is>
      </c>
      <c r="T1437" s="18" t="inlineStr">
        <is>
          <t>nombre + tipo + columnas vecinas (periodo_inicio)</t>
        </is>
      </c>
      <c r="U1437" s="18" t="inlineStr">
        <is>
          <t>¿Es el fin del periodo de gestión auditado o del periodo de ejecución de la auditoría?</t>
        </is>
      </c>
      <c r="V1437" s="19" t="inlineStr">
        <is>
          <t>Pendiente</t>
        </is>
      </c>
      <c r="W1437" s="19" t="inlineStr"/>
      <c r="X1437" s="19" t="inlineStr"/>
      <c r="Y1437" s="20" t="n"/>
      <c r="Z1437" s="19" t="inlineStr"/>
      <c r="AA1437" s="18">
        <f>IF(OR(V1437="Aprobada"),R1437,IF(AND(OR(V1437="Aprobada con ajuste",V1437="Rechazada"),W1437&lt;&gt;""),W1437,""))</f>
        <v/>
      </c>
    </row>
    <row r="1438">
      <c r="A1438" s="18" t="inlineStr">
        <is>
          <t>C1437</t>
        </is>
      </c>
      <c r="B1438" s="18" t="inlineStr">
        <is>
          <t>Control interno</t>
        </is>
      </c>
      <c r="C1438" s="18" t="inlineStr">
        <is>
          <t>control_interno</t>
        </is>
      </c>
      <c r="D1438" s="18" t="inlineStr">
        <is>
          <t>auditoria_especial_info</t>
        </is>
      </c>
      <c r="E1438" s="18" t="n">
        <v>0</v>
      </c>
      <c r="F1438" s="18" t="inlineStr">
        <is>
          <t>tipo_motivo</t>
        </is>
      </c>
      <c r="G1438" s="18" t="inlineStr">
        <is>
          <t>character varying(100)</t>
        </is>
      </c>
      <c r="H1438" s="18" t="inlineStr">
        <is>
          <t>No</t>
        </is>
      </c>
      <c r="I1438" s="18" t="inlineStr">
        <is>
          <t>CHECK</t>
        </is>
      </c>
      <c r="J1438" s="18" t="inlineStr">
        <is>
          <t>denuncia, emergencia, ente_control, otro, revision_especifica, seguimiento_urgente, solicitud_ente_control</t>
        </is>
      </c>
      <c r="K1438" s="18" t="inlineStr"/>
      <c r="L1438" s="18" t="inlineStr">
        <is>
          <t>Sí</t>
        </is>
      </c>
      <c r="M1438" s="18" t="inlineStr">
        <is>
          <t>Sí</t>
        </is>
      </c>
      <c r="N1438" s="18" t="inlineStr">
        <is>
          <t>Vista control_interno.v_auditorias_kanban_completo</t>
        </is>
      </c>
      <c r="O1438" s="18" t="inlineStr">
        <is>
          <t>idx_especial_tipo_motivo</t>
        </is>
      </c>
      <c r="P1438" s="18" t="inlineStr">
        <is>
          <t>Mapeada en internal-institutional-control-service/src/esap/auditorias/entities/auditoria-especial-info.entity.ts:26 (AuditoriaEspecialInfo.tipoMotivo)</t>
        </is>
      </c>
      <c r="Q1438" s="18" t="inlineStr">
        <is>
          <t>Propuesta semántica</t>
        </is>
      </c>
      <c r="R1438" s="18" t="inlineStr">
        <is>
          <t>Tipo de motivo de la auditoría especial. Valores permitidos: denuncia, emergencia, ente_control, solicitud_ente_control, revision_especifica, seguimiento_urgente, otro.</t>
        </is>
      </c>
      <c r="S1438" s="18" t="inlineStr">
        <is>
          <t>Alta</t>
        </is>
      </c>
      <c r="T1438" s="18" t="inlineStr">
        <is>
          <t>valores permitidos del CHECK ~</t>
        </is>
      </c>
      <c r="U1438" s="18" t="inlineStr"/>
      <c r="V1438" s="19" t="inlineStr">
        <is>
          <t>Pendiente</t>
        </is>
      </c>
      <c r="W1438" s="19" t="inlineStr"/>
      <c r="X1438" s="19" t="inlineStr"/>
      <c r="Y1438" s="20" t="n"/>
      <c r="Z1438" s="19" t="inlineStr"/>
      <c r="AA1438" s="18">
        <f>IF(OR(V1438="Aprobada"),R1438,IF(AND(OR(V1438="Aprobada con ajuste",V1438="Rechazada"),W1438&lt;&gt;""),W1438,""))</f>
        <v/>
      </c>
    </row>
    <row r="1439">
      <c r="A1439" s="18" t="inlineStr">
        <is>
          <t>C1438</t>
        </is>
      </c>
      <c r="B1439" s="18" t="inlineStr">
        <is>
          <t>Control interno</t>
        </is>
      </c>
      <c r="C1439" s="18" t="inlineStr">
        <is>
          <t>control_interno</t>
        </is>
      </c>
      <c r="D1439" s="18" t="inlineStr">
        <is>
          <t>auditoria_especial_info</t>
        </is>
      </c>
      <c r="E1439" s="18" t="n">
        <v>0</v>
      </c>
      <c r="F1439" s="18" t="inlineStr">
        <is>
          <t>solicitante</t>
        </is>
      </c>
      <c r="G1439" s="18" t="inlineStr">
        <is>
          <t>character varying(255)</t>
        </is>
      </c>
      <c r="H1439" s="18" t="inlineStr">
        <is>
          <t>No</t>
        </is>
      </c>
      <c r="I1439" s="18" t="inlineStr"/>
      <c r="J1439" s="18" t="inlineStr"/>
      <c r="K1439" s="18" t="inlineStr"/>
      <c r="L1439" s="18" t="inlineStr">
        <is>
          <t>No</t>
        </is>
      </c>
      <c r="M1439" s="18" t="inlineStr">
        <is>
          <t>Sí</t>
        </is>
      </c>
      <c r="N1439" s="18" t="inlineStr">
        <is>
          <t>Vista control_interno.v_auditorias_kanban_completo</t>
        </is>
      </c>
      <c r="O1439" s="18" t="inlineStr"/>
      <c r="P1439" s="18" t="inlineStr">
        <is>
          <t>db/migrations/old/036_add_auditorias_kanban_completo.sql:703: Ej: "Contraloría General de la República" | Validación: IsNotEmpty, IsString</t>
        </is>
      </c>
      <c r="Q1439" s="18" t="inlineStr">
        <is>
          <t>Código fuente</t>
        </is>
      </c>
      <c r="R1439" s="18" t="inlineStr">
        <is>
          <t>Entidad o persona que solicita la auditoría especial (por ejemplo, Contraloría General de la República).</t>
        </is>
      </c>
      <c r="S1439" s="18" t="inlineStr">
        <is>
          <t>Alta</t>
        </is>
      </c>
      <c r="T1439" s="18" t="inlineStr">
        <is>
          <t>código: db/migrations/old/036_add_auditorias_kanban_completo.sql:703</t>
        </is>
      </c>
      <c r="U1439" s="18" t="inlineStr"/>
      <c r="V1439" s="19" t="inlineStr">
        <is>
          <t>Pendiente</t>
        </is>
      </c>
      <c r="W1439" s="19" t="inlineStr"/>
      <c r="X1439" s="19" t="inlineStr"/>
      <c r="Y1439" s="20" t="n"/>
      <c r="Z1439" s="19" t="inlineStr"/>
      <c r="AA1439" s="18">
        <f>IF(OR(V1439="Aprobada"),R1439,IF(AND(OR(V1439="Aprobada con ajuste",V1439="Rechazada"),W1439&lt;&gt;""),W1439,""))</f>
        <v/>
      </c>
    </row>
    <row r="1440">
      <c r="A1440" s="18" t="inlineStr">
        <is>
          <t>C1439</t>
        </is>
      </c>
      <c r="B1440" s="18" t="inlineStr">
        <is>
          <t>Control interno</t>
        </is>
      </c>
      <c r="C1440" s="18" t="inlineStr">
        <is>
          <t>control_interno</t>
        </is>
      </c>
      <c r="D1440" s="18" t="inlineStr">
        <is>
          <t>auditoria_especial_info</t>
        </is>
      </c>
      <c r="E1440" s="18" t="n">
        <v>0</v>
      </c>
      <c r="F1440" s="18" t="inlineStr">
        <is>
          <t>justificacion</t>
        </is>
      </c>
      <c r="G1440" s="18" t="inlineStr">
        <is>
          <t>text</t>
        </is>
      </c>
      <c r="H1440" s="18" t="inlineStr">
        <is>
          <t>No</t>
        </is>
      </c>
      <c r="I1440" s="18" t="inlineStr"/>
      <c r="J1440" s="18" t="inlineStr"/>
      <c r="K1440" s="18" t="inlineStr"/>
      <c r="L1440" s="18" t="inlineStr">
        <is>
          <t>No</t>
        </is>
      </c>
      <c r="M1440" s="18" t="inlineStr">
        <is>
          <t>Sí</t>
        </is>
      </c>
      <c r="N1440" s="18" t="inlineStr">
        <is>
          <t>Vista control_interno.v_auditorias_kanban_completo</t>
        </is>
      </c>
      <c r="O1440" s="18" t="inlineStr"/>
      <c r="P1440" s="18" t="inlineStr">
        <is>
          <t>Mapeada en internal-institutional-control-service/src/esap/auditorias/entities/auditoria-especial-info.entity.ts:32 (AuditoriaEspecialInfo.justificacion) | Validación: IsNotEmpty, IsString, MinLength(20, { message: 'La justificación debe tener al menos 20 caracteres' }), MinLength(20, { message: 'La justificación del rechazo debe tener al menos 20 caracteres' })</t>
        </is>
      </c>
      <c r="Q1440" s="18" t="inlineStr">
        <is>
          <t>Propuesta semántica</t>
        </is>
      </c>
      <c r="R1440" s="18" t="inlineStr">
        <is>
          <t>Justificación de la auditoría especial; mínimo 20 caracteres.</t>
        </is>
      </c>
      <c r="S1440" s="18" t="inlineStr">
        <is>
          <t>Alta</t>
        </is>
      </c>
      <c r="T1440" s="18" t="inlineStr">
        <is>
          <t>nombre + validación MinLength(20) ~</t>
        </is>
      </c>
      <c r="U1440" s="18" t="inlineStr"/>
      <c r="V1440" s="19" t="inlineStr">
        <is>
          <t>Pendiente</t>
        </is>
      </c>
      <c r="W1440" s="19" t="inlineStr"/>
      <c r="X1440" s="19" t="inlineStr"/>
      <c r="Y1440" s="20" t="n"/>
      <c r="Z1440" s="19" t="inlineStr"/>
      <c r="AA1440" s="18">
        <f>IF(OR(V1440="Aprobada"),R1440,IF(AND(OR(V1440="Aprobada con ajuste",V1440="Rechazada"),W1440&lt;&gt;""),W1440,""))</f>
        <v/>
      </c>
    </row>
    <row r="1441">
      <c r="A1441" s="18" t="inlineStr">
        <is>
          <t>C1440</t>
        </is>
      </c>
      <c r="B1441" s="18" t="inlineStr">
        <is>
          <t>Control interno</t>
        </is>
      </c>
      <c r="C1441" s="18" t="inlineStr">
        <is>
          <t>control_interno</t>
        </is>
      </c>
      <c r="D1441" s="18" t="inlineStr">
        <is>
          <t>auditoria_especial_info</t>
        </is>
      </c>
      <c r="E1441" s="18" t="n">
        <v>0</v>
      </c>
      <c r="F1441" s="18" t="inlineStr">
        <is>
          <t>fecha_solicitud</t>
        </is>
      </c>
      <c r="G1441" s="18" t="inlineStr">
        <is>
          <t>date</t>
        </is>
      </c>
      <c r="H1441" s="18" t="inlineStr">
        <is>
          <t>Sí</t>
        </is>
      </c>
      <c r="I1441" s="18" t="inlineStr"/>
      <c r="J1441" s="18" t="inlineStr"/>
      <c r="K1441" s="18" t="inlineStr"/>
      <c r="L1441" s="18" t="inlineStr">
        <is>
          <t>No</t>
        </is>
      </c>
      <c r="M1441" s="18" t="inlineStr">
        <is>
          <t>No</t>
        </is>
      </c>
      <c r="N1441" s="18" t="inlineStr"/>
      <c r="O1441" s="18" t="inlineStr">
        <is>
          <t>idx_especial_fecha_solicitud</t>
        </is>
      </c>
      <c r="P1441" s="18" t="inlineStr"/>
      <c r="Q1441" s="18" t="inlineStr">
        <is>
          <t>Regla estructural</t>
        </is>
      </c>
      <c r="R1441" s="18" t="inlineStr">
        <is>
          <t>Fecha de solicitud.</t>
        </is>
      </c>
      <c r="S1441" s="18" t="inlineStr">
        <is>
          <t>Media</t>
        </is>
      </c>
      <c r="T1441" s="18" t="inlineStr">
        <is>
          <t>Convención de nombre de la columna.</t>
        </is>
      </c>
      <c r="U1441" s="18" t="inlineStr"/>
      <c r="V1441" s="19" t="inlineStr">
        <is>
          <t>Pendiente</t>
        </is>
      </c>
      <c r="W1441" s="19" t="inlineStr"/>
      <c r="X1441" s="19" t="inlineStr"/>
      <c r="Y1441" s="20" t="n"/>
      <c r="Z1441" s="19" t="inlineStr"/>
      <c r="AA1441" s="18">
        <f>IF(OR(V1441="Aprobada"),R1441,IF(AND(OR(V1441="Aprobada con ajuste",V1441="Rechazada"),W1441&lt;&gt;""),W1441,""))</f>
        <v/>
      </c>
    </row>
    <row r="1442">
      <c r="A1442" s="18" t="inlineStr">
        <is>
          <t>C1441</t>
        </is>
      </c>
      <c r="B1442" s="18" t="inlineStr">
        <is>
          <t>Control interno</t>
        </is>
      </c>
      <c r="C1442" s="18" t="inlineStr">
        <is>
          <t>control_interno</t>
        </is>
      </c>
      <c r="D1442" s="18" t="inlineStr">
        <is>
          <t>auditoria_especial_info</t>
        </is>
      </c>
      <c r="E1442" s="18" t="n">
        <v>0</v>
      </c>
      <c r="F1442" s="18" t="inlineStr">
        <is>
          <t>fecha_aprobacion</t>
        </is>
      </c>
      <c r="G1442" s="18" t="inlineStr">
        <is>
          <t>date</t>
        </is>
      </c>
      <c r="H1442" s="18" t="inlineStr">
        <is>
          <t>Sí</t>
        </is>
      </c>
      <c r="I1442" s="18" t="inlineStr"/>
      <c r="J1442" s="18" t="inlineStr"/>
      <c r="K1442" s="18" t="inlineStr"/>
      <c r="L1442" s="18" t="inlineStr">
        <is>
          <t>No</t>
        </is>
      </c>
      <c r="M1442" s="18" t="inlineStr">
        <is>
          <t>No</t>
        </is>
      </c>
      <c r="N1442" s="18" t="inlineStr"/>
      <c r="O1442" s="18" t="inlineStr"/>
      <c r="P1442" s="18" t="inlineStr"/>
      <c r="Q1442" s="18" t="inlineStr">
        <is>
          <t>Regla estructural</t>
        </is>
      </c>
      <c r="R1442" s="18" t="inlineStr">
        <is>
          <t>Fecha de aprobación.</t>
        </is>
      </c>
      <c r="S1442" s="18" t="inlineStr">
        <is>
          <t>Media</t>
        </is>
      </c>
      <c r="T1442" s="18" t="inlineStr">
        <is>
          <t>Convención de nombre de la columna.</t>
        </is>
      </c>
      <c r="U1442" s="18" t="inlineStr"/>
      <c r="V1442" s="19" t="inlineStr">
        <is>
          <t>Pendiente</t>
        </is>
      </c>
      <c r="W1442" s="19" t="inlineStr"/>
      <c r="X1442" s="19" t="inlineStr"/>
      <c r="Y1442" s="20" t="n"/>
      <c r="Z1442" s="19" t="inlineStr"/>
      <c r="AA1442" s="18">
        <f>IF(OR(V1442="Aprobada"),R1442,IF(AND(OR(V1442="Aprobada con ajuste",V1442="Rechazada"),W1442&lt;&gt;""),W1442,""))</f>
        <v/>
      </c>
    </row>
    <row r="1443">
      <c r="A1443" s="18" t="inlineStr">
        <is>
          <t>C1442</t>
        </is>
      </c>
      <c r="B1443" s="18" t="inlineStr">
        <is>
          <t>Control interno</t>
        </is>
      </c>
      <c r="C1443" s="18" t="inlineStr">
        <is>
          <t>control_interno</t>
        </is>
      </c>
      <c r="D1443" s="18" t="inlineStr">
        <is>
          <t>auditoria_especial_info</t>
        </is>
      </c>
      <c r="E1443" s="18" t="n">
        <v>0</v>
      </c>
      <c r="F1443" s="18" t="inlineStr">
        <is>
          <t>observaciones</t>
        </is>
      </c>
      <c r="G1443" s="18" t="inlineStr">
        <is>
          <t>text</t>
        </is>
      </c>
      <c r="H1443" s="18" t="inlineStr">
        <is>
          <t>Sí</t>
        </is>
      </c>
      <c r="I1443" s="18" t="inlineStr"/>
      <c r="J1443" s="18" t="inlineStr"/>
      <c r="K1443" s="18" t="inlineStr"/>
      <c r="L1443" s="18" t="inlineStr">
        <is>
          <t>No</t>
        </is>
      </c>
      <c r="M1443" s="18" t="inlineStr">
        <is>
          <t>No</t>
        </is>
      </c>
      <c r="N1443" s="18" t="inlineStr"/>
      <c r="O1443" s="18" t="inlineStr"/>
      <c r="P1443" s="18" t="inlineStr"/>
      <c r="Q1443" s="18" t="inlineStr">
        <is>
          <t>Regla estructural</t>
        </is>
      </c>
      <c r="R1443" s="18" t="inlineStr">
        <is>
          <t>Observaciones registradas sobre el registro.</t>
        </is>
      </c>
      <c r="S1443" s="18" t="inlineStr">
        <is>
          <t>Media</t>
        </is>
      </c>
      <c r="T1443" s="18" t="inlineStr">
        <is>
          <t>Convención de nombre de la columna.</t>
        </is>
      </c>
      <c r="U1443" s="18" t="inlineStr"/>
      <c r="V1443" s="19" t="inlineStr">
        <is>
          <t>Pendiente</t>
        </is>
      </c>
      <c r="W1443" s="19" t="inlineStr"/>
      <c r="X1443" s="19" t="inlineStr"/>
      <c r="Y1443" s="20" t="n"/>
      <c r="Z1443" s="19" t="inlineStr"/>
      <c r="AA1443" s="18">
        <f>IF(OR(V1443="Aprobada"),R1443,IF(AND(OR(V1443="Aprobada con ajuste",V1443="Rechazada"),W1443&lt;&gt;""),W1443,""))</f>
        <v/>
      </c>
    </row>
    <row r="1444">
      <c r="A1444" s="18" t="inlineStr">
        <is>
          <t>C1443</t>
        </is>
      </c>
      <c r="B1444" s="18" t="inlineStr">
        <is>
          <t>Control interno</t>
        </is>
      </c>
      <c r="C1444" s="18" t="inlineStr">
        <is>
          <t>control_interno</t>
        </is>
      </c>
      <c r="D1444" s="18" t="inlineStr">
        <is>
          <t>auditoria_gestion</t>
        </is>
      </c>
      <c r="E1444" s="18" t="n">
        <v>0</v>
      </c>
      <c r="F1444" s="18" t="inlineStr">
        <is>
          <t>codigo</t>
        </is>
      </c>
      <c r="G1444" s="18" t="inlineStr">
        <is>
          <t>character varying(255)</t>
        </is>
      </c>
      <c r="H1444" s="18" t="inlineStr">
        <is>
          <t>No</t>
        </is>
      </c>
      <c r="I1444" s="18" t="inlineStr">
        <is>
          <t>Única</t>
        </is>
      </c>
      <c r="J1444" s="18" t="inlineStr"/>
      <c r="K1444" s="18" t="inlineStr"/>
      <c r="L1444" s="18" t="inlineStr">
        <is>
          <t>No</t>
        </is>
      </c>
      <c r="M1444" s="18" t="inlineStr">
        <is>
          <t>No</t>
        </is>
      </c>
      <c r="N1444" s="18" t="inlineStr"/>
      <c r="O1444" s="18" t="inlineStr">
        <is>
          <t>auditoria_gestion_codigo_key, idx_auditoria_gestion_codigo</t>
        </is>
      </c>
      <c r="P1444" s="18" t="inlineStr"/>
      <c r="Q1444" s="18" t="inlineStr">
        <is>
          <t>Regla estructural</t>
        </is>
      </c>
      <c r="R1444" s="18" t="inlineStr">
        <is>
          <t>Código del registro de auditoria_gestion. Único en la tabla.</t>
        </is>
      </c>
      <c r="S1444" s="18" t="inlineStr">
        <is>
          <t>Media</t>
        </is>
      </c>
      <c r="T1444" s="18" t="inlineStr">
        <is>
          <t>Convención de nombre de la columna.</t>
        </is>
      </c>
      <c r="U1444" s="18" t="inlineStr"/>
      <c r="V1444" s="19" t="inlineStr">
        <is>
          <t>Pendiente</t>
        </is>
      </c>
      <c r="W1444" s="19" t="inlineStr"/>
      <c r="X1444" s="19" t="inlineStr"/>
      <c r="Y1444" s="20" t="n"/>
      <c r="Z1444" s="19" t="inlineStr"/>
      <c r="AA1444" s="18">
        <f>IF(OR(V1444="Aprobada"),R1444,IF(AND(OR(V1444="Aprobada con ajuste",V1444="Rechazada"),W1444&lt;&gt;""),W1444,""))</f>
        <v/>
      </c>
    </row>
    <row r="1445">
      <c r="A1445" s="18" t="inlineStr">
        <is>
          <t>C1444</t>
        </is>
      </c>
      <c r="B1445" s="18" t="inlineStr">
        <is>
          <t>Control interno</t>
        </is>
      </c>
      <c r="C1445" s="18" t="inlineStr">
        <is>
          <t>control_interno</t>
        </is>
      </c>
      <c r="D1445" s="18" t="inlineStr">
        <is>
          <t>auditoria_gestion</t>
        </is>
      </c>
      <c r="E1445" s="18" t="n">
        <v>0</v>
      </c>
      <c r="F1445" s="18" t="inlineStr">
        <is>
          <t>nombre</t>
        </is>
      </c>
      <c r="G1445" s="18" t="inlineStr">
        <is>
          <t>character varying(500)</t>
        </is>
      </c>
      <c r="H1445" s="18" t="inlineStr">
        <is>
          <t>No</t>
        </is>
      </c>
      <c r="I1445" s="18" t="inlineStr"/>
      <c r="J1445" s="18" t="inlineStr"/>
      <c r="K1445" s="18" t="inlineStr"/>
      <c r="L1445" s="18" t="inlineStr">
        <is>
          <t>No</t>
        </is>
      </c>
      <c r="M1445" s="18" t="inlineStr">
        <is>
          <t>No</t>
        </is>
      </c>
      <c r="N1445" s="18" t="inlineStr"/>
      <c r="O1445" s="18" t="inlineStr"/>
      <c r="P1445" s="18" t="inlineStr"/>
      <c r="Q1445" s="18" t="inlineStr">
        <is>
          <t>Regla estructural</t>
        </is>
      </c>
      <c r="R1445" s="18" t="inlineStr">
        <is>
          <t>Nombre del registro de auditoria_gestion.</t>
        </is>
      </c>
      <c r="S1445" s="18" t="inlineStr">
        <is>
          <t>Media</t>
        </is>
      </c>
      <c r="T1445" s="18" t="inlineStr">
        <is>
          <t>Convención de nombre de la columna.</t>
        </is>
      </c>
      <c r="U1445" s="18" t="inlineStr"/>
      <c r="V1445" s="19" t="inlineStr">
        <is>
          <t>Pendiente</t>
        </is>
      </c>
      <c r="W1445" s="19" t="inlineStr"/>
      <c r="X1445" s="19" t="inlineStr"/>
      <c r="Y1445" s="20" t="n"/>
      <c r="Z1445" s="19" t="inlineStr"/>
      <c r="AA1445" s="18">
        <f>IF(OR(V1445="Aprobada"),R1445,IF(AND(OR(V1445="Aprobada con ajuste",V1445="Rechazada"),W1445&lt;&gt;""),W1445,""))</f>
        <v/>
      </c>
    </row>
    <row r="1446">
      <c r="A1446" s="18" t="inlineStr">
        <is>
          <t>C1445</t>
        </is>
      </c>
      <c r="B1446" s="18" t="inlineStr">
        <is>
          <t>Control interno</t>
        </is>
      </c>
      <c r="C1446" s="18" t="inlineStr">
        <is>
          <t>control_interno</t>
        </is>
      </c>
      <c r="D1446" s="18" t="inlineStr">
        <is>
          <t>auditoria_gestion</t>
        </is>
      </c>
      <c r="E1446" s="18" t="n">
        <v>0</v>
      </c>
      <c r="F1446" s="18" t="inlineStr">
        <is>
          <t>tipo</t>
        </is>
      </c>
      <c r="G1446" s="18" t="inlineStr">
        <is>
          <t>character varying(100)</t>
        </is>
      </c>
      <c r="H1446" s="18" t="inlineStr">
        <is>
          <t>No</t>
        </is>
      </c>
      <c r="I1446" s="18" t="inlineStr"/>
      <c r="J1446" s="18" t="inlineStr"/>
      <c r="K1446" s="18" t="inlineStr"/>
      <c r="L1446" s="18" t="inlineStr">
        <is>
          <t>No</t>
        </is>
      </c>
      <c r="M1446" s="18" t="inlineStr">
        <is>
          <t>No</t>
        </is>
      </c>
      <c r="N1446" s="18" t="inlineStr"/>
      <c r="O1446" s="18" t="inlineStr">
        <is>
          <t>idx_auditoria_gestion_tipo</t>
        </is>
      </c>
      <c r="P1446" s="18" t="inlineStr"/>
      <c r="Q1446" s="18" t="inlineStr">
        <is>
          <t>Regla estructural</t>
        </is>
      </c>
      <c r="R1446" s="18" t="inlineStr">
        <is>
          <t>Tipo del registro de auditoria_gestion.</t>
        </is>
      </c>
      <c r="S1446" s="18" t="inlineStr">
        <is>
          <t>Media</t>
        </is>
      </c>
      <c r="T1446" s="18" t="inlineStr">
        <is>
          <t>Convención de nombre de la columna.</t>
        </is>
      </c>
      <c r="U1446" s="18" t="inlineStr"/>
      <c r="V1446" s="19" t="inlineStr">
        <is>
          <t>Pendiente</t>
        </is>
      </c>
      <c r="W1446" s="19" t="inlineStr"/>
      <c r="X1446" s="19" t="inlineStr"/>
      <c r="Y1446" s="20" t="n"/>
      <c r="Z1446" s="19" t="inlineStr"/>
      <c r="AA1446" s="18">
        <f>IF(OR(V1446="Aprobada"),R1446,IF(AND(OR(V1446="Aprobada con ajuste",V1446="Rechazada"),W1446&lt;&gt;""),W1446,""))</f>
        <v/>
      </c>
    </row>
    <row r="1447">
      <c r="A1447" s="18" t="inlineStr">
        <is>
          <t>C1446</t>
        </is>
      </c>
      <c r="B1447" s="18" t="inlineStr">
        <is>
          <t>Control interno</t>
        </is>
      </c>
      <c r="C1447" s="18" t="inlineStr">
        <is>
          <t>control_interno</t>
        </is>
      </c>
      <c r="D1447" s="18" t="inlineStr">
        <is>
          <t>auditoria_gestion</t>
        </is>
      </c>
      <c r="E1447" s="18" t="n">
        <v>0</v>
      </c>
      <c r="F1447" s="18" t="inlineStr">
        <is>
          <t>fase</t>
        </is>
      </c>
      <c r="G1447" s="18" t="inlineStr">
        <is>
          <t>character varying(50)</t>
        </is>
      </c>
      <c r="H1447" s="18" t="inlineStr">
        <is>
          <t>No</t>
        </is>
      </c>
      <c r="I1447" s="18" t="inlineStr">
        <is>
          <t>CHECK</t>
        </is>
      </c>
      <c r="J1447" s="18" t="inlineStr">
        <is>
          <t>completada, en-curso, planeacion, revision</t>
        </is>
      </c>
      <c r="K1447" s="18" t="inlineStr"/>
      <c r="L1447" s="18" t="inlineStr">
        <is>
          <t>Sí</t>
        </is>
      </c>
      <c r="M1447" s="18" t="inlineStr">
        <is>
          <t>No</t>
        </is>
      </c>
      <c r="N1447" s="18" t="inlineStr"/>
      <c r="O1447" s="18" t="inlineStr">
        <is>
          <t>idx_auditoria_gestion_fase</t>
        </is>
      </c>
      <c r="P1447" s="18" t="inlineStr"/>
      <c r="Q1447" s="18" t="inlineStr">
        <is>
          <t>Propuesta semántica</t>
        </is>
      </c>
      <c r="R1447" s="18" t="inlineStr">
        <is>
          <t>Fase de gestión de la auditoría. Valores permitidos: planeacion, en-curso, revision, completada; por defecto planeacion.</t>
        </is>
      </c>
      <c r="S1447" s="18" t="inlineStr">
        <is>
          <t>Alta</t>
        </is>
      </c>
      <c r="T1447" s="18" t="inlineStr">
        <is>
          <t>valores permitidos del CHECK + defecto ~</t>
        </is>
      </c>
      <c r="U1447" s="18" t="inlineStr"/>
      <c r="V1447" s="19" t="inlineStr">
        <is>
          <t>Pendiente</t>
        </is>
      </c>
      <c r="W1447" s="19" t="inlineStr"/>
      <c r="X1447" s="19" t="inlineStr"/>
      <c r="Y1447" s="20" t="n"/>
      <c r="Z1447" s="19" t="inlineStr"/>
      <c r="AA1447" s="18">
        <f>IF(OR(V1447="Aprobada"),R1447,IF(AND(OR(V1447="Aprobada con ajuste",V1447="Rechazada"),W1447&lt;&gt;""),W1447,""))</f>
        <v/>
      </c>
    </row>
    <row r="1448">
      <c r="A1448" s="18" t="inlineStr">
        <is>
          <t>C1447</t>
        </is>
      </c>
      <c r="B1448" s="18" t="inlineStr">
        <is>
          <t>Control interno</t>
        </is>
      </c>
      <c r="C1448" s="18" t="inlineStr">
        <is>
          <t>control_interno</t>
        </is>
      </c>
      <c r="D1448" s="18" t="inlineStr">
        <is>
          <t>auditoria_gestion</t>
        </is>
      </c>
      <c r="E1448" s="18" t="n">
        <v>0</v>
      </c>
      <c r="F1448" s="18" t="inlineStr">
        <is>
          <t>territorial</t>
        </is>
      </c>
      <c r="G1448" s="18" t="inlineStr">
        <is>
          <t>character varying(255)</t>
        </is>
      </c>
      <c r="H1448" s="18" t="inlineStr">
        <is>
          <t>Sí</t>
        </is>
      </c>
      <c r="I1448" s="18" t="inlineStr"/>
      <c r="J1448" s="18" t="inlineStr"/>
      <c r="K1448" s="18" t="inlineStr"/>
      <c r="L1448" s="18" t="inlineStr">
        <is>
          <t>No</t>
        </is>
      </c>
      <c r="M1448" s="18" t="inlineStr">
        <is>
          <t>No</t>
        </is>
      </c>
      <c r="N1448" s="18" t="inlineStr"/>
      <c r="O1448" s="18" t="inlineStr"/>
      <c r="P1448" s="18" t="inlineStr"/>
      <c r="Q1448" s="18" t="inlineStr">
        <is>
          <t>Propuesta semántica</t>
        </is>
      </c>
      <c r="R1448" s="18" t="inlineStr">
        <is>
          <t>Dirección territorial donde se realiza la auditoría.</t>
        </is>
      </c>
      <c r="S1448" s="18" t="inlineStr">
        <is>
          <t>Media</t>
        </is>
      </c>
      <c r="T1448" s="18" t="inlineStr">
        <is>
          <t>nombre + columnas vecinas (sede)</t>
        </is>
      </c>
      <c r="U1448" s="18" t="inlineStr">
        <is>
          <t>¿territorial se toma de un catálogo de direcciones territoriales o es texto libre?</t>
        </is>
      </c>
      <c r="V1448" s="19" t="inlineStr">
        <is>
          <t>Pendiente</t>
        </is>
      </c>
      <c r="W1448" s="19" t="inlineStr"/>
      <c r="X1448" s="19" t="inlineStr"/>
      <c r="Y1448" s="20" t="n"/>
      <c r="Z1448" s="19" t="inlineStr"/>
      <c r="AA1448" s="18">
        <f>IF(OR(V1448="Aprobada"),R1448,IF(AND(OR(V1448="Aprobada con ajuste",V1448="Rechazada"),W1448&lt;&gt;""),W1448,""))</f>
        <v/>
      </c>
    </row>
    <row r="1449">
      <c r="A1449" s="18" t="inlineStr">
        <is>
          <t>C1448</t>
        </is>
      </c>
      <c r="B1449" s="18" t="inlineStr">
        <is>
          <t>Control interno</t>
        </is>
      </c>
      <c r="C1449" s="18" t="inlineStr">
        <is>
          <t>control_interno</t>
        </is>
      </c>
      <c r="D1449" s="18" t="inlineStr">
        <is>
          <t>auditoria_gestion</t>
        </is>
      </c>
      <c r="E1449" s="18" t="n">
        <v>0</v>
      </c>
      <c r="F1449" s="18" t="inlineStr">
        <is>
          <t>sede</t>
        </is>
      </c>
      <c r="G1449" s="18" t="inlineStr">
        <is>
          <t>character varying(255)</t>
        </is>
      </c>
      <c r="H1449" s="18" t="inlineStr">
        <is>
          <t>Sí</t>
        </is>
      </c>
      <c r="I1449" s="18" t="inlineStr"/>
      <c r="J1449" s="18" t="inlineStr"/>
      <c r="K1449" s="18" t="inlineStr"/>
      <c r="L1449" s="18" t="inlineStr">
        <is>
          <t>No</t>
        </is>
      </c>
      <c r="M1449" s="18" t="inlineStr">
        <is>
          <t>No</t>
        </is>
      </c>
      <c r="N1449" s="18" t="inlineStr"/>
      <c r="O1449" s="18" t="inlineStr"/>
      <c r="P1449" s="18" t="inlineStr"/>
      <c r="Q1449" s="18" t="inlineStr">
        <is>
          <t>Propuesta semántica</t>
        </is>
      </c>
      <c r="R1449" s="18" t="inlineStr">
        <is>
          <t>Sede donde se realiza la auditoría.</t>
        </is>
      </c>
      <c r="S1449" s="18" t="inlineStr">
        <is>
          <t>Media</t>
        </is>
      </c>
      <c r="T1449" s="18" t="inlineStr">
        <is>
          <t>nombre + columnas vecinas (territorial)</t>
        </is>
      </c>
      <c r="U1449" s="18" t="inlineStr">
        <is>
          <t>¿sede se toma de un catálogo de sedes o es texto libre?</t>
        </is>
      </c>
      <c r="V1449" s="19" t="inlineStr">
        <is>
          <t>Pendiente</t>
        </is>
      </c>
      <c r="W1449" s="19" t="inlineStr"/>
      <c r="X1449" s="19" t="inlineStr"/>
      <c r="Y1449" s="20" t="n"/>
      <c r="Z1449" s="19" t="inlineStr"/>
      <c r="AA1449" s="18">
        <f>IF(OR(V1449="Aprobada"),R1449,IF(AND(OR(V1449="Aprobada con ajuste",V1449="Rechazada"),W1449&lt;&gt;""),W1449,""))</f>
        <v/>
      </c>
    </row>
    <row r="1450">
      <c r="A1450" s="18" t="inlineStr">
        <is>
          <t>C1449</t>
        </is>
      </c>
      <c r="B1450" s="18" t="inlineStr">
        <is>
          <t>Control interno</t>
        </is>
      </c>
      <c r="C1450" s="18" t="inlineStr">
        <is>
          <t>control_interno</t>
        </is>
      </c>
      <c r="D1450" s="18" t="inlineStr">
        <is>
          <t>auditoria_gestion</t>
        </is>
      </c>
      <c r="E1450" s="18" t="n">
        <v>0</v>
      </c>
      <c r="F1450" s="18" t="inlineStr">
        <is>
          <t>responsable</t>
        </is>
      </c>
      <c r="G1450" s="18" t="inlineStr">
        <is>
          <t>character varying(255)</t>
        </is>
      </c>
      <c r="H1450" s="18" t="inlineStr">
        <is>
          <t>No</t>
        </is>
      </c>
      <c r="I1450" s="18" t="inlineStr"/>
      <c r="J1450" s="18" t="inlineStr"/>
      <c r="K1450" s="18" t="inlineStr"/>
      <c r="L1450" s="18" t="inlineStr">
        <is>
          <t>No</t>
        </is>
      </c>
      <c r="M1450" s="18" t="inlineStr">
        <is>
          <t>No</t>
        </is>
      </c>
      <c r="N1450" s="18" t="inlineStr"/>
      <c r="O1450" s="18" t="inlineStr"/>
      <c r="P1450" s="18" t="inlineStr"/>
      <c r="Q1450" s="18" t="inlineStr">
        <is>
          <t>Propuesta semántica</t>
        </is>
      </c>
      <c r="R1450" s="18" t="inlineStr">
        <is>
          <t>Nombre del responsable de la auditoría.</t>
        </is>
      </c>
      <c r="S1450" s="18" t="inlineStr">
        <is>
          <t>Media</t>
        </is>
      </c>
      <c r="T1450" s="18" t="inlineStr">
        <is>
          <t>nombre + tipo</t>
        </is>
      </c>
      <c r="U1450" s="18" t="inlineStr">
        <is>
          <t>¿responsable guarda el nombre, el correo o el identificador del usuario?</t>
        </is>
      </c>
      <c r="V1450" s="19" t="inlineStr">
        <is>
          <t>Pendiente</t>
        </is>
      </c>
      <c r="W1450" s="19" t="inlineStr"/>
      <c r="X1450" s="19" t="inlineStr"/>
      <c r="Y1450" s="20" t="n"/>
      <c r="Z1450" s="19" t="inlineStr"/>
      <c r="AA1450" s="18">
        <f>IF(OR(V1450="Aprobada"),R1450,IF(AND(OR(V1450="Aprobada con ajuste",V1450="Rechazada"),W1450&lt;&gt;""),W1450,""))</f>
        <v/>
      </c>
    </row>
    <row r="1451">
      <c r="A1451" s="18" t="inlineStr">
        <is>
          <t>C1450</t>
        </is>
      </c>
      <c r="B1451" s="18" t="inlineStr">
        <is>
          <t>Control interno</t>
        </is>
      </c>
      <c r="C1451" s="18" t="inlineStr">
        <is>
          <t>control_interno</t>
        </is>
      </c>
      <c r="D1451" s="18" t="inlineStr">
        <is>
          <t>auditoria_gestion</t>
        </is>
      </c>
      <c r="E1451" s="18" t="n">
        <v>0</v>
      </c>
      <c r="F1451" s="18" t="inlineStr">
        <is>
          <t>fecha_inicio</t>
        </is>
      </c>
      <c r="G1451" s="18" t="inlineStr">
        <is>
          <t>date</t>
        </is>
      </c>
      <c r="H1451" s="18" t="inlineStr">
        <is>
          <t>No</t>
        </is>
      </c>
      <c r="I1451" s="18" t="inlineStr"/>
      <c r="J1451" s="18" t="inlineStr"/>
      <c r="K1451" s="18" t="inlineStr"/>
      <c r="L1451" s="18" t="inlineStr">
        <is>
          <t>No</t>
        </is>
      </c>
      <c r="M1451" s="18" t="inlineStr">
        <is>
          <t>No</t>
        </is>
      </c>
      <c r="N1451" s="18" t="inlineStr"/>
      <c r="O1451" s="18" t="inlineStr"/>
      <c r="P1451" s="18" t="inlineStr"/>
      <c r="Q1451" s="18" t="inlineStr">
        <is>
          <t>Regla estructural</t>
        </is>
      </c>
      <c r="R1451" s="18" t="inlineStr">
        <is>
          <t>Fecha de inicio.</t>
        </is>
      </c>
      <c r="S1451" s="18" t="inlineStr">
        <is>
          <t>Media</t>
        </is>
      </c>
      <c r="T1451" s="18" t="inlineStr">
        <is>
          <t>Convención de nombre de la columna.</t>
        </is>
      </c>
      <c r="U1451" s="18" t="inlineStr"/>
      <c r="V1451" s="19" t="inlineStr">
        <is>
          <t>Pendiente</t>
        </is>
      </c>
      <c r="W1451" s="19" t="inlineStr"/>
      <c r="X1451" s="19" t="inlineStr"/>
      <c r="Y1451" s="20" t="n"/>
      <c r="Z1451" s="19" t="inlineStr"/>
      <c r="AA1451" s="18">
        <f>IF(OR(V1451="Aprobada"),R1451,IF(AND(OR(V1451="Aprobada con ajuste",V1451="Rechazada"),W1451&lt;&gt;""),W1451,""))</f>
        <v/>
      </c>
    </row>
    <row r="1452">
      <c r="A1452" s="18" t="inlineStr">
        <is>
          <t>C1451</t>
        </is>
      </c>
      <c r="B1452" s="18" t="inlineStr">
        <is>
          <t>Control interno</t>
        </is>
      </c>
      <c r="C1452" s="18" t="inlineStr">
        <is>
          <t>control_interno</t>
        </is>
      </c>
      <c r="D1452" s="18" t="inlineStr">
        <is>
          <t>auditoria_gestion</t>
        </is>
      </c>
      <c r="E1452" s="18" t="n">
        <v>0</v>
      </c>
      <c r="F1452" s="18" t="inlineStr">
        <is>
          <t>fecha_fin</t>
        </is>
      </c>
      <c r="G1452" s="18" t="inlineStr">
        <is>
          <t>date</t>
        </is>
      </c>
      <c r="H1452" s="18" t="inlineStr">
        <is>
          <t>No</t>
        </is>
      </c>
      <c r="I1452" s="18" t="inlineStr"/>
      <c r="J1452" s="18" t="inlineStr"/>
      <c r="K1452" s="18" t="inlineStr"/>
      <c r="L1452" s="18" t="inlineStr">
        <is>
          <t>No</t>
        </is>
      </c>
      <c r="M1452" s="18" t="inlineStr">
        <is>
          <t>No</t>
        </is>
      </c>
      <c r="N1452" s="18" t="inlineStr"/>
      <c r="O1452" s="18" t="inlineStr"/>
      <c r="P1452" s="18" t="inlineStr"/>
      <c r="Q1452" s="18" t="inlineStr">
        <is>
          <t>Regla estructural</t>
        </is>
      </c>
      <c r="R1452" s="18" t="inlineStr">
        <is>
          <t>Fecha de finalización.</t>
        </is>
      </c>
      <c r="S1452" s="18" t="inlineStr">
        <is>
          <t>Media</t>
        </is>
      </c>
      <c r="T1452" s="18" t="inlineStr">
        <is>
          <t>Convención de nombre de la columna.</t>
        </is>
      </c>
      <c r="U1452" s="18" t="inlineStr"/>
      <c r="V1452" s="19" t="inlineStr">
        <is>
          <t>Pendiente</t>
        </is>
      </c>
      <c r="W1452" s="19" t="inlineStr"/>
      <c r="X1452" s="19" t="inlineStr"/>
      <c r="Y1452" s="20" t="n"/>
      <c r="Z1452" s="19" t="inlineStr"/>
      <c r="AA1452" s="18">
        <f>IF(OR(V1452="Aprobada"),R1452,IF(AND(OR(V1452="Aprobada con ajuste",V1452="Rechazada"),W1452&lt;&gt;""),W1452,""))</f>
        <v/>
      </c>
    </row>
    <row r="1453">
      <c r="A1453" s="18" t="inlineStr">
        <is>
          <t>C1452</t>
        </is>
      </c>
      <c r="B1453" s="18" t="inlineStr">
        <is>
          <t>Control interno</t>
        </is>
      </c>
      <c r="C1453" s="18" t="inlineStr">
        <is>
          <t>control_interno</t>
        </is>
      </c>
      <c r="D1453" s="18" t="inlineStr">
        <is>
          <t>auditoria_gestion</t>
        </is>
      </c>
      <c r="E1453" s="18" t="n">
        <v>0</v>
      </c>
      <c r="F1453" s="18" t="inlineStr">
        <is>
          <t>progreso</t>
        </is>
      </c>
      <c r="G1453" s="18" t="inlineStr">
        <is>
          <t>integer</t>
        </is>
      </c>
      <c r="H1453" s="18" t="inlineStr">
        <is>
          <t>Sí</t>
        </is>
      </c>
      <c r="I1453" s="18" t="inlineStr">
        <is>
          <t>CHECK</t>
        </is>
      </c>
      <c r="J1453" s="18" t="inlineStr"/>
      <c r="K1453" s="18" t="inlineStr"/>
      <c r="L1453" s="18" t="inlineStr">
        <is>
          <t>No</t>
        </is>
      </c>
      <c r="M1453" s="18" t="inlineStr">
        <is>
          <t>No</t>
        </is>
      </c>
      <c r="N1453" s="18" t="inlineStr"/>
      <c r="O1453" s="18" t="inlineStr"/>
      <c r="P1453" s="18" t="inlineStr"/>
      <c r="Q1453" s="18" t="inlineStr">
        <is>
          <t>Propuesta semántica</t>
        </is>
      </c>
      <c r="R1453" s="18" t="inlineStr">
        <is>
          <t>Porcentaje de progreso de la auditoría.</t>
        </is>
      </c>
      <c r="S1453" s="18" t="inlineStr">
        <is>
          <t>Media</t>
        </is>
      </c>
      <c r="T1453" s="18" t="inlineStr">
        <is>
          <t>nombre + tipo + defecto 0</t>
        </is>
      </c>
      <c r="U1453" s="18" t="inlineStr">
        <is>
          <t>¿progreso se expresa de 0 a 100?</t>
        </is>
      </c>
      <c r="V1453" s="19" t="inlineStr">
        <is>
          <t>Pendiente</t>
        </is>
      </c>
      <c r="W1453" s="19" t="inlineStr"/>
      <c r="X1453" s="19" t="inlineStr"/>
      <c r="Y1453" s="20" t="n"/>
      <c r="Z1453" s="19" t="inlineStr"/>
      <c r="AA1453" s="18">
        <f>IF(OR(V1453="Aprobada"),R1453,IF(AND(OR(V1453="Aprobada con ajuste",V1453="Rechazada"),W1453&lt;&gt;""),W1453,""))</f>
        <v/>
      </c>
    </row>
    <row r="1454">
      <c r="A1454" s="18" t="inlineStr">
        <is>
          <t>C1453</t>
        </is>
      </c>
      <c r="B1454" s="18" t="inlineStr">
        <is>
          <t>Control interno</t>
        </is>
      </c>
      <c r="C1454" s="18" t="inlineStr">
        <is>
          <t>control_interno</t>
        </is>
      </c>
      <c r="D1454" s="18" t="inlineStr">
        <is>
          <t>auditoria_gestion</t>
        </is>
      </c>
      <c r="E1454" s="18" t="n">
        <v>0</v>
      </c>
      <c r="F1454" s="18" t="inlineStr">
        <is>
          <t>prioridad</t>
        </is>
      </c>
      <c r="G1454" s="18" t="inlineStr">
        <is>
          <t>character varying(20)</t>
        </is>
      </c>
      <c r="H1454" s="18" t="inlineStr">
        <is>
          <t>No</t>
        </is>
      </c>
      <c r="I1454" s="18" t="inlineStr">
        <is>
          <t>CHECK</t>
        </is>
      </c>
      <c r="J1454" s="18" t="inlineStr">
        <is>
          <t>Alta, Baja, Media</t>
        </is>
      </c>
      <c r="K1454" s="18" t="inlineStr"/>
      <c r="L1454" s="18" t="inlineStr">
        <is>
          <t>Sí</t>
        </is>
      </c>
      <c r="M1454" s="18" t="inlineStr">
        <is>
          <t>No</t>
        </is>
      </c>
      <c r="N1454" s="18" t="inlineStr"/>
      <c r="O1454" s="18" t="inlineStr"/>
      <c r="P1454" s="18" t="inlineStr"/>
      <c r="Q1454" s="18" t="inlineStr">
        <is>
          <t>Propuesta semántica</t>
        </is>
      </c>
      <c r="R1454" s="18" t="inlineStr">
        <is>
          <t>Prioridad de la auditoría. Valores permitidos: Alta, Media, Baja; por defecto Media.</t>
        </is>
      </c>
      <c r="S1454" s="18" t="inlineStr">
        <is>
          <t>Alta</t>
        </is>
      </c>
      <c r="T1454" s="18" t="inlineStr">
        <is>
          <t>valores permitidos del CHECK + defecto ~</t>
        </is>
      </c>
      <c r="U1454" s="18" t="inlineStr"/>
      <c r="V1454" s="19" t="inlineStr">
        <is>
          <t>Pendiente</t>
        </is>
      </c>
      <c r="W1454" s="19" t="inlineStr"/>
      <c r="X1454" s="19" t="inlineStr"/>
      <c r="Y1454" s="20" t="n"/>
      <c r="Z1454" s="19" t="inlineStr"/>
      <c r="AA1454" s="18">
        <f>IF(OR(V1454="Aprobada"),R1454,IF(AND(OR(V1454="Aprobada con ajuste",V1454="Rechazada"),W1454&lt;&gt;""),W1454,""))</f>
        <v/>
      </c>
    </row>
    <row r="1455">
      <c r="A1455" s="18" t="inlineStr">
        <is>
          <t>C1454</t>
        </is>
      </c>
      <c r="B1455" s="18" t="inlineStr">
        <is>
          <t>Control interno</t>
        </is>
      </c>
      <c r="C1455" s="18" t="inlineStr">
        <is>
          <t>control_interno</t>
        </is>
      </c>
      <c r="D1455" s="18" t="inlineStr">
        <is>
          <t>auditoria_gestion</t>
        </is>
      </c>
      <c r="E1455" s="18" t="n">
        <v>0</v>
      </c>
      <c r="F1455" s="18" t="inlineStr">
        <is>
          <t>hallazgos_count</t>
        </is>
      </c>
      <c r="G1455" s="18" t="inlineStr">
        <is>
          <t>integer</t>
        </is>
      </c>
      <c r="H1455" s="18" t="inlineStr">
        <is>
          <t>Sí</t>
        </is>
      </c>
      <c r="I1455" s="18" t="inlineStr"/>
      <c r="J1455" s="18" t="inlineStr"/>
      <c r="K1455" s="18" t="inlineStr"/>
      <c r="L1455" s="18" t="inlineStr">
        <is>
          <t>No</t>
        </is>
      </c>
      <c r="M1455" s="18" t="inlineStr">
        <is>
          <t>No</t>
        </is>
      </c>
      <c r="N1455" s="18" t="inlineStr"/>
      <c r="O1455" s="18" t="inlineStr"/>
      <c r="P1455" s="18" t="inlineStr"/>
      <c r="Q1455" s="18" t="inlineStr">
        <is>
          <t>Propuesta semántica</t>
        </is>
      </c>
      <c r="R1455" s="18" t="inlineStr">
        <is>
          <t>Número de hallazgos registrados en la auditoría.</t>
        </is>
      </c>
      <c r="S1455" s="18" t="inlineStr">
        <is>
          <t>Media</t>
        </is>
      </c>
      <c r="T1455" s="18" t="inlineStr">
        <is>
          <t>nombre + tipo + defecto 0</t>
        </is>
      </c>
      <c r="U1455" s="18" t="inlineStr">
        <is>
          <t>¿hallazgos_count se actualiza automáticamente o a mano?</t>
        </is>
      </c>
      <c r="V1455" s="19" t="inlineStr">
        <is>
          <t>Pendiente</t>
        </is>
      </c>
      <c r="W1455" s="19" t="inlineStr"/>
      <c r="X1455" s="19" t="inlineStr"/>
      <c r="Y1455" s="20" t="n"/>
      <c r="Z1455" s="19" t="inlineStr"/>
      <c r="AA1455" s="18">
        <f>IF(OR(V1455="Aprobada"),R1455,IF(AND(OR(V1455="Aprobada con ajuste",V1455="Rechazada"),W1455&lt;&gt;""),W1455,""))</f>
        <v/>
      </c>
    </row>
    <row r="1456">
      <c r="A1456" s="18" t="inlineStr">
        <is>
          <t>C1455</t>
        </is>
      </c>
      <c r="B1456" s="18" t="inlineStr">
        <is>
          <t>Control interno</t>
        </is>
      </c>
      <c r="C1456" s="18" t="inlineStr">
        <is>
          <t>control_interno</t>
        </is>
      </c>
      <c r="D1456" s="18" t="inlineStr">
        <is>
          <t>auditoria_programada</t>
        </is>
      </c>
      <c r="E1456" s="18" t="n">
        <v>0</v>
      </c>
      <c r="F1456" s="18" t="inlineStr">
        <is>
          <t>codigo</t>
        </is>
      </c>
      <c r="G1456" s="18" t="inlineStr">
        <is>
          <t>character varying(255)</t>
        </is>
      </c>
      <c r="H1456" s="18" t="inlineStr">
        <is>
          <t>No</t>
        </is>
      </c>
      <c r="I1456" s="18" t="inlineStr">
        <is>
          <t>Única</t>
        </is>
      </c>
      <c r="J1456" s="18" t="inlineStr"/>
      <c r="K1456" s="18" t="inlineStr"/>
      <c r="L1456" s="18" t="inlineStr">
        <is>
          <t>No</t>
        </is>
      </c>
      <c r="M1456" s="18" t="inlineStr">
        <is>
          <t>No</t>
        </is>
      </c>
      <c r="N1456" s="18" t="inlineStr"/>
      <c r="O1456" s="18" t="inlineStr">
        <is>
          <t>auditoria_programada_codigo_key</t>
        </is>
      </c>
      <c r="P1456" s="18" t="inlineStr">
        <is>
          <t>Mapeada en internal-institutional-control-service/src/esap/programa-anual/entities/auditoria-programada.entity.ts:49 (AuditoriaProgramada.codigo) | Validación: IsNotEmpty, IsOptional, IsString, Length(1, 50), MaxLength(80)</t>
        </is>
      </c>
      <c r="Q1456" s="18" t="inlineStr">
        <is>
          <t>Regla estructural</t>
        </is>
      </c>
      <c r="R1456" s="18" t="inlineStr">
        <is>
          <t>Código del registro de auditoria_programada. Único en la tabla.</t>
        </is>
      </c>
      <c r="S1456" s="18" t="inlineStr">
        <is>
          <t>Media</t>
        </is>
      </c>
      <c r="T1456" s="18" t="inlineStr">
        <is>
          <t>Convención de nombre de la columna.</t>
        </is>
      </c>
      <c r="U1456" s="18" t="inlineStr"/>
      <c r="V1456" s="19" t="inlineStr">
        <is>
          <t>Pendiente</t>
        </is>
      </c>
      <c r="W1456" s="19" t="inlineStr"/>
      <c r="X1456" s="19" t="inlineStr"/>
      <c r="Y1456" s="20" t="n"/>
      <c r="Z1456" s="19" t="inlineStr"/>
      <c r="AA1456" s="18">
        <f>IF(OR(V1456="Aprobada"),R1456,IF(AND(OR(V1456="Aprobada con ajuste",V1456="Rechazada"),W1456&lt;&gt;""),W1456,""))</f>
        <v/>
      </c>
    </row>
    <row r="1457">
      <c r="A1457" s="18" t="inlineStr">
        <is>
          <t>C1456</t>
        </is>
      </c>
      <c r="B1457" s="18" t="inlineStr">
        <is>
          <t>Control interno</t>
        </is>
      </c>
      <c r="C1457" s="18" t="inlineStr">
        <is>
          <t>control_interno</t>
        </is>
      </c>
      <c r="D1457" s="18" t="inlineStr">
        <is>
          <t>auditoria_programada</t>
        </is>
      </c>
      <c r="E1457" s="18" t="n">
        <v>0</v>
      </c>
      <c r="F1457" s="18" t="inlineStr">
        <is>
          <t>nombre</t>
        </is>
      </c>
      <c r="G1457" s="18" t="inlineStr">
        <is>
          <t>character varying(255)</t>
        </is>
      </c>
      <c r="H1457" s="18" t="inlineStr">
        <is>
          <t>No</t>
        </is>
      </c>
      <c r="I1457" s="18" t="inlineStr"/>
      <c r="J1457" s="18" t="inlineStr"/>
      <c r="K1457" s="18" t="inlineStr"/>
      <c r="L1457" s="18" t="inlineStr">
        <is>
          <t>No</t>
        </is>
      </c>
      <c r="M1457" s="18" t="inlineStr">
        <is>
          <t>No</t>
        </is>
      </c>
      <c r="N1457" s="18" t="inlineStr"/>
      <c r="O1457" s="18" t="inlineStr"/>
      <c r="P1457" s="18" t="inlineStr">
        <is>
          <t>Mapeada en internal-institutional-control-service/src/esap/programa-anual/entities/auditoria-programada.entity.ts:52 (AuditoriaProgramada.nombre) | Validación: IsNotEmpty, IsNotEmpty({ message: 'El nombre del documento es obligatorio' }), IsOptional, IsString, Length(1, 500), MaxLength(120)</t>
        </is>
      </c>
      <c r="Q1457" s="18" t="inlineStr">
        <is>
          <t>Regla estructural</t>
        </is>
      </c>
      <c r="R1457" s="18" t="inlineStr">
        <is>
          <t>Nombre del registro de auditoria_programada.</t>
        </is>
      </c>
      <c r="S1457" s="18" t="inlineStr">
        <is>
          <t>Media</t>
        </is>
      </c>
      <c r="T1457" s="18" t="inlineStr">
        <is>
          <t>Convención de nombre de la columna.</t>
        </is>
      </c>
      <c r="U1457" s="18" t="inlineStr"/>
      <c r="V1457" s="19" t="inlineStr">
        <is>
          <t>Pendiente</t>
        </is>
      </c>
      <c r="W1457" s="19" t="inlineStr"/>
      <c r="X1457" s="19" t="inlineStr"/>
      <c r="Y1457" s="20" t="n"/>
      <c r="Z1457" s="19" t="inlineStr"/>
      <c r="AA1457" s="18">
        <f>IF(OR(V1457="Aprobada"),R1457,IF(AND(OR(V1457="Aprobada con ajuste",V1457="Rechazada"),W1457&lt;&gt;""),W1457,""))</f>
        <v/>
      </c>
    </row>
    <row r="1458">
      <c r="A1458" s="18" t="inlineStr">
        <is>
          <t>C1457</t>
        </is>
      </c>
      <c r="B1458" s="18" t="inlineStr">
        <is>
          <t>Control interno</t>
        </is>
      </c>
      <c r="C1458" s="18" t="inlineStr">
        <is>
          <t>control_interno</t>
        </is>
      </c>
      <c r="D1458" s="18" t="inlineStr">
        <is>
          <t>auditoria_programada</t>
        </is>
      </c>
      <c r="E1458" s="18" t="n">
        <v>0</v>
      </c>
      <c r="F1458" s="18" t="inlineStr">
        <is>
          <t>proceso_codigo</t>
        </is>
      </c>
      <c r="G1458" s="18" t="inlineStr">
        <is>
          <t>character varying(255)</t>
        </is>
      </c>
      <c r="H1458" s="18" t="inlineStr">
        <is>
          <t>No</t>
        </is>
      </c>
      <c r="I1458" s="18" t="inlineStr"/>
      <c r="J1458" s="18" t="inlineStr"/>
      <c r="K1458" s="18" t="inlineStr"/>
      <c r="L1458" s="18" t="inlineStr">
        <is>
          <t>No</t>
        </is>
      </c>
      <c r="M1458" s="18" t="inlineStr">
        <is>
          <t>No</t>
        </is>
      </c>
      <c r="N1458" s="18" t="inlineStr"/>
      <c r="O1458" s="18" t="inlineStr"/>
      <c r="P1458" s="18" t="inlineStr">
        <is>
          <t>Mapeada en internal-institutional-control-service/src/esap/programa-anual/entities/auditoria-programada.entity.ts:62 (AuditoriaProgramada.procesoCodigo) | Validación: IsNotEmpty, IsString</t>
        </is>
      </c>
      <c r="Q1458" s="18" t="inlineStr">
        <is>
          <t>Propuesta semántica</t>
        </is>
      </c>
      <c r="R1458" s="18" t="inlineStr">
        <is>
          <t>Código del proceso que se audita, copiado del proceso de referencia.</t>
        </is>
      </c>
      <c r="S1458" s="18" t="inlineStr">
        <is>
          <t>Media</t>
        </is>
      </c>
      <c r="T1458" s="18" t="inlineStr">
        <is>
          <t>nombre + columnas vecinas (proceso_id, proceso_nombre)</t>
        </is>
      </c>
      <c r="U1458" s="18" t="inlineStr">
        <is>
          <t>¿proceso_codigo se copia del proceso referido por proceso_id al programar la auditoría?</t>
        </is>
      </c>
      <c r="V1458" s="19" t="inlineStr">
        <is>
          <t>Pendiente</t>
        </is>
      </c>
      <c r="W1458" s="19" t="inlineStr"/>
      <c r="X1458" s="19" t="inlineStr"/>
      <c r="Y1458" s="20" t="n"/>
      <c r="Z1458" s="19" t="inlineStr"/>
      <c r="AA1458" s="18">
        <f>IF(OR(V1458="Aprobada"),R1458,IF(AND(OR(V1458="Aprobada con ajuste",V1458="Rechazada"),W1458&lt;&gt;""),W1458,""))</f>
        <v/>
      </c>
    </row>
    <row r="1459">
      <c r="A1459" s="18" t="inlineStr">
        <is>
          <t>C1458</t>
        </is>
      </c>
      <c r="B1459" s="18" t="inlineStr">
        <is>
          <t>Control interno</t>
        </is>
      </c>
      <c r="C1459" s="18" t="inlineStr">
        <is>
          <t>control_interno</t>
        </is>
      </c>
      <c r="D1459" s="18" t="inlineStr">
        <is>
          <t>auditoria_programada</t>
        </is>
      </c>
      <c r="E1459" s="18" t="n">
        <v>0</v>
      </c>
      <c r="F1459" s="18" t="inlineStr">
        <is>
          <t>proceso_nombre</t>
        </is>
      </c>
      <c r="G1459" s="18" t="inlineStr">
        <is>
          <t>character varying(255)</t>
        </is>
      </c>
      <c r="H1459" s="18" t="inlineStr">
        <is>
          <t>No</t>
        </is>
      </c>
      <c r="I1459" s="18" t="inlineStr"/>
      <c r="J1459" s="18" t="inlineStr"/>
      <c r="K1459" s="18" t="inlineStr"/>
      <c r="L1459" s="18" t="inlineStr">
        <is>
          <t>No</t>
        </is>
      </c>
      <c r="M1459" s="18" t="inlineStr">
        <is>
          <t>No</t>
        </is>
      </c>
      <c r="N1459" s="18" t="inlineStr"/>
      <c r="O1459" s="18" t="inlineStr"/>
      <c r="P1459" s="18" t="inlineStr">
        <is>
          <t>Mapeada en internal-institutional-control-service/src/esap/programa-anual/entities/auditoria-programada.entity.ts:65 (AuditoriaProgramada.procesoNombre) | Validación: IsNotEmpty, IsString</t>
        </is>
      </c>
      <c r="Q1459" s="18" t="inlineStr">
        <is>
          <t>Propuesta semántica</t>
        </is>
      </c>
      <c r="R1459" s="18" t="inlineStr">
        <is>
          <t>Nombre del proceso que se audita, copiado del proceso de referencia.</t>
        </is>
      </c>
      <c r="S1459" s="18" t="inlineStr">
        <is>
          <t>Media</t>
        </is>
      </c>
      <c r="T1459" s="18" t="inlineStr">
        <is>
          <t>nombre + columnas vecinas (proceso_id, proceso_codigo)</t>
        </is>
      </c>
      <c r="U1459" s="18" t="inlineStr">
        <is>
          <t>¿proceso_nombre se copia del proceso referido por proceso_id?</t>
        </is>
      </c>
      <c r="V1459" s="19" t="inlineStr">
        <is>
          <t>Pendiente</t>
        </is>
      </c>
      <c r="W1459" s="19" t="inlineStr"/>
      <c r="X1459" s="19" t="inlineStr"/>
      <c r="Y1459" s="20" t="n"/>
      <c r="Z1459" s="19" t="inlineStr"/>
      <c r="AA1459" s="18">
        <f>IF(OR(V1459="Aprobada"),R1459,IF(AND(OR(V1459="Aprobada con ajuste",V1459="Rechazada"),W1459&lt;&gt;""),W1459,""))</f>
        <v/>
      </c>
    </row>
    <row r="1460">
      <c r="A1460" s="18" t="inlineStr">
        <is>
          <t>C1459</t>
        </is>
      </c>
      <c r="B1460" s="18" t="inlineStr">
        <is>
          <t>Control interno</t>
        </is>
      </c>
      <c r="C1460" s="18" t="inlineStr">
        <is>
          <t>control_interno</t>
        </is>
      </c>
      <c r="D1460" s="18" t="inlineStr">
        <is>
          <t>auditoria_programada</t>
        </is>
      </c>
      <c r="E1460" s="18" t="n">
        <v>0</v>
      </c>
      <c r="F1460" s="18" t="inlineStr">
        <is>
          <t>tipo</t>
        </is>
      </c>
      <c r="G1460" s="18" t="inlineStr">
        <is>
          <t>character varying(50)</t>
        </is>
      </c>
      <c r="H1460" s="18" t="inlineStr">
        <is>
          <t>No</t>
        </is>
      </c>
      <c r="I1460" s="18" t="inlineStr">
        <is>
          <t>CHECK</t>
        </is>
      </c>
      <c r="J1460" s="18" t="inlineStr">
        <is>
          <t>cumplimiento, desempeno, financiera, gestion, tic</t>
        </is>
      </c>
      <c r="K1460" s="18" t="inlineStr"/>
      <c r="L1460" s="18" t="inlineStr">
        <is>
          <t>Sí</t>
        </is>
      </c>
      <c r="M1460" s="18" t="inlineStr">
        <is>
          <t>No</t>
        </is>
      </c>
      <c r="N1460" s="18" t="inlineStr"/>
      <c r="O1460" s="18" t="inlineStr">
        <is>
          <t>idx_auditoria_programada_tipo</t>
        </is>
      </c>
      <c r="P1460" s="18" t="inlineStr">
        <is>
          <t>Mapeada en internal-institutional-control-service/src/esap/programa-anual/entities/auditoria-programada.entity.ts:68 (AuditoriaProgramada.tipo)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460" s="18" t="inlineStr">
        <is>
          <t>Regla estructural</t>
        </is>
      </c>
      <c r="R1460" s="18" t="inlineStr">
        <is>
          <t>Tipo del registro de auditoria_programada.</t>
        </is>
      </c>
      <c r="S1460" s="18" t="inlineStr">
        <is>
          <t>Media</t>
        </is>
      </c>
      <c r="T1460" s="18" t="inlineStr">
        <is>
          <t>Convención de nombre de la columna.</t>
        </is>
      </c>
      <c r="U1460" s="18" t="inlineStr"/>
      <c r="V1460" s="19" t="inlineStr">
        <is>
          <t>Pendiente</t>
        </is>
      </c>
      <c r="W1460" s="19" t="inlineStr"/>
      <c r="X1460" s="19" t="inlineStr"/>
      <c r="Y1460" s="20" t="n"/>
      <c r="Z1460" s="19" t="inlineStr"/>
      <c r="AA1460" s="18">
        <f>IF(OR(V1460="Aprobada"),R1460,IF(AND(OR(V1460="Aprobada con ajuste",V1460="Rechazada"),W1460&lt;&gt;""),W1460,""))</f>
        <v/>
      </c>
    </row>
    <row r="1461">
      <c r="A1461" s="18" t="inlineStr">
        <is>
          <t>C1460</t>
        </is>
      </c>
      <c r="B1461" s="18" t="inlineStr">
        <is>
          <t>Control interno</t>
        </is>
      </c>
      <c r="C1461" s="18" t="inlineStr">
        <is>
          <t>control_interno</t>
        </is>
      </c>
      <c r="D1461" s="18" t="inlineStr">
        <is>
          <t>auditoria_programada</t>
        </is>
      </c>
      <c r="E1461" s="18" t="n">
        <v>0</v>
      </c>
      <c r="F1461" s="18" t="inlineStr">
        <is>
          <t>alcance</t>
        </is>
      </c>
      <c r="G1461" s="18" t="inlineStr">
        <is>
          <t>text</t>
        </is>
      </c>
      <c r="H1461" s="18" t="inlineStr">
        <is>
          <t>No</t>
        </is>
      </c>
      <c r="I1461" s="18" t="inlineStr"/>
      <c r="J1461" s="18" t="inlineStr"/>
      <c r="K1461" s="18" t="inlineStr"/>
      <c r="L1461" s="18" t="inlineStr">
        <is>
          <t>No</t>
        </is>
      </c>
      <c r="M1461" s="18" t="inlineStr">
        <is>
          <t>No</t>
        </is>
      </c>
      <c r="N1461" s="18" t="inlineStr"/>
      <c r="O1461" s="18" t="inlineStr"/>
      <c r="P1461" s="18" t="inlineStr">
        <is>
          <t>Mapeada en internal-institutional-control-service/src/esap/programa-anual/entities/auditoria-programada.entity.ts:75 (AuditoriaProgramada.alcance) | Validación: IsNotEmpty, IsOptional, IsString</t>
        </is>
      </c>
      <c r="Q1461" s="18" t="inlineStr">
        <is>
          <t>Propuesta semántica</t>
        </is>
      </c>
      <c r="R1461" s="18" t="inlineStr">
        <is>
          <t>Alcance de la auditoría programada.</t>
        </is>
      </c>
      <c r="S1461" s="18" t="inlineStr">
        <is>
          <t>Alta</t>
        </is>
      </c>
      <c r="T1461" s="18" t="inlineStr">
        <is>
          <t>nombre + tipo ~</t>
        </is>
      </c>
      <c r="U1461" s="18" t="inlineStr"/>
      <c r="V1461" s="19" t="inlineStr">
        <is>
          <t>Pendiente</t>
        </is>
      </c>
      <c r="W1461" s="19" t="inlineStr"/>
      <c r="X1461" s="19" t="inlineStr"/>
      <c r="Y1461" s="20" t="n"/>
      <c r="Z1461" s="19" t="inlineStr"/>
      <c r="AA1461" s="18">
        <f>IF(OR(V1461="Aprobada"),R1461,IF(AND(OR(V1461="Aprobada con ajuste",V1461="Rechazada"),W1461&lt;&gt;""),W1461,""))</f>
        <v/>
      </c>
    </row>
    <row r="1462">
      <c r="A1462" s="18" t="inlineStr">
        <is>
          <t>C1461</t>
        </is>
      </c>
      <c r="B1462" s="18" t="inlineStr">
        <is>
          <t>Control interno</t>
        </is>
      </c>
      <c r="C1462" s="18" t="inlineStr">
        <is>
          <t>control_interno</t>
        </is>
      </c>
      <c r="D1462" s="18" t="inlineStr">
        <is>
          <t>auditoria_programada</t>
        </is>
      </c>
      <c r="E1462" s="18" t="n">
        <v>0</v>
      </c>
      <c r="F1462" s="18" t="inlineStr">
        <is>
          <t>proceso_auditar</t>
        </is>
      </c>
      <c r="G1462" s="18" t="inlineStr">
        <is>
          <t>character varying(255)</t>
        </is>
      </c>
      <c r="H1462" s="18" t="inlineStr">
        <is>
          <t>No</t>
        </is>
      </c>
      <c r="I1462" s="18" t="inlineStr"/>
      <c r="J1462" s="18" t="inlineStr"/>
      <c r="K1462" s="18" t="inlineStr"/>
      <c r="L1462" s="18" t="inlineStr">
        <is>
          <t>No</t>
        </is>
      </c>
      <c r="M1462" s="18" t="inlineStr">
        <is>
          <t>No</t>
        </is>
      </c>
      <c r="N1462" s="18" t="inlineStr"/>
      <c r="O1462" s="18" t="inlineStr"/>
      <c r="P1462" s="18" t="inlineStr">
        <is>
          <t>Mapeada en internal-institutional-control-service/src/esap/programa-anual/entities/auditoria-programada.entity.ts:78 (AuditoriaProgramada.procesoAuditar) | Validación: IsNotEmpty, IsOptional, IsString</t>
        </is>
      </c>
      <c r="Q1462" s="18" t="inlineStr">
        <is>
          <t>Propuesta semántica</t>
        </is>
      </c>
      <c r="R1462" s="18" t="inlineStr">
        <is>
          <t>Proceso o tema que se va a auditar.</t>
        </is>
      </c>
      <c r="S1462" s="18" t="inlineStr">
        <is>
          <t>Baja</t>
        </is>
      </c>
      <c r="T1462" s="18" t="inlineStr">
        <is>
          <t>nombre + columnas vecinas (proceso_nombre)</t>
        </is>
      </c>
      <c r="U1462" s="18" t="inlineStr">
        <is>
          <t>¿En qué se diferencia proceso_auditar de proceso_nombre?</t>
        </is>
      </c>
      <c r="V1462" s="19" t="inlineStr">
        <is>
          <t>Pendiente</t>
        </is>
      </c>
      <c r="W1462" s="19" t="inlineStr"/>
      <c r="X1462" s="19" t="inlineStr"/>
      <c r="Y1462" s="20" t="n"/>
      <c r="Z1462" s="19" t="inlineStr"/>
      <c r="AA1462" s="18">
        <f>IF(OR(V1462="Aprobada"),R1462,IF(AND(OR(V1462="Aprobada con ajuste",V1462="Rechazada"),W1462&lt;&gt;""),W1462,""))</f>
        <v/>
      </c>
    </row>
    <row r="1463">
      <c r="A1463" s="18" t="inlineStr">
        <is>
          <t>C1462</t>
        </is>
      </c>
      <c r="B1463" s="18" t="inlineStr">
        <is>
          <t>Control interno</t>
        </is>
      </c>
      <c r="C1463" s="18" t="inlineStr">
        <is>
          <t>control_interno</t>
        </is>
      </c>
      <c r="D1463" s="18" t="inlineStr">
        <is>
          <t>auditoria_programada</t>
        </is>
      </c>
      <c r="E1463" s="18" t="n">
        <v>0</v>
      </c>
      <c r="F1463" s="18" t="inlineStr">
        <is>
          <t>auditor_lider</t>
        </is>
      </c>
      <c r="G1463" s="18" t="inlineStr">
        <is>
          <t>character varying(255)</t>
        </is>
      </c>
      <c r="H1463" s="18" t="inlineStr">
        <is>
          <t>No</t>
        </is>
      </c>
      <c r="I1463" s="18" t="inlineStr"/>
      <c r="J1463" s="18" t="inlineStr"/>
      <c r="K1463" s="18" t="inlineStr"/>
      <c r="L1463" s="18" t="inlineStr">
        <is>
          <t>No</t>
        </is>
      </c>
      <c r="M1463" s="18" t="inlineStr">
        <is>
          <t>No</t>
        </is>
      </c>
      <c r="N1463" s="18" t="inlineStr"/>
      <c r="O1463" s="18" t="inlineStr"/>
      <c r="P1463" s="18" t="inlineStr">
        <is>
          <t>Mapeada en internal-institutional-control-service/src/esap/programa-anual/entities/auditoria-programada.entity.ts:81 (AuditoriaProgramada.auditorLider) | Validación: IsNotEmpty, IsString</t>
        </is>
      </c>
      <c r="Q1463" s="18" t="inlineStr">
        <is>
          <t>Propuesta semántica</t>
        </is>
      </c>
      <c r="R1463" s="18" t="inlineStr">
        <is>
          <t>Nombre del auditor líder asignado a la auditoría programada.</t>
        </is>
      </c>
      <c r="S1463" s="18" t="inlineStr">
        <is>
          <t>Media</t>
        </is>
      </c>
      <c r="T1463" s="18" t="inlineStr">
        <is>
          <t>nombre + tipo</t>
        </is>
      </c>
      <c r="U1463" s="18" t="inlineStr">
        <is>
          <t>¿auditor_lider guarda el nombre, el correo o el identificador del auditor?</t>
        </is>
      </c>
      <c r="V1463" s="19" t="inlineStr">
        <is>
          <t>Pendiente</t>
        </is>
      </c>
      <c r="W1463" s="19" t="inlineStr"/>
      <c r="X1463" s="19" t="inlineStr"/>
      <c r="Y1463" s="20" t="n"/>
      <c r="Z1463" s="19" t="inlineStr"/>
      <c r="AA1463" s="18">
        <f>IF(OR(V1463="Aprobada"),R1463,IF(AND(OR(V1463="Aprobada con ajuste",V1463="Rechazada"),W1463&lt;&gt;""),W1463,""))</f>
        <v/>
      </c>
    </row>
    <row r="1464">
      <c r="A1464" s="18" t="inlineStr">
        <is>
          <t>C1463</t>
        </is>
      </c>
      <c r="B1464" s="18" t="inlineStr">
        <is>
          <t>Control interno</t>
        </is>
      </c>
      <c r="C1464" s="18" t="inlineStr">
        <is>
          <t>control_interno</t>
        </is>
      </c>
      <c r="D1464" s="18" t="inlineStr">
        <is>
          <t>auditoria_programada</t>
        </is>
      </c>
      <c r="E1464" s="18" t="n">
        <v>0</v>
      </c>
      <c r="F1464" s="18" t="inlineStr">
        <is>
          <t>equipo_auditor</t>
        </is>
      </c>
      <c r="G1464" s="18" t="inlineStr">
        <is>
          <t>jsonb</t>
        </is>
      </c>
      <c r="H1464" s="18" t="inlineStr">
        <is>
          <t>No</t>
        </is>
      </c>
      <c r="I1464" s="18" t="inlineStr"/>
      <c r="J1464" s="18" t="inlineStr"/>
      <c r="K1464" s="18" t="inlineStr"/>
      <c r="L1464" s="18" t="inlineStr">
        <is>
          <t>No</t>
        </is>
      </c>
      <c r="M1464" s="18" t="inlineStr">
        <is>
          <t>No</t>
        </is>
      </c>
      <c r="N1464" s="18" t="inlineStr"/>
      <c r="O1464" s="18" t="inlineStr"/>
      <c r="P1464" s="18" t="inlineStr">
        <is>
          <t>Mapeada en internal-institutional-control-service/src/esap/programa-anual/entities/auditoria-programada.entity.ts:84 (AuditoriaProgramada.equipoAuditor) | Validación: IsObject, IsOptional</t>
        </is>
      </c>
      <c r="Q1464" s="18" t="inlineStr">
        <is>
          <t>Propuesta semántica</t>
        </is>
      </c>
      <c r="R1464" s="18" t="inlineStr">
        <is>
          <t>Integrantes del equipo auditor, en formato JSON.</t>
        </is>
      </c>
      <c r="S1464" s="18" t="inlineStr">
        <is>
          <t>Media</t>
        </is>
      </c>
      <c r="T1464" s="18" t="inlineStr">
        <is>
          <t>nombre + tipo jsonb + validación IsObject</t>
        </is>
      </c>
      <c r="U1464" s="18" t="inlineStr">
        <is>
          <t>¿Qué estructura tiene equipo_auditor (lista de nombres, identificadores o roles)?</t>
        </is>
      </c>
      <c r="V1464" s="19" t="inlineStr">
        <is>
          <t>Pendiente</t>
        </is>
      </c>
      <c r="W1464" s="19" t="inlineStr"/>
      <c r="X1464" s="19" t="inlineStr"/>
      <c r="Y1464" s="20" t="n"/>
      <c r="Z1464" s="19" t="inlineStr"/>
      <c r="AA1464" s="18">
        <f>IF(OR(V1464="Aprobada"),R1464,IF(AND(OR(V1464="Aprobada con ajuste",V1464="Rechazada"),W1464&lt;&gt;""),W1464,""))</f>
        <v/>
      </c>
    </row>
    <row r="1465">
      <c r="A1465" s="18" t="inlineStr">
        <is>
          <t>C1464</t>
        </is>
      </c>
      <c r="B1465" s="18" t="inlineStr">
        <is>
          <t>Control interno</t>
        </is>
      </c>
      <c r="C1465" s="18" t="inlineStr">
        <is>
          <t>control_interno</t>
        </is>
      </c>
      <c r="D1465" s="18" t="inlineStr">
        <is>
          <t>auditoria_programada</t>
        </is>
      </c>
      <c r="E1465" s="18" t="n">
        <v>0</v>
      </c>
      <c r="F1465" s="18" t="inlineStr">
        <is>
          <t>fecha_inicio_planeada</t>
        </is>
      </c>
      <c r="G1465" s="18" t="inlineStr">
        <is>
          <t>date</t>
        </is>
      </c>
      <c r="H1465" s="18" t="inlineStr">
        <is>
          <t>No</t>
        </is>
      </c>
      <c r="I1465" s="18" t="inlineStr"/>
      <c r="J1465" s="18" t="inlineStr"/>
      <c r="K1465" s="18" t="inlineStr"/>
      <c r="L1465" s="18" t="inlineStr">
        <is>
          <t>No</t>
        </is>
      </c>
      <c r="M1465" s="18" t="inlineStr">
        <is>
          <t>No</t>
        </is>
      </c>
      <c r="N1465" s="18" t="inlineStr"/>
      <c r="O1465" s="18" t="inlineStr"/>
      <c r="P1465" s="18" t="inlineStr">
        <is>
          <t>Mapeada en internal-institutional-control-service/src/esap/programa-anual/entities/auditoria-programada.entity.ts:92 (AuditoriaProgramada.fechaInicioPlaneada) | Validación: IsDateString</t>
        </is>
      </c>
      <c r="Q1465" s="18" t="inlineStr">
        <is>
          <t>Regla estructural</t>
        </is>
      </c>
      <c r="R1465" s="18" t="inlineStr">
        <is>
          <t>Fecha de inicio planeada.</t>
        </is>
      </c>
      <c r="S1465" s="18" t="inlineStr">
        <is>
          <t>Media</t>
        </is>
      </c>
      <c r="T1465" s="18" t="inlineStr">
        <is>
          <t>Convención de nombre de la columna.</t>
        </is>
      </c>
      <c r="U1465" s="18" t="inlineStr"/>
      <c r="V1465" s="19" t="inlineStr">
        <is>
          <t>Pendiente</t>
        </is>
      </c>
      <c r="W1465" s="19" t="inlineStr"/>
      <c r="X1465" s="19" t="inlineStr"/>
      <c r="Y1465" s="20" t="n"/>
      <c r="Z1465" s="19" t="inlineStr"/>
      <c r="AA1465" s="18">
        <f>IF(OR(V1465="Aprobada"),R1465,IF(AND(OR(V1465="Aprobada con ajuste",V1465="Rechazada"),W1465&lt;&gt;""),W1465,""))</f>
        <v/>
      </c>
    </row>
    <row r="1466">
      <c r="A1466" s="18" t="inlineStr">
        <is>
          <t>C1465</t>
        </is>
      </c>
      <c r="B1466" s="18" t="inlineStr">
        <is>
          <t>Control interno</t>
        </is>
      </c>
      <c r="C1466" s="18" t="inlineStr">
        <is>
          <t>control_interno</t>
        </is>
      </c>
      <c r="D1466" s="18" t="inlineStr">
        <is>
          <t>auditoria_programada</t>
        </is>
      </c>
      <c r="E1466" s="18" t="n">
        <v>0</v>
      </c>
      <c r="F1466" s="18" t="inlineStr">
        <is>
          <t>fecha_fin_planeada</t>
        </is>
      </c>
      <c r="G1466" s="18" t="inlineStr">
        <is>
          <t>date</t>
        </is>
      </c>
      <c r="H1466" s="18" t="inlineStr">
        <is>
          <t>No</t>
        </is>
      </c>
      <c r="I1466" s="18" t="inlineStr"/>
      <c r="J1466" s="18" t="inlineStr"/>
      <c r="K1466" s="18" t="inlineStr"/>
      <c r="L1466" s="18" t="inlineStr">
        <is>
          <t>No</t>
        </is>
      </c>
      <c r="M1466" s="18" t="inlineStr">
        <is>
          <t>No</t>
        </is>
      </c>
      <c r="N1466" s="18" t="inlineStr"/>
      <c r="O1466" s="18" t="inlineStr"/>
      <c r="P1466" s="18" t="inlineStr">
        <is>
          <t>Mapeada en internal-institutional-control-service/src/esap/programa-anual/entities/auditoria-programada.entity.ts:95 (AuditoriaProgramada.fechaFinPlaneada) | Validación: IsDateString</t>
        </is>
      </c>
      <c r="Q1466" s="18" t="inlineStr">
        <is>
          <t>Regla estructural</t>
        </is>
      </c>
      <c r="R1466" s="18" t="inlineStr">
        <is>
          <t>Fecha de fin planeada.</t>
        </is>
      </c>
      <c r="S1466" s="18" t="inlineStr">
        <is>
          <t>Media</t>
        </is>
      </c>
      <c r="T1466" s="18" t="inlineStr">
        <is>
          <t>Convención de nombre de la columna.</t>
        </is>
      </c>
      <c r="U1466" s="18" t="inlineStr"/>
      <c r="V1466" s="19" t="inlineStr">
        <is>
          <t>Pendiente</t>
        </is>
      </c>
      <c r="W1466" s="19" t="inlineStr"/>
      <c r="X1466" s="19" t="inlineStr"/>
      <c r="Y1466" s="20" t="n"/>
      <c r="Z1466" s="19" t="inlineStr"/>
      <c r="AA1466" s="18">
        <f>IF(OR(V1466="Aprobada"),R1466,IF(AND(OR(V1466="Aprobada con ajuste",V1466="Rechazada"),W1466&lt;&gt;""),W1466,""))</f>
        <v/>
      </c>
    </row>
    <row r="1467">
      <c r="A1467" s="18" t="inlineStr">
        <is>
          <t>C1466</t>
        </is>
      </c>
      <c r="B1467" s="18" t="inlineStr">
        <is>
          <t>Control interno</t>
        </is>
      </c>
      <c r="C1467" s="18" t="inlineStr">
        <is>
          <t>control_interno</t>
        </is>
      </c>
      <c r="D1467" s="18" t="inlineStr">
        <is>
          <t>auditoria_programada</t>
        </is>
      </c>
      <c r="E1467" s="18" t="n">
        <v>0</v>
      </c>
      <c r="F1467" s="18" t="inlineStr">
        <is>
          <t>duracion_dias</t>
        </is>
      </c>
      <c r="G1467" s="18" t="inlineStr">
        <is>
          <t>integer</t>
        </is>
      </c>
      <c r="H1467" s="18" t="inlineStr">
        <is>
          <t>No</t>
        </is>
      </c>
      <c r="I1467" s="18" t="inlineStr"/>
      <c r="J1467" s="18" t="inlineStr"/>
      <c r="K1467" s="18" t="inlineStr"/>
      <c r="L1467" s="18" t="inlineStr">
        <is>
          <t>No</t>
        </is>
      </c>
      <c r="M1467" s="18" t="inlineStr">
        <is>
          <t>No</t>
        </is>
      </c>
      <c r="N1467" s="18" t="inlineStr"/>
      <c r="O1467" s="18" t="inlineStr"/>
      <c r="P1467" s="18" t="inlineStr">
        <is>
          <t>Mapeada en internal-institutional-control-service/src/esap/programa-anual/entities/auditoria-programada.entity.ts:98 (AuditoriaProgramada.duracionDias) | Validación: IsInt, Min(1)</t>
        </is>
      </c>
      <c r="Q1467" s="18" t="inlineStr">
        <is>
          <t>Propuesta semántica</t>
        </is>
      </c>
      <c r="R1467" s="18" t="inlineStr">
        <is>
          <t>Duración planeada de la auditoría, en días (mínimo 1).</t>
        </is>
      </c>
      <c r="S1467" s="18" t="inlineStr">
        <is>
          <t>Media</t>
        </is>
      </c>
      <c r="T1467" s="18" t="inlineStr">
        <is>
          <t>nombre + validación Min(1)</t>
        </is>
      </c>
      <c r="U1467" s="18" t="inlineStr">
        <is>
          <t>¿duracion_dias cuenta días calendario o hábiles?</t>
        </is>
      </c>
      <c r="V1467" s="19" t="inlineStr">
        <is>
          <t>Pendiente</t>
        </is>
      </c>
      <c r="W1467" s="19" t="inlineStr"/>
      <c r="X1467" s="19" t="inlineStr"/>
      <c r="Y1467" s="20" t="n"/>
      <c r="Z1467" s="19" t="inlineStr"/>
      <c r="AA1467" s="18">
        <f>IF(OR(V1467="Aprobada"),R1467,IF(AND(OR(V1467="Aprobada con ajuste",V1467="Rechazada"),W1467&lt;&gt;""),W1467,""))</f>
        <v/>
      </c>
    </row>
    <row r="1468">
      <c r="A1468" s="18" t="inlineStr">
        <is>
          <t>C1467</t>
        </is>
      </c>
      <c r="B1468" s="18" t="inlineStr">
        <is>
          <t>Control interno</t>
        </is>
      </c>
      <c r="C1468" s="18" t="inlineStr">
        <is>
          <t>control_interno</t>
        </is>
      </c>
      <c r="D1468" s="18" t="inlineStr">
        <is>
          <t>auditoria_programada</t>
        </is>
      </c>
      <c r="E1468" s="18" t="n">
        <v>0</v>
      </c>
      <c r="F1468" s="18" t="inlineStr">
        <is>
          <t>prioridad</t>
        </is>
      </c>
      <c r="G1468" s="18" t="inlineStr">
        <is>
          <t>character varying(20)</t>
        </is>
      </c>
      <c r="H1468" s="18" t="inlineStr">
        <is>
          <t>No</t>
        </is>
      </c>
      <c r="I1468" s="18" t="inlineStr">
        <is>
          <t>CHECK</t>
        </is>
      </c>
      <c r="J1468" s="18" t="inlineStr">
        <is>
          <t>alta, baja, media</t>
        </is>
      </c>
      <c r="K1468" s="18" t="inlineStr"/>
      <c r="L1468" s="18" t="inlineStr">
        <is>
          <t>Sí</t>
        </is>
      </c>
      <c r="M1468" s="18" t="inlineStr">
        <is>
          <t>No</t>
        </is>
      </c>
      <c r="N1468" s="18" t="inlineStr"/>
      <c r="O1468" s="18" t="inlineStr"/>
      <c r="P1468" s="18" t="inlineStr">
        <is>
          <t>Mapeada en internal-institutional-control-service/src/esap/programa-anual/entities/auditoria-programada.entity.ts:101 (AuditoriaProgramada.prioridad) | Validación: IsEnum(PrioridadAuditoria), IsEnum(PrioridadAuditoriaProgramada), IsEnum(PrioridadNotificacion), IsEnum(PrioridadTarea), IsEnum(['Alta', 'Media', 'Baja']), IsInt</t>
        </is>
      </c>
      <c r="Q1468" s="18" t="inlineStr">
        <is>
          <t>Propuesta semántica</t>
        </is>
      </c>
      <c r="R1468" s="18" t="inlineStr">
        <is>
          <t>Prioridad de la auditoría programada. Valores permitidos: alta, media, baja.</t>
        </is>
      </c>
      <c r="S1468" s="18" t="inlineStr">
        <is>
          <t>Alta</t>
        </is>
      </c>
      <c r="T1468" s="18" t="inlineStr">
        <is>
          <t>valores permitidos del CHECK ~</t>
        </is>
      </c>
      <c r="U1468" s="18" t="inlineStr"/>
      <c r="V1468" s="19" t="inlineStr">
        <is>
          <t>Pendiente</t>
        </is>
      </c>
      <c r="W1468" s="19" t="inlineStr"/>
      <c r="X1468" s="19" t="inlineStr"/>
      <c r="Y1468" s="20" t="n"/>
      <c r="Z1468" s="19" t="inlineStr"/>
      <c r="AA1468" s="18">
        <f>IF(OR(V1468="Aprobada"),R1468,IF(AND(OR(V1468="Aprobada con ajuste",V1468="Rechazada"),W1468&lt;&gt;""),W1468,""))</f>
        <v/>
      </c>
    </row>
    <row r="1469">
      <c r="A1469" s="18" t="inlineStr">
        <is>
          <t>C1468</t>
        </is>
      </c>
      <c r="B1469" s="18" t="inlineStr">
        <is>
          <t>Control interno</t>
        </is>
      </c>
      <c r="C1469" s="18" t="inlineStr">
        <is>
          <t>control_interno</t>
        </is>
      </c>
      <c r="D1469" s="18" t="inlineStr">
        <is>
          <t>auditoria_programada</t>
        </is>
      </c>
      <c r="E1469" s="18" t="n">
        <v>0</v>
      </c>
      <c r="F1469" s="18" t="inlineStr">
        <is>
          <t>riesgo_inherente</t>
        </is>
      </c>
      <c r="G1469" s="18" t="inlineStr">
        <is>
          <t>character varying(20)</t>
        </is>
      </c>
      <c r="H1469" s="18" t="inlineStr">
        <is>
          <t>No</t>
        </is>
      </c>
      <c r="I1469" s="18" t="inlineStr">
        <is>
          <t>CHECK</t>
        </is>
      </c>
      <c r="J1469" s="18" t="inlineStr">
        <is>
          <t>alto, bajo, medio</t>
        </is>
      </c>
      <c r="K1469" s="18" t="inlineStr"/>
      <c r="L1469" s="18" t="inlineStr">
        <is>
          <t>Sí</t>
        </is>
      </c>
      <c r="M1469" s="18" t="inlineStr">
        <is>
          <t>No</t>
        </is>
      </c>
      <c r="N1469" s="18" t="inlineStr"/>
      <c r="O1469" s="18" t="inlineStr"/>
      <c r="P1469" s="18" t="inlineStr">
        <is>
          <t>Mapeada en internal-institutional-control-service/src/esap/programa-anual/entities/auditoria-programada.entity.ts:108 (AuditoriaProgramada.riesgoInherente) | Validación: IsEnum(NivelRiesgo), IsNumber, IsOptional</t>
        </is>
      </c>
      <c r="Q1469" s="18" t="inlineStr">
        <is>
          <t>Propuesta semántica</t>
        </is>
      </c>
      <c r="R1469" s="18" t="inlineStr">
        <is>
          <t>Nivel de riesgo inherente del proceso auditado. Valores permitidos: alto, medio, bajo.</t>
        </is>
      </c>
      <c r="S1469" s="18" t="inlineStr">
        <is>
          <t>Alta</t>
        </is>
      </c>
      <c r="T1469" s="18" t="inlineStr">
        <is>
          <t>valores permitidos del CHECK ~</t>
        </is>
      </c>
      <c r="U1469" s="18" t="inlineStr"/>
      <c r="V1469" s="19" t="inlineStr">
        <is>
          <t>Pendiente</t>
        </is>
      </c>
      <c r="W1469" s="19" t="inlineStr"/>
      <c r="X1469" s="19" t="inlineStr"/>
      <c r="Y1469" s="20" t="n"/>
      <c r="Z1469" s="19" t="inlineStr"/>
      <c r="AA1469" s="18">
        <f>IF(OR(V1469="Aprobada"),R1469,IF(AND(OR(V1469="Aprobada con ajuste",V1469="Rechazada"),W1469&lt;&gt;""),W1469,""))</f>
        <v/>
      </c>
    </row>
    <row r="1470">
      <c r="A1470" s="18" t="inlineStr">
        <is>
          <t>C1469</t>
        </is>
      </c>
      <c r="B1470" s="18" t="inlineStr">
        <is>
          <t>Control interno</t>
        </is>
      </c>
      <c r="C1470" s="18" t="inlineStr">
        <is>
          <t>control_interno</t>
        </is>
      </c>
      <c r="D1470" s="18" t="inlineStr">
        <is>
          <t>auditoria_programada</t>
        </is>
      </c>
      <c r="E1470" s="18" t="n">
        <v>0</v>
      </c>
      <c r="F1470" s="18" t="inlineStr">
        <is>
          <t>estado</t>
        </is>
      </c>
      <c r="G1470" s="18" t="inlineStr">
        <is>
          <t>character varying(50)</t>
        </is>
      </c>
      <c r="H1470" s="18" t="inlineStr">
        <is>
          <t>No</t>
        </is>
      </c>
      <c r="I1470" s="18" t="inlineStr">
        <is>
          <t>CHECK</t>
        </is>
      </c>
      <c r="J1470" s="18" t="inlineStr">
        <is>
          <t>cancelada, completada, en_curso, planeada</t>
        </is>
      </c>
      <c r="K1470" s="18" t="inlineStr"/>
      <c r="L1470" s="18" t="inlineStr">
        <is>
          <t>Sí</t>
        </is>
      </c>
      <c r="M1470" s="18" t="inlineStr">
        <is>
          <t>No</t>
        </is>
      </c>
      <c r="N1470" s="18" t="inlineStr"/>
      <c r="O1470" s="18" t="inlineStr">
        <is>
          <t>idx_auditoria_programada_estado</t>
        </is>
      </c>
      <c r="P1470" s="18" t="inlineStr">
        <is>
          <t>Mapeada en internal-institutional-control-service/src/esap/programa-anual/entities/auditoria-programada.entity.ts:116 (AuditoriaProgramada.estado) | Validación: IsEnum(AccionCorrectivaEstado), IsEnum(EstadoEtapa), IsEnum(EstadoPlanIndividual), IsEnum(EstadoTarea), IsEnum(HallazgoEstado), IsEnum(PlanMejoramientoEstado)</t>
        </is>
      </c>
      <c r="Q1470" s="18" t="inlineStr">
        <is>
          <t>Regla estructural</t>
        </is>
      </c>
      <c r="R1470" s="18" t="inlineStr">
        <is>
          <t>Estado del registro de auditoria_programada.</t>
        </is>
      </c>
      <c r="S1470" s="18" t="inlineStr">
        <is>
          <t>Media</t>
        </is>
      </c>
      <c r="T1470" s="18" t="inlineStr">
        <is>
          <t>Convención de nombre de la columna.</t>
        </is>
      </c>
      <c r="U1470" s="18" t="inlineStr"/>
      <c r="V1470" s="19" t="inlineStr">
        <is>
          <t>Pendiente</t>
        </is>
      </c>
      <c r="W1470" s="19" t="inlineStr"/>
      <c r="X1470" s="19" t="inlineStr"/>
      <c r="Y1470" s="20" t="n"/>
      <c r="Z1470" s="19" t="inlineStr"/>
      <c r="AA1470" s="18">
        <f>IF(OR(V1470="Aprobada"),R1470,IF(AND(OR(V1470="Aprobada con ajuste",V1470="Rechazada"),W1470&lt;&gt;""),W1470,""))</f>
        <v/>
      </c>
    </row>
    <row r="1471">
      <c r="A1471" s="18" t="inlineStr">
        <is>
          <t>C1470</t>
        </is>
      </c>
      <c r="B1471" s="18" t="inlineStr">
        <is>
          <t>Control interno</t>
        </is>
      </c>
      <c r="C1471" s="18" t="inlineStr">
        <is>
          <t>control_interno</t>
        </is>
      </c>
      <c r="D1471" s="18" t="inlineStr">
        <is>
          <t>auditoria_programada</t>
        </is>
      </c>
      <c r="E1471" s="18" t="n">
        <v>0</v>
      </c>
      <c r="F1471" s="18" t="inlineStr">
        <is>
          <t>es_territorial</t>
        </is>
      </c>
      <c r="G1471" s="18" t="inlineStr">
        <is>
          <t>boolean</t>
        </is>
      </c>
      <c r="H1471" s="18" t="inlineStr">
        <is>
          <t>Sí</t>
        </is>
      </c>
      <c r="I1471" s="18" t="inlineStr"/>
      <c r="J1471" s="18" t="inlineStr"/>
      <c r="K1471" s="18" t="inlineStr"/>
      <c r="L1471" s="18" t="inlineStr">
        <is>
          <t>No</t>
        </is>
      </c>
      <c r="M1471" s="18" t="inlineStr">
        <is>
          <t>No</t>
        </is>
      </c>
      <c r="N1471" s="18" t="inlineStr"/>
      <c r="O1471" s="18" t="inlineStr"/>
      <c r="P1471" s="18" t="inlineStr">
        <is>
          <t>Mapeada en internal-institutional-control-service/src/esap/programa-anual/entities/auditoria-programada.entity.ts:124 (AuditoriaProgramada.esTerritorial) | Validación: IsBoolean, IsOptional</t>
        </is>
      </c>
      <c r="Q1471" s="18" t="inlineStr">
        <is>
          <t>Regla estructural</t>
        </is>
      </c>
      <c r="R1471" s="18" t="inlineStr">
        <is>
          <t>Indica si aplica: territorial.</t>
        </is>
      </c>
      <c r="S1471" s="18" t="inlineStr">
        <is>
          <t>Media</t>
        </is>
      </c>
      <c r="T1471" s="18" t="inlineStr">
        <is>
          <t>Convención de nombre de la columna.</t>
        </is>
      </c>
      <c r="U1471" s="18" t="inlineStr"/>
      <c r="V1471" s="19" t="inlineStr">
        <is>
          <t>Pendiente</t>
        </is>
      </c>
      <c r="W1471" s="19" t="inlineStr"/>
      <c r="X1471" s="19" t="inlineStr"/>
      <c r="Y1471" s="20" t="n"/>
      <c r="Z1471" s="19" t="inlineStr"/>
      <c r="AA1471" s="18">
        <f>IF(OR(V1471="Aprobada"),R1471,IF(AND(OR(V1471="Aprobada con ajuste",V1471="Rechazada"),W1471&lt;&gt;""),W1471,""))</f>
        <v/>
      </c>
    </row>
    <row r="1472">
      <c r="A1472" s="18" t="inlineStr">
        <is>
          <t>C1471</t>
        </is>
      </c>
      <c r="B1472" s="18" t="inlineStr">
        <is>
          <t>Control interno</t>
        </is>
      </c>
      <c r="C1472" s="18" t="inlineStr">
        <is>
          <t>control_interno</t>
        </is>
      </c>
      <c r="D1472" s="18" t="inlineStr">
        <is>
          <t>auditoria_programada</t>
        </is>
      </c>
      <c r="E1472" s="18" t="n">
        <v>0</v>
      </c>
      <c r="F1472" s="18" t="inlineStr">
        <is>
          <t>territorial</t>
        </is>
      </c>
      <c r="G1472" s="18" t="inlineStr">
        <is>
          <t>character varying(255)</t>
        </is>
      </c>
      <c r="H1472" s="18" t="inlineStr">
        <is>
          <t>Sí</t>
        </is>
      </c>
      <c r="I1472" s="18" t="inlineStr"/>
      <c r="J1472" s="18" t="inlineStr"/>
      <c r="K1472" s="18" t="inlineStr"/>
      <c r="L1472" s="18" t="inlineStr">
        <is>
          <t>No</t>
        </is>
      </c>
      <c r="M1472" s="18" t="inlineStr">
        <is>
          <t>No</t>
        </is>
      </c>
      <c r="N1472" s="18" t="inlineStr"/>
      <c r="O1472" s="18" t="inlineStr"/>
      <c r="P1472" s="18" t="inlineStr">
        <is>
          <t>Mapeada en internal-institutional-control-service/src/esap/programa-anual/entities/auditoria-programada.entity.ts:127 (AuditoriaProgramada.territorial) | Validación: IsNotEmpty, IsOptional, IsString</t>
        </is>
      </c>
      <c r="Q1472" s="18" t="inlineStr">
        <is>
          <t>Propuesta semántica</t>
        </is>
      </c>
      <c r="R1472" s="18" t="inlineStr">
        <is>
          <t>Dirección territorial donde se realiza la auditoría, cuando es territorial.</t>
        </is>
      </c>
      <c r="S1472" s="18" t="inlineStr">
        <is>
          <t>Media</t>
        </is>
      </c>
      <c r="T1472" s="18" t="inlineStr">
        <is>
          <t>nombre + columnas vecinas (es_territorial)</t>
        </is>
      </c>
      <c r="U1472" s="18" t="inlineStr">
        <is>
          <t>¿territorial se toma de un catálogo de direcciones territoriales o es texto libre?</t>
        </is>
      </c>
      <c r="V1472" s="19" t="inlineStr">
        <is>
          <t>Pendiente</t>
        </is>
      </c>
      <c r="W1472" s="19" t="inlineStr"/>
      <c r="X1472" s="19" t="inlineStr"/>
      <c r="Y1472" s="20" t="n"/>
      <c r="Z1472" s="19" t="inlineStr"/>
      <c r="AA1472" s="18">
        <f>IF(OR(V1472="Aprobada"),R1472,IF(AND(OR(V1472="Aprobada con ajuste",V1472="Rechazada"),W1472&lt;&gt;""),W1472,""))</f>
        <v/>
      </c>
    </row>
    <row r="1473">
      <c r="A1473" s="18" t="inlineStr">
        <is>
          <t>C1472</t>
        </is>
      </c>
      <c r="B1473" s="18" t="inlineStr">
        <is>
          <t>Control interno</t>
        </is>
      </c>
      <c r="C1473" s="18" t="inlineStr">
        <is>
          <t>control_interno</t>
        </is>
      </c>
      <c r="D1473" s="18" t="inlineStr">
        <is>
          <t>auditoria_programada</t>
        </is>
      </c>
      <c r="E1473" s="18" t="n">
        <v>0</v>
      </c>
      <c r="F1473" s="18" t="inlineStr">
        <is>
          <t>es_especial</t>
        </is>
      </c>
      <c r="G1473" s="18" t="inlineStr">
        <is>
          <t>boolean</t>
        </is>
      </c>
      <c r="H1473" s="18" t="inlineStr">
        <is>
          <t>Sí</t>
        </is>
      </c>
      <c r="I1473" s="18" t="inlineStr"/>
      <c r="J1473" s="18" t="inlineStr"/>
      <c r="K1473" s="18" t="inlineStr"/>
      <c r="L1473" s="18" t="inlineStr">
        <is>
          <t>No</t>
        </is>
      </c>
      <c r="M1473" s="18" t="inlineStr">
        <is>
          <t>No</t>
        </is>
      </c>
      <c r="N1473" s="18" t="inlineStr"/>
      <c r="O1473" s="18" t="inlineStr"/>
      <c r="P1473" s="18" t="inlineStr">
        <is>
          <t>Mapeada en internal-institutional-control-service/src/esap/programa-anual/entities/auditoria-programada.entity.ts:130 (AuditoriaProgramada.esEspecial) | Validación: IsBoolean, IsOptional</t>
        </is>
      </c>
      <c r="Q1473" s="18" t="inlineStr">
        <is>
          <t>Regla estructural</t>
        </is>
      </c>
      <c r="R1473" s="18" t="inlineStr">
        <is>
          <t>Indica si aplica: especial.</t>
        </is>
      </c>
      <c r="S1473" s="18" t="inlineStr">
        <is>
          <t>Media</t>
        </is>
      </c>
      <c r="T1473" s="18" t="inlineStr">
        <is>
          <t>Convención de nombre de la columna.</t>
        </is>
      </c>
      <c r="U1473" s="18" t="inlineStr"/>
      <c r="V1473" s="19" t="inlineStr">
        <is>
          <t>Pendiente</t>
        </is>
      </c>
      <c r="W1473" s="19" t="inlineStr"/>
      <c r="X1473" s="19" t="inlineStr"/>
      <c r="Y1473" s="20" t="n"/>
      <c r="Z1473" s="19" t="inlineStr"/>
      <c r="AA1473" s="18">
        <f>IF(OR(V1473="Aprobada"),R1473,IF(AND(OR(V1473="Aprobada con ajuste",V1473="Rechazada"),W1473&lt;&gt;""),W1473,""))</f>
        <v/>
      </c>
    </row>
    <row r="1474">
      <c r="A1474" s="18" t="inlineStr">
        <is>
          <t>C1473</t>
        </is>
      </c>
      <c r="B1474" s="18" t="inlineStr">
        <is>
          <t>Control interno</t>
        </is>
      </c>
      <c r="C1474" s="18" t="inlineStr">
        <is>
          <t>control_interno</t>
        </is>
      </c>
      <c r="D1474" s="18" t="inlineStr">
        <is>
          <t>auditoria_programada</t>
        </is>
      </c>
      <c r="E1474" s="18" t="n">
        <v>0</v>
      </c>
      <c r="F1474" s="18" t="inlineStr">
        <is>
          <t>solicitada_por</t>
        </is>
      </c>
      <c r="G1474" s="18" t="inlineStr">
        <is>
          <t>character varying(255)</t>
        </is>
      </c>
      <c r="H1474" s="18" t="inlineStr">
        <is>
          <t>Sí</t>
        </is>
      </c>
      <c r="I1474" s="18" t="inlineStr"/>
      <c r="J1474" s="18" t="inlineStr"/>
      <c r="K1474" s="18" t="inlineStr"/>
      <c r="L1474" s="18" t="inlineStr">
        <is>
          <t>No</t>
        </is>
      </c>
      <c r="M1474" s="18" t="inlineStr">
        <is>
          <t>No</t>
        </is>
      </c>
      <c r="N1474" s="18" t="inlineStr"/>
      <c r="O1474" s="18" t="inlineStr"/>
      <c r="P1474" s="18" t="inlineStr">
        <is>
          <t>Mapeada en internal-institutional-control-service/src/esap/programa-anual/entities/auditoria-programada.entity.ts:133 (AuditoriaProgramada.solicitadaPor) | Validación: IsOptional, IsString</t>
        </is>
      </c>
      <c r="Q1474" s="18" t="inlineStr">
        <is>
          <t>Regla estructural</t>
        </is>
      </c>
      <c r="R1474" s="18" t="inlineStr">
        <is>
          <t>Usuario que realizó la solicitud.</t>
        </is>
      </c>
      <c r="S1474" s="18" t="inlineStr">
        <is>
          <t>Media</t>
        </is>
      </c>
      <c r="T1474" s="18" t="inlineStr">
        <is>
          <t>Convención de nombre de la columna.</t>
        </is>
      </c>
      <c r="U1474" s="18" t="inlineStr"/>
      <c r="V1474" s="19" t="inlineStr">
        <is>
          <t>Pendiente</t>
        </is>
      </c>
      <c r="W1474" s="19" t="inlineStr"/>
      <c r="X1474" s="19" t="inlineStr"/>
      <c r="Y1474" s="20" t="n"/>
      <c r="Z1474" s="19" t="inlineStr"/>
      <c r="AA1474" s="18">
        <f>IF(OR(V1474="Aprobada"),R1474,IF(AND(OR(V1474="Aprobada con ajuste",V1474="Rechazada"),W1474&lt;&gt;""),W1474,""))</f>
        <v/>
      </c>
    </row>
    <row r="1475">
      <c r="A1475" s="18" t="inlineStr">
        <is>
          <t>C1474</t>
        </is>
      </c>
      <c r="B1475" s="18" t="inlineStr">
        <is>
          <t>Control interno</t>
        </is>
      </c>
      <c r="C1475" s="18" t="inlineStr">
        <is>
          <t>control_interno</t>
        </is>
      </c>
      <c r="D1475" s="18" t="inlineStr">
        <is>
          <t>auditoria_programada</t>
        </is>
      </c>
      <c r="E1475" s="18" t="n">
        <v>0</v>
      </c>
      <c r="F1475" s="18" t="inlineStr">
        <is>
          <t>motivo_especial</t>
        </is>
      </c>
      <c r="G1475" s="18" t="inlineStr">
        <is>
          <t>text</t>
        </is>
      </c>
      <c r="H1475" s="18" t="inlineStr">
        <is>
          <t>Sí</t>
        </is>
      </c>
      <c r="I1475" s="18" t="inlineStr"/>
      <c r="J1475" s="18" t="inlineStr"/>
      <c r="K1475" s="18" t="inlineStr"/>
      <c r="L1475" s="18" t="inlineStr">
        <is>
          <t>No</t>
        </is>
      </c>
      <c r="M1475" s="18" t="inlineStr">
        <is>
          <t>No</t>
        </is>
      </c>
      <c r="N1475" s="18" t="inlineStr"/>
      <c r="O1475" s="18" t="inlineStr"/>
      <c r="P1475" s="18" t="inlineStr">
        <is>
          <t>Mapeada en internal-institutional-control-service/src/esap/programa-anual/entities/auditoria-programada.entity.ts:136 (AuditoriaProgramada.motivoEspecial) | Validación: IsOptional, IsString</t>
        </is>
      </c>
      <c r="Q1475" s="18" t="inlineStr">
        <is>
          <t>Regla estructural</t>
        </is>
      </c>
      <c r="R1475" s="18" t="inlineStr">
        <is>
          <t>Motivo del especial.</t>
        </is>
      </c>
      <c r="S1475" s="18" t="inlineStr">
        <is>
          <t>Media</t>
        </is>
      </c>
      <c r="T1475" s="18" t="inlineStr">
        <is>
          <t>Convención de nombre de la columna.</t>
        </is>
      </c>
      <c r="U1475" s="18" t="inlineStr"/>
      <c r="V1475" s="19" t="inlineStr">
        <is>
          <t>Pendiente</t>
        </is>
      </c>
      <c r="W1475" s="19" t="inlineStr"/>
      <c r="X1475" s="19" t="inlineStr"/>
      <c r="Y1475" s="20" t="n"/>
      <c r="Z1475" s="19" t="inlineStr"/>
      <c r="AA1475" s="18">
        <f>IF(OR(V1475="Aprobada"),R1475,IF(AND(OR(V1475="Aprobada con ajuste",V1475="Rechazada"),W1475&lt;&gt;""),W1475,""))</f>
        <v/>
      </c>
    </row>
    <row r="1476">
      <c r="A1476" s="18" t="inlineStr">
        <is>
          <t>C1475</t>
        </is>
      </c>
      <c r="B1476" s="18" t="inlineStr">
        <is>
          <t>Control interno</t>
        </is>
      </c>
      <c r="C1476" s="18" t="inlineStr">
        <is>
          <t>control_interno</t>
        </is>
      </c>
      <c r="D1476" s="18" t="inlineStr">
        <is>
          <t>auditoria_programada</t>
        </is>
      </c>
      <c r="E1476" s="18" t="n">
        <v>0</v>
      </c>
      <c r="F1476" s="18" t="inlineStr">
        <is>
          <t>etapas</t>
        </is>
      </c>
      <c r="G1476" s="18" t="inlineStr">
        <is>
          <t>jsonb</t>
        </is>
      </c>
      <c r="H1476" s="18" t="inlineStr">
        <is>
          <t>No</t>
        </is>
      </c>
      <c r="I1476" s="18" t="inlineStr"/>
      <c r="J1476" s="18" t="inlineStr"/>
      <c r="K1476" s="18" t="inlineStr"/>
      <c r="L1476" s="18" t="inlineStr">
        <is>
          <t>No</t>
        </is>
      </c>
      <c r="M1476" s="18" t="inlineStr">
        <is>
          <t>No</t>
        </is>
      </c>
      <c r="N1476" s="18" t="inlineStr"/>
      <c r="O1476" s="18" t="inlineStr"/>
      <c r="P1476" s="18" t="inlineStr">
        <is>
          <t>Mapeada en internal-institutional-control-service/src/esap/programa-anual/entities/auditoria-programada.entity.ts:139 (AuditoriaProgramada.etapas)</t>
        </is>
      </c>
      <c r="Q1476" s="18" t="inlineStr">
        <is>
          <t>Propuesta semántica</t>
        </is>
      </c>
      <c r="R1476" s="18" t="inlineStr">
        <is>
          <t>Etapas planeadas de la auditoría, en formato JSON.</t>
        </is>
      </c>
      <c r="S1476" s="18" t="inlineStr">
        <is>
          <t>Baja</t>
        </is>
      </c>
      <c r="T1476" s="18" t="inlineStr">
        <is>
          <t>nombre + tipo jsonb</t>
        </is>
      </c>
      <c r="U1476" s="18" t="inlineStr">
        <is>
          <t>¿Qué estructura tiene etapas (nombre, fechas, estado de cada etapa)?</t>
        </is>
      </c>
      <c r="V1476" s="19" t="inlineStr">
        <is>
          <t>Pendiente</t>
        </is>
      </c>
      <c r="W1476" s="19" t="inlineStr"/>
      <c r="X1476" s="19" t="inlineStr"/>
      <c r="Y1476" s="20" t="n"/>
      <c r="Z1476" s="19" t="inlineStr"/>
      <c r="AA1476" s="18">
        <f>IF(OR(V1476="Aprobada"),R1476,IF(AND(OR(V1476="Aprobada con ajuste",V1476="Rechazada"),W1476&lt;&gt;""),W1476,""))</f>
        <v/>
      </c>
    </row>
    <row r="1477">
      <c r="A1477" s="18" t="inlineStr">
        <is>
          <t>C1476</t>
        </is>
      </c>
      <c r="B1477" s="18" t="inlineStr">
        <is>
          <t>Control interno</t>
        </is>
      </c>
      <c r="C1477" s="18" t="inlineStr">
        <is>
          <t>control_interno</t>
        </is>
      </c>
      <c r="D1477" s="18" t="inlineStr">
        <is>
          <t>auditoria_programada</t>
        </is>
      </c>
      <c r="E1477" s="18" t="n">
        <v>0</v>
      </c>
      <c r="F1477" s="18" t="inlineStr">
        <is>
          <t>ampliaciones</t>
        </is>
      </c>
      <c r="G1477" s="18" t="inlineStr">
        <is>
          <t>jsonb</t>
        </is>
      </c>
      <c r="H1477" s="18" t="inlineStr">
        <is>
          <t>Sí</t>
        </is>
      </c>
      <c r="I1477" s="18" t="inlineStr"/>
      <c r="J1477" s="18" t="inlineStr"/>
      <c r="K1477" s="18" t="inlineStr"/>
      <c r="L1477" s="18" t="inlineStr">
        <is>
          <t>No</t>
        </is>
      </c>
      <c r="M1477" s="18" t="inlineStr">
        <is>
          <t>No</t>
        </is>
      </c>
      <c r="N1477" s="18" t="inlineStr"/>
      <c r="O1477" s="18" t="inlineStr"/>
      <c r="P1477" s="18" t="inlineStr">
        <is>
          <t>Mapeada en internal-institutional-control-service/src/esap/programa-anual/entities/auditoria-programada.entity.ts:161 (AuditoriaProgramada.ampliaciones)</t>
        </is>
      </c>
      <c r="Q1477" s="18" t="inlineStr">
        <is>
          <t>Propuesta semántica</t>
        </is>
      </c>
      <c r="R1477" s="18" t="inlineStr">
        <is>
          <t>Ampliaciones de plazo de la auditoría programada, en formato JSON.</t>
        </is>
      </c>
      <c r="S1477" s="18" t="inlineStr">
        <is>
          <t>Media</t>
        </is>
      </c>
      <c r="T1477" s="18" t="inlineStr">
        <is>
          <t>nombre + tipo jsonb + columnas vecinas (fecha_limite_original, fecha_limite_actual)</t>
        </is>
      </c>
      <c r="U1477" s="18" t="inlineStr">
        <is>
          <t>¿Qué estructura tiene ampliaciones? ¿Se relaciona con control_interno.ampliacion_plazo?</t>
        </is>
      </c>
      <c r="V1477" s="19" t="inlineStr">
        <is>
          <t>Pendiente</t>
        </is>
      </c>
      <c r="W1477" s="19" t="inlineStr"/>
      <c r="X1477" s="19" t="inlineStr"/>
      <c r="Y1477" s="20" t="n"/>
      <c r="Z1477" s="19" t="inlineStr"/>
      <c r="AA1477" s="18">
        <f>IF(OR(V1477="Aprobada"),R1477,IF(AND(OR(V1477="Aprobada con ajuste",V1477="Rechazada"),W1477&lt;&gt;""),W1477,""))</f>
        <v/>
      </c>
    </row>
    <row r="1478">
      <c r="A1478" s="18" t="inlineStr">
        <is>
          <t>C1477</t>
        </is>
      </c>
      <c r="B1478" s="18" t="inlineStr">
        <is>
          <t>Control interno</t>
        </is>
      </c>
      <c r="C1478" s="18" t="inlineStr">
        <is>
          <t>control_interno</t>
        </is>
      </c>
      <c r="D1478" s="18" t="inlineStr">
        <is>
          <t>auditoria_programada</t>
        </is>
      </c>
      <c r="E1478" s="18" t="n">
        <v>0</v>
      </c>
      <c r="F1478" s="18" t="inlineStr">
        <is>
          <t>fecha_limite_original</t>
        </is>
      </c>
      <c r="G1478" s="18" t="inlineStr">
        <is>
          <t>date</t>
        </is>
      </c>
      <c r="H1478" s="18" t="inlineStr">
        <is>
          <t>No</t>
        </is>
      </c>
      <c r="I1478" s="18" t="inlineStr"/>
      <c r="J1478" s="18" t="inlineStr"/>
      <c r="K1478" s="18" t="inlineStr"/>
      <c r="L1478" s="18" t="inlineStr">
        <is>
          <t>No</t>
        </is>
      </c>
      <c r="M1478" s="18" t="inlineStr">
        <is>
          <t>No</t>
        </is>
      </c>
      <c r="N1478" s="18" t="inlineStr"/>
      <c r="O1478" s="18" t="inlineStr"/>
      <c r="P1478" s="18" t="inlineStr">
        <is>
          <t>Mapeada en internal-institutional-control-service/src/esap/programa-anual/entities/auditoria-programada.entity.ts:173 (AuditoriaProgramada.fechaLimiteOriginal) | Validación: IsDateString</t>
        </is>
      </c>
      <c r="Q1478" s="18" t="inlineStr">
        <is>
          <t>Regla estructural</t>
        </is>
      </c>
      <c r="R1478" s="18" t="inlineStr">
        <is>
          <t>Fecha límite original.</t>
        </is>
      </c>
      <c r="S1478" s="18" t="inlineStr">
        <is>
          <t>Media</t>
        </is>
      </c>
      <c r="T1478" s="18" t="inlineStr">
        <is>
          <t>Convención de nombre de la columna.</t>
        </is>
      </c>
      <c r="U1478" s="18" t="inlineStr"/>
      <c r="V1478" s="19" t="inlineStr">
        <is>
          <t>Pendiente</t>
        </is>
      </c>
      <c r="W1478" s="19" t="inlineStr"/>
      <c r="X1478" s="19" t="inlineStr"/>
      <c r="Y1478" s="20" t="n"/>
      <c r="Z1478" s="19" t="inlineStr"/>
      <c r="AA1478" s="18">
        <f>IF(OR(V1478="Aprobada"),R1478,IF(AND(OR(V1478="Aprobada con ajuste",V1478="Rechazada"),W1478&lt;&gt;""),W1478,""))</f>
        <v/>
      </c>
    </row>
    <row r="1479">
      <c r="A1479" s="18" t="inlineStr">
        <is>
          <t>C1478</t>
        </is>
      </c>
      <c r="B1479" s="18" t="inlineStr">
        <is>
          <t>Control interno</t>
        </is>
      </c>
      <c r="C1479" s="18" t="inlineStr">
        <is>
          <t>control_interno</t>
        </is>
      </c>
      <c r="D1479" s="18" t="inlineStr">
        <is>
          <t>auditoria_programada</t>
        </is>
      </c>
      <c r="E1479" s="18" t="n">
        <v>0</v>
      </c>
      <c r="F1479" s="18" t="inlineStr">
        <is>
          <t>fecha_limite_actual</t>
        </is>
      </c>
      <c r="G1479" s="18" t="inlineStr">
        <is>
          <t>date</t>
        </is>
      </c>
      <c r="H1479" s="18" t="inlineStr">
        <is>
          <t>No</t>
        </is>
      </c>
      <c r="I1479" s="18" t="inlineStr"/>
      <c r="J1479" s="18" t="inlineStr"/>
      <c r="K1479" s="18" t="inlineStr"/>
      <c r="L1479" s="18" t="inlineStr">
        <is>
          <t>No</t>
        </is>
      </c>
      <c r="M1479" s="18" t="inlineStr">
        <is>
          <t>No</t>
        </is>
      </c>
      <c r="N1479" s="18" t="inlineStr"/>
      <c r="O1479" s="18" t="inlineStr"/>
      <c r="P1479" s="18" t="inlineStr">
        <is>
          <t>Mapeada en internal-institutional-control-service/src/esap/programa-anual/entities/auditoria-programada.entity.ts:176 (AuditoriaProgramada.fechaLimiteActual)</t>
        </is>
      </c>
      <c r="Q1479" s="18" t="inlineStr">
        <is>
          <t>Regla estructural</t>
        </is>
      </c>
      <c r="R1479" s="18" t="inlineStr">
        <is>
          <t>Fecha límite actual.</t>
        </is>
      </c>
      <c r="S1479" s="18" t="inlineStr">
        <is>
          <t>Media</t>
        </is>
      </c>
      <c r="T1479" s="18" t="inlineStr">
        <is>
          <t>Convención de nombre de la columna.</t>
        </is>
      </c>
      <c r="U1479" s="18" t="inlineStr"/>
      <c r="V1479" s="19" t="inlineStr">
        <is>
          <t>Pendiente</t>
        </is>
      </c>
      <c r="W1479" s="19" t="inlineStr"/>
      <c r="X1479" s="19" t="inlineStr"/>
      <c r="Y1479" s="20" t="n"/>
      <c r="Z1479" s="19" t="inlineStr"/>
      <c r="AA1479" s="18">
        <f>IF(OR(V1479="Aprobada"),R1479,IF(AND(OR(V1479="Aprobada con ajuste",V1479="Rechazada"),W1479&lt;&gt;""),W1479,""))</f>
        <v/>
      </c>
    </row>
    <row r="1480">
      <c r="A1480" s="18" t="inlineStr">
        <is>
          <t>C1479</t>
        </is>
      </c>
      <c r="B1480" s="18" t="inlineStr">
        <is>
          <t>Control interno</t>
        </is>
      </c>
      <c r="C1480" s="18" t="inlineStr">
        <is>
          <t>control_interno</t>
        </is>
      </c>
      <c r="D1480" s="18" t="inlineStr">
        <is>
          <t>auditoria_territorial_info</t>
        </is>
      </c>
      <c r="E1480" s="18" t="n">
        <v>0</v>
      </c>
      <c r="F1480" s="18" t="inlineStr">
        <is>
          <t>nombre</t>
        </is>
      </c>
      <c r="G1480" s="18" t="inlineStr">
        <is>
          <t>character varying(255)</t>
        </is>
      </c>
      <c r="H1480" s="18" t="inlineStr">
        <is>
          <t>No</t>
        </is>
      </c>
      <c r="I1480" s="18" t="inlineStr"/>
      <c r="J1480" s="18" t="inlineStr"/>
      <c r="K1480" s="18" t="inlineStr"/>
      <c r="L1480" s="18" t="inlineStr">
        <is>
          <t>No</t>
        </is>
      </c>
      <c r="M1480" s="18" t="inlineStr">
        <is>
          <t>Sí</t>
        </is>
      </c>
      <c r="N1480" s="18" t="inlineStr">
        <is>
          <t>Vista control_interno.v_auditorias_kanban_completo</t>
        </is>
      </c>
      <c r="O1480" s="18" t="inlineStr"/>
      <c r="P1480" s="18" t="inlineStr">
        <is>
          <t>db/migrations/old/036_add_auditorias_kanban_completo.sql:672: Ej: "Antioquia - Medellín" | Validación: IsNotEmpty, IsNotEmpty({ message: 'El nombre del documento es obligatorio' }), IsOptional, IsString, Length(1, 500), MaxLength(120)</t>
        </is>
      </c>
      <c r="Q1480" s="18" t="inlineStr">
        <is>
          <t>Código fuente</t>
        </is>
      </c>
      <c r="R1480" s="18" t="inlineStr">
        <is>
          <t>Nombre de la territorial auditada (por ejemplo, «Antioquia - Medellín»).</t>
        </is>
      </c>
      <c r="S1480" s="18" t="inlineStr">
        <is>
          <t>Alta</t>
        </is>
      </c>
      <c r="T1480" s="18" t="inlineStr">
        <is>
          <t>código: db/migrations/old/036_add_auditorias_kanban_completo.sql:672</t>
        </is>
      </c>
      <c r="U1480" s="18" t="inlineStr"/>
      <c r="V1480" s="19" t="inlineStr">
        <is>
          <t>Pendiente</t>
        </is>
      </c>
      <c r="W1480" s="19" t="inlineStr"/>
      <c r="X1480" s="19" t="inlineStr"/>
      <c r="Y1480" s="20" t="n"/>
      <c r="Z1480" s="19" t="inlineStr"/>
      <c r="AA1480" s="18">
        <f>IF(OR(V1480="Aprobada"),R1480,IF(AND(OR(V1480="Aprobada con ajuste",V1480="Rechazada"),W1480&lt;&gt;""),W1480,""))</f>
        <v/>
      </c>
    </row>
    <row r="1481">
      <c r="A1481" s="18" t="inlineStr">
        <is>
          <t>C1480</t>
        </is>
      </c>
      <c r="B1481" s="18" t="inlineStr">
        <is>
          <t>Control interno</t>
        </is>
      </c>
      <c r="C1481" s="18" t="inlineStr">
        <is>
          <t>control_interno</t>
        </is>
      </c>
      <c r="D1481" s="18" t="inlineStr">
        <is>
          <t>auditoria_territorial_info</t>
        </is>
      </c>
      <c r="E1481" s="18" t="n">
        <v>0</v>
      </c>
      <c r="F1481" s="18" t="inlineStr">
        <is>
          <t>ciudad</t>
        </is>
      </c>
      <c r="G1481" s="18" t="inlineStr">
        <is>
          <t>character varying(255)</t>
        </is>
      </c>
      <c r="H1481" s="18" t="inlineStr">
        <is>
          <t>No</t>
        </is>
      </c>
      <c r="I1481" s="18" t="inlineStr"/>
      <c r="J1481" s="18" t="inlineStr"/>
      <c r="K1481" s="18" t="inlineStr"/>
      <c r="L1481" s="18" t="inlineStr">
        <is>
          <t>No</t>
        </is>
      </c>
      <c r="M1481" s="18" t="inlineStr">
        <is>
          <t>Sí</t>
        </is>
      </c>
      <c r="N1481" s="18" t="inlineStr">
        <is>
          <t>Vista control_interno.v_auditorias_kanban_completo</t>
        </is>
      </c>
      <c r="O1481" s="18" t="inlineStr">
        <is>
          <t>idx_territorial_ciudad</t>
        </is>
      </c>
      <c r="P1481" s="18" t="inlineStr">
        <is>
          <t>Mapeada en internal-institutional-control-service/src/esap/auditorias/entities/auditoria-territorial-info.entity.ts:29 (AuditoriaTerritorialInfo.ciudad)</t>
        </is>
      </c>
      <c r="Q1481" s="18" t="inlineStr">
        <is>
          <t>Propuesta semántica</t>
        </is>
      </c>
      <c r="R1481" s="18" t="inlineStr">
        <is>
          <t>Ciudad donde se realiza la auditoría territorial.</t>
        </is>
      </c>
      <c r="S1481" s="18" t="inlineStr">
        <is>
          <t>Alta</t>
        </is>
      </c>
      <c r="T1481" s="18" t="inlineStr">
        <is>
          <t>nombre + tipo + descripción de la tabla ~</t>
        </is>
      </c>
      <c r="U1481" s="18" t="inlineStr"/>
      <c r="V1481" s="19" t="inlineStr">
        <is>
          <t>Pendiente</t>
        </is>
      </c>
      <c r="W1481" s="19" t="inlineStr"/>
      <c r="X1481" s="19" t="inlineStr"/>
      <c r="Y1481" s="20" t="n"/>
      <c r="Z1481" s="19" t="inlineStr"/>
      <c r="AA1481" s="18">
        <f>IF(OR(V1481="Aprobada"),R1481,IF(AND(OR(V1481="Aprobada con ajuste",V1481="Rechazada"),W1481&lt;&gt;""),W1481,""))</f>
        <v/>
      </c>
    </row>
    <row r="1482">
      <c r="A1482" s="18" t="inlineStr">
        <is>
          <t>C1481</t>
        </is>
      </c>
      <c r="B1482" s="18" t="inlineStr">
        <is>
          <t>Control interno</t>
        </is>
      </c>
      <c r="C1482" s="18" t="inlineStr">
        <is>
          <t>control_interno</t>
        </is>
      </c>
      <c r="D1482" s="18" t="inlineStr">
        <is>
          <t>auditoria_territorial_info</t>
        </is>
      </c>
      <c r="E1482" s="18" t="n">
        <v>0</v>
      </c>
      <c r="F1482" s="18" t="inlineStr">
        <is>
          <t>departamento</t>
        </is>
      </c>
      <c r="G1482" s="18" t="inlineStr">
        <is>
          <t>character varying(255)</t>
        </is>
      </c>
      <c r="H1482" s="18" t="inlineStr">
        <is>
          <t>No</t>
        </is>
      </c>
      <c r="I1482" s="18" t="inlineStr"/>
      <c r="J1482" s="18" t="inlineStr"/>
      <c r="K1482" s="18" t="inlineStr"/>
      <c r="L1482" s="18" t="inlineStr">
        <is>
          <t>No</t>
        </is>
      </c>
      <c r="M1482" s="18" t="inlineStr">
        <is>
          <t>Sí</t>
        </is>
      </c>
      <c r="N1482" s="18" t="inlineStr">
        <is>
          <t>Vista control_interno.v_auditorias_kanban_completo</t>
        </is>
      </c>
      <c r="O1482" s="18" t="inlineStr">
        <is>
          <t>idx_territorial_departamento</t>
        </is>
      </c>
      <c r="P1482" s="18" t="inlineStr">
        <is>
          <t>Mapeada en internal-institutional-control-service/src/esap/auditorias/entities/auditoria-territorial-info.entity.ts:32 (AuditoriaTerritorialInfo.departamento)</t>
        </is>
      </c>
      <c r="Q1482" s="18" t="inlineStr">
        <is>
          <t>Propuesta semántica</t>
        </is>
      </c>
      <c r="R1482" s="18" t="inlineStr">
        <is>
          <t>Departamento donde se realiza la auditoría territorial.</t>
        </is>
      </c>
      <c r="S1482" s="18" t="inlineStr">
        <is>
          <t>Alta</t>
        </is>
      </c>
      <c r="T1482" s="18" t="inlineStr">
        <is>
          <t>nombre + tipo + descripción de la tabla ~</t>
        </is>
      </c>
      <c r="U1482" s="18" t="inlineStr"/>
      <c r="V1482" s="19" t="inlineStr">
        <is>
          <t>Pendiente</t>
        </is>
      </c>
      <c r="W1482" s="19" t="inlineStr"/>
      <c r="X1482" s="19" t="inlineStr"/>
      <c r="Y1482" s="20" t="n"/>
      <c r="Z1482" s="19" t="inlineStr"/>
      <c r="AA1482" s="18">
        <f>IF(OR(V1482="Aprobada"),R1482,IF(AND(OR(V1482="Aprobada con ajuste",V1482="Rechazada"),W1482&lt;&gt;""),W1482,""))</f>
        <v/>
      </c>
    </row>
    <row r="1483">
      <c r="A1483" s="18" t="inlineStr">
        <is>
          <t>C1482</t>
        </is>
      </c>
      <c r="B1483" s="18" t="inlineStr">
        <is>
          <t>Control interno</t>
        </is>
      </c>
      <c r="C1483" s="18" t="inlineStr">
        <is>
          <t>control_interno</t>
        </is>
      </c>
      <c r="D1483" s="18" t="inlineStr">
        <is>
          <t>auditoria_territorial_info</t>
        </is>
      </c>
      <c r="E1483" s="18" t="n">
        <v>0</v>
      </c>
      <c r="F1483" s="18" t="inlineStr">
        <is>
          <t>direccion</t>
        </is>
      </c>
      <c r="G1483" s="18" t="inlineStr">
        <is>
          <t>text</t>
        </is>
      </c>
      <c r="H1483" s="18" t="inlineStr">
        <is>
          <t>Sí</t>
        </is>
      </c>
      <c r="I1483" s="18" t="inlineStr"/>
      <c r="J1483" s="18" t="inlineStr"/>
      <c r="K1483" s="18" t="inlineStr"/>
      <c r="L1483" s="18" t="inlineStr">
        <is>
          <t>No</t>
        </is>
      </c>
      <c r="M1483" s="18" t="inlineStr">
        <is>
          <t>No</t>
        </is>
      </c>
      <c r="N1483" s="18" t="inlineStr"/>
      <c r="O1483" s="18" t="inlineStr"/>
      <c r="P1483" s="18" t="inlineStr"/>
      <c r="Q1483" s="18" t="inlineStr">
        <is>
          <t>Propuesta semántica</t>
        </is>
      </c>
      <c r="R1483" s="18" t="inlineStr">
        <is>
          <t>Dirección física del lugar de la auditoría territorial.</t>
        </is>
      </c>
      <c r="S1483" s="18" t="inlineStr">
        <is>
          <t>Alta</t>
        </is>
      </c>
      <c r="T1483" s="18" t="inlineStr">
        <is>
          <t>nombre + tipo + descripción de la tabla ~</t>
        </is>
      </c>
      <c r="U1483" s="18" t="inlineStr"/>
      <c r="V1483" s="19" t="inlineStr">
        <is>
          <t>Pendiente</t>
        </is>
      </c>
      <c r="W1483" s="19" t="inlineStr"/>
      <c r="X1483" s="19" t="inlineStr"/>
      <c r="Y1483" s="20" t="n"/>
      <c r="Z1483" s="19" t="inlineStr"/>
      <c r="AA1483" s="18">
        <f>IF(OR(V1483="Aprobada"),R1483,IF(AND(OR(V1483="Aprobada con ajuste",V1483="Rechazada"),W1483&lt;&gt;""),W1483,""))</f>
        <v/>
      </c>
    </row>
    <row r="1484">
      <c r="A1484" s="18" t="inlineStr">
        <is>
          <t>C1483</t>
        </is>
      </c>
      <c r="B1484" s="18" t="inlineStr">
        <is>
          <t>Control interno</t>
        </is>
      </c>
      <c r="C1484" s="18" t="inlineStr">
        <is>
          <t>control_interno</t>
        </is>
      </c>
      <c r="D1484" s="18" t="inlineStr">
        <is>
          <t>auditoria_territorial_info</t>
        </is>
      </c>
      <c r="E1484" s="18" t="n">
        <v>0</v>
      </c>
      <c r="F1484" s="18" t="inlineStr">
        <is>
          <t>contacto_nombre</t>
        </is>
      </c>
      <c r="G1484" s="18" t="inlineStr">
        <is>
          <t>character varying(255)</t>
        </is>
      </c>
      <c r="H1484" s="18" t="inlineStr">
        <is>
          <t>Sí</t>
        </is>
      </c>
      <c r="I1484" s="18" t="inlineStr"/>
      <c r="J1484" s="18" t="inlineStr"/>
      <c r="K1484" s="18" t="inlineStr"/>
      <c r="L1484" s="18" t="inlineStr">
        <is>
          <t>No</t>
        </is>
      </c>
      <c r="M1484" s="18" t="inlineStr">
        <is>
          <t>No</t>
        </is>
      </c>
      <c r="N1484" s="18" t="inlineStr"/>
      <c r="O1484" s="18" t="inlineStr"/>
      <c r="P1484" s="18" t="inlineStr"/>
      <c r="Q1484" s="18" t="inlineStr">
        <is>
          <t>Propuesta semántica</t>
        </is>
      </c>
      <c r="R1484" s="18" t="inlineStr">
        <is>
          <t>Nombre de la persona de contacto en la sede territorial.</t>
        </is>
      </c>
      <c r="S1484" s="18" t="inlineStr">
        <is>
          <t>Alta</t>
        </is>
      </c>
      <c r="T1484" s="18" t="inlineStr">
        <is>
          <t>nombre + descripción de la tabla (contacto) ~</t>
        </is>
      </c>
      <c r="U1484" s="18" t="inlineStr"/>
      <c r="V1484" s="19" t="inlineStr">
        <is>
          <t>Pendiente</t>
        </is>
      </c>
      <c r="W1484" s="19" t="inlineStr"/>
      <c r="X1484" s="19" t="inlineStr"/>
      <c r="Y1484" s="20" t="n"/>
      <c r="Z1484" s="19" t="inlineStr"/>
      <c r="AA1484" s="18">
        <f>IF(OR(V1484="Aprobada"),R1484,IF(AND(OR(V1484="Aprobada con ajuste",V1484="Rechazada"),W1484&lt;&gt;""),W1484,""))</f>
        <v/>
      </c>
    </row>
    <row r="1485">
      <c r="A1485" s="18" t="inlineStr">
        <is>
          <t>C1484</t>
        </is>
      </c>
      <c r="B1485" s="18" t="inlineStr">
        <is>
          <t>Control interno</t>
        </is>
      </c>
      <c r="C1485" s="18" t="inlineStr">
        <is>
          <t>control_interno</t>
        </is>
      </c>
      <c r="D1485" s="18" t="inlineStr">
        <is>
          <t>auditoria_territorial_info</t>
        </is>
      </c>
      <c r="E1485" s="18" t="n">
        <v>0</v>
      </c>
      <c r="F1485" s="18" t="inlineStr">
        <is>
          <t>contacto_email</t>
        </is>
      </c>
      <c r="G1485" s="18" t="inlineStr">
        <is>
          <t>character varying(255)</t>
        </is>
      </c>
      <c r="H1485" s="18" t="inlineStr">
        <is>
          <t>Sí</t>
        </is>
      </c>
      <c r="I1485" s="18" t="inlineStr"/>
      <c r="J1485" s="18" t="inlineStr"/>
      <c r="K1485" s="18" t="inlineStr"/>
      <c r="L1485" s="18" t="inlineStr">
        <is>
          <t>No</t>
        </is>
      </c>
      <c r="M1485" s="18" t="inlineStr">
        <is>
          <t>No</t>
        </is>
      </c>
      <c r="N1485" s="18" t="inlineStr"/>
      <c r="O1485" s="18" t="inlineStr"/>
      <c r="P1485" s="18" t="inlineStr"/>
      <c r="Q1485" s="18" t="inlineStr">
        <is>
          <t>Propuesta semántica</t>
        </is>
      </c>
      <c r="R1485" s="18" t="inlineStr">
        <is>
          <t>Correo electrónico de la persona de contacto en la sede territorial.</t>
        </is>
      </c>
      <c r="S1485" s="18" t="inlineStr">
        <is>
          <t>Alta</t>
        </is>
      </c>
      <c r="T1485" s="18" t="inlineStr">
        <is>
          <t>nombre + descripción de la tabla ~</t>
        </is>
      </c>
      <c r="U1485" s="18" t="inlineStr"/>
      <c r="V1485" s="19" t="inlineStr">
        <is>
          <t>Pendiente</t>
        </is>
      </c>
      <c r="W1485" s="19" t="inlineStr"/>
      <c r="X1485" s="19" t="inlineStr"/>
      <c r="Y1485" s="20" t="n"/>
      <c r="Z1485" s="19" t="inlineStr"/>
      <c r="AA1485" s="18">
        <f>IF(OR(V1485="Aprobada"),R1485,IF(AND(OR(V1485="Aprobada con ajuste",V1485="Rechazada"),W1485&lt;&gt;""),W1485,""))</f>
        <v/>
      </c>
    </row>
    <row r="1486">
      <c r="A1486" s="18" t="inlineStr">
        <is>
          <t>C1485</t>
        </is>
      </c>
      <c r="B1486" s="18" t="inlineStr">
        <is>
          <t>Control interno</t>
        </is>
      </c>
      <c r="C1486" s="18" t="inlineStr">
        <is>
          <t>control_interno</t>
        </is>
      </c>
      <c r="D1486" s="18" t="inlineStr">
        <is>
          <t>auditoria_territorial_info</t>
        </is>
      </c>
      <c r="E1486" s="18" t="n">
        <v>0</v>
      </c>
      <c r="F1486" s="18" t="inlineStr">
        <is>
          <t>contacto_telefono</t>
        </is>
      </c>
      <c r="G1486" s="18" t="inlineStr">
        <is>
          <t>character varying(20)</t>
        </is>
      </c>
      <c r="H1486" s="18" t="inlineStr">
        <is>
          <t>Sí</t>
        </is>
      </c>
      <c r="I1486" s="18" t="inlineStr"/>
      <c r="J1486" s="18" t="inlineStr"/>
      <c r="K1486" s="18" t="inlineStr"/>
      <c r="L1486" s="18" t="inlineStr">
        <is>
          <t>No</t>
        </is>
      </c>
      <c r="M1486" s="18" t="inlineStr">
        <is>
          <t>No</t>
        </is>
      </c>
      <c r="N1486" s="18" t="inlineStr"/>
      <c r="O1486" s="18" t="inlineStr"/>
      <c r="P1486" s="18" t="inlineStr"/>
      <c r="Q1486" s="18" t="inlineStr">
        <is>
          <t>Propuesta semántica</t>
        </is>
      </c>
      <c r="R1486" s="18" t="inlineStr">
        <is>
          <t>Teléfono de la persona de contacto en la sede territorial.</t>
        </is>
      </c>
      <c r="S1486" s="18" t="inlineStr">
        <is>
          <t>Alta</t>
        </is>
      </c>
      <c r="T1486" s="18" t="inlineStr">
        <is>
          <t>nombre + descripción de la tabla ~</t>
        </is>
      </c>
      <c r="U1486" s="18" t="inlineStr"/>
      <c r="V1486" s="19" t="inlineStr">
        <is>
          <t>Pendiente</t>
        </is>
      </c>
      <c r="W1486" s="19" t="inlineStr"/>
      <c r="X1486" s="19" t="inlineStr"/>
      <c r="Y1486" s="20" t="n"/>
      <c r="Z1486" s="19" t="inlineStr"/>
      <c r="AA1486" s="18">
        <f>IF(OR(V1486="Aprobada"),R1486,IF(AND(OR(V1486="Aprobada con ajuste",V1486="Rechazada"),W1486&lt;&gt;""),W1486,""))</f>
        <v/>
      </c>
    </row>
    <row r="1487">
      <c r="A1487" s="18" t="inlineStr">
        <is>
          <t>C1486</t>
        </is>
      </c>
      <c r="B1487" s="18" t="inlineStr">
        <is>
          <t>Control interno</t>
        </is>
      </c>
      <c r="C1487" s="18" t="inlineStr">
        <is>
          <t>control_interno</t>
        </is>
      </c>
      <c r="D1487" s="18" t="inlineStr">
        <is>
          <t>auditoria_territorial_info</t>
        </is>
      </c>
      <c r="E1487" s="18" t="n">
        <v>0</v>
      </c>
      <c r="F1487" s="18" t="inlineStr">
        <is>
          <t>observaciones</t>
        </is>
      </c>
      <c r="G1487" s="18" t="inlineStr">
        <is>
          <t>text</t>
        </is>
      </c>
      <c r="H1487" s="18" t="inlineStr">
        <is>
          <t>Sí</t>
        </is>
      </c>
      <c r="I1487" s="18" t="inlineStr"/>
      <c r="J1487" s="18" t="inlineStr"/>
      <c r="K1487" s="18" t="inlineStr"/>
      <c r="L1487" s="18" t="inlineStr">
        <is>
          <t>No</t>
        </is>
      </c>
      <c r="M1487" s="18" t="inlineStr">
        <is>
          <t>No</t>
        </is>
      </c>
      <c r="N1487" s="18" t="inlineStr"/>
      <c r="O1487" s="18" t="inlineStr"/>
      <c r="P1487" s="18" t="inlineStr"/>
      <c r="Q1487" s="18" t="inlineStr">
        <is>
          <t>Regla estructural</t>
        </is>
      </c>
      <c r="R1487" s="18" t="inlineStr">
        <is>
          <t>Observaciones registradas sobre el registro.</t>
        </is>
      </c>
      <c r="S1487" s="18" t="inlineStr">
        <is>
          <t>Media</t>
        </is>
      </c>
      <c r="T1487" s="18" t="inlineStr">
        <is>
          <t>Convención de nombre de la columna.</t>
        </is>
      </c>
      <c r="U1487" s="18" t="inlineStr"/>
      <c r="V1487" s="19" t="inlineStr">
        <is>
          <t>Pendiente</t>
        </is>
      </c>
      <c r="W1487" s="19" t="inlineStr"/>
      <c r="X1487" s="19" t="inlineStr"/>
      <c r="Y1487" s="20" t="n"/>
      <c r="Z1487" s="19" t="inlineStr"/>
      <c r="AA1487" s="18">
        <f>IF(OR(V1487="Aprobada"),R1487,IF(AND(OR(V1487="Aprobada con ajuste",V1487="Rechazada"),W1487&lt;&gt;""),W1487,""))</f>
        <v/>
      </c>
    </row>
    <row r="1488">
      <c r="A1488" s="18" t="inlineStr">
        <is>
          <t>C1487</t>
        </is>
      </c>
      <c r="B1488" s="18" t="inlineStr">
        <is>
          <t>Control interno</t>
        </is>
      </c>
      <c r="C1488" s="18" t="inlineStr">
        <is>
          <t>control_interno</t>
        </is>
      </c>
      <c r="D1488" s="18" t="inlineStr">
        <is>
          <t>cache_esap</t>
        </is>
      </c>
      <c r="E1488" s="18" t="n">
        <v>0</v>
      </c>
      <c r="F1488" s="18" t="inlineStr">
        <is>
          <t>clave</t>
        </is>
      </c>
      <c r="G1488" s="18" t="inlineStr">
        <is>
          <t>character varying(500)</t>
        </is>
      </c>
      <c r="H1488" s="18" t="inlineStr">
        <is>
          <t>No</t>
        </is>
      </c>
      <c r="I1488" s="18" t="inlineStr">
        <is>
          <t>Única</t>
        </is>
      </c>
      <c r="J1488" s="18" t="inlineStr"/>
      <c r="K1488" s="18" t="inlineStr"/>
      <c r="L1488" s="18" t="inlineStr">
        <is>
          <t>Sí</t>
        </is>
      </c>
      <c r="M1488" s="18" t="inlineStr">
        <is>
          <t>No</t>
        </is>
      </c>
      <c r="N1488" s="18" t="inlineStr"/>
      <c r="O1488" s="18" t="inlineStr">
        <is>
          <t>cache_esap_clave_key, idx_cache_clave</t>
        </is>
      </c>
      <c r="P1488" s="18" t="inlineStr"/>
      <c r="Q1488" s="18" t="inlineStr">
        <is>
          <t>Propuesta semántica</t>
        </is>
      </c>
      <c r="R1488" s="18" t="inlineStr">
        <is>
          <t>Clave única de la entrada de caché.</t>
        </is>
      </c>
      <c r="S1488" s="18" t="inlineStr">
        <is>
          <t>Alta</t>
        </is>
      </c>
      <c r="T1488" s="18" t="inlineStr">
        <is>
          <t>nombre + restricción única + descripción de la tabla ~</t>
        </is>
      </c>
      <c r="U1488" s="18" t="inlineStr"/>
      <c r="V1488" s="19" t="inlineStr">
        <is>
          <t>Pendiente</t>
        </is>
      </c>
      <c r="W1488" s="19" t="inlineStr"/>
      <c r="X1488" s="19" t="inlineStr"/>
      <c r="Y1488" s="20" t="n"/>
      <c r="Z1488" s="19" t="inlineStr"/>
      <c r="AA1488" s="18">
        <f>IF(OR(V1488="Aprobada"),R1488,IF(AND(OR(V1488="Aprobada con ajuste",V1488="Rechazada"),W1488&lt;&gt;""),W1488,""))</f>
        <v/>
      </c>
    </row>
    <row r="1489">
      <c r="A1489" s="18" t="inlineStr">
        <is>
          <t>C1488</t>
        </is>
      </c>
      <c r="B1489" s="18" t="inlineStr">
        <is>
          <t>Control interno</t>
        </is>
      </c>
      <c r="C1489" s="18" t="inlineStr">
        <is>
          <t>control_interno</t>
        </is>
      </c>
      <c r="D1489" s="18" t="inlineStr">
        <is>
          <t>cache_esap</t>
        </is>
      </c>
      <c r="E1489" s="18" t="n">
        <v>0</v>
      </c>
      <c r="F1489" s="18" t="inlineStr">
        <is>
          <t>valor</t>
        </is>
      </c>
      <c r="G1489" s="18" t="inlineStr">
        <is>
          <t>jsonb</t>
        </is>
      </c>
      <c r="H1489" s="18" t="inlineStr">
        <is>
          <t>No</t>
        </is>
      </c>
      <c r="I1489" s="18" t="inlineStr"/>
      <c r="J1489" s="18" t="inlineStr"/>
      <c r="K1489" s="18" t="inlineStr"/>
      <c r="L1489" s="18" t="inlineStr">
        <is>
          <t>Sí</t>
        </is>
      </c>
      <c r="M1489" s="18" t="inlineStr">
        <is>
          <t>No</t>
        </is>
      </c>
      <c r="N1489" s="18" t="inlineStr"/>
      <c r="O1489" s="18" t="inlineStr"/>
      <c r="P1489" s="18" t="inlineStr"/>
      <c r="Q1489" s="18" t="inlineStr">
        <is>
          <t>Propuesta semántica</t>
        </is>
      </c>
      <c r="R1489" s="18" t="inlineStr">
        <is>
          <t>Valor almacenado en caché para la clave, en formato JSON.</t>
        </is>
      </c>
      <c r="S1489" s="18" t="inlineStr">
        <is>
          <t>Alta</t>
        </is>
      </c>
      <c r="T1489" s="18" t="inlineStr">
        <is>
          <t>nombre + tipo jsonb + descripción de la tabla ~</t>
        </is>
      </c>
      <c r="U1489" s="18" t="inlineStr"/>
      <c r="V1489" s="19" t="inlineStr">
        <is>
          <t>Pendiente</t>
        </is>
      </c>
      <c r="W1489" s="19" t="inlineStr"/>
      <c r="X1489" s="19" t="inlineStr"/>
      <c r="Y1489" s="20" t="n"/>
      <c r="Z1489" s="19" t="inlineStr"/>
      <c r="AA1489" s="18">
        <f>IF(OR(V1489="Aprobada"),R1489,IF(AND(OR(V1489="Aprobada con ajuste",V1489="Rechazada"),W1489&lt;&gt;""),W1489,""))</f>
        <v/>
      </c>
    </row>
    <row r="1490">
      <c r="A1490" s="18" t="inlineStr">
        <is>
          <t>C1489</t>
        </is>
      </c>
      <c r="B1490" s="18" t="inlineStr">
        <is>
          <t>Control interno</t>
        </is>
      </c>
      <c r="C1490" s="18" t="inlineStr">
        <is>
          <t>control_interno</t>
        </is>
      </c>
      <c r="D1490" s="18" t="inlineStr">
        <is>
          <t>cache_esap</t>
        </is>
      </c>
      <c r="E1490" s="18" t="n">
        <v>0</v>
      </c>
      <c r="F1490" s="18" t="inlineStr">
        <is>
          <t>fecha_expiracion</t>
        </is>
      </c>
      <c r="G1490" s="18" t="inlineStr">
        <is>
          <t>timestamp without time zone</t>
        </is>
      </c>
      <c r="H1490" s="18" t="inlineStr">
        <is>
          <t>Sí</t>
        </is>
      </c>
      <c r="I1490" s="18" t="inlineStr"/>
      <c r="J1490" s="18" t="inlineStr"/>
      <c r="K1490" s="18" t="inlineStr"/>
      <c r="L1490" s="18" t="inlineStr">
        <is>
          <t>Sí</t>
        </is>
      </c>
      <c r="M1490" s="18" t="inlineStr">
        <is>
          <t>No</t>
        </is>
      </c>
      <c r="N1490" s="18" t="inlineStr"/>
      <c r="O1490" s="18" t="inlineStr">
        <is>
          <t>idx_cache_expiracion</t>
        </is>
      </c>
      <c r="P1490" s="18" t="inlineStr"/>
      <c r="Q1490" s="18" t="inlineStr">
        <is>
          <t>Regla estructural</t>
        </is>
      </c>
      <c r="R1490" s="18" t="inlineStr">
        <is>
          <t>Fecha de expiración.</t>
        </is>
      </c>
      <c r="S1490" s="18" t="inlineStr">
        <is>
          <t>Media</t>
        </is>
      </c>
      <c r="T1490" s="18" t="inlineStr">
        <is>
          <t>Convención de nombre de la columna.</t>
        </is>
      </c>
      <c r="U1490" s="18" t="inlineStr"/>
      <c r="V1490" s="19" t="inlineStr">
        <is>
          <t>Pendiente</t>
        </is>
      </c>
      <c r="W1490" s="19" t="inlineStr"/>
      <c r="X1490" s="19" t="inlineStr"/>
      <c r="Y1490" s="20" t="n"/>
      <c r="Z1490" s="19" t="inlineStr"/>
      <c r="AA1490" s="18">
        <f>IF(OR(V1490="Aprobada"),R1490,IF(AND(OR(V1490="Aprobada con ajuste",V1490="Rechazada"),W1490&lt;&gt;""),W1490,""))</f>
        <v/>
      </c>
    </row>
    <row r="1491">
      <c r="A1491" s="18" t="inlineStr">
        <is>
          <t>C1490</t>
        </is>
      </c>
      <c r="B1491" s="18" t="inlineStr">
        <is>
          <t>Control interno</t>
        </is>
      </c>
      <c r="C1491" s="18" t="inlineStr">
        <is>
          <t>control_interno</t>
        </is>
      </c>
      <c r="D1491" s="18" t="inlineStr">
        <is>
          <t>cierre_plan</t>
        </is>
      </c>
      <c r="E1491" s="18" t="n">
        <v>2</v>
      </c>
      <c r="F1491" s="18" t="inlineStr">
        <is>
          <t>cerrado</t>
        </is>
      </c>
      <c r="G1491" s="18" t="inlineStr">
        <is>
          <t>boolean</t>
        </is>
      </c>
      <c r="H1491" s="18" t="inlineStr">
        <is>
          <t>Sí</t>
        </is>
      </c>
      <c r="I1491" s="18" t="inlineStr"/>
      <c r="J1491" s="18" t="inlineStr"/>
      <c r="K1491" s="18" t="inlineStr"/>
      <c r="L1491" s="18" t="inlineStr">
        <is>
          <t>No</t>
        </is>
      </c>
      <c r="M1491" s="18" t="inlineStr">
        <is>
          <t>No</t>
        </is>
      </c>
      <c r="N1491" s="18" t="inlineStr"/>
      <c r="O1491" s="18" t="inlineStr"/>
      <c r="P1491" s="18" t="inlineStr">
        <is>
          <t>internal-institutional-control-service/src/esap/planes-mejoramiento/entities/cierre-plan.entity.ts:31: ¿El plan está cerrado?</t>
        </is>
      </c>
      <c r="Q1491" s="18" t="inlineStr">
        <is>
          <t>Código fuente</t>
        </is>
      </c>
      <c r="R1491" s="18" t="inlineStr">
        <is>
          <t>Indica si el plan de mejoramiento está cerrado; por defecto falso.</t>
        </is>
      </c>
      <c r="S1491" s="18" t="inlineStr">
        <is>
          <t>Alta</t>
        </is>
      </c>
      <c r="T1491" s="18" t="inlineStr">
        <is>
          <t>código: internal-institutional-control-service/src/esap/planes-mejoramiento/entities/cierre-plan.entity.ts:31</t>
        </is>
      </c>
      <c r="U1491" s="18" t="inlineStr"/>
      <c r="V1491" s="19" t="inlineStr">
        <is>
          <t>Pendiente</t>
        </is>
      </c>
      <c r="W1491" s="19" t="inlineStr"/>
      <c r="X1491" s="19" t="inlineStr"/>
      <c r="Y1491" s="20" t="n"/>
      <c r="Z1491" s="19" t="inlineStr"/>
      <c r="AA1491" s="18">
        <f>IF(OR(V1491="Aprobada"),R1491,IF(AND(OR(V1491="Aprobada con ajuste",V1491="Rechazada"),W1491&lt;&gt;""),W1491,""))</f>
        <v/>
      </c>
    </row>
    <row r="1492">
      <c r="A1492" s="18" t="inlineStr">
        <is>
          <t>C1491</t>
        </is>
      </c>
      <c r="B1492" s="18" t="inlineStr">
        <is>
          <t>Control interno</t>
        </is>
      </c>
      <c r="C1492" s="18" t="inlineStr">
        <is>
          <t>control_interno</t>
        </is>
      </c>
      <c r="D1492" s="18" t="inlineStr">
        <is>
          <t>cierre_plan</t>
        </is>
      </c>
      <c r="E1492" s="18" t="n">
        <v>2</v>
      </c>
      <c r="F1492" s="18" t="inlineStr">
        <is>
          <t>fecha_cierre</t>
        </is>
      </c>
      <c r="G1492" s="18" t="inlineStr">
        <is>
          <t>timestamp with time zone</t>
        </is>
      </c>
      <c r="H1492" s="18" t="inlineStr">
        <is>
          <t>Sí</t>
        </is>
      </c>
      <c r="I1492" s="18" t="inlineStr"/>
      <c r="J1492" s="18" t="inlineStr"/>
      <c r="K1492" s="18" t="inlineStr"/>
      <c r="L1492" s="18" t="inlineStr">
        <is>
          <t>No</t>
        </is>
      </c>
      <c r="M1492" s="18" t="inlineStr">
        <is>
          <t>No</t>
        </is>
      </c>
      <c r="N1492" s="18" t="inlineStr"/>
      <c r="O1492" s="18" t="inlineStr"/>
      <c r="P1492" s="18" t="inlineStr">
        <is>
          <t>internal-institutional-control-service/src/esap/planes-mejoramiento/entities/cierre-plan.entity.ts:35: Fecha de cierre</t>
        </is>
      </c>
      <c r="Q1492" s="18" t="inlineStr">
        <is>
          <t>Código fuente</t>
        </is>
      </c>
      <c r="R1492" s="18" t="inlineStr">
        <is>
          <t>Fecha y hora de cierre del plan de mejoramiento.</t>
        </is>
      </c>
      <c r="S1492" s="18" t="inlineStr">
        <is>
          <t>Alta</t>
        </is>
      </c>
      <c r="T1492" s="18" t="inlineStr">
        <is>
          <t>código: internal-institutional-control-service/src/esap/planes-mejoramiento/entities/cierre-plan.entity.ts:35</t>
        </is>
      </c>
      <c r="U1492" s="18" t="inlineStr"/>
      <c r="V1492" s="19" t="inlineStr">
        <is>
          <t>Pendiente</t>
        </is>
      </c>
      <c r="W1492" s="19" t="inlineStr"/>
      <c r="X1492" s="19" t="inlineStr"/>
      <c r="Y1492" s="20" t="n"/>
      <c r="Z1492" s="19" t="inlineStr"/>
      <c r="AA1492" s="18">
        <f>IF(OR(V1492="Aprobada"),R1492,IF(AND(OR(V1492="Aprobada con ajuste",V1492="Rechazada"),W1492&lt;&gt;""),W1492,""))</f>
        <v/>
      </c>
    </row>
    <row r="1493">
      <c r="A1493" s="18" t="inlineStr">
        <is>
          <t>C1492</t>
        </is>
      </c>
      <c r="B1493" s="18" t="inlineStr">
        <is>
          <t>Control interno</t>
        </is>
      </c>
      <c r="C1493" s="18" t="inlineStr">
        <is>
          <t>control_interno</t>
        </is>
      </c>
      <c r="D1493" s="18" t="inlineStr">
        <is>
          <t>cierre_plan</t>
        </is>
      </c>
      <c r="E1493" s="18" t="n">
        <v>2</v>
      </c>
      <c r="F1493" s="18" t="inlineStr">
        <is>
          <t>cerrado_por_id</t>
        </is>
      </c>
      <c r="G1493" s="18" t="inlineStr">
        <is>
          <t>character varying(255)</t>
        </is>
      </c>
      <c r="H1493" s="18" t="inlineStr">
        <is>
          <t>Sí</t>
        </is>
      </c>
      <c r="I1493" s="18" t="inlineStr"/>
      <c r="J1493" s="18" t="inlineStr"/>
      <c r="K1493" s="18" t="inlineStr"/>
      <c r="L1493" s="18" t="inlineStr">
        <is>
          <t>No</t>
        </is>
      </c>
      <c r="M1493" s="18" t="inlineStr">
        <is>
          <t>No</t>
        </is>
      </c>
      <c r="N1493" s="18" t="inlineStr"/>
      <c r="O1493" s="18" t="inlineStr"/>
      <c r="P1493" s="18" t="inlineStr">
        <is>
          <t>internal-institutional-control-service/src/esap/planes-mejoramiento/entities/cierre-plan.entity.ts:39: ID del responsable que cerró el plan (Jefe OCI o delegado)</t>
        </is>
      </c>
      <c r="Q1493" s="18" t="inlineStr">
        <is>
          <t>Código fuente</t>
        </is>
      </c>
      <c r="R1493" s="18" t="inlineStr">
        <is>
          <t>Identificador del responsable que cerró el plan (jefe de la Oficina de Control Interno o delegado).</t>
        </is>
      </c>
      <c r="S1493" s="18" t="inlineStr">
        <is>
          <t>Alta</t>
        </is>
      </c>
      <c r="T1493" s="18" t="inlineStr">
        <is>
          <t>código: internal-institutional-control-service/src/esap/planes-mejoramiento/entities/cierre-plan.entity.ts:39</t>
        </is>
      </c>
      <c r="U1493" s="18" t="inlineStr"/>
      <c r="V1493" s="19" t="inlineStr">
        <is>
          <t>Pendiente</t>
        </is>
      </c>
      <c r="W1493" s="19" t="inlineStr"/>
      <c r="X1493" s="19" t="inlineStr"/>
      <c r="Y1493" s="20" t="n"/>
      <c r="Z1493" s="19" t="inlineStr"/>
      <c r="AA1493" s="18">
        <f>IF(OR(V1493="Aprobada"),R1493,IF(AND(OR(V1493="Aprobada con ajuste",V1493="Rechazada"),W1493&lt;&gt;""),W1493,""))</f>
        <v/>
      </c>
    </row>
    <row r="1494">
      <c r="A1494" s="18" t="inlineStr">
        <is>
          <t>C1493</t>
        </is>
      </c>
      <c r="B1494" s="18" t="inlineStr">
        <is>
          <t>Control interno</t>
        </is>
      </c>
      <c r="C1494" s="18" t="inlineStr">
        <is>
          <t>control_interno</t>
        </is>
      </c>
      <c r="D1494" s="18" t="inlineStr">
        <is>
          <t>cierre_plan</t>
        </is>
      </c>
      <c r="E1494" s="18" t="n">
        <v>2</v>
      </c>
      <c r="F1494" s="18" t="inlineStr">
        <is>
          <t>cerrado_por_nombre</t>
        </is>
      </c>
      <c r="G1494" s="18" t="inlineStr">
        <is>
          <t>character varying(500)</t>
        </is>
      </c>
      <c r="H1494" s="18" t="inlineStr">
        <is>
          <t>Sí</t>
        </is>
      </c>
      <c r="I1494" s="18" t="inlineStr"/>
      <c r="J1494" s="18" t="inlineStr"/>
      <c r="K1494" s="18" t="inlineStr"/>
      <c r="L1494" s="18" t="inlineStr">
        <is>
          <t>No</t>
        </is>
      </c>
      <c r="M1494" s="18" t="inlineStr">
        <is>
          <t>No</t>
        </is>
      </c>
      <c r="N1494" s="18" t="inlineStr"/>
      <c r="O1494" s="18" t="inlineStr"/>
      <c r="P1494" s="18" t="inlineStr">
        <is>
          <t>internal-institutional-control-service/src/esap/planes-mejoramiento/entities/cierre-plan.entity.ts:43: Nombre del responsable que cerró (desnormalizado para trazabilidad)</t>
        </is>
      </c>
      <c r="Q1494" s="18" t="inlineStr">
        <is>
          <t>Código fuente</t>
        </is>
      </c>
      <c r="R1494" s="18" t="inlineStr">
        <is>
          <t>Nombre del responsable que cerró el plan, copiado para trazabilidad.</t>
        </is>
      </c>
      <c r="S1494" s="18" t="inlineStr">
        <is>
          <t>Alta</t>
        </is>
      </c>
      <c r="T1494" s="18" t="inlineStr">
        <is>
          <t>código: internal-institutional-control-service/src/esap/planes-mejoramiento/entities/cierre-plan.entity.ts:43</t>
        </is>
      </c>
      <c r="U1494" s="18" t="inlineStr"/>
      <c r="V1494" s="19" t="inlineStr">
        <is>
          <t>Pendiente</t>
        </is>
      </c>
      <c r="W1494" s="19" t="inlineStr"/>
      <c r="X1494" s="19" t="inlineStr"/>
      <c r="Y1494" s="20" t="n"/>
      <c r="Z1494" s="19" t="inlineStr"/>
      <c r="AA1494" s="18">
        <f>IF(OR(V1494="Aprobada"),R1494,IF(AND(OR(V1494="Aprobada con ajuste",V1494="Rechazada"),W1494&lt;&gt;""),W1494,""))</f>
        <v/>
      </c>
    </row>
    <row r="1495">
      <c r="A1495" s="18" t="inlineStr">
        <is>
          <t>C1494</t>
        </is>
      </c>
      <c r="B1495" s="18" t="inlineStr">
        <is>
          <t>Control interno</t>
        </is>
      </c>
      <c r="C1495" s="18" t="inlineStr">
        <is>
          <t>control_interno</t>
        </is>
      </c>
      <c r="D1495" s="18" t="inlineStr">
        <is>
          <t>cierre_plan</t>
        </is>
      </c>
      <c r="E1495" s="18" t="n">
        <v>2</v>
      </c>
      <c r="F1495" s="18" t="inlineStr">
        <is>
          <t>observaciones_cierre</t>
        </is>
      </c>
      <c r="G1495" s="18" t="inlineStr">
        <is>
          <t>text</t>
        </is>
      </c>
      <c r="H1495" s="18" t="inlineStr">
        <is>
          <t>Sí</t>
        </is>
      </c>
      <c r="I1495" s="18" t="inlineStr"/>
      <c r="J1495" s="18" t="inlineStr"/>
      <c r="K1495" s="18" t="inlineStr"/>
      <c r="L1495" s="18" t="inlineStr">
        <is>
          <t>No</t>
        </is>
      </c>
      <c r="M1495" s="18" t="inlineStr">
        <is>
          <t>No</t>
        </is>
      </c>
      <c r="N1495" s="18" t="inlineStr"/>
      <c r="O1495" s="18" t="inlineStr"/>
      <c r="P1495" s="18" t="inlineStr">
        <is>
          <t>internal-institutional-control-service/src/esap/planes-mejoramiento/entities/cierre-plan.entity.ts:47: Observaciones del cierre | Validación: IsOptional, IsString</t>
        </is>
      </c>
      <c r="Q1495" s="18" t="inlineStr">
        <is>
          <t>Código fuente</t>
        </is>
      </c>
      <c r="R1495" s="18" t="inlineStr">
        <is>
          <t>Observaciones del cierre del plan.</t>
        </is>
      </c>
      <c r="S1495" s="18" t="inlineStr">
        <is>
          <t>Alta</t>
        </is>
      </c>
      <c r="T1495" s="18" t="inlineStr">
        <is>
          <t>código: internal-institutional-control-service/src/esap/planes-mejoramiento/entities/cierre-plan.entity.ts:47</t>
        </is>
      </c>
      <c r="U1495" s="18" t="inlineStr"/>
      <c r="V1495" s="19" t="inlineStr">
        <is>
          <t>Pendiente</t>
        </is>
      </c>
      <c r="W1495" s="19" t="inlineStr"/>
      <c r="X1495" s="19" t="inlineStr"/>
      <c r="Y1495" s="20" t="n"/>
      <c r="Z1495" s="19" t="inlineStr"/>
      <c r="AA1495" s="18">
        <f>IF(OR(V1495="Aprobada"),R1495,IF(AND(OR(V1495="Aprobada con ajuste",V1495="Rechazada"),W1495&lt;&gt;""),W1495,""))</f>
        <v/>
      </c>
    </row>
    <row r="1496">
      <c r="A1496" s="18" t="inlineStr">
        <is>
          <t>C1495</t>
        </is>
      </c>
      <c r="B1496" s="18" t="inlineStr">
        <is>
          <t>Control interno</t>
        </is>
      </c>
      <c r="C1496" s="18" t="inlineStr">
        <is>
          <t>control_interno</t>
        </is>
      </c>
      <c r="D1496" s="18" t="inlineStr">
        <is>
          <t>cierre_plan</t>
        </is>
      </c>
      <c r="E1496" s="18" t="n">
        <v>2</v>
      </c>
      <c r="F1496" s="18" t="inlineStr">
        <is>
          <t>efectividad_verificada</t>
        </is>
      </c>
      <c r="G1496" s="18" t="inlineStr">
        <is>
          <t>boolean</t>
        </is>
      </c>
      <c r="H1496" s="18" t="inlineStr">
        <is>
          <t>Sí</t>
        </is>
      </c>
      <c r="I1496" s="18" t="inlineStr"/>
      <c r="J1496" s="18" t="inlineStr"/>
      <c r="K1496" s="18" t="inlineStr"/>
      <c r="L1496" s="18" t="inlineStr">
        <is>
          <t>No</t>
        </is>
      </c>
      <c r="M1496" s="18" t="inlineStr">
        <is>
          <t>No</t>
        </is>
      </c>
      <c r="N1496" s="18" t="inlineStr"/>
      <c r="O1496" s="18" t="inlineStr"/>
      <c r="P1496" s="18" t="inlineStr">
        <is>
          <t>internal-institutional-control-service/src/esap/planes-mejoramiento/entities/cierre-plan.entity.ts:51: ¿Efectividad verificada en la siguiente auditoría? (EM-PT-002 act. 9)</t>
        </is>
      </c>
      <c r="Q1496" s="18" t="inlineStr">
        <is>
          <t>Código fuente</t>
        </is>
      </c>
      <c r="R1496" s="18" t="inlineStr">
        <is>
          <t>Indica si la efectividad se verificó en la siguiente auditoría; por defecto falso (EM-PT-002, actividad 9).</t>
        </is>
      </c>
      <c r="S1496" s="18" t="inlineStr">
        <is>
          <t>Alta</t>
        </is>
      </c>
      <c r="T1496" s="18" t="inlineStr">
        <is>
          <t>código: internal-institutional-control-service/src/esap/planes-mejoramiento/entities/cierre-plan.entity.ts:51</t>
        </is>
      </c>
      <c r="U1496" s="18" t="inlineStr"/>
      <c r="V1496" s="19" t="inlineStr">
        <is>
          <t>Pendiente</t>
        </is>
      </c>
      <c r="W1496" s="19" t="inlineStr"/>
      <c r="X1496" s="19" t="inlineStr"/>
      <c r="Y1496" s="20" t="n"/>
      <c r="Z1496" s="19" t="inlineStr"/>
      <c r="AA1496" s="18">
        <f>IF(OR(V1496="Aprobada"),R1496,IF(AND(OR(V1496="Aprobada con ajuste",V1496="Rechazada"),W1496&lt;&gt;""),W1496,""))</f>
        <v/>
      </c>
    </row>
    <row r="1497">
      <c r="A1497" s="18" t="inlineStr">
        <is>
          <t>C1496</t>
        </is>
      </c>
      <c r="B1497" s="18" t="inlineStr">
        <is>
          <t>Control interno</t>
        </is>
      </c>
      <c r="C1497" s="18" t="inlineStr">
        <is>
          <t>control_interno</t>
        </is>
      </c>
      <c r="D1497" s="18" t="inlineStr">
        <is>
          <t>cierre_plan</t>
        </is>
      </c>
      <c r="E1497" s="18" t="n">
        <v>2</v>
      </c>
      <c r="F1497" s="18" t="inlineStr">
        <is>
          <t>archivado</t>
        </is>
      </c>
      <c r="G1497" s="18" t="inlineStr">
        <is>
          <t>boolean</t>
        </is>
      </c>
      <c r="H1497" s="18" t="inlineStr">
        <is>
          <t>Sí</t>
        </is>
      </c>
      <c r="I1497" s="18" t="inlineStr"/>
      <c r="J1497" s="18" t="inlineStr"/>
      <c r="K1497" s="18" t="inlineStr"/>
      <c r="L1497" s="18" t="inlineStr">
        <is>
          <t>No</t>
        </is>
      </c>
      <c r="M1497" s="18" t="inlineStr">
        <is>
          <t>No</t>
        </is>
      </c>
      <c r="N1497" s="18" t="inlineStr"/>
      <c r="O1497" s="18" t="inlineStr"/>
      <c r="P1497" s="18" t="inlineStr">
        <is>
          <t>internal-institutional-control-service/src/esap/planes-mejoramiento/entities/cierre-plan.entity.ts:55: ¿Expediente archivado con índice electrónico? (EM-PT-002 act. 10)</t>
        </is>
      </c>
      <c r="Q1497" s="18" t="inlineStr">
        <is>
          <t>Código fuente</t>
        </is>
      </c>
      <c r="R1497" s="18" t="inlineStr">
        <is>
          <t>Indica si el expediente del plan se archivó con índice electrónico; por defecto falso (EM-PT-002, actividad 10).</t>
        </is>
      </c>
      <c r="S1497" s="18" t="inlineStr">
        <is>
          <t>Alta</t>
        </is>
      </c>
      <c r="T1497" s="18" t="inlineStr">
        <is>
          <t>código: internal-institutional-control-service/src/esap/planes-mejoramiento/entities/cierre-plan.entity.ts:55</t>
        </is>
      </c>
      <c r="U1497" s="18" t="inlineStr"/>
      <c r="V1497" s="19" t="inlineStr">
        <is>
          <t>Pendiente</t>
        </is>
      </c>
      <c r="W1497" s="19" t="inlineStr"/>
      <c r="X1497" s="19" t="inlineStr"/>
      <c r="Y1497" s="20" t="n"/>
      <c r="Z1497" s="19" t="inlineStr"/>
      <c r="AA1497" s="18">
        <f>IF(OR(V1497="Aprobada"),R1497,IF(AND(OR(V1497="Aprobada con ajuste",V1497="Rechazada"),W1497&lt;&gt;""),W1497,""))</f>
        <v/>
      </c>
    </row>
    <row r="1498">
      <c r="A1498" s="18" t="inlineStr">
        <is>
          <t>C1497</t>
        </is>
      </c>
      <c r="B1498" s="18" t="inlineStr">
        <is>
          <t>Control interno</t>
        </is>
      </c>
      <c r="C1498" s="18" t="inlineStr">
        <is>
          <t>control_interno</t>
        </is>
      </c>
      <c r="D1498" s="18" t="inlineStr">
        <is>
          <t>cierre_plan</t>
        </is>
      </c>
      <c r="E1498" s="18" t="n">
        <v>2</v>
      </c>
      <c r="F1498" s="18" t="inlineStr">
        <is>
          <t>indice_electronico_ref</t>
        </is>
      </c>
      <c r="G1498" s="18" t="inlineStr">
        <is>
          <t>character varying(1000)</t>
        </is>
      </c>
      <c r="H1498" s="18" t="inlineStr">
        <is>
          <t>Sí</t>
        </is>
      </c>
      <c r="I1498" s="18" t="inlineStr"/>
      <c r="J1498" s="18" t="inlineStr"/>
      <c r="K1498" s="18" t="inlineStr"/>
      <c r="L1498" s="18" t="inlineStr">
        <is>
          <t>No</t>
        </is>
      </c>
      <c r="M1498" s="18" t="inlineStr">
        <is>
          <t>No</t>
        </is>
      </c>
      <c r="N1498" s="18" t="inlineStr"/>
      <c r="O1498" s="18" t="inlineStr"/>
      <c r="P1498" s="18" t="inlineStr">
        <is>
          <t>internal-institutional-control-service/src/esap/planes-mejoramiento/entities/cierre-plan.entity.ts:59: Referencia al índice electrónico del expediente</t>
        </is>
      </c>
      <c r="Q1498" s="18" t="inlineStr">
        <is>
          <t>Código fuente</t>
        </is>
      </c>
      <c r="R1498" s="18" t="inlineStr">
        <is>
          <t>Referencia al índice electrónico del expediente del plan.</t>
        </is>
      </c>
      <c r="S1498" s="18" t="inlineStr">
        <is>
          <t>Alta</t>
        </is>
      </c>
      <c r="T1498" s="18" t="inlineStr">
        <is>
          <t>código: internal-institutional-control-service/src/esap/planes-mejoramiento/entities/cierre-plan.entity.ts:59</t>
        </is>
      </c>
      <c r="U1498" s="18" t="inlineStr"/>
      <c r="V1498" s="19" t="inlineStr">
        <is>
          <t>Pendiente</t>
        </is>
      </c>
      <c r="W1498" s="19" t="inlineStr"/>
      <c r="X1498" s="19" t="inlineStr"/>
      <c r="Y1498" s="20" t="n"/>
      <c r="Z1498" s="19" t="inlineStr"/>
      <c r="AA1498" s="18">
        <f>IF(OR(V1498="Aprobada"),R1498,IF(AND(OR(V1498="Aprobada con ajuste",V1498="Rechazada"),W1498&lt;&gt;""),W1498,""))</f>
        <v/>
      </c>
    </row>
    <row r="1499">
      <c r="A1499" s="18" t="inlineStr">
        <is>
          <t>C1498</t>
        </is>
      </c>
      <c r="B1499" s="18" t="inlineStr">
        <is>
          <t>Control interno</t>
        </is>
      </c>
      <c r="C1499" s="18" t="inlineStr">
        <is>
          <t>control_interno</t>
        </is>
      </c>
      <c r="D1499" s="18" t="inlineStr">
        <is>
          <t>cierre_plan</t>
        </is>
      </c>
      <c r="E1499" s="18" t="n">
        <v>2</v>
      </c>
      <c r="F1499" s="18" t="inlineStr">
        <is>
          <t>fecha_archivo</t>
        </is>
      </c>
      <c r="G1499" s="18" t="inlineStr">
        <is>
          <t>timestamp with time zone</t>
        </is>
      </c>
      <c r="H1499" s="18" t="inlineStr">
        <is>
          <t>Sí</t>
        </is>
      </c>
      <c r="I1499" s="18" t="inlineStr"/>
      <c r="J1499" s="18" t="inlineStr"/>
      <c r="K1499" s="18" t="inlineStr"/>
      <c r="L1499" s="18" t="inlineStr">
        <is>
          <t>No</t>
        </is>
      </c>
      <c r="M1499" s="18" t="inlineStr">
        <is>
          <t>No</t>
        </is>
      </c>
      <c r="N1499" s="18" t="inlineStr"/>
      <c r="O1499" s="18" t="inlineStr"/>
      <c r="P1499" s="18" t="inlineStr">
        <is>
          <t>internal-institutional-control-service/src/esap/planes-mejoramiento/entities/cierre-plan.entity.ts:63: Fecha de archivo | Validación: IsDateString, IsOptional</t>
        </is>
      </c>
      <c r="Q1499" s="18" t="inlineStr">
        <is>
          <t>Código fuente</t>
        </is>
      </c>
      <c r="R1499" s="18" t="inlineStr">
        <is>
          <t>Fecha y hora de archivo del expediente.</t>
        </is>
      </c>
      <c r="S1499" s="18" t="inlineStr">
        <is>
          <t>Alta</t>
        </is>
      </c>
      <c r="T1499" s="18" t="inlineStr">
        <is>
          <t>código: internal-institutional-control-service/src/esap/planes-mejoramiento/entities/cierre-plan.entity.ts:63</t>
        </is>
      </c>
      <c r="U1499" s="18" t="inlineStr"/>
      <c r="V1499" s="19" t="inlineStr">
        <is>
          <t>Pendiente</t>
        </is>
      </c>
      <c r="W1499" s="19" t="inlineStr"/>
      <c r="X1499" s="19" t="inlineStr"/>
      <c r="Y1499" s="20" t="n"/>
      <c r="Z1499" s="19" t="inlineStr"/>
      <c r="AA1499" s="18">
        <f>IF(OR(V1499="Aprobada"),R1499,IF(AND(OR(V1499="Aprobada con ajuste",V1499="Rechazada"),W1499&lt;&gt;""),W1499,""))</f>
        <v/>
      </c>
    </row>
    <row r="1500">
      <c r="A1500" s="18" t="inlineStr">
        <is>
          <t>C1499</t>
        </is>
      </c>
      <c r="B1500" s="18" t="inlineStr">
        <is>
          <t>Control interno</t>
        </is>
      </c>
      <c r="C1500" s="18" t="inlineStr">
        <is>
          <t>control_interno</t>
        </is>
      </c>
      <c r="D1500" s="18" t="inlineStr">
        <is>
          <t>condicion_disparo_notificacion</t>
        </is>
      </c>
      <c r="E1500" s="18" t="n">
        <v>12</v>
      </c>
      <c r="F1500" s="18" t="inlineStr">
        <is>
          <t>nombre</t>
        </is>
      </c>
      <c r="G1500" s="18" t="inlineStr">
        <is>
          <t>character varying(255)</t>
        </is>
      </c>
      <c r="H1500" s="18" t="inlineStr">
        <is>
          <t>No</t>
        </is>
      </c>
      <c r="I1500" s="18" t="inlineStr">
        <is>
          <t>Única</t>
        </is>
      </c>
      <c r="J1500" s="18" t="inlineStr"/>
      <c r="K1500" s="18" t="inlineStr"/>
      <c r="L1500" s="18" t="inlineStr">
        <is>
          <t>Sí</t>
        </is>
      </c>
      <c r="M1500" s="18" t="inlineStr">
        <is>
          <t>No</t>
        </is>
      </c>
      <c r="N1500" s="18" t="inlineStr"/>
      <c r="O1500" s="18" t="inlineStr">
        <is>
          <t>condicion_disparo_notificacion_nombre_key</t>
        </is>
      </c>
      <c r="P1500" s="18" t="inlineStr"/>
      <c r="Q1500" s="18" t="inlineStr">
        <is>
          <t>Regla estructural</t>
        </is>
      </c>
      <c r="R1500" s="18" t="inlineStr">
        <is>
          <t>Nombre del registro de condicion_disparo_notificacion.</t>
        </is>
      </c>
      <c r="S1500" s="18" t="inlineStr">
        <is>
          <t>Media</t>
        </is>
      </c>
      <c r="T1500" s="18" t="inlineStr">
        <is>
          <t>Convención de nombre de la columna.</t>
        </is>
      </c>
      <c r="U1500" s="18" t="inlineStr"/>
      <c r="V1500" s="19" t="inlineStr">
        <is>
          <t>Pendiente</t>
        </is>
      </c>
      <c r="W1500" s="19" t="inlineStr"/>
      <c r="X1500" s="19" t="inlineStr"/>
      <c r="Y1500" s="20" t="n"/>
      <c r="Z1500" s="19" t="inlineStr"/>
      <c r="AA1500" s="18">
        <f>IF(OR(V1500="Aprobada"),R1500,IF(AND(OR(V1500="Aprobada con ajuste",V1500="Rechazada"),W1500&lt;&gt;""),W1500,""))</f>
        <v/>
      </c>
    </row>
    <row r="1501">
      <c r="A1501" s="18" t="inlineStr">
        <is>
          <t>C1500</t>
        </is>
      </c>
      <c r="B1501" s="18" t="inlineStr">
        <is>
          <t>Control interno</t>
        </is>
      </c>
      <c r="C1501" s="18" t="inlineStr">
        <is>
          <t>control_interno</t>
        </is>
      </c>
      <c r="D1501" s="18" t="inlineStr">
        <is>
          <t>condicion_disparo_notificacion</t>
        </is>
      </c>
      <c r="E1501" s="18" t="n">
        <v>12</v>
      </c>
      <c r="F1501" s="18" t="inlineStr">
        <is>
          <t>descripcion</t>
        </is>
      </c>
      <c r="G1501" s="18" t="inlineStr">
        <is>
          <t>character varying(255)</t>
        </is>
      </c>
      <c r="H1501" s="18" t="inlineStr">
        <is>
          <t>Sí</t>
        </is>
      </c>
      <c r="I1501" s="18" t="inlineStr"/>
      <c r="J1501" s="18" t="inlineStr"/>
      <c r="K1501" s="18" t="inlineStr"/>
      <c r="L1501" s="18" t="inlineStr">
        <is>
          <t>Sí</t>
        </is>
      </c>
      <c r="M1501" s="18" t="inlineStr">
        <is>
          <t>No</t>
        </is>
      </c>
      <c r="N1501" s="18" t="inlineStr"/>
      <c r="O1501" s="18" t="inlineStr"/>
      <c r="P1501" s="18" t="inlineStr"/>
      <c r="Q1501" s="18" t="inlineStr">
        <is>
          <t>Regla estructural</t>
        </is>
      </c>
      <c r="R1501" s="18" t="inlineStr">
        <is>
          <t>Descripción del registro de condicion_disparo_notificacion.</t>
        </is>
      </c>
      <c r="S1501" s="18" t="inlineStr">
        <is>
          <t>Media</t>
        </is>
      </c>
      <c r="T1501" s="18" t="inlineStr">
        <is>
          <t>Convención de nombre de la columna.</t>
        </is>
      </c>
      <c r="U1501" s="18" t="inlineStr"/>
      <c r="V1501" s="19" t="inlineStr">
        <is>
          <t>Pendiente</t>
        </is>
      </c>
      <c r="W1501" s="19" t="inlineStr"/>
      <c r="X1501" s="19" t="inlineStr"/>
      <c r="Y1501" s="20" t="n"/>
      <c r="Z1501" s="19" t="inlineStr"/>
      <c r="AA1501" s="18">
        <f>IF(OR(V1501="Aprobada"),R1501,IF(AND(OR(V1501="Aprobada con ajuste",V1501="Rechazada"),W1501&lt;&gt;""),W1501,""))</f>
        <v/>
      </c>
    </row>
    <row r="1502">
      <c r="A1502" s="18" t="inlineStr">
        <is>
          <t>C1501</t>
        </is>
      </c>
      <c r="B1502" s="18" t="inlineStr">
        <is>
          <t>Control interno</t>
        </is>
      </c>
      <c r="C1502" s="18" t="inlineStr">
        <is>
          <t>control_interno</t>
        </is>
      </c>
      <c r="D1502" s="18" t="inlineStr">
        <is>
          <t>condicion_disparo_notificacion</t>
        </is>
      </c>
      <c r="E1502" s="18" t="n">
        <v>12</v>
      </c>
      <c r="F1502" s="18" t="inlineStr">
        <is>
          <t>activo</t>
        </is>
      </c>
      <c r="G1502" s="18" t="inlineStr">
        <is>
          <t>boolean</t>
        </is>
      </c>
      <c r="H1502" s="18" t="inlineStr">
        <is>
          <t>Sí</t>
        </is>
      </c>
      <c r="I1502" s="18" t="inlineStr"/>
      <c r="J1502" s="18" t="inlineStr"/>
      <c r="K1502" s="18" t="inlineStr"/>
      <c r="L1502" s="18" t="inlineStr">
        <is>
          <t>Sí</t>
        </is>
      </c>
      <c r="M1502" s="18" t="inlineStr">
        <is>
          <t>No</t>
        </is>
      </c>
      <c r="N1502" s="18" t="inlineStr"/>
      <c r="O1502" s="18" t="inlineStr"/>
      <c r="P1502" s="18" t="inlineStr"/>
      <c r="Q1502" s="18" t="inlineStr">
        <is>
          <t>Regla estructural</t>
        </is>
      </c>
      <c r="R1502" s="18" t="inlineStr">
        <is>
          <t>Indica si el registro está activo.</t>
        </is>
      </c>
      <c r="S1502" s="18" t="inlineStr">
        <is>
          <t>Media</t>
        </is>
      </c>
      <c r="T1502" s="18" t="inlineStr">
        <is>
          <t>Convención de nombre de la columna.</t>
        </is>
      </c>
      <c r="U1502" s="18" t="inlineStr"/>
      <c r="V1502" s="19" t="inlineStr">
        <is>
          <t>Pendiente</t>
        </is>
      </c>
      <c r="W1502" s="19" t="inlineStr"/>
      <c r="X1502" s="19" t="inlineStr"/>
      <c r="Y1502" s="20" t="n"/>
      <c r="Z1502" s="19" t="inlineStr"/>
      <c r="AA1502" s="18">
        <f>IF(OR(V1502="Aprobada"),R1502,IF(AND(OR(V1502="Aprobada con ajuste",V1502="Rechazada"),W1502&lt;&gt;""),W1502,""))</f>
        <v/>
      </c>
    </row>
    <row r="1503">
      <c r="A1503" s="18" t="inlineStr">
        <is>
          <t>C1502</t>
        </is>
      </c>
      <c r="B1503" s="18" t="inlineStr">
        <is>
          <t>Control interno</t>
        </is>
      </c>
      <c r="C1503" s="18" t="inlineStr">
        <is>
          <t>control_interno</t>
        </is>
      </c>
      <c r="D1503" s="18" t="inlineStr">
        <is>
          <t>configuracion_esap</t>
        </is>
      </c>
      <c r="E1503" s="18" t="n">
        <v>7</v>
      </c>
      <c r="F1503" s="18" t="inlineStr">
        <is>
          <t>clave</t>
        </is>
      </c>
      <c r="G1503" s="18" t="inlineStr">
        <is>
          <t>character varying(255)</t>
        </is>
      </c>
      <c r="H1503" s="18" t="inlineStr">
        <is>
          <t>No</t>
        </is>
      </c>
      <c r="I1503" s="18" t="inlineStr">
        <is>
          <t>Única</t>
        </is>
      </c>
      <c r="J1503" s="18" t="inlineStr"/>
      <c r="K1503" s="18" t="inlineStr"/>
      <c r="L1503" s="18" t="inlineStr">
        <is>
          <t>No</t>
        </is>
      </c>
      <c r="M1503" s="18" t="inlineStr">
        <is>
          <t>No</t>
        </is>
      </c>
      <c r="N1503" s="18" t="inlineStr"/>
      <c r="O1503" s="18" t="inlineStr">
        <is>
          <t>configuracion_esap_clave_key, idx_config_esap_clave</t>
        </is>
      </c>
      <c r="P1503" s="18" t="inlineStr"/>
      <c r="Q1503" s="18" t="inlineStr">
        <is>
          <t>Propuesta semántica</t>
        </is>
      </c>
      <c r="R1503" s="18" t="inlineStr">
        <is>
          <t>Clave única del parámetro de configuración.</t>
        </is>
      </c>
      <c r="S1503" s="18" t="inlineStr">
        <is>
          <t>Alta</t>
        </is>
      </c>
      <c r="T1503" s="18" t="inlineStr">
        <is>
          <t>nombre + restricción única + descripción de la tabla ~</t>
        </is>
      </c>
      <c r="U1503" s="18" t="inlineStr"/>
      <c r="V1503" s="19" t="inlineStr">
        <is>
          <t>Pendiente</t>
        </is>
      </c>
      <c r="W1503" s="19" t="inlineStr"/>
      <c r="X1503" s="19" t="inlineStr"/>
      <c r="Y1503" s="20" t="n"/>
      <c r="Z1503" s="19" t="inlineStr"/>
      <c r="AA1503" s="18">
        <f>IF(OR(V1503="Aprobada"),R1503,IF(AND(OR(V1503="Aprobada con ajuste",V1503="Rechazada"),W1503&lt;&gt;""),W1503,""))</f>
        <v/>
      </c>
    </row>
    <row r="1504">
      <c r="A1504" s="18" t="inlineStr">
        <is>
          <t>C1503</t>
        </is>
      </c>
      <c r="B1504" s="18" t="inlineStr">
        <is>
          <t>Control interno</t>
        </is>
      </c>
      <c r="C1504" s="18" t="inlineStr">
        <is>
          <t>control_interno</t>
        </is>
      </c>
      <c r="D1504" s="18" t="inlineStr">
        <is>
          <t>configuracion_esap</t>
        </is>
      </c>
      <c r="E1504" s="18" t="n">
        <v>7</v>
      </c>
      <c r="F1504" s="18" t="inlineStr">
        <is>
          <t>valor</t>
        </is>
      </c>
      <c r="G1504" s="18" t="inlineStr">
        <is>
          <t>text</t>
        </is>
      </c>
      <c r="H1504" s="18" t="inlineStr">
        <is>
          <t>No</t>
        </is>
      </c>
      <c r="I1504" s="18" t="inlineStr"/>
      <c r="J1504" s="18" t="inlineStr"/>
      <c r="K1504" s="18" t="inlineStr"/>
      <c r="L1504" s="18" t="inlineStr">
        <is>
          <t>No</t>
        </is>
      </c>
      <c r="M1504" s="18" t="inlineStr">
        <is>
          <t>No</t>
        </is>
      </c>
      <c r="N1504" s="18" t="inlineStr"/>
      <c r="O1504" s="18" t="inlineStr"/>
      <c r="P1504" s="18" t="inlineStr"/>
      <c r="Q1504" s="18" t="inlineStr">
        <is>
          <t>Propuesta semántica</t>
        </is>
      </c>
      <c r="R1504" s="18" t="inlineStr">
        <is>
          <t>Valor del parámetro de configuración.</t>
        </is>
      </c>
      <c r="S1504" s="18" t="inlineStr">
        <is>
          <t>Alta</t>
        </is>
      </c>
      <c r="T1504" s="18" t="inlineStr">
        <is>
          <t>nombre + tipo + descripción de la tabla ~</t>
        </is>
      </c>
      <c r="U1504" s="18" t="inlineStr"/>
      <c r="V1504" s="19" t="inlineStr">
        <is>
          <t>Pendiente</t>
        </is>
      </c>
      <c r="W1504" s="19" t="inlineStr"/>
      <c r="X1504" s="19" t="inlineStr"/>
      <c r="Y1504" s="20" t="n"/>
      <c r="Z1504" s="19" t="inlineStr"/>
      <c r="AA1504" s="18">
        <f>IF(OR(V1504="Aprobada"),R1504,IF(AND(OR(V1504="Aprobada con ajuste",V1504="Rechazada"),W1504&lt;&gt;""),W1504,""))</f>
        <v/>
      </c>
    </row>
    <row r="1505">
      <c r="A1505" s="18" t="inlineStr">
        <is>
          <t>C1504</t>
        </is>
      </c>
      <c r="B1505" s="18" t="inlineStr">
        <is>
          <t>Control interno</t>
        </is>
      </c>
      <c r="C1505" s="18" t="inlineStr">
        <is>
          <t>control_interno</t>
        </is>
      </c>
      <c r="D1505" s="18" t="inlineStr">
        <is>
          <t>configuracion_esap</t>
        </is>
      </c>
      <c r="E1505" s="18" t="n">
        <v>7</v>
      </c>
      <c r="F1505" s="18" t="inlineStr">
        <is>
          <t>descripcion</t>
        </is>
      </c>
      <c r="G1505" s="18" t="inlineStr">
        <is>
          <t>text</t>
        </is>
      </c>
      <c r="H1505" s="18" t="inlineStr">
        <is>
          <t>Sí</t>
        </is>
      </c>
      <c r="I1505" s="18" t="inlineStr"/>
      <c r="J1505" s="18" t="inlineStr"/>
      <c r="K1505" s="18" t="inlineStr"/>
      <c r="L1505" s="18" t="inlineStr">
        <is>
          <t>No</t>
        </is>
      </c>
      <c r="M1505" s="18" t="inlineStr">
        <is>
          <t>No</t>
        </is>
      </c>
      <c r="N1505" s="18" t="inlineStr"/>
      <c r="O1505" s="18" t="inlineStr"/>
      <c r="P1505" s="18" t="inlineStr"/>
      <c r="Q1505" s="18" t="inlineStr">
        <is>
          <t>Regla estructural</t>
        </is>
      </c>
      <c r="R1505" s="18" t="inlineStr">
        <is>
          <t>Descripción del registro de configuracion_esap.</t>
        </is>
      </c>
      <c r="S1505" s="18" t="inlineStr">
        <is>
          <t>Media</t>
        </is>
      </c>
      <c r="T1505" s="18" t="inlineStr">
        <is>
          <t>Convención de nombre de la columna.</t>
        </is>
      </c>
      <c r="U1505" s="18" t="inlineStr"/>
      <c r="V1505" s="19" t="inlineStr">
        <is>
          <t>Pendiente</t>
        </is>
      </c>
      <c r="W1505" s="19" t="inlineStr"/>
      <c r="X1505" s="19" t="inlineStr"/>
      <c r="Y1505" s="20" t="n"/>
      <c r="Z1505" s="19" t="inlineStr"/>
      <c r="AA1505" s="18">
        <f>IF(OR(V1505="Aprobada"),R1505,IF(AND(OR(V1505="Aprobada con ajuste",V1505="Rechazada"),W1505&lt;&gt;""),W1505,""))</f>
        <v/>
      </c>
    </row>
    <row r="1506">
      <c r="A1506" s="18" t="inlineStr">
        <is>
          <t>C1505</t>
        </is>
      </c>
      <c r="B1506" s="18" t="inlineStr">
        <is>
          <t>Control interno</t>
        </is>
      </c>
      <c r="C1506" s="18" t="inlineStr">
        <is>
          <t>control_interno</t>
        </is>
      </c>
      <c r="D1506" s="18" t="inlineStr">
        <is>
          <t>configuracion_esap</t>
        </is>
      </c>
      <c r="E1506" s="18" t="n">
        <v>7</v>
      </c>
      <c r="F1506" s="18" t="inlineStr">
        <is>
          <t>tipo</t>
        </is>
      </c>
      <c r="G1506" s="18" t="inlineStr">
        <is>
          <t>character varying(50)</t>
        </is>
      </c>
      <c r="H1506" s="18" t="inlineStr">
        <is>
          <t>Sí</t>
        </is>
      </c>
      <c r="I1506" s="18" t="inlineStr">
        <is>
          <t>CHECK</t>
        </is>
      </c>
      <c r="J1506" s="18" t="inlineStr">
        <is>
          <t>boolean, json, number, string</t>
        </is>
      </c>
      <c r="K1506" s="18" t="inlineStr"/>
      <c r="L1506" s="18" t="inlineStr">
        <is>
          <t>Sí</t>
        </is>
      </c>
      <c r="M1506" s="18" t="inlineStr">
        <is>
          <t>No</t>
        </is>
      </c>
      <c r="N1506" s="18" t="inlineStr"/>
      <c r="O1506" s="18" t="inlineStr"/>
      <c r="P1506" s="18" t="inlineStr"/>
      <c r="Q1506" s="18" t="inlineStr">
        <is>
          <t>Regla estructural</t>
        </is>
      </c>
      <c r="R1506" s="18" t="inlineStr">
        <is>
          <t>Tipo del registro de configuracion_esap.</t>
        </is>
      </c>
      <c r="S1506" s="18" t="inlineStr">
        <is>
          <t>Media</t>
        </is>
      </c>
      <c r="T1506" s="18" t="inlineStr">
        <is>
          <t>Convención de nombre de la columna.</t>
        </is>
      </c>
      <c r="U1506" s="18" t="inlineStr"/>
      <c r="V1506" s="19" t="inlineStr">
        <is>
          <t>Pendiente</t>
        </is>
      </c>
      <c r="W1506" s="19" t="inlineStr"/>
      <c r="X1506" s="19" t="inlineStr"/>
      <c r="Y1506" s="20" t="n"/>
      <c r="Z1506" s="19" t="inlineStr"/>
      <c r="AA1506" s="18">
        <f>IF(OR(V1506="Aprobada"),R1506,IF(AND(OR(V1506="Aprobada con ajuste",V1506="Rechazada"),W1506&lt;&gt;""),W1506,""))</f>
        <v/>
      </c>
    </row>
    <row r="1507">
      <c r="A1507" s="18" t="inlineStr">
        <is>
          <t>C1506</t>
        </is>
      </c>
      <c r="B1507" s="18" t="inlineStr">
        <is>
          <t>Control interno</t>
        </is>
      </c>
      <c r="C1507" s="18" t="inlineStr">
        <is>
          <t>control_interno</t>
        </is>
      </c>
      <c r="D1507" s="18" t="inlineStr">
        <is>
          <t>configuracion_esap</t>
        </is>
      </c>
      <c r="E1507" s="18" t="n">
        <v>7</v>
      </c>
      <c r="F1507" s="18" t="inlineStr">
        <is>
          <t>categoria</t>
        </is>
      </c>
      <c r="G1507" s="18" t="inlineStr">
        <is>
          <t>character varying(255)</t>
        </is>
      </c>
      <c r="H1507" s="18" t="inlineStr">
        <is>
          <t>Sí</t>
        </is>
      </c>
      <c r="I1507" s="18" t="inlineStr"/>
      <c r="J1507" s="18" t="inlineStr"/>
      <c r="K1507" s="18" t="inlineStr"/>
      <c r="L1507" s="18" t="inlineStr">
        <is>
          <t>No</t>
        </is>
      </c>
      <c r="M1507" s="18" t="inlineStr">
        <is>
          <t>No</t>
        </is>
      </c>
      <c r="N1507" s="18" t="inlineStr"/>
      <c r="O1507" s="18" t="inlineStr">
        <is>
          <t>idx_config_esap_categoria</t>
        </is>
      </c>
      <c r="P1507" s="18" t="inlineStr"/>
      <c r="Q1507" s="18" t="inlineStr">
        <is>
          <t>Propuesta semántica</t>
        </is>
      </c>
      <c r="R1507" s="18" t="inlineStr">
        <is>
          <t>Categoría con la que se agrupa el parámetro de configuración.</t>
        </is>
      </c>
      <c r="S1507" s="18" t="inlineStr">
        <is>
          <t>Media</t>
        </is>
      </c>
      <c r="T1507" s="18" t="inlineStr">
        <is>
          <t>nombre + tipo + índice</t>
        </is>
      </c>
      <c r="U1507" s="18" t="inlineStr">
        <is>
          <t>¿Qué categorías se usan en configuracion_esap?</t>
        </is>
      </c>
      <c r="V1507" s="19" t="inlineStr">
        <is>
          <t>Pendiente</t>
        </is>
      </c>
      <c r="W1507" s="19" t="inlineStr"/>
      <c r="X1507" s="19" t="inlineStr"/>
      <c r="Y1507" s="20" t="n"/>
      <c r="Z1507" s="19" t="inlineStr"/>
      <c r="AA1507" s="18">
        <f>IF(OR(V1507="Aprobada"),R1507,IF(AND(OR(V1507="Aprobada con ajuste",V1507="Rechazada"),W1507&lt;&gt;""),W1507,""))</f>
        <v/>
      </c>
    </row>
    <row r="1508">
      <c r="A1508" s="18" t="inlineStr">
        <is>
          <t>C1507</t>
        </is>
      </c>
      <c r="B1508" s="18" t="inlineStr">
        <is>
          <t>Control interno</t>
        </is>
      </c>
      <c r="C1508" s="18" t="inlineStr">
        <is>
          <t>control_interno</t>
        </is>
      </c>
      <c r="D1508" s="18" t="inlineStr">
        <is>
          <t>configuracion_esap</t>
        </is>
      </c>
      <c r="E1508" s="18" t="n">
        <v>7</v>
      </c>
      <c r="F1508" s="18" t="inlineStr">
        <is>
          <t>activo</t>
        </is>
      </c>
      <c r="G1508" s="18" t="inlineStr">
        <is>
          <t>boolean</t>
        </is>
      </c>
      <c r="H1508" s="18" t="inlineStr">
        <is>
          <t>Sí</t>
        </is>
      </c>
      <c r="I1508" s="18" t="inlineStr"/>
      <c r="J1508" s="18" t="inlineStr"/>
      <c r="K1508" s="18" t="inlineStr"/>
      <c r="L1508" s="18" t="inlineStr">
        <is>
          <t>No</t>
        </is>
      </c>
      <c r="M1508" s="18" t="inlineStr">
        <is>
          <t>No</t>
        </is>
      </c>
      <c r="N1508" s="18" t="inlineStr"/>
      <c r="O1508" s="18" t="inlineStr">
        <is>
          <t>idx_config_esap_activo</t>
        </is>
      </c>
      <c r="P1508" s="18" t="inlineStr"/>
      <c r="Q1508" s="18" t="inlineStr">
        <is>
          <t>Regla estructural</t>
        </is>
      </c>
      <c r="R1508" s="18" t="inlineStr">
        <is>
          <t>Indica si el registro está activo.</t>
        </is>
      </c>
      <c r="S1508" s="18" t="inlineStr">
        <is>
          <t>Media</t>
        </is>
      </c>
      <c r="T1508" s="18" t="inlineStr">
        <is>
          <t>Convención de nombre de la columna.</t>
        </is>
      </c>
      <c r="U1508" s="18" t="inlineStr"/>
      <c r="V1508" s="19" t="inlineStr">
        <is>
          <t>Pendiente</t>
        </is>
      </c>
      <c r="W1508" s="19" t="inlineStr"/>
      <c r="X1508" s="19" t="inlineStr"/>
      <c r="Y1508" s="20" t="n"/>
      <c r="Z1508" s="19" t="inlineStr"/>
      <c r="AA1508" s="18">
        <f>IF(OR(V1508="Aprobada"),R1508,IF(AND(OR(V1508="Aprobada con ajuste",V1508="Rechazada"),W1508&lt;&gt;""),W1508,""))</f>
        <v/>
      </c>
    </row>
    <row r="1509">
      <c r="A1509" s="18" t="inlineStr">
        <is>
          <t>C1508</t>
        </is>
      </c>
      <c r="B1509" s="18" t="inlineStr">
        <is>
          <t>Control interno</t>
        </is>
      </c>
      <c r="C1509" s="18" t="inlineStr">
        <is>
          <t>control_interno</t>
        </is>
      </c>
      <c r="D1509" s="18" t="inlineStr">
        <is>
          <t>configuracion_profesionales_ocig</t>
        </is>
      </c>
      <c r="E1509" s="18" t="n">
        <v>31</v>
      </c>
      <c r="F1509" s="18" t="inlineStr">
        <is>
          <t>activo</t>
        </is>
      </c>
      <c r="G1509" s="18" t="inlineStr">
        <is>
          <t>boolean</t>
        </is>
      </c>
      <c r="H1509" s="18" t="inlineStr">
        <is>
          <t>No</t>
        </is>
      </c>
      <c r="I1509" s="18" t="inlineStr"/>
      <c r="J1509" s="18" t="inlineStr"/>
      <c r="K1509" s="18" t="inlineStr"/>
      <c r="L1509" s="18" t="inlineStr">
        <is>
          <t>No</t>
        </is>
      </c>
      <c r="M1509" s="18" t="inlineStr">
        <is>
          <t>No</t>
        </is>
      </c>
      <c r="N1509" s="18" t="inlineStr"/>
      <c r="O1509" s="18" t="inlineStr">
        <is>
          <t>idx_config_prof_ocig_activo</t>
        </is>
      </c>
      <c r="P1509" s="18" t="inlineStr">
        <is>
          <t>Mapeada en internal-institutional-control-service/src/esap/configuraciones/entities/configuracion-profesional-ocig.entity.ts:67 (ConfiguracionProfesionalOCIG.activo) | Validación: IsBoolean, IsOptional</t>
        </is>
      </c>
      <c r="Q1509" s="18" t="inlineStr">
        <is>
          <t>Regla estructural</t>
        </is>
      </c>
      <c r="R1509" s="18" t="inlineStr">
        <is>
          <t>Indica si el registro está activo.</t>
        </is>
      </c>
      <c r="S1509" s="18" t="inlineStr">
        <is>
          <t>Media</t>
        </is>
      </c>
      <c r="T1509" s="18" t="inlineStr">
        <is>
          <t>Convención de nombre de la columna.</t>
        </is>
      </c>
      <c r="U1509" s="18" t="inlineStr"/>
      <c r="V1509" s="19" t="inlineStr">
        <is>
          <t>Pendiente</t>
        </is>
      </c>
      <c r="W1509" s="19" t="inlineStr"/>
      <c r="X1509" s="19" t="inlineStr"/>
      <c r="Y1509" s="20" t="n"/>
      <c r="Z1509" s="19" t="inlineStr"/>
      <c r="AA1509" s="18">
        <f>IF(OR(V1509="Aprobada"),R1509,IF(AND(OR(V1509="Aprobada con ajuste",V1509="Rechazada"),W1509&lt;&gt;""),W1509,""))</f>
        <v/>
      </c>
    </row>
    <row r="1510">
      <c r="A1510" s="18" t="inlineStr">
        <is>
          <t>C1509</t>
        </is>
      </c>
      <c r="B1510" s="18" t="inlineStr">
        <is>
          <t>Control interno</t>
        </is>
      </c>
      <c r="C1510" s="18" t="inlineStr">
        <is>
          <t>control_interno</t>
        </is>
      </c>
      <c r="D1510" s="18" t="inlineStr">
        <is>
          <t>configuracion_profesionales_ocig</t>
        </is>
      </c>
      <c r="E1510" s="18" t="n">
        <v>31</v>
      </c>
      <c r="F1510" s="18" t="inlineStr">
        <is>
          <t>fecha_asignacion</t>
        </is>
      </c>
      <c r="G1510" s="18" t="inlineStr">
        <is>
          <t>date</t>
        </is>
      </c>
      <c r="H1510" s="18" t="inlineStr">
        <is>
          <t>No</t>
        </is>
      </c>
      <c r="I1510" s="18" t="inlineStr"/>
      <c r="J1510" s="18" t="inlineStr"/>
      <c r="K1510" s="18" t="inlineStr"/>
      <c r="L1510" s="18" t="inlineStr">
        <is>
          <t>No</t>
        </is>
      </c>
      <c r="M1510" s="18" t="inlineStr">
        <is>
          <t>No</t>
        </is>
      </c>
      <c r="N1510" s="18" t="inlineStr"/>
      <c r="O1510" s="18" t="inlineStr"/>
      <c r="P1510" s="18" t="inlineStr">
        <is>
          <t>db/migrations/134_create_configuracion_profesionales_ocig.sql:37: Metadata</t>
        </is>
      </c>
      <c r="Q1510" s="18" t="inlineStr">
        <is>
          <t>Código fuente</t>
        </is>
      </c>
      <c r="R1510" s="18" t="inlineStr">
        <is>
          <t>Fecha en que el profesional se asignó al equipo OCIG; por defecto la fecha actual.</t>
        </is>
      </c>
      <c r="S1510" s="18" t="inlineStr">
        <is>
          <t>Alta</t>
        </is>
      </c>
      <c r="T1510" s="18" t="inlineStr">
        <is>
          <t>nombre + tipo + columnas vecinas</t>
        </is>
      </c>
      <c r="U1510" s="18" t="inlineStr"/>
      <c r="V1510" s="19" t="inlineStr">
        <is>
          <t>Pendiente</t>
        </is>
      </c>
      <c r="W1510" s="19" t="inlineStr"/>
      <c r="X1510" s="19" t="inlineStr"/>
      <c r="Y1510" s="20" t="n"/>
      <c r="Z1510" s="19" t="inlineStr"/>
      <c r="AA1510" s="18">
        <f>IF(OR(V1510="Aprobada"),R1510,IF(AND(OR(V1510="Aprobada con ajuste",V1510="Rechazada"),W1510&lt;&gt;""),W1510,""))</f>
        <v/>
      </c>
    </row>
    <row r="1511">
      <c r="A1511" s="18" t="inlineStr">
        <is>
          <t>C1510</t>
        </is>
      </c>
      <c r="B1511" s="18" t="inlineStr">
        <is>
          <t>Control interno</t>
        </is>
      </c>
      <c r="C1511" s="18" t="inlineStr">
        <is>
          <t>control_interno</t>
        </is>
      </c>
      <c r="D1511" s="18" t="inlineStr">
        <is>
          <t>configuracion_profesionales_ocig</t>
        </is>
      </c>
      <c r="E1511" s="18" t="n">
        <v>31</v>
      </c>
      <c r="F1511" s="18" t="inlineStr">
        <is>
          <t>observaciones</t>
        </is>
      </c>
      <c r="G1511" s="18" t="inlineStr">
        <is>
          <t>text</t>
        </is>
      </c>
      <c r="H1511" s="18" t="inlineStr">
        <is>
          <t>Sí</t>
        </is>
      </c>
      <c r="I1511" s="18" t="inlineStr"/>
      <c r="J1511" s="18" t="inlineStr"/>
      <c r="K1511" s="18" t="inlineStr"/>
      <c r="L1511" s="18" t="inlineStr">
        <is>
          <t>No</t>
        </is>
      </c>
      <c r="M1511" s="18" t="inlineStr">
        <is>
          <t>No</t>
        </is>
      </c>
      <c r="N1511" s="18" t="inlineStr"/>
      <c r="O1511" s="18" t="inlineStr"/>
      <c r="P1511" s="18" t="inlineStr">
        <is>
          <t>Mapeada en internal-institutional-control-service/src/esap/configuraciones/entities/configuracion-profesional-ocig.entity.ts:83 (ConfiguracionProfesionalOCIG.observaciones) | Validación: IsOptional, IsString</t>
        </is>
      </c>
      <c r="Q1511" s="18" t="inlineStr">
        <is>
          <t>Regla estructural</t>
        </is>
      </c>
      <c r="R1511" s="18" t="inlineStr">
        <is>
          <t>Observaciones registradas sobre el registro.</t>
        </is>
      </c>
      <c r="S1511" s="18" t="inlineStr">
        <is>
          <t>Media</t>
        </is>
      </c>
      <c r="T1511" s="18" t="inlineStr">
        <is>
          <t>Convención de nombre de la columna.</t>
        </is>
      </c>
      <c r="U1511" s="18" t="inlineStr"/>
      <c r="V1511" s="19" t="inlineStr">
        <is>
          <t>Pendiente</t>
        </is>
      </c>
      <c r="W1511" s="19" t="inlineStr"/>
      <c r="X1511" s="19" t="inlineStr"/>
      <c r="Y1511" s="20" t="n"/>
      <c r="Z1511" s="19" t="inlineStr"/>
      <c r="AA1511" s="18">
        <f>IF(OR(V1511="Aprobada"),R1511,IF(AND(OR(V1511="Aprobada con ajuste",V1511="Rechazada"),W1511&lt;&gt;""),W1511,""))</f>
        <v/>
      </c>
    </row>
    <row r="1512">
      <c r="A1512" s="18" t="inlineStr">
        <is>
          <t>C1511</t>
        </is>
      </c>
      <c r="B1512" s="18" t="inlineStr">
        <is>
          <t>Control interno</t>
        </is>
      </c>
      <c r="C1512" s="18" t="inlineStr">
        <is>
          <t>control_interno</t>
        </is>
      </c>
      <c r="D1512" s="18" t="inlineStr">
        <is>
          <t>criterio_auditoria</t>
        </is>
      </c>
      <c r="E1512" s="18" t="n">
        <v>27</v>
      </c>
      <c r="F1512" s="18" t="inlineStr">
        <is>
          <t>criterio</t>
        </is>
      </c>
      <c r="G1512" s="18" t="inlineStr">
        <is>
          <t>text</t>
        </is>
      </c>
      <c r="H1512" s="18" t="inlineStr">
        <is>
          <t>No</t>
        </is>
      </c>
      <c r="I1512" s="18" t="inlineStr"/>
      <c r="J1512" s="18" t="inlineStr"/>
      <c r="K1512" s="18" t="inlineStr"/>
      <c r="L1512" s="18" t="inlineStr">
        <is>
          <t>No</t>
        </is>
      </c>
      <c r="M1512" s="18" t="inlineStr">
        <is>
          <t>No</t>
        </is>
      </c>
      <c r="N1512" s="18" t="inlineStr"/>
      <c r="O1512" s="18" t="inlineStr"/>
      <c r="P1512" s="18" t="inlineStr">
        <is>
          <t>Mapeada en internal-institutional-control-service/src/esap/auditorias/entities/criterio-auditoria.entity.ts:29 (CriterioAuditoria.criterio)</t>
        </is>
      </c>
      <c r="Q1512" s="18" t="inlineStr">
        <is>
          <t>Propuesta semántica</t>
        </is>
      </c>
      <c r="R1512" s="18" t="inlineStr">
        <is>
          <t>Texto del criterio de auditoría (norma, política o estándar aplicable).</t>
        </is>
      </c>
      <c r="S1512" s="18" t="inlineStr">
        <is>
          <t>Alta</t>
        </is>
      </c>
      <c r="T1512" s="18" t="inlineStr">
        <is>
          <t>nombre + descripción de la tabla ~</t>
        </is>
      </c>
      <c r="U1512" s="18" t="inlineStr"/>
      <c r="V1512" s="19" t="inlineStr">
        <is>
          <t>Pendiente</t>
        </is>
      </c>
      <c r="W1512" s="19" t="inlineStr"/>
      <c r="X1512" s="19" t="inlineStr"/>
      <c r="Y1512" s="20" t="n"/>
      <c r="Z1512" s="19" t="inlineStr"/>
      <c r="AA1512" s="18">
        <f>IF(OR(V1512="Aprobada"),R1512,IF(AND(OR(V1512="Aprobada con ajuste",V1512="Rechazada"),W1512&lt;&gt;""),W1512,""))</f>
        <v/>
      </c>
    </row>
    <row r="1513">
      <c r="A1513" s="18" t="inlineStr">
        <is>
          <t>C1512</t>
        </is>
      </c>
      <c r="B1513" s="18" t="inlineStr">
        <is>
          <t>Control interno</t>
        </is>
      </c>
      <c r="C1513" s="18" t="inlineStr">
        <is>
          <t>control_interno</t>
        </is>
      </c>
      <c r="D1513" s="18" t="inlineStr">
        <is>
          <t>criterio_auditoria</t>
        </is>
      </c>
      <c r="E1513" s="18" t="n">
        <v>27</v>
      </c>
      <c r="F1513" s="18" t="inlineStr">
        <is>
          <t>orden</t>
        </is>
      </c>
      <c r="G1513" s="18" t="inlineStr">
        <is>
          <t>integer</t>
        </is>
      </c>
      <c r="H1513" s="18" t="inlineStr">
        <is>
          <t>Sí</t>
        </is>
      </c>
      <c r="I1513" s="18" t="inlineStr"/>
      <c r="J1513" s="18" t="inlineStr"/>
      <c r="K1513" s="18" t="inlineStr"/>
      <c r="L1513" s="18" t="inlineStr">
        <is>
          <t>No</t>
        </is>
      </c>
      <c r="M1513" s="18" t="inlineStr">
        <is>
          <t>No</t>
        </is>
      </c>
      <c r="N1513" s="18" t="inlineStr"/>
      <c r="O1513" s="18" t="inlineStr"/>
      <c r="P1513" s="18" t="inlineStr">
        <is>
          <t>Mapeada en internal-institutional-control-service/src/esap/auditorias/entities/criterio-auditoria.entity.ts:32 (CriterioAuditoria.orden) | Validación: IsInt, IsOptional, Min(1)</t>
        </is>
      </c>
      <c r="Q1513" s="18" t="inlineStr">
        <is>
          <t>Regla estructural</t>
        </is>
      </c>
      <c r="R1513" s="18" t="inlineStr">
        <is>
          <t>Posición del registro para su ordenamiento.</t>
        </is>
      </c>
      <c r="S1513" s="18" t="inlineStr">
        <is>
          <t>Media</t>
        </is>
      </c>
      <c r="T1513" s="18" t="inlineStr">
        <is>
          <t>Convención de nombre de la columna.</t>
        </is>
      </c>
      <c r="U1513" s="18" t="inlineStr"/>
      <c r="V1513" s="19" t="inlineStr">
        <is>
          <t>Pendiente</t>
        </is>
      </c>
      <c r="W1513" s="19" t="inlineStr"/>
      <c r="X1513" s="19" t="inlineStr"/>
      <c r="Y1513" s="20" t="n"/>
      <c r="Z1513" s="19" t="inlineStr"/>
      <c r="AA1513" s="18">
        <f>IF(OR(V1513="Aprobada"),R1513,IF(AND(OR(V1513="Aprobada con ajuste",V1513="Rechazada"),W1513&lt;&gt;""),W1513,""))</f>
        <v/>
      </c>
    </row>
    <row r="1514">
      <c r="A1514" s="18" t="inlineStr">
        <is>
          <t>C1513</t>
        </is>
      </c>
      <c r="B1514" s="18" t="inlineStr">
        <is>
          <t>Control interno</t>
        </is>
      </c>
      <c r="C1514" s="18" t="inlineStr">
        <is>
          <t>control_interno</t>
        </is>
      </c>
      <c r="D1514" s="18" t="inlineStr">
        <is>
          <t>criterio_auditoria</t>
        </is>
      </c>
      <c r="E1514" s="18" t="n">
        <v>27</v>
      </c>
      <c r="F1514" s="18" t="inlineStr">
        <is>
          <t>activo</t>
        </is>
      </c>
      <c r="G1514" s="18" t="inlineStr">
        <is>
          <t>boolean</t>
        </is>
      </c>
      <c r="H1514" s="18" t="inlineStr">
        <is>
          <t>Sí</t>
        </is>
      </c>
      <c r="I1514" s="18" t="inlineStr"/>
      <c r="J1514" s="18" t="inlineStr"/>
      <c r="K1514" s="18" t="inlineStr"/>
      <c r="L1514" s="18" t="inlineStr">
        <is>
          <t>No</t>
        </is>
      </c>
      <c r="M1514" s="18" t="inlineStr">
        <is>
          <t>No</t>
        </is>
      </c>
      <c r="N1514" s="18" t="inlineStr"/>
      <c r="O1514" s="18" t="inlineStr">
        <is>
          <t>idx_criterio_auditoria_activo</t>
        </is>
      </c>
      <c r="P1514" s="18" t="inlineStr">
        <is>
          <t>Mapeada en internal-institutional-control-service/src/esap/auditorias/entities/criterio-auditoria.entity.ts:35 (CriterioAuditoria.activo) | Validación: IsBoolean, IsOptional</t>
        </is>
      </c>
      <c r="Q1514" s="18" t="inlineStr">
        <is>
          <t>Regla estructural</t>
        </is>
      </c>
      <c r="R1514" s="18" t="inlineStr">
        <is>
          <t>Indica si el registro está activo.</t>
        </is>
      </c>
      <c r="S1514" s="18" t="inlineStr">
        <is>
          <t>Media</t>
        </is>
      </c>
      <c r="T1514" s="18" t="inlineStr">
        <is>
          <t>Convención de nombre de la columna.</t>
        </is>
      </c>
      <c r="U1514" s="18" t="inlineStr"/>
      <c r="V1514" s="19" t="inlineStr">
        <is>
          <t>Pendiente</t>
        </is>
      </c>
      <c r="W1514" s="19" t="inlineStr"/>
      <c r="X1514" s="19" t="inlineStr"/>
      <c r="Y1514" s="20" t="n"/>
      <c r="Z1514" s="19" t="inlineStr"/>
      <c r="AA1514" s="18">
        <f>IF(OR(V1514="Aprobada"),R1514,IF(AND(OR(V1514="Aprobada con ajuste",V1514="Rechazada"),W1514&lt;&gt;""),W1514,""))</f>
        <v/>
      </c>
    </row>
    <row r="1515">
      <c r="A1515" s="18" t="inlineStr">
        <is>
          <t>C1514</t>
        </is>
      </c>
      <c r="B1515" s="18" t="inlineStr">
        <is>
          <t>Control interno</t>
        </is>
      </c>
      <c r="C1515" s="18" t="inlineStr">
        <is>
          <t>control_interno</t>
        </is>
      </c>
      <c r="D1515" s="18" t="inlineStr">
        <is>
          <t>cronograma_auditoria</t>
        </is>
      </c>
      <c r="E1515" s="18" t="n">
        <v>0</v>
      </c>
      <c r="F1515" s="18" t="inlineStr">
        <is>
          <t>codigo</t>
        </is>
      </c>
      <c r="G1515" s="18" t="inlineStr">
        <is>
          <t>character varying(255)</t>
        </is>
      </c>
      <c r="H1515" s="18" t="inlineStr">
        <is>
          <t>No</t>
        </is>
      </c>
      <c r="I1515" s="18" t="inlineStr"/>
      <c r="J1515" s="18" t="inlineStr"/>
      <c r="K1515" s="18" t="inlineStr"/>
      <c r="L1515" s="18" t="inlineStr">
        <is>
          <t>No</t>
        </is>
      </c>
      <c r="M1515" s="18" t="inlineStr">
        <is>
          <t>No</t>
        </is>
      </c>
      <c r="N1515" s="18" t="inlineStr"/>
      <c r="O1515" s="18" t="inlineStr"/>
      <c r="P1515" s="18" t="inlineStr"/>
      <c r="Q1515" s="18" t="inlineStr">
        <is>
          <t>Regla estructural</t>
        </is>
      </c>
      <c r="R1515" s="18" t="inlineStr">
        <is>
          <t>Código del registro de cronograma_auditoria.</t>
        </is>
      </c>
      <c r="S1515" s="18" t="inlineStr">
        <is>
          <t>Media</t>
        </is>
      </c>
      <c r="T1515" s="18" t="inlineStr">
        <is>
          <t>Convención de nombre de la columna.</t>
        </is>
      </c>
      <c r="U1515" s="18" t="inlineStr"/>
      <c r="V1515" s="19" t="inlineStr">
        <is>
          <t>Pendiente</t>
        </is>
      </c>
      <c r="W1515" s="19" t="inlineStr"/>
      <c r="X1515" s="19" t="inlineStr"/>
      <c r="Y1515" s="20" t="n"/>
      <c r="Z1515" s="19" t="inlineStr"/>
      <c r="AA1515" s="18">
        <f>IF(OR(V1515="Aprobada"),R1515,IF(AND(OR(V1515="Aprobada con ajuste",V1515="Rechazada"),W1515&lt;&gt;""),W1515,""))</f>
        <v/>
      </c>
    </row>
    <row r="1516">
      <c r="A1516" s="18" t="inlineStr">
        <is>
          <t>C1515</t>
        </is>
      </c>
      <c r="B1516" s="18" t="inlineStr">
        <is>
          <t>Control interno</t>
        </is>
      </c>
      <c r="C1516" s="18" t="inlineStr">
        <is>
          <t>control_interno</t>
        </is>
      </c>
      <c r="D1516" s="18" t="inlineStr">
        <is>
          <t>cronograma_auditoria</t>
        </is>
      </c>
      <c r="E1516" s="18" t="n">
        <v>0</v>
      </c>
      <c r="F1516" s="18" t="inlineStr">
        <is>
          <t>nombre</t>
        </is>
      </c>
      <c r="G1516" s="18" t="inlineStr">
        <is>
          <t>character varying(255)</t>
        </is>
      </c>
      <c r="H1516" s="18" t="inlineStr">
        <is>
          <t>No</t>
        </is>
      </c>
      <c r="I1516" s="18" t="inlineStr"/>
      <c r="J1516" s="18" t="inlineStr"/>
      <c r="K1516" s="18" t="inlineStr"/>
      <c r="L1516" s="18" t="inlineStr">
        <is>
          <t>No</t>
        </is>
      </c>
      <c r="M1516" s="18" t="inlineStr">
        <is>
          <t>No</t>
        </is>
      </c>
      <c r="N1516" s="18" t="inlineStr"/>
      <c r="O1516" s="18" t="inlineStr"/>
      <c r="P1516" s="18" t="inlineStr"/>
      <c r="Q1516" s="18" t="inlineStr">
        <is>
          <t>Regla estructural</t>
        </is>
      </c>
      <c r="R1516" s="18" t="inlineStr">
        <is>
          <t>Nombre del registro de cronograma_auditoria.</t>
        </is>
      </c>
      <c r="S1516" s="18" t="inlineStr">
        <is>
          <t>Media</t>
        </is>
      </c>
      <c r="T1516" s="18" t="inlineStr">
        <is>
          <t>Convención de nombre de la columna.</t>
        </is>
      </c>
      <c r="U1516" s="18" t="inlineStr"/>
      <c r="V1516" s="19" t="inlineStr">
        <is>
          <t>Pendiente</t>
        </is>
      </c>
      <c r="W1516" s="19" t="inlineStr"/>
      <c r="X1516" s="19" t="inlineStr"/>
      <c r="Y1516" s="20" t="n"/>
      <c r="Z1516" s="19" t="inlineStr"/>
      <c r="AA1516" s="18">
        <f>IF(OR(V1516="Aprobada"),R1516,IF(AND(OR(V1516="Aprobada con ajuste",V1516="Rechazada"),W1516&lt;&gt;""),W1516,""))</f>
        <v/>
      </c>
    </row>
    <row r="1517">
      <c r="A1517" s="18" t="inlineStr">
        <is>
          <t>C1516</t>
        </is>
      </c>
      <c r="B1517" s="18" t="inlineStr">
        <is>
          <t>Control interno</t>
        </is>
      </c>
      <c r="C1517" s="18" t="inlineStr">
        <is>
          <t>control_interno</t>
        </is>
      </c>
      <c r="D1517" s="18" t="inlineStr">
        <is>
          <t>cronograma_auditoria</t>
        </is>
      </c>
      <c r="E1517" s="18" t="n">
        <v>0</v>
      </c>
      <c r="F1517" s="18" t="inlineStr">
        <is>
          <t>proceso</t>
        </is>
      </c>
      <c r="G1517" s="18" t="inlineStr">
        <is>
          <t>character varying(255)</t>
        </is>
      </c>
      <c r="H1517" s="18" t="inlineStr">
        <is>
          <t>No</t>
        </is>
      </c>
      <c r="I1517" s="18" t="inlineStr"/>
      <c r="J1517" s="18" t="inlineStr"/>
      <c r="K1517" s="18" t="inlineStr"/>
      <c r="L1517" s="18" t="inlineStr">
        <is>
          <t>No</t>
        </is>
      </c>
      <c r="M1517" s="18" t="inlineStr">
        <is>
          <t>No</t>
        </is>
      </c>
      <c r="N1517" s="18" t="inlineStr"/>
      <c r="O1517" s="18" t="inlineStr"/>
      <c r="P1517" s="18" t="inlineStr"/>
      <c r="Q1517" s="18" t="inlineStr">
        <is>
          <t>Propuesta semántica</t>
        </is>
      </c>
      <c r="R1517" s="18" t="inlineStr">
        <is>
          <t>Proceso que se audita en la auditoría del cronograma.</t>
        </is>
      </c>
      <c r="S1517" s="18" t="inlineStr">
        <is>
          <t>Alta</t>
        </is>
      </c>
      <c r="T1517" s="18" t="inlineStr">
        <is>
          <t>nombre + tipo + descripción de la tabla ~</t>
        </is>
      </c>
      <c r="U1517" s="18" t="inlineStr"/>
      <c r="V1517" s="19" t="inlineStr">
        <is>
          <t>Pendiente</t>
        </is>
      </c>
      <c r="W1517" s="19" t="inlineStr"/>
      <c r="X1517" s="19" t="inlineStr"/>
      <c r="Y1517" s="20" t="n"/>
      <c r="Z1517" s="19" t="inlineStr"/>
      <c r="AA1517" s="18">
        <f>IF(OR(V1517="Aprobada"),R1517,IF(AND(OR(V1517="Aprobada con ajuste",V1517="Rechazada"),W1517&lt;&gt;""),W1517,""))</f>
        <v/>
      </c>
    </row>
    <row r="1518">
      <c r="A1518" s="18" t="inlineStr">
        <is>
          <t>C1517</t>
        </is>
      </c>
      <c r="B1518" s="18" t="inlineStr">
        <is>
          <t>Control interno</t>
        </is>
      </c>
      <c r="C1518" s="18" t="inlineStr">
        <is>
          <t>control_interno</t>
        </is>
      </c>
      <c r="D1518" s="18" t="inlineStr">
        <is>
          <t>cronograma_auditoria</t>
        </is>
      </c>
      <c r="E1518" s="18" t="n">
        <v>0</v>
      </c>
      <c r="F1518" s="18" t="inlineStr">
        <is>
          <t>nivel_riesgo</t>
        </is>
      </c>
      <c r="G1518" s="18" t="inlineStr">
        <is>
          <t>character varying(20)</t>
        </is>
      </c>
      <c r="H1518" s="18" t="inlineStr">
        <is>
          <t>Sí</t>
        </is>
      </c>
      <c r="I1518" s="18" t="inlineStr">
        <is>
          <t>CHECK</t>
        </is>
      </c>
      <c r="J1518" s="18" t="inlineStr">
        <is>
          <t>Alto, Bajo, Medio</t>
        </is>
      </c>
      <c r="K1518" s="18" t="inlineStr"/>
      <c r="L1518" s="18" t="inlineStr">
        <is>
          <t>Sí</t>
        </is>
      </c>
      <c r="M1518" s="18" t="inlineStr">
        <is>
          <t>No</t>
        </is>
      </c>
      <c r="N1518" s="18" t="inlineStr"/>
      <c r="O1518" s="18" t="inlineStr"/>
      <c r="P1518" s="18" t="inlineStr"/>
      <c r="Q1518" s="18" t="inlineStr">
        <is>
          <t>Propuesta semántica</t>
        </is>
      </c>
      <c r="R1518" s="18" t="inlineStr">
        <is>
          <t>Nivel de riesgo del proceso. Valores permitidos: Alto, Medio, Bajo.</t>
        </is>
      </c>
      <c r="S1518" s="18" t="inlineStr">
        <is>
          <t>Alta</t>
        </is>
      </c>
      <c r="T1518" s="18" t="inlineStr">
        <is>
          <t>valores permitidos del CHECK ~</t>
        </is>
      </c>
      <c r="U1518" s="18" t="inlineStr"/>
      <c r="V1518" s="19" t="inlineStr">
        <is>
          <t>Pendiente</t>
        </is>
      </c>
      <c r="W1518" s="19" t="inlineStr"/>
      <c r="X1518" s="19" t="inlineStr"/>
      <c r="Y1518" s="20" t="n"/>
      <c r="Z1518" s="19" t="inlineStr"/>
      <c r="AA1518" s="18">
        <f>IF(OR(V1518="Aprobada"),R1518,IF(AND(OR(V1518="Aprobada con ajuste",V1518="Rechazada"),W1518&lt;&gt;""),W1518,""))</f>
        <v/>
      </c>
    </row>
    <row r="1519">
      <c r="A1519" s="18" t="inlineStr">
        <is>
          <t>C1518</t>
        </is>
      </c>
      <c r="B1519" s="18" t="inlineStr">
        <is>
          <t>Control interno</t>
        </is>
      </c>
      <c r="C1519" s="18" t="inlineStr">
        <is>
          <t>control_interno</t>
        </is>
      </c>
      <c r="D1519" s="18" t="inlineStr">
        <is>
          <t>cronograma_auditoria</t>
        </is>
      </c>
      <c r="E1519" s="18" t="n">
        <v>0</v>
      </c>
      <c r="F1519" s="18" t="inlineStr">
        <is>
          <t>trimestre</t>
        </is>
      </c>
      <c r="G1519" s="18" t="inlineStr">
        <is>
          <t>character varying(10)</t>
        </is>
      </c>
      <c r="H1519" s="18" t="inlineStr">
        <is>
          <t>No</t>
        </is>
      </c>
      <c r="I1519" s="18" t="inlineStr"/>
      <c r="J1519" s="18" t="inlineStr"/>
      <c r="K1519" s="18" t="inlineStr"/>
      <c r="L1519" s="18" t="inlineStr">
        <is>
          <t>No</t>
        </is>
      </c>
      <c r="M1519" s="18" t="inlineStr">
        <is>
          <t>No</t>
        </is>
      </c>
      <c r="N1519" s="18" t="inlineStr"/>
      <c r="O1519" s="18" t="inlineStr">
        <is>
          <t>idx_cronograma_trimestre</t>
        </is>
      </c>
      <c r="P1519" s="18" t="inlineStr"/>
      <c r="Q1519" s="18" t="inlineStr">
        <is>
          <t>Propuesta semántica</t>
        </is>
      </c>
      <c r="R1519" s="18" t="inlineStr">
        <is>
          <t>Trimestre del año en que se programa la auditoría.</t>
        </is>
      </c>
      <c r="S1519" s="18" t="inlineStr">
        <is>
          <t>Media</t>
        </is>
      </c>
      <c r="T1519" s="18" t="inlineStr">
        <is>
          <t>nombre + tipo + índice</t>
        </is>
      </c>
      <c r="U1519" s="18" t="inlineStr">
        <is>
          <t>¿Qué formato tiene trimestre (Q1, T1, 1)?</t>
        </is>
      </c>
      <c r="V1519" s="19" t="inlineStr">
        <is>
          <t>Pendiente</t>
        </is>
      </c>
      <c r="W1519" s="19" t="inlineStr"/>
      <c r="X1519" s="19" t="inlineStr"/>
      <c r="Y1519" s="20" t="n"/>
      <c r="Z1519" s="19" t="inlineStr"/>
      <c r="AA1519" s="18">
        <f>IF(OR(V1519="Aprobada"),R1519,IF(AND(OR(V1519="Aprobada con ajuste",V1519="Rechazada"),W1519&lt;&gt;""),W1519,""))</f>
        <v/>
      </c>
    </row>
    <row r="1520">
      <c r="A1520" s="18" t="inlineStr">
        <is>
          <t>C1519</t>
        </is>
      </c>
      <c r="B1520" s="18" t="inlineStr">
        <is>
          <t>Control interno</t>
        </is>
      </c>
      <c r="C1520" s="18" t="inlineStr">
        <is>
          <t>control_interno</t>
        </is>
      </c>
      <c r="D1520" s="18" t="inlineStr">
        <is>
          <t>cronograma_auditoria</t>
        </is>
      </c>
      <c r="E1520" s="18" t="n">
        <v>0</v>
      </c>
      <c r="F1520" s="18" t="inlineStr">
        <is>
          <t>fecha_inicio</t>
        </is>
      </c>
      <c r="G1520" s="18" t="inlineStr">
        <is>
          <t>date</t>
        </is>
      </c>
      <c r="H1520" s="18" t="inlineStr">
        <is>
          <t>No</t>
        </is>
      </c>
      <c r="I1520" s="18" t="inlineStr"/>
      <c r="J1520" s="18" t="inlineStr"/>
      <c r="K1520" s="18" t="inlineStr"/>
      <c r="L1520" s="18" t="inlineStr">
        <is>
          <t>No</t>
        </is>
      </c>
      <c r="M1520" s="18" t="inlineStr">
        <is>
          <t>No</t>
        </is>
      </c>
      <c r="N1520" s="18" t="inlineStr"/>
      <c r="O1520" s="18" t="inlineStr"/>
      <c r="P1520" s="18" t="inlineStr"/>
      <c r="Q1520" s="18" t="inlineStr">
        <is>
          <t>Regla estructural</t>
        </is>
      </c>
      <c r="R1520" s="18" t="inlineStr">
        <is>
          <t>Fecha de inicio.</t>
        </is>
      </c>
      <c r="S1520" s="18" t="inlineStr">
        <is>
          <t>Media</t>
        </is>
      </c>
      <c r="T1520" s="18" t="inlineStr">
        <is>
          <t>Convención de nombre de la columna.</t>
        </is>
      </c>
      <c r="U1520" s="18" t="inlineStr"/>
      <c r="V1520" s="19" t="inlineStr">
        <is>
          <t>Pendiente</t>
        </is>
      </c>
      <c r="W1520" s="19" t="inlineStr"/>
      <c r="X1520" s="19" t="inlineStr"/>
      <c r="Y1520" s="20" t="n"/>
      <c r="Z1520" s="19" t="inlineStr"/>
      <c r="AA1520" s="18">
        <f>IF(OR(V1520="Aprobada"),R1520,IF(AND(OR(V1520="Aprobada con ajuste",V1520="Rechazada"),W1520&lt;&gt;""),W1520,""))</f>
        <v/>
      </c>
    </row>
    <row r="1521">
      <c r="A1521" s="18" t="inlineStr">
        <is>
          <t>C1520</t>
        </is>
      </c>
      <c r="B1521" s="18" t="inlineStr">
        <is>
          <t>Control interno</t>
        </is>
      </c>
      <c r="C1521" s="18" t="inlineStr">
        <is>
          <t>control_interno</t>
        </is>
      </c>
      <c r="D1521" s="18" t="inlineStr">
        <is>
          <t>cronograma_auditoria</t>
        </is>
      </c>
      <c r="E1521" s="18" t="n">
        <v>0</v>
      </c>
      <c r="F1521" s="18" t="inlineStr">
        <is>
          <t>fecha_fin</t>
        </is>
      </c>
      <c r="G1521" s="18" t="inlineStr">
        <is>
          <t>date</t>
        </is>
      </c>
      <c r="H1521" s="18" t="inlineStr">
        <is>
          <t>No</t>
        </is>
      </c>
      <c r="I1521" s="18" t="inlineStr"/>
      <c r="J1521" s="18" t="inlineStr"/>
      <c r="K1521" s="18" t="inlineStr"/>
      <c r="L1521" s="18" t="inlineStr">
        <is>
          <t>No</t>
        </is>
      </c>
      <c r="M1521" s="18" t="inlineStr">
        <is>
          <t>No</t>
        </is>
      </c>
      <c r="N1521" s="18" t="inlineStr"/>
      <c r="O1521" s="18" t="inlineStr"/>
      <c r="P1521" s="18" t="inlineStr"/>
      <c r="Q1521" s="18" t="inlineStr">
        <is>
          <t>Regla estructural</t>
        </is>
      </c>
      <c r="R1521" s="18" t="inlineStr">
        <is>
          <t>Fecha de finalización.</t>
        </is>
      </c>
      <c r="S1521" s="18" t="inlineStr">
        <is>
          <t>Media</t>
        </is>
      </c>
      <c r="T1521" s="18" t="inlineStr">
        <is>
          <t>Convención de nombre de la columna.</t>
        </is>
      </c>
      <c r="U1521" s="18" t="inlineStr"/>
      <c r="V1521" s="19" t="inlineStr">
        <is>
          <t>Pendiente</t>
        </is>
      </c>
      <c r="W1521" s="19" t="inlineStr"/>
      <c r="X1521" s="19" t="inlineStr"/>
      <c r="Y1521" s="20" t="n"/>
      <c r="Z1521" s="19" t="inlineStr"/>
      <c r="AA1521" s="18">
        <f>IF(OR(V1521="Aprobada"),R1521,IF(AND(OR(V1521="Aprobada con ajuste",V1521="Rechazada"),W1521&lt;&gt;""),W1521,""))</f>
        <v/>
      </c>
    </row>
    <row r="1522">
      <c r="A1522" s="18" t="inlineStr">
        <is>
          <t>C1521</t>
        </is>
      </c>
      <c r="B1522" s="18" t="inlineStr">
        <is>
          <t>Control interno</t>
        </is>
      </c>
      <c r="C1522" s="18" t="inlineStr">
        <is>
          <t>control_interno</t>
        </is>
      </c>
      <c r="D1522" s="18" t="inlineStr">
        <is>
          <t>cronograma_auditoria</t>
        </is>
      </c>
      <c r="E1522" s="18" t="n">
        <v>0</v>
      </c>
      <c r="F1522" s="18" t="inlineStr">
        <is>
          <t>auditor_responsable</t>
        </is>
      </c>
      <c r="G1522" s="18" t="inlineStr">
        <is>
          <t>character varying(255)</t>
        </is>
      </c>
      <c r="H1522" s="18" t="inlineStr">
        <is>
          <t>Sí</t>
        </is>
      </c>
      <c r="I1522" s="18" t="inlineStr"/>
      <c r="J1522" s="18" t="inlineStr"/>
      <c r="K1522" s="18" t="inlineStr"/>
      <c r="L1522" s="18" t="inlineStr">
        <is>
          <t>No</t>
        </is>
      </c>
      <c r="M1522" s="18" t="inlineStr">
        <is>
          <t>No</t>
        </is>
      </c>
      <c r="N1522" s="18" t="inlineStr"/>
      <c r="O1522" s="18" t="inlineStr"/>
      <c r="P1522" s="18" t="inlineStr"/>
      <c r="Q1522" s="18" t="inlineStr">
        <is>
          <t>Propuesta semántica</t>
        </is>
      </c>
      <c r="R1522" s="18" t="inlineStr">
        <is>
          <t>Nombre del auditor responsable de la auditoría programada.</t>
        </is>
      </c>
      <c r="S1522" s="18" t="inlineStr">
        <is>
          <t>Media</t>
        </is>
      </c>
      <c r="T1522" s="18" t="inlineStr">
        <is>
          <t>nombre + tipo</t>
        </is>
      </c>
      <c r="U1522" s="18" t="inlineStr">
        <is>
          <t>¿auditor_responsable guarda el nombre, el correo o el identificador del auditor?</t>
        </is>
      </c>
      <c r="V1522" s="19" t="inlineStr">
        <is>
          <t>Pendiente</t>
        </is>
      </c>
      <c r="W1522" s="19" t="inlineStr"/>
      <c r="X1522" s="19" t="inlineStr"/>
      <c r="Y1522" s="20" t="n"/>
      <c r="Z1522" s="19" t="inlineStr"/>
      <c r="AA1522" s="18">
        <f>IF(OR(V1522="Aprobada"),R1522,IF(AND(OR(V1522="Aprobada con ajuste",V1522="Rechazada"),W1522&lt;&gt;""),W1522,""))</f>
        <v/>
      </c>
    </row>
    <row r="1523">
      <c r="A1523" s="18" t="inlineStr">
        <is>
          <t>C1522</t>
        </is>
      </c>
      <c r="B1523" s="18" t="inlineStr">
        <is>
          <t>Control interno</t>
        </is>
      </c>
      <c r="C1523" s="18" t="inlineStr">
        <is>
          <t>control_interno</t>
        </is>
      </c>
      <c r="D1523" s="18" t="inlineStr">
        <is>
          <t>cronograma_auditoria</t>
        </is>
      </c>
      <c r="E1523" s="18" t="n">
        <v>0</v>
      </c>
      <c r="F1523" s="18" t="inlineStr">
        <is>
          <t>horas_estimadas</t>
        </is>
      </c>
      <c r="G1523" s="18" t="inlineStr">
        <is>
          <t>integer</t>
        </is>
      </c>
      <c r="H1523" s="18" t="inlineStr">
        <is>
          <t>No</t>
        </is>
      </c>
      <c r="I1523" s="18" t="inlineStr"/>
      <c r="J1523" s="18" t="inlineStr"/>
      <c r="K1523" s="18" t="inlineStr"/>
      <c r="L1523" s="18" t="inlineStr">
        <is>
          <t>No</t>
        </is>
      </c>
      <c r="M1523" s="18" t="inlineStr">
        <is>
          <t>No</t>
        </is>
      </c>
      <c r="N1523" s="18" t="inlineStr"/>
      <c r="O1523" s="18" t="inlineStr"/>
      <c r="P1523" s="18" t="inlineStr"/>
      <c r="Q1523" s="18" t="inlineStr">
        <is>
          <t>Propuesta semántica</t>
        </is>
      </c>
      <c r="R1523" s="18" t="inlineStr">
        <is>
          <t>Horas estimadas para ejecutar la auditoría.</t>
        </is>
      </c>
      <c r="S1523" s="18" t="inlineStr">
        <is>
          <t>Alta</t>
        </is>
      </c>
      <c r="T1523" s="18" t="inlineStr">
        <is>
          <t>nombre + tipo ~</t>
        </is>
      </c>
      <c r="U1523" s="18" t="inlineStr"/>
      <c r="V1523" s="19" t="inlineStr">
        <is>
          <t>Pendiente</t>
        </is>
      </c>
      <c r="W1523" s="19" t="inlineStr"/>
      <c r="X1523" s="19" t="inlineStr"/>
      <c r="Y1523" s="20" t="n"/>
      <c r="Z1523" s="19" t="inlineStr"/>
      <c r="AA1523" s="18">
        <f>IF(OR(V1523="Aprobada"),R1523,IF(AND(OR(V1523="Aprobada con ajuste",V1523="Rechazada"),W1523&lt;&gt;""),W1523,""))</f>
        <v/>
      </c>
    </row>
    <row r="1524">
      <c r="A1524" s="18" t="inlineStr">
        <is>
          <t>C1523</t>
        </is>
      </c>
      <c r="B1524" s="18" t="inlineStr">
        <is>
          <t>Control interno</t>
        </is>
      </c>
      <c r="C1524" s="18" t="inlineStr">
        <is>
          <t>control_interno</t>
        </is>
      </c>
      <c r="D1524" s="18" t="inlineStr">
        <is>
          <t>cronograma_auditoria</t>
        </is>
      </c>
      <c r="E1524" s="18" t="n">
        <v>0</v>
      </c>
      <c r="F1524" s="18" t="inlineStr">
        <is>
          <t>estado</t>
        </is>
      </c>
      <c r="G1524" s="18" t="inlineStr">
        <is>
          <t>character varying(50)</t>
        </is>
      </c>
      <c r="H1524" s="18" t="inlineStr">
        <is>
          <t>Sí</t>
        </is>
      </c>
      <c r="I1524" s="18" t="inlineStr">
        <is>
          <t>CHECK</t>
        </is>
      </c>
      <c r="J1524" s="18" t="inlineStr">
        <is>
          <t>cancelada, completada, en-ejecucion, en-revision, planificado</t>
        </is>
      </c>
      <c r="K1524" s="18" t="inlineStr"/>
      <c r="L1524" s="18" t="inlineStr">
        <is>
          <t>Sí</t>
        </is>
      </c>
      <c r="M1524" s="18" t="inlineStr">
        <is>
          <t>No</t>
        </is>
      </c>
      <c r="N1524" s="18" t="inlineStr"/>
      <c r="O1524" s="18" t="inlineStr">
        <is>
          <t>idx_cronograma_estado</t>
        </is>
      </c>
      <c r="P1524" s="18" t="inlineStr"/>
      <c r="Q1524" s="18" t="inlineStr">
        <is>
          <t>Regla estructural</t>
        </is>
      </c>
      <c r="R1524" s="18" t="inlineStr">
        <is>
          <t>Estado del registro de cronograma_auditoria.</t>
        </is>
      </c>
      <c r="S1524" s="18" t="inlineStr">
        <is>
          <t>Media</t>
        </is>
      </c>
      <c r="T1524" s="18" t="inlineStr">
        <is>
          <t>Convención de nombre de la columna.</t>
        </is>
      </c>
      <c r="U1524" s="18" t="inlineStr"/>
      <c r="V1524" s="19" t="inlineStr">
        <is>
          <t>Pendiente</t>
        </is>
      </c>
      <c r="W1524" s="19" t="inlineStr"/>
      <c r="X1524" s="19" t="inlineStr"/>
      <c r="Y1524" s="20" t="n"/>
      <c r="Z1524" s="19" t="inlineStr"/>
      <c r="AA1524" s="18">
        <f>IF(OR(V1524="Aprobada"),R1524,IF(AND(OR(V1524="Aprobada con ajuste",V1524="Rechazada"),W1524&lt;&gt;""),W1524,""))</f>
        <v/>
      </c>
    </row>
    <row r="1525">
      <c r="A1525" s="18" t="inlineStr">
        <is>
          <t>C1524</t>
        </is>
      </c>
      <c r="B1525" s="18" t="inlineStr">
        <is>
          <t>Control interno</t>
        </is>
      </c>
      <c r="C1525" s="18" t="inlineStr">
        <is>
          <t>control_interno</t>
        </is>
      </c>
      <c r="D1525" s="18" t="inlineStr">
        <is>
          <t>cronograma_auditoria</t>
        </is>
      </c>
      <c r="E1525" s="18" t="n">
        <v>0</v>
      </c>
      <c r="F1525" s="18" t="inlineStr">
        <is>
          <t>es_territorial</t>
        </is>
      </c>
      <c r="G1525" s="18" t="inlineStr">
        <is>
          <t>boolean</t>
        </is>
      </c>
      <c r="H1525" s="18" t="inlineStr">
        <is>
          <t>Sí</t>
        </is>
      </c>
      <c r="I1525" s="18" t="inlineStr"/>
      <c r="J1525" s="18" t="inlineStr"/>
      <c r="K1525" s="18" t="inlineStr"/>
      <c r="L1525" s="18" t="inlineStr">
        <is>
          <t>No</t>
        </is>
      </c>
      <c r="M1525" s="18" t="inlineStr">
        <is>
          <t>No</t>
        </is>
      </c>
      <c r="N1525" s="18" t="inlineStr"/>
      <c r="O1525" s="18" t="inlineStr"/>
      <c r="P1525" s="18" t="inlineStr"/>
      <c r="Q1525" s="18" t="inlineStr">
        <is>
          <t>Regla estructural</t>
        </is>
      </c>
      <c r="R1525" s="18" t="inlineStr">
        <is>
          <t>Indica si aplica: territorial.</t>
        </is>
      </c>
      <c r="S1525" s="18" t="inlineStr">
        <is>
          <t>Media</t>
        </is>
      </c>
      <c r="T1525" s="18" t="inlineStr">
        <is>
          <t>Convención de nombre de la columna.</t>
        </is>
      </c>
      <c r="U1525" s="18" t="inlineStr"/>
      <c r="V1525" s="19" t="inlineStr">
        <is>
          <t>Pendiente</t>
        </is>
      </c>
      <c r="W1525" s="19" t="inlineStr"/>
      <c r="X1525" s="19" t="inlineStr"/>
      <c r="Y1525" s="20" t="n"/>
      <c r="Z1525" s="19" t="inlineStr"/>
      <c r="AA1525" s="18">
        <f>IF(OR(V1525="Aprobada"),R1525,IF(AND(OR(V1525="Aprobada con ajuste",V1525="Rechazada"),W1525&lt;&gt;""),W1525,""))</f>
        <v/>
      </c>
    </row>
    <row r="1526">
      <c r="A1526" s="18" t="inlineStr">
        <is>
          <t>C1525</t>
        </is>
      </c>
      <c r="B1526" s="18" t="inlineStr">
        <is>
          <t>Control interno</t>
        </is>
      </c>
      <c r="C1526" s="18" t="inlineStr">
        <is>
          <t>control_interno</t>
        </is>
      </c>
      <c r="D1526" s="18" t="inlineStr">
        <is>
          <t>cronograma_auditoria</t>
        </is>
      </c>
      <c r="E1526" s="18" t="n">
        <v>0</v>
      </c>
      <c r="F1526" s="18" t="inlineStr">
        <is>
          <t>territorial</t>
        </is>
      </c>
      <c r="G1526" s="18" t="inlineStr">
        <is>
          <t>character varying(255)</t>
        </is>
      </c>
      <c r="H1526" s="18" t="inlineStr">
        <is>
          <t>Sí</t>
        </is>
      </c>
      <c r="I1526" s="18" t="inlineStr"/>
      <c r="J1526" s="18" t="inlineStr"/>
      <c r="K1526" s="18" t="inlineStr"/>
      <c r="L1526" s="18" t="inlineStr">
        <is>
          <t>No</t>
        </is>
      </c>
      <c r="M1526" s="18" t="inlineStr">
        <is>
          <t>No</t>
        </is>
      </c>
      <c r="N1526" s="18" t="inlineStr"/>
      <c r="O1526" s="18" t="inlineStr"/>
      <c r="P1526" s="18" t="inlineStr"/>
      <c r="Q1526" s="18" t="inlineStr">
        <is>
          <t>Propuesta semántica</t>
        </is>
      </c>
      <c r="R1526" s="18" t="inlineStr">
        <is>
          <t>Dirección territorial de la auditoría, cuando es territorial.</t>
        </is>
      </c>
      <c r="S1526" s="18" t="inlineStr">
        <is>
          <t>Media</t>
        </is>
      </c>
      <c r="T1526" s="18" t="inlineStr">
        <is>
          <t>nombre + columnas vecinas (es_territorial)</t>
        </is>
      </c>
      <c r="U1526" s="18" t="inlineStr">
        <is>
          <t>¿territorial se toma de un catálogo de direcciones territoriales o es texto libre?</t>
        </is>
      </c>
      <c r="V1526" s="19" t="inlineStr">
        <is>
          <t>Pendiente</t>
        </is>
      </c>
      <c r="W1526" s="19" t="inlineStr"/>
      <c r="X1526" s="19" t="inlineStr"/>
      <c r="Y1526" s="20" t="n"/>
      <c r="Z1526" s="19" t="inlineStr"/>
      <c r="AA1526" s="18">
        <f>IF(OR(V1526="Aprobada"),R1526,IF(AND(OR(V1526="Aprobada con ajuste",V1526="Rechazada"),W1526&lt;&gt;""),W1526,""))</f>
        <v/>
      </c>
    </row>
    <row r="1527">
      <c r="A1527" s="18" t="inlineStr">
        <is>
          <t>C1526</t>
        </is>
      </c>
      <c r="B1527" s="18" t="inlineStr">
        <is>
          <t>Control interno</t>
        </is>
      </c>
      <c r="C1527" s="18" t="inlineStr">
        <is>
          <t>control_interno</t>
        </is>
      </c>
      <c r="D1527" s="18" t="inlineStr">
        <is>
          <t>cronograma_auditoria</t>
        </is>
      </c>
      <c r="E1527" s="18" t="n">
        <v>0</v>
      </c>
      <c r="F1527" s="18" t="inlineStr">
        <is>
          <t>es_especial</t>
        </is>
      </c>
      <c r="G1527" s="18" t="inlineStr">
        <is>
          <t>boolean</t>
        </is>
      </c>
      <c r="H1527" s="18" t="inlineStr">
        <is>
          <t>Sí</t>
        </is>
      </c>
      <c r="I1527" s="18" t="inlineStr"/>
      <c r="J1527" s="18" t="inlineStr"/>
      <c r="K1527" s="18" t="inlineStr"/>
      <c r="L1527" s="18" t="inlineStr">
        <is>
          <t>No</t>
        </is>
      </c>
      <c r="M1527" s="18" t="inlineStr">
        <is>
          <t>No</t>
        </is>
      </c>
      <c r="N1527" s="18" t="inlineStr"/>
      <c r="O1527" s="18" t="inlineStr"/>
      <c r="P1527" s="18" t="inlineStr"/>
      <c r="Q1527" s="18" t="inlineStr">
        <is>
          <t>Regla estructural</t>
        </is>
      </c>
      <c r="R1527" s="18" t="inlineStr">
        <is>
          <t>Indica si aplica: especial.</t>
        </is>
      </c>
      <c r="S1527" s="18" t="inlineStr">
        <is>
          <t>Media</t>
        </is>
      </c>
      <c r="T1527" s="18" t="inlineStr">
        <is>
          <t>Convención de nombre de la columna.</t>
        </is>
      </c>
      <c r="U1527" s="18" t="inlineStr"/>
      <c r="V1527" s="19" t="inlineStr">
        <is>
          <t>Pendiente</t>
        </is>
      </c>
      <c r="W1527" s="19" t="inlineStr"/>
      <c r="X1527" s="19" t="inlineStr"/>
      <c r="Y1527" s="20" t="n"/>
      <c r="Z1527" s="19" t="inlineStr"/>
      <c r="AA1527" s="18">
        <f>IF(OR(V1527="Aprobada"),R1527,IF(AND(OR(V1527="Aprobada con ajuste",V1527="Rechazada"),W1527&lt;&gt;""),W1527,""))</f>
        <v/>
      </c>
    </row>
    <row r="1528">
      <c r="A1528" s="18" t="inlineStr">
        <is>
          <t>C1527</t>
        </is>
      </c>
      <c r="B1528" s="18" t="inlineStr">
        <is>
          <t>Control interno</t>
        </is>
      </c>
      <c r="C1528" s="18" t="inlineStr">
        <is>
          <t>control_interno</t>
        </is>
      </c>
      <c r="D1528" s="18" t="inlineStr">
        <is>
          <t>cronograma_auditoria</t>
        </is>
      </c>
      <c r="E1528" s="18" t="n">
        <v>0</v>
      </c>
      <c r="F1528" s="18" t="inlineStr">
        <is>
          <t>equipo</t>
        </is>
      </c>
      <c r="G1528" s="18" t="inlineStr">
        <is>
          <t>jsonb</t>
        </is>
      </c>
      <c r="H1528" s="18" t="inlineStr">
        <is>
          <t>Sí</t>
        </is>
      </c>
      <c r="I1528" s="18" t="inlineStr"/>
      <c r="J1528" s="18" t="inlineStr"/>
      <c r="K1528" s="18" t="inlineStr"/>
      <c r="L1528" s="18" t="inlineStr">
        <is>
          <t>No</t>
        </is>
      </c>
      <c r="M1528" s="18" t="inlineStr">
        <is>
          <t>No</t>
        </is>
      </c>
      <c r="N1528" s="18" t="inlineStr"/>
      <c r="O1528" s="18" t="inlineStr"/>
      <c r="P1528" s="18" t="inlineStr"/>
      <c r="Q1528" s="18" t="inlineStr">
        <is>
          <t>Propuesta semántica</t>
        </is>
      </c>
      <c r="R1528" s="18" t="inlineStr">
        <is>
          <t>Integrantes del equipo auditor, en formato JSON.</t>
        </is>
      </c>
      <c r="S1528" s="18" t="inlineStr">
        <is>
          <t>Media</t>
        </is>
      </c>
      <c r="T1528" s="18" t="inlineStr">
        <is>
          <t>nombre + tipo jsonb</t>
        </is>
      </c>
      <c r="U1528" s="18" t="inlineStr">
        <is>
          <t>¿Qué estructura tiene equipo?</t>
        </is>
      </c>
      <c r="V1528" s="19" t="inlineStr">
        <is>
          <t>Pendiente</t>
        </is>
      </c>
      <c r="W1528" s="19" t="inlineStr"/>
      <c r="X1528" s="19" t="inlineStr"/>
      <c r="Y1528" s="20" t="n"/>
      <c r="Z1528" s="19" t="inlineStr"/>
      <c r="AA1528" s="18">
        <f>IF(OR(V1528="Aprobada"),R1528,IF(AND(OR(V1528="Aprobada con ajuste",V1528="Rechazada"),W1528&lt;&gt;""),W1528,""))</f>
        <v/>
      </c>
    </row>
    <row r="1529">
      <c r="A1529" s="18" t="inlineStr">
        <is>
          <t>C1528</t>
        </is>
      </c>
      <c r="B1529" s="18" t="inlineStr">
        <is>
          <t>Control interno</t>
        </is>
      </c>
      <c r="C1529" s="18" t="inlineStr">
        <is>
          <t>control_interno</t>
        </is>
      </c>
      <c r="D1529" s="18" t="inlineStr">
        <is>
          <t>cronograma_auditoria</t>
        </is>
      </c>
      <c r="E1529" s="18" t="n">
        <v>0</v>
      </c>
      <c r="F1529" s="18" t="inlineStr">
        <is>
          <t>etapas_cronograma</t>
        </is>
      </c>
      <c r="G1529" s="18" t="inlineStr">
        <is>
          <t>jsonb</t>
        </is>
      </c>
      <c r="H1529" s="18" t="inlineStr">
        <is>
          <t>Sí</t>
        </is>
      </c>
      <c r="I1529" s="18" t="inlineStr"/>
      <c r="J1529" s="18" t="inlineStr"/>
      <c r="K1529" s="18" t="inlineStr"/>
      <c r="L1529" s="18" t="inlineStr">
        <is>
          <t>No</t>
        </is>
      </c>
      <c r="M1529" s="18" t="inlineStr">
        <is>
          <t>No</t>
        </is>
      </c>
      <c r="N1529" s="18" t="inlineStr"/>
      <c r="O1529" s="18" t="inlineStr"/>
      <c r="P1529" s="18" t="inlineStr"/>
      <c r="Q1529" s="18" t="inlineStr">
        <is>
          <t>Propuesta semántica</t>
        </is>
      </c>
      <c r="R1529" s="18" t="inlineStr">
        <is>
          <t>Etapas del cronograma de la auditoría con sus fechas, en formato JSON.</t>
        </is>
      </c>
      <c r="S1529" s="18" t="inlineStr">
        <is>
          <t>Baja</t>
        </is>
      </c>
      <c r="T1529" s="18" t="inlineStr">
        <is>
          <t>nombre + tipo jsonb</t>
        </is>
      </c>
      <c r="U1529" s="18" t="inlineStr">
        <is>
          <t>¿Qué estructura tiene etapas_cronograma?</t>
        </is>
      </c>
      <c r="V1529" s="19" t="inlineStr">
        <is>
          <t>Pendiente</t>
        </is>
      </c>
      <c r="W1529" s="19" t="inlineStr"/>
      <c r="X1529" s="19" t="inlineStr"/>
      <c r="Y1529" s="20" t="n"/>
      <c r="Z1529" s="19" t="inlineStr"/>
      <c r="AA1529" s="18">
        <f>IF(OR(V1529="Aprobada"),R1529,IF(AND(OR(V1529="Aprobada con ajuste",V1529="Rechazada"),W1529&lt;&gt;""),W1529,""))</f>
        <v/>
      </c>
    </row>
    <row r="1530">
      <c r="A1530" s="18" t="inlineStr">
        <is>
          <t>C1529</t>
        </is>
      </c>
      <c r="B1530" s="18" t="inlineStr">
        <is>
          <t>Control interno</t>
        </is>
      </c>
      <c r="C1530" s="18" t="inlineStr">
        <is>
          <t>control_interno</t>
        </is>
      </c>
      <c r="D1530" s="18" t="inlineStr">
        <is>
          <t>cronograma_fase_auditoria</t>
        </is>
      </c>
      <c r="E1530" s="18" t="n">
        <v>0</v>
      </c>
      <c r="F1530" s="18" t="inlineStr">
        <is>
          <t>fase</t>
        </is>
      </c>
      <c r="G1530" s="18" t="inlineStr">
        <is>
          <t>character varying(50)</t>
        </is>
      </c>
      <c r="H1530" s="18" t="inlineStr">
        <is>
          <t>No</t>
        </is>
      </c>
      <c r="I1530" s="18" t="inlineStr">
        <is>
          <t>CHECK</t>
        </is>
      </c>
      <c r="J1530" s="18" t="inlineStr">
        <is>
          <t>Comunicación, Ejecución, Planeación, Seguimiento</t>
        </is>
      </c>
      <c r="K1530" s="18" t="inlineStr"/>
      <c r="L1530" s="18" t="inlineStr">
        <is>
          <t>Sí</t>
        </is>
      </c>
      <c r="M1530" s="18" t="inlineStr">
        <is>
          <t>No</t>
        </is>
      </c>
      <c r="N1530" s="18" t="inlineStr"/>
      <c r="O1530" s="18" t="inlineStr">
        <is>
          <t>idx_cronograma_fase, uq_cronograma_fase</t>
        </is>
      </c>
      <c r="P1530" s="18" t="inlineStr"/>
      <c r="Q1530" s="18" t="inlineStr">
        <is>
          <t>Propuesta semántica</t>
        </is>
      </c>
      <c r="R1530" s="18" t="inlineStr">
        <is>
          <t>Fase de la auditoría a la que corresponde el cronograma. Valores permitidos: Planeación, Comunicación, Ejecución, Seguimiento.</t>
        </is>
      </c>
      <c r="S1530" s="18" t="inlineStr">
        <is>
          <t>Alta</t>
        </is>
      </c>
      <c r="T1530" s="18" t="inlineStr">
        <is>
          <t>valores permitidos del CHECK + índice único ~</t>
        </is>
      </c>
      <c r="U1530" s="18" t="inlineStr"/>
      <c r="V1530" s="19" t="inlineStr">
        <is>
          <t>Pendiente</t>
        </is>
      </c>
      <c r="W1530" s="19" t="inlineStr"/>
      <c r="X1530" s="19" t="inlineStr"/>
      <c r="Y1530" s="20" t="n"/>
      <c r="Z1530" s="19" t="inlineStr"/>
      <c r="AA1530" s="18">
        <f>IF(OR(V1530="Aprobada"),R1530,IF(AND(OR(V1530="Aprobada con ajuste",V1530="Rechazada"),W1530&lt;&gt;""),W1530,""))</f>
        <v/>
      </c>
    </row>
    <row r="1531">
      <c r="A1531" s="18" t="inlineStr">
        <is>
          <t>C1530</t>
        </is>
      </c>
      <c r="B1531" s="18" t="inlineStr">
        <is>
          <t>Control interno</t>
        </is>
      </c>
      <c r="C1531" s="18" t="inlineStr">
        <is>
          <t>control_interno</t>
        </is>
      </c>
      <c r="D1531" s="18" t="inlineStr">
        <is>
          <t>cronograma_fase_auditoria</t>
        </is>
      </c>
      <c r="E1531" s="18" t="n">
        <v>0</v>
      </c>
      <c r="F1531" s="18" t="inlineStr">
        <is>
          <t>fecha_inicio</t>
        </is>
      </c>
      <c r="G1531" s="18" t="inlineStr">
        <is>
          <t>date</t>
        </is>
      </c>
      <c r="H1531" s="18" t="inlineStr">
        <is>
          <t>No</t>
        </is>
      </c>
      <c r="I1531" s="18" t="inlineStr"/>
      <c r="J1531" s="18" t="inlineStr"/>
      <c r="K1531" s="18" t="inlineStr"/>
      <c r="L1531" s="18" t="inlineStr">
        <is>
          <t>No</t>
        </is>
      </c>
      <c r="M1531" s="18" t="inlineStr">
        <is>
          <t>No</t>
        </is>
      </c>
      <c r="N1531" s="18" t="inlineStr"/>
      <c r="O1531" s="18" t="inlineStr"/>
      <c r="P1531" s="18" t="inlineStr"/>
      <c r="Q1531" s="18" t="inlineStr">
        <is>
          <t>Regla estructural</t>
        </is>
      </c>
      <c r="R1531" s="18" t="inlineStr">
        <is>
          <t>Fecha de inicio.</t>
        </is>
      </c>
      <c r="S1531" s="18" t="inlineStr">
        <is>
          <t>Media</t>
        </is>
      </c>
      <c r="T1531" s="18" t="inlineStr">
        <is>
          <t>Convención de nombre de la columna.</t>
        </is>
      </c>
      <c r="U1531" s="18" t="inlineStr"/>
      <c r="V1531" s="19" t="inlineStr">
        <is>
          <t>Pendiente</t>
        </is>
      </c>
      <c r="W1531" s="19" t="inlineStr"/>
      <c r="X1531" s="19" t="inlineStr"/>
      <c r="Y1531" s="20" t="n"/>
      <c r="Z1531" s="19" t="inlineStr"/>
      <c r="AA1531" s="18">
        <f>IF(OR(V1531="Aprobada"),R1531,IF(AND(OR(V1531="Aprobada con ajuste",V1531="Rechazada"),W1531&lt;&gt;""),W1531,""))</f>
        <v/>
      </c>
    </row>
    <row r="1532">
      <c r="A1532" s="18" t="inlineStr">
        <is>
          <t>C1531</t>
        </is>
      </c>
      <c r="B1532" s="18" t="inlineStr">
        <is>
          <t>Control interno</t>
        </is>
      </c>
      <c r="C1532" s="18" t="inlineStr">
        <is>
          <t>control_interno</t>
        </is>
      </c>
      <c r="D1532" s="18" t="inlineStr">
        <is>
          <t>cronograma_fase_auditoria</t>
        </is>
      </c>
      <c r="E1532" s="18" t="n">
        <v>0</v>
      </c>
      <c r="F1532" s="18" t="inlineStr">
        <is>
          <t>fecha_fin</t>
        </is>
      </c>
      <c r="G1532" s="18" t="inlineStr">
        <is>
          <t>date</t>
        </is>
      </c>
      <c r="H1532" s="18" t="inlineStr">
        <is>
          <t>No</t>
        </is>
      </c>
      <c r="I1532" s="18" t="inlineStr"/>
      <c r="J1532" s="18" t="inlineStr"/>
      <c r="K1532" s="18" t="inlineStr"/>
      <c r="L1532" s="18" t="inlineStr">
        <is>
          <t>No</t>
        </is>
      </c>
      <c r="M1532" s="18" t="inlineStr">
        <is>
          <t>No</t>
        </is>
      </c>
      <c r="N1532" s="18" t="inlineStr"/>
      <c r="O1532" s="18" t="inlineStr"/>
      <c r="P1532" s="18" t="inlineStr"/>
      <c r="Q1532" s="18" t="inlineStr">
        <is>
          <t>Regla estructural</t>
        </is>
      </c>
      <c r="R1532" s="18" t="inlineStr">
        <is>
          <t>Fecha de finalización.</t>
        </is>
      </c>
      <c r="S1532" s="18" t="inlineStr">
        <is>
          <t>Media</t>
        </is>
      </c>
      <c r="T1532" s="18" t="inlineStr">
        <is>
          <t>Convención de nombre de la columna.</t>
        </is>
      </c>
      <c r="U1532" s="18" t="inlineStr"/>
      <c r="V1532" s="19" t="inlineStr">
        <is>
          <t>Pendiente</t>
        </is>
      </c>
      <c r="W1532" s="19" t="inlineStr"/>
      <c r="X1532" s="19" t="inlineStr"/>
      <c r="Y1532" s="20" t="n"/>
      <c r="Z1532" s="19" t="inlineStr"/>
      <c r="AA1532" s="18">
        <f>IF(OR(V1532="Aprobada"),R1532,IF(AND(OR(V1532="Aprobada con ajuste",V1532="Rechazada"),W1532&lt;&gt;""),W1532,""))</f>
        <v/>
      </c>
    </row>
    <row r="1533">
      <c r="A1533" s="18" t="inlineStr">
        <is>
          <t>C1532</t>
        </is>
      </c>
      <c r="B1533" s="18" t="inlineStr">
        <is>
          <t>Control interno</t>
        </is>
      </c>
      <c r="C1533" s="18" t="inlineStr">
        <is>
          <t>control_interno</t>
        </is>
      </c>
      <c r="D1533" s="18" t="inlineStr">
        <is>
          <t>cronograma_fase_auditoria</t>
        </is>
      </c>
      <c r="E1533" s="18" t="n">
        <v>0</v>
      </c>
      <c r="F1533" s="18" t="inlineStr">
        <is>
          <t>dias_estimados</t>
        </is>
      </c>
      <c r="G1533" s="18" t="inlineStr">
        <is>
          <t>integer</t>
        </is>
      </c>
      <c r="H1533" s="18" t="inlineStr">
        <is>
          <t>No</t>
        </is>
      </c>
      <c r="I1533" s="18" t="inlineStr"/>
      <c r="J1533" s="18" t="inlineStr"/>
      <c r="K1533" s="18" t="inlineStr"/>
      <c r="L1533" s="18" t="inlineStr">
        <is>
          <t>No</t>
        </is>
      </c>
      <c r="M1533" s="18" t="inlineStr">
        <is>
          <t>No</t>
        </is>
      </c>
      <c r="N1533" s="18" t="inlineStr"/>
      <c r="O1533" s="18" t="inlineStr"/>
      <c r="P1533" s="18" t="inlineStr"/>
      <c r="Q1533" s="18" t="inlineStr">
        <is>
          <t>Propuesta semántica</t>
        </is>
      </c>
      <c r="R1533" s="18" t="inlineStr">
        <is>
          <t>Duración estimada de la fase, en días.</t>
        </is>
      </c>
      <c r="S1533" s="18" t="inlineStr">
        <is>
          <t>Media</t>
        </is>
      </c>
      <c r="T1533" s="18" t="inlineStr">
        <is>
          <t>nombre + tipo + descripción de la tabla</t>
        </is>
      </c>
      <c r="U1533" s="18" t="inlineStr">
        <is>
          <t>¿dias_estimados cuenta días calendario o hábiles?</t>
        </is>
      </c>
      <c r="V1533" s="19" t="inlineStr">
        <is>
          <t>Pendiente</t>
        </is>
      </c>
      <c r="W1533" s="19" t="inlineStr"/>
      <c r="X1533" s="19" t="inlineStr"/>
      <c r="Y1533" s="20" t="n"/>
      <c r="Z1533" s="19" t="inlineStr"/>
      <c r="AA1533" s="18">
        <f>IF(OR(V1533="Aprobada"),R1533,IF(AND(OR(V1533="Aprobada con ajuste",V1533="Rechazada"),W1533&lt;&gt;""),W1533,""))</f>
        <v/>
      </c>
    </row>
    <row r="1534">
      <c r="A1534" s="18" t="inlineStr">
        <is>
          <t>C1533</t>
        </is>
      </c>
      <c r="B1534" s="18" t="inlineStr">
        <is>
          <t>Control interno</t>
        </is>
      </c>
      <c r="C1534" s="18" t="inlineStr">
        <is>
          <t>control_interno</t>
        </is>
      </c>
      <c r="D1534" s="18" t="inlineStr">
        <is>
          <t>cronograma_fase_auditoria</t>
        </is>
      </c>
      <c r="E1534" s="18" t="n">
        <v>0</v>
      </c>
      <c r="F1534" s="18" t="inlineStr">
        <is>
          <t>observaciones</t>
        </is>
      </c>
      <c r="G1534" s="18" t="inlineStr">
        <is>
          <t>text</t>
        </is>
      </c>
      <c r="H1534" s="18" t="inlineStr">
        <is>
          <t>Sí</t>
        </is>
      </c>
      <c r="I1534" s="18" t="inlineStr"/>
      <c r="J1534" s="18" t="inlineStr"/>
      <c r="K1534" s="18" t="inlineStr"/>
      <c r="L1534" s="18" t="inlineStr">
        <is>
          <t>No</t>
        </is>
      </c>
      <c r="M1534" s="18" t="inlineStr">
        <is>
          <t>No</t>
        </is>
      </c>
      <c r="N1534" s="18" t="inlineStr"/>
      <c r="O1534" s="18" t="inlineStr"/>
      <c r="P1534" s="18" t="inlineStr"/>
      <c r="Q1534" s="18" t="inlineStr">
        <is>
          <t>Regla estructural</t>
        </is>
      </c>
      <c r="R1534" s="18" t="inlineStr">
        <is>
          <t>Observaciones registradas sobre el registro.</t>
        </is>
      </c>
      <c r="S1534" s="18" t="inlineStr">
        <is>
          <t>Media</t>
        </is>
      </c>
      <c r="T1534" s="18" t="inlineStr">
        <is>
          <t>Convención de nombre de la columna.</t>
        </is>
      </c>
      <c r="U1534" s="18" t="inlineStr"/>
      <c r="V1534" s="19" t="inlineStr">
        <is>
          <t>Pendiente</t>
        </is>
      </c>
      <c r="W1534" s="19" t="inlineStr"/>
      <c r="X1534" s="19" t="inlineStr"/>
      <c r="Y1534" s="20" t="n"/>
      <c r="Z1534" s="19" t="inlineStr"/>
      <c r="AA1534" s="18">
        <f>IF(OR(V1534="Aprobada"),R1534,IF(AND(OR(V1534="Aprobada con ajuste",V1534="Rechazada"),W1534&lt;&gt;""),W1534,""))</f>
        <v/>
      </c>
    </row>
    <row r="1535">
      <c r="A1535" s="18" t="inlineStr">
        <is>
          <t>C1534</t>
        </is>
      </c>
      <c r="B1535" s="18" t="inlineStr">
        <is>
          <t>Control interno</t>
        </is>
      </c>
      <c r="C1535" s="18" t="inlineStr">
        <is>
          <t>control_interno</t>
        </is>
      </c>
      <c r="D1535" s="18" t="inlineStr">
        <is>
          <t>datos_automaticos_informe</t>
        </is>
      </c>
      <c r="E1535" s="18" t="n">
        <v>0</v>
      </c>
      <c r="F1535" s="18" t="inlineStr">
        <is>
          <t>tipo_dato</t>
        </is>
      </c>
      <c r="G1535" s="18" t="inlineStr">
        <is>
          <t>character varying(100)</t>
        </is>
      </c>
      <c r="H1535" s="18" t="inlineStr">
        <is>
          <t>No</t>
        </is>
      </c>
      <c r="I1535" s="18" t="inlineStr"/>
      <c r="J1535" s="18" t="inlineStr"/>
      <c r="K1535" s="18" t="inlineStr"/>
      <c r="L1535" s="18" t="inlineStr">
        <is>
          <t>No</t>
        </is>
      </c>
      <c r="M1535" s="18" t="inlineStr">
        <is>
          <t>No</t>
        </is>
      </c>
      <c r="N1535" s="18" t="inlineStr"/>
      <c r="O1535" s="18" t="inlineStr">
        <is>
          <t>idx_datos_tipo</t>
        </is>
      </c>
      <c r="P1535" s="18" t="inlineStr">
        <is>
          <t>internal-institutional-control-service/src/esap/informes-ley/entities/datos-automaticos-informe.entity.ts:27: 'auditorias', 'planes_mejoramiento', 'indicadores', 'hallazgos', etc. | db/migrations/old/080_create_informes_ley_plantillas_workflow.sql:94: 'auditorias', 'planes_mejoramiento', 'indicadores', etc.</t>
        </is>
      </c>
      <c r="Q1535" s="18" t="inlineStr">
        <is>
          <t>Código fuente</t>
        </is>
      </c>
      <c r="R1535" s="18" t="inlineStr">
        <is>
          <t>Tipo de dato poblado automáticamente desde el sistema para el informe, por ejemplo auditorias, planes_mejoramiento, indicadores o hallazgos (US-022).</t>
        </is>
      </c>
      <c r="S1535" s="18" t="inlineStr">
        <is>
          <t>Alta</t>
        </is>
      </c>
      <c r="T1535" s="18" t="inlineStr">
        <is>
          <t>código: internal-institutional-control-service/src/esap/informes-ley/entities/datos-automaticos-informe.entity.ts:27</t>
        </is>
      </c>
      <c r="U1535" s="18" t="inlineStr"/>
      <c r="V1535" s="19" t="inlineStr">
        <is>
          <t>Pendiente</t>
        </is>
      </c>
      <c r="W1535" s="19" t="inlineStr"/>
      <c r="X1535" s="19" t="inlineStr"/>
      <c r="Y1535" s="20" t="n"/>
      <c r="Z1535" s="19" t="inlineStr"/>
      <c r="AA1535" s="18">
        <f>IF(OR(V1535="Aprobada"),R1535,IF(AND(OR(V1535="Aprobada con ajuste",V1535="Rechazada"),W1535&lt;&gt;""),W1535,""))</f>
        <v/>
      </c>
    </row>
    <row r="1536">
      <c r="A1536" s="18" t="inlineStr">
        <is>
          <t>C1535</t>
        </is>
      </c>
      <c r="B1536" s="18" t="inlineStr">
        <is>
          <t>Control interno</t>
        </is>
      </c>
      <c r="C1536" s="18" t="inlineStr">
        <is>
          <t>control_interno</t>
        </is>
      </c>
      <c r="D1536" s="18" t="inlineStr">
        <is>
          <t>datos_automaticos_informe</t>
        </is>
      </c>
      <c r="E1536" s="18" t="n">
        <v>0</v>
      </c>
      <c r="F1536" s="18" t="inlineStr">
        <is>
          <t>fecha_generacion</t>
        </is>
      </c>
      <c r="G1536" s="18" t="inlineStr">
        <is>
          <t>timestamp without time zone</t>
        </is>
      </c>
      <c r="H1536" s="18" t="inlineStr">
        <is>
          <t>Sí</t>
        </is>
      </c>
      <c r="I1536" s="18" t="inlineStr"/>
      <c r="J1536" s="18" t="inlineStr"/>
      <c r="K1536" s="18" t="inlineStr"/>
      <c r="L1536" s="18" t="inlineStr">
        <is>
          <t>No</t>
        </is>
      </c>
      <c r="M1536" s="18" t="inlineStr">
        <is>
          <t>No</t>
        </is>
      </c>
      <c r="N1536" s="18" t="inlineStr"/>
      <c r="O1536" s="18" t="inlineStr"/>
      <c r="P1536" s="18" t="inlineStr">
        <is>
          <t>Mapeada en internal-institutional-control-service/src/esap/informes-ley/entities/datos-automaticos-informe.entity.ts:33 (DatosAutomaticosInforme.fechaGeneracion) | Validación: IsDateString, IsOptional</t>
        </is>
      </c>
      <c r="Q1536" s="18" t="inlineStr">
        <is>
          <t>Regla estructural</t>
        </is>
      </c>
      <c r="R1536" s="18" t="inlineStr">
        <is>
          <t>Fecha de generación.</t>
        </is>
      </c>
      <c r="S1536" s="18" t="inlineStr">
        <is>
          <t>Media</t>
        </is>
      </c>
      <c r="T1536" s="18" t="inlineStr">
        <is>
          <t>Convención de nombre de la columna.</t>
        </is>
      </c>
      <c r="U1536" s="18" t="inlineStr"/>
      <c r="V1536" s="19" t="inlineStr">
        <is>
          <t>Pendiente</t>
        </is>
      </c>
      <c r="W1536" s="19" t="inlineStr"/>
      <c r="X1536" s="19" t="inlineStr"/>
      <c r="Y1536" s="20" t="n"/>
      <c r="Z1536" s="19" t="inlineStr"/>
      <c r="AA1536" s="18">
        <f>IF(OR(V1536="Aprobada"),R1536,IF(AND(OR(V1536="Aprobada con ajuste",V1536="Rechazada"),W1536&lt;&gt;""),W1536,""))</f>
        <v/>
      </c>
    </row>
    <row r="1537">
      <c r="A1537" s="18" t="inlineStr">
        <is>
          <t>C1536</t>
        </is>
      </c>
      <c r="B1537" s="18" t="inlineStr">
        <is>
          <t>Control interno</t>
        </is>
      </c>
      <c r="C1537" s="18" t="inlineStr">
        <is>
          <t>control_interno</t>
        </is>
      </c>
      <c r="D1537" s="18" t="inlineStr">
        <is>
          <t>datos_automaticos_informe</t>
        </is>
      </c>
      <c r="E1537" s="18" t="n">
        <v>0</v>
      </c>
      <c r="F1537" s="18" t="inlineStr">
        <is>
          <t>fuente_datos</t>
        </is>
      </c>
      <c r="G1537" s="18" t="inlineStr">
        <is>
          <t>character varying(255)</t>
        </is>
      </c>
      <c r="H1537" s="18" t="inlineStr">
        <is>
          <t>Sí</t>
        </is>
      </c>
      <c r="I1537" s="18" t="inlineStr"/>
      <c r="J1537" s="18" t="inlineStr"/>
      <c r="K1537" s="18" t="inlineStr"/>
      <c r="L1537" s="18" t="inlineStr">
        <is>
          <t>No</t>
        </is>
      </c>
      <c r="M1537" s="18" t="inlineStr">
        <is>
          <t>No</t>
        </is>
      </c>
      <c r="N1537" s="18" t="inlineStr"/>
      <c r="O1537" s="18" t="inlineStr"/>
      <c r="P1537" s="18" t="inlineStr">
        <is>
          <t>internal-institutional-control-service/src/esap/informes-ley/entities/datos-automaticos-informe.entity.ts:36: 'sistema', 'api_externa', 'manual' | db/migrations/old/080_create_informes_ley_plantillas_workflow.sql:97: 'sistema', 'api_externa', 'manual'</t>
        </is>
      </c>
      <c r="Q1537" s="18" t="inlineStr">
        <is>
          <t>Código fuente</t>
        </is>
      </c>
      <c r="R1537" s="18" t="inlineStr">
        <is>
          <t>Fuente de los datos automáticos del informe, por ejemplo sistema, api_externa o manual.</t>
        </is>
      </c>
      <c r="S1537" s="18" t="inlineStr">
        <is>
          <t>Alta</t>
        </is>
      </c>
      <c r="T1537" s="18" t="inlineStr">
        <is>
          <t>código: internal-institutional-control-service/src/esap/informes-ley/entities/datos-automaticos-informe.entity.ts:36</t>
        </is>
      </c>
      <c r="U1537" s="18" t="inlineStr"/>
      <c r="V1537" s="19" t="inlineStr">
        <is>
          <t>Pendiente</t>
        </is>
      </c>
      <c r="W1537" s="19" t="inlineStr"/>
      <c r="X1537" s="19" t="inlineStr"/>
      <c r="Y1537" s="20" t="n"/>
      <c r="Z1537" s="19" t="inlineStr"/>
      <c r="AA1537" s="18">
        <f>IF(OR(V1537="Aprobada"),R1537,IF(AND(OR(V1537="Aprobada con ajuste",V1537="Rechazada"),W1537&lt;&gt;""),W1537,""))</f>
        <v/>
      </c>
    </row>
    <row r="1538">
      <c r="A1538" s="18" t="inlineStr">
        <is>
          <t>C1537</t>
        </is>
      </c>
      <c r="B1538" s="18" t="inlineStr">
        <is>
          <t>Control interno</t>
        </is>
      </c>
      <c r="C1538" s="18" t="inlineStr">
        <is>
          <t>control_interno</t>
        </is>
      </c>
      <c r="D1538" s="18" t="inlineStr">
        <is>
          <t>datos_automaticos_informe</t>
        </is>
      </c>
      <c r="E1538" s="18" t="n">
        <v>0</v>
      </c>
      <c r="F1538" s="18" t="inlineStr">
        <is>
          <t>version_datos</t>
        </is>
      </c>
      <c r="G1538" s="18" t="inlineStr">
        <is>
          <t>character varying(50)</t>
        </is>
      </c>
      <c r="H1538" s="18" t="inlineStr">
        <is>
          <t>Sí</t>
        </is>
      </c>
      <c r="I1538" s="18" t="inlineStr"/>
      <c r="J1538" s="18" t="inlineStr"/>
      <c r="K1538" s="18" t="inlineStr"/>
      <c r="L1538" s="18" t="inlineStr">
        <is>
          <t>No</t>
        </is>
      </c>
      <c r="M1538" s="18" t="inlineStr">
        <is>
          <t>No</t>
        </is>
      </c>
      <c r="N1538" s="18" t="inlineStr"/>
      <c r="O1538" s="18" t="inlineStr"/>
      <c r="P1538" s="18" t="inlineStr">
        <is>
          <t>Mapeada en internal-institutional-control-service/src/esap/informes-ley/entities/datos-automaticos-informe.entity.ts:39 (DatosAutomaticosInforme.versionDatos)</t>
        </is>
      </c>
      <c r="Q1538" s="18" t="inlineStr">
        <is>
          <t>Propuesta semántica</t>
        </is>
      </c>
      <c r="R1538" s="18" t="inlineStr">
        <is>
          <t>Versión del conjunto de datos automáticos del informe. Por defecto 1.0.</t>
        </is>
      </c>
      <c r="S1538" s="18" t="inlineStr">
        <is>
          <t>Media</t>
        </is>
      </c>
      <c r="T1538" s="18" t="inlineStr">
        <is>
          <t>nombre + tipo + defecto</t>
        </is>
      </c>
      <c r="U1538" s="18" t="inlineStr">
        <is>
          <t>¿Cuándo se incrementa la versión de los datos: en cada regeneración del informe?</t>
        </is>
      </c>
      <c r="V1538" s="19" t="inlineStr">
        <is>
          <t>Pendiente</t>
        </is>
      </c>
      <c r="W1538" s="19" t="inlineStr"/>
      <c r="X1538" s="19" t="inlineStr"/>
      <c r="Y1538" s="20" t="n"/>
      <c r="Z1538" s="19" t="inlineStr"/>
      <c r="AA1538" s="18">
        <f>IF(OR(V1538="Aprobada"),R1538,IF(AND(OR(V1538="Aprobada con ajuste",V1538="Rechazada"),W1538&lt;&gt;""),W1538,""))</f>
        <v/>
      </c>
    </row>
    <row r="1539">
      <c r="A1539" s="18" t="inlineStr">
        <is>
          <t>C1538</t>
        </is>
      </c>
      <c r="B1539" s="18" t="inlineStr">
        <is>
          <t>Control interno</t>
        </is>
      </c>
      <c r="C1539" s="18" t="inlineStr">
        <is>
          <t>control_interno</t>
        </is>
      </c>
      <c r="D1539" s="18" t="inlineStr">
        <is>
          <t>documento</t>
        </is>
      </c>
      <c r="E1539" s="18" t="n">
        <v>77</v>
      </c>
      <c r="F1539" s="18" t="inlineStr">
        <is>
          <t>nombre</t>
        </is>
      </c>
      <c r="G1539" s="18" t="inlineStr">
        <is>
          <t>character varying(255)</t>
        </is>
      </c>
      <c r="H1539" s="18" t="inlineStr">
        <is>
          <t>No</t>
        </is>
      </c>
      <c r="I1539" s="18" t="inlineStr"/>
      <c r="J1539" s="18" t="inlineStr"/>
      <c r="K1539" s="18" t="inlineStr"/>
      <c r="L1539" s="18" t="inlineStr">
        <is>
          <t>No</t>
        </is>
      </c>
      <c r="M1539" s="18" t="inlineStr">
        <is>
          <t>Sí</t>
        </is>
      </c>
      <c r="N1539" s="18" t="inlineStr">
        <is>
          <t>Función academic_registration.validate_graduate_management_update — academic_registration.validate_graduate_management_update: 'El nombre completo debe tener entre 5 y 150 caracteres y solo puede contener letras, espacios, apostrofes y guiones.'</t>
        </is>
      </c>
      <c r="O1539" s="18" t="inlineStr"/>
      <c r="P1539" s="18" t="inlineStr">
        <is>
          <t>Mapeada en internal-institutional-control-service/src/esap/documentos/entities/documento.entity.ts:62 (Documento.nombre) | Validación: IsNotEmpty, IsNotEmpty({ message: 'El nombre del documento es obligatorio' }), IsOptional, IsString, Length(1, 500), MaxLength(120)</t>
        </is>
      </c>
      <c r="Q1539" s="18" t="inlineStr">
        <is>
          <t>Regla estructural</t>
        </is>
      </c>
      <c r="R1539" s="18" t="inlineStr">
        <is>
          <t>Nombre del registro de documento.</t>
        </is>
      </c>
      <c r="S1539" s="18" t="inlineStr">
        <is>
          <t>Media</t>
        </is>
      </c>
      <c r="T1539" s="18" t="inlineStr">
        <is>
          <t>Convención de nombre de la columna.</t>
        </is>
      </c>
      <c r="U1539" s="18" t="inlineStr"/>
      <c r="V1539" s="19" t="inlineStr">
        <is>
          <t>Pendiente</t>
        </is>
      </c>
      <c r="W1539" s="19" t="inlineStr"/>
      <c r="X1539" s="19" t="inlineStr"/>
      <c r="Y1539" s="20" t="n"/>
      <c r="Z1539" s="19" t="inlineStr"/>
      <c r="AA1539" s="18">
        <f>IF(OR(V1539="Aprobada"),R1539,IF(AND(OR(V1539="Aprobada con ajuste",V1539="Rechazada"),W1539&lt;&gt;""),W1539,""))</f>
        <v/>
      </c>
    </row>
    <row r="1540">
      <c r="A1540" s="18" t="inlineStr">
        <is>
          <t>C1539</t>
        </is>
      </c>
      <c r="B1540" s="18" t="inlineStr">
        <is>
          <t>Control interno</t>
        </is>
      </c>
      <c r="C1540" s="18" t="inlineStr">
        <is>
          <t>control_interno</t>
        </is>
      </c>
      <c r="D1540" s="18" t="inlineStr">
        <is>
          <t>documento</t>
        </is>
      </c>
      <c r="E1540" s="18" t="n">
        <v>77</v>
      </c>
      <c r="F1540" s="18" t="inlineStr">
        <is>
          <t>descripcion</t>
        </is>
      </c>
      <c r="G1540" s="18" t="inlineStr">
        <is>
          <t>text</t>
        </is>
      </c>
      <c r="H1540" s="18" t="inlineStr">
        <is>
          <t>Sí</t>
        </is>
      </c>
      <c r="I1540" s="18" t="inlineStr"/>
      <c r="J1540" s="18" t="inlineStr"/>
      <c r="K1540" s="18" t="inlineStr"/>
      <c r="L1540" s="18" t="inlineStr">
        <is>
          <t>No</t>
        </is>
      </c>
      <c r="M1540" s="18" t="inlineStr">
        <is>
          <t>No</t>
        </is>
      </c>
      <c r="N1540" s="18" t="inlineStr"/>
      <c r="O1540" s="18" t="inlineStr"/>
      <c r="P1540" s="18" t="inlineStr">
        <is>
          <t>Mapeada en internal-institutional-control-service/src/esap/documentos/entities/documento.entity.ts:65 (Documento.descripcion) | Validación: IsNotEmpty, IsOptional, IsString</t>
        </is>
      </c>
      <c r="Q1540" s="18" t="inlineStr">
        <is>
          <t>Regla estructural</t>
        </is>
      </c>
      <c r="R1540" s="18" t="inlineStr">
        <is>
          <t>Descripción del registro de documento.</t>
        </is>
      </c>
      <c r="S1540" s="18" t="inlineStr">
        <is>
          <t>Media</t>
        </is>
      </c>
      <c r="T1540" s="18" t="inlineStr">
        <is>
          <t>Convención de nombre de la columna.</t>
        </is>
      </c>
      <c r="U1540" s="18" t="inlineStr"/>
      <c r="V1540" s="19" t="inlineStr">
        <is>
          <t>Pendiente</t>
        </is>
      </c>
      <c r="W1540" s="19" t="inlineStr"/>
      <c r="X1540" s="19" t="inlineStr"/>
      <c r="Y1540" s="20" t="n"/>
      <c r="Z1540" s="19" t="inlineStr"/>
      <c r="AA1540" s="18">
        <f>IF(OR(V1540="Aprobada"),R1540,IF(AND(OR(V1540="Aprobada con ajuste",V1540="Rechazada"),W1540&lt;&gt;""),W1540,""))</f>
        <v/>
      </c>
    </row>
    <row r="1541">
      <c r="A1541" s="18" t="inlineStr">
        <is>
          <t>C1540</t>
        </is>
      </c>
      <c r="B1541" s="18" t="inlineStr">
        <is>
          <t>Control interno</t>
        </is>
      </c>
      <c r="C1541" s="18" t="inlineStr">
        <is>
          <t>control_interno</t>
        </is>
      </c>
      <c r="D1541" s="18" t="inlineStr">
        <is>
          <t>documento</t>
        </is>
      </c>
      <c r="E1541" s="18" t="n">
        <v>77</v>
      </c>
      <c r="F1541" s="18" t="inlineStr">
        <is>
          <t>tipo_documento</t>
        </is>
      </c>
      <c r="G1541" s="18" t="inlineStr">
        <is>
          <t>character varying(100)</t>
        </is>
      </c>
      <c r="H1541" s="18" t="inlineStr">
        <is>
          <t>No</t>
        </is>
      </c>
      <c r="I1541" s="18" t="inlineStr"/>
      <c r="J1541" s="18" t="inlineStr"/>
      <c r="K1541" s="18" t="inlineStr"/>
      <c r="L1541" s="18" t="inlineStr">
        <is>
          <t>No</t>
        </is>
      </c>
      <c r="M1541" s="18" t="inlineStr">
        <is>
          <t>Sí</t>
        </is>
      </c>
      <c r="N1541" s="18" t="inlineStr">
        <is>
          <t>Función control_interno.actualizar_contadores_documentos_informes; Trigger trigger_actualizar_contadores_documentos — control_interno.actualizar_contadores_documentos_informes: v_tipo_documento := OLD.tipo_documento;</t>
        </is>
      </c>
      <c r="O1541" s="18" t="inlineStr">
        <is>
          <t>idx_documento_tipo</t>
        </is>
      </c>
      <c r="P1541" s="18" t="inlineStr">
        <is>
          <t>Mapeada en internal-institutional-control-service/src/esap/documentos/entities/documento.entity.ts:68 (Documento.tipoDocumento) | Validación: IsEnum(TipoDocumento), IsEnum(TipoDocumentoEvidencia), IsNotEmpty, IsOptional</t>
        </is>
      </c>
      <c r="Q1541" s="18" t="inlineStr">
        <is>
          <t>Propuesta semántica</t>
        </is>
      </c>
      <c r="R1541" s="18" t="inlineStr">
        <is>
          <t>Tipo de documento; los tipos informe_preliminar, informe_final e informe_ejecutivo se cuentan como informes de la auditoría.</t>
        </is>
      </c>
      <c r="S1541" s="18" t="inlineStr">
        <is>
          <t>Media</t>
        </is>
      </c>
      <c r="T1541" s="18" t="inlineStr">
        <is>
          <t>uso en la función actualizar_contadores_documentos_informes + validación IsEnum(TipoDocumento)</t>
        </is>
      </c>
      <c r="U1541" s="18" t="inlineStr">
        <is>
          <t>¿Cuál es la lista completa de valores del enum TipoDocumento?</t>
        </is>
      </c>
      <c r="V1541" s="19" t="inlineStr">
        <is>
          <t>Pendiente</t>
        </is>
      </c>
      <c r="W1541" s="19" t="inlineStr"/>
      <c r="X1541" s="19" t="inlineStr"/>
      <c r="Y1541" s="20" t="n"/>
      <c r="Z1541" s="19" t="inlineStr"/>
      <c r="AA1541" s="18">
        <f>IF(OR(V1541="Aprobada"),R1541,IF(AND(OR(V1541="Aprobada con ajuste",V1541="Rechazada"),W1541&lt;&gt;""),W1541,""))</f>
        <v/>
      </c>
    </row>
    <row r="1542">
      <c r="A1542" s="18" t="inlineStr">
        <is>
          <t>C1541</t>
        </is>
      </c>
      <c r="B1542" s="18" t="inlineStr">
        <is>
          <t>Control interno</t>
        </is>
      </c>
      <c r="C1542" s="18" t="inlineStr">
        <is>
          <t>control_interno</t>
        </is>
      </c>
      <c r="D1542" s="18" t="inlineStr">
        <is>
          <t>documento</t>
        </is>
      </c>
      <c r="E1542" s="18" t="n">
        <v>77</v>
      </c>
      <c r="F1542" s="18" t="inlineStr">
        <is>
          <t>etapa</t>
        </is>
      </c>
      <c r="G1542" s="18" t="inlineStr">
        <is>
          <t>character varying(50)</t>
        </is>
      </c>
      <c r="H1542" s="18" t="inlineStr">
        <is>
          <t>Sí</t>
        </is>
      </c>
      <c r="I1542" s="18" t="inlineStr">
        <is>
          <t>CHECK</t>
        </is>
      </c>
      <c r="J1542" s="18" t="inlineStr">
        <is>
          <t>cierre, comunicacion, comunicacion_resultados, ejecucion, hallazgos, planeacion, planificacion, seguimiento</t>
        </is>
      </c>
      <c r="K1542" s="18" t="inlineStr"/>
      <c r="L1542" s="18" t="inlineStr">
        <is>
          <t>Sí</t>
        </is>
      </c>
      <c r="M1542" s="18" t="inlineStr">
        <is>
          <t>No</t>
        </is>
      </c>
      <c r="N1542" s="18" t="inlineStr"/>
      <c r="O1542" s="18" t="inlineStr">
        <is>
          <t>idx_documento_etapa</t>
        </is>
      </c>
      <c r="P1542" s="18" t="inlineStr">
        <is>
          <t>Mapeada en internal-institutional-control-service/src/esap/documentos/entities/documento.entity.ts:76 (Documento.etapa) | Validación: IsEnum(EtapaDocumento), IsOptional</t>
        </is>
      </c>
      <c r="Q1542" s="18" t="inlineStr">
        <is>
          <t>Propuesta semántica</t>
        </is>
      </c>
      <c r="R1542" s="18" t="inlineStr">
        <is>
          <t>Etapa de la auditoría a la que pertenece el documento. Valores permitidos: planeacion, planificacion, comunicacion, ejecucion, hallazgos, comunicacion_resultados, seguimiento, cierre.</t>
        </is>
      </c>
      <c r="S1542" s="18" t="inlineStr">
        <is>
          <t>Alta</t>
        </is>
      </c>
      <c r="T1542" s="18" t="inlineStr">
        <is>
          <t>valores permitidos del CHECK ~</t>
        </is>
      </c>
      <c r="U1542" s="18" t="inlineStr"/>
      <c r="V1542" s="19" t="inlineStr">
        <is>
          <t>Pendiente</t>
        </is>
      </c>
      <c r="W1542" s="19" t="inlineStr"/>
      <c r="X1542" s="19" t="inlineStr"/>
      <c r="Y1542" s="20" t="n"/>
      <c r="Z1542" s="19" t="inlineStr"/>
      <c r="AA1542" s="18">
        <f>IF(OR(V1542="Aprobada"),R1542,IF(AND(OR(V1542="Aprobada con ajuste",V1542="Rechazada"),W1542&lt;&gt;""),W1542,""))</f>
        <v/>
      </c>
    </row>
    <row r="1543">
      <c r="A1543" s="18" t="inlineStr">
        <is>
          <t>C1542</t>
        </is>
      </c>
      <c r="B1543" s="18" t="inlineStr">
        <is>
          <t>Control interno</t>
        </is>
      </c>
      <c r="C1543" s="18" t="inlineStr">
        <is>
          <t>control_interno</t>
        </is>
      </c>
      <c r="D1543" s="18" t="inlineStr">
        <is>
          <t>documento</t>
        </is>
      </c>
      <c r="E1543" s="18" t="n">
        <v>77</v>
      </c>
      <c r="F1543" s="18" t="inlineStr">
        <is>
          <t>hallazgo_id</t>
        </is>
      </c>
      <c r="G1543" s="18" t="inlineStr">
        <is>
          <t>uuid</t>
        </is>
      </c>
      <c r="H1543" s="18" t="inlineStr">
        <is>
          <t>Sí</t>
        </is>
      </c>
      <c r="I1543" s="18" t="inlineStr"/>
      <c r="J1543" s="18" t="inlineStr"/>
      <c r="K1543" s="18" t="inlineStr"/>
      <c r="L1543" s="18" t="inlineStr">
        <is>
          <t>No</t>
        </is>
      </c>
      <c r="M1543" s="18" t="inlineStr">
        <is>
          <t>No</t>
        </is>
      </c>
      <c r="N1543" s="18" t="inlineStr"/>
      <c r="O1543" s="18" t="inlineStr"/>
      <c r="P1543" s="18" t="inlineStr">
        <is>
          <t>Mapeada en internal-institutional-control-service/src/esap/documentos/entities/documento.entity.ts:98 (Documento.hallazgoId) | Validación: IsOptional, IsString, IsUUID</t>
        </is>
      </c>
      <c r="Q1543" s="18" t="inlineStr">
        <is>
          <t>Regla estructural</t>
        </is>
      </c>
      <c r="R1543" s="18" t="inlineStr">
        <is>
          <t>Referencia al registro de control_interno.hallazgo (id); relación sin llave foránea declarada.</t>
        </is>
      </c>
      <c r="S1543" s="18" t="inlineStr">
        <is>
          <t>Media</t>
        </is>
      </c>
      <c r="T1543" s="18" t="inlineStr">
        <is>
          <t>Convención de nombre de la columna.</t>
        </is>
      </c>
      <c r="U1543" s="18" t="inlineStr"/>
      <c r="V1543" s="19" t="inlineStr">
        <is>
          <t>Pendiente</t>
        </is>
      </c>
      <c r="W1543" s="19" t="inlineStr"/>
      <c r="X1543" s="19" t="inlineStr"/>
      <c r="Y1543" s="20" t="n"/>
      <c r="Z1543" s="19" t="inlineStr"/>
      <c r="AA1543" s="18">
        <f>IF(OR(V1543="Aprobada"),R1543,IF(AND(OR(V1543="Aprobada con ajuste",V1543="Rechazada"),W1543&lt;&gt;""),W1543,""))</f>
        <v/>
      </c>
    </row>
    <row r="1544">
      <c r="A1544" s="18" t="inlineStr">
        <is>
          <t>C1543</t>
        </is>
      </c>
      <c r="B1544" s="18" t="inlineStr">
        <is>
          <t>Control interno</t>
        </is>
      </c>
      <c r="C1544" s="18" t="inlineStr">
        <is>
          <t>control_interno</t>
        </is>
      </c>
      <c r="D1544" s="18" t="inlineStr">
        <is>
          <t>documento</t>
        </is>
      </c>
      <c r="E1544" s="18" t="n">
        <v>77</v>
      </c>
      <c r="F1544" s="18" t="inlineStr">
        <is>
          <t>plan_mejoramiento_id</t>
        </is>
      </c>
      <c r="G1544" s="18" t="inlineStr">
        <is>
          <t>uuid</t>
        </is>
      </c>
      <c r="H1544" s="18" t="inlineStr">
        <is>
          <t>Sí</t>
        </is>
      </c>
      <c r="I1544" s="18" t="inlineStr"/>
      <c r="J1544" s="18" t="inlineStr"/>
      <c r="K1544" s="18" t="inlineStr"/>
      <c r="L1544" s="18" t="inlineStr">
        <is>
          <t>No</t>
        </is>
      </c>
      <c r="M1544" s="18" t="inlineStr">
        <is>
          <t>No</t>
        </is>
      </c>
      <c r="N1544" s="18" t="inlineStr"/>
      <c r="O1544" s="18" t="inlineStr"/>
      <c r="P1544" s="18" t="inlineStr">
        <is>
          <t>Mapeada en internal-institutional-control-service/src/esap/documentos/entities/documento.entity.ts:105 (Documento.planMejoramientoId) | Validación: IsOptional, IsUUID</t>
        </is>
      </c>
      <c r="Q1544" s="18" t="inlineStr">
        <is>
          <t>Propuesta semántica</t>
        </is>
      </c>
      <c r="R1544" s="18" t="inlineStr">
        <is>
          <t>Identificador del plan de mejoramiento al que se vincula el documento.</t>
        </is>
      </c>
      <c r="S1544" s="18" t="inlineStr">
        <is>
          <t>Media</t>
        </is>
      </c>
      <c r="T1544" s="18" t="inlineStr">
        <is>
          <t>nombre + validación IsUUID</t>
        </is>
      </c>
      <c r="U1544" s="18" t="inlineStr">
        <is>
          <t>¿plan_mejoramiento_id referencia control_interno.plan_mejoramiento? No tiene FK declarada.</t>
        </is>
      </c>
      <c r="V1544" s="19" t="inlineStr">
        <is>
          <t>Pendiente</t>
        </is>
      </c>
      <c r="W1544" s="19" t="inlineStr"/>
      <c r="X1544" s="19" t="inlineStr"/>
      <c r="Y1544" s="20" t="n"/>
      <c r="Z1544" s="19" t="inlineStr"/>
      <c r="AA1544" s="18">
        <f>IF(OR(V1544="Aprobada"),R1544,IF(AND(OR(V1544="Aprobada con ajuste",V1544="Rechazada"),W1544&lt;&gt;""),W1544,""))</f>
        <v/>
      </c>
    </row>
    <row r="1545">
      <c r="A1545" s="18" t="inlineStr">
        <is>
          <t>C1544</t>
        </is>
      </c>
      <c r="B1545" s="18" t="inlineStr">
        <is>
          <t>Control interno</t>
        </is>
      </c>
      <c r="C1545" s="18" t="inlineStr">
        <is>
          <t>control_interno</t>
        </is>
      </c>
      <c r="D1545" s="18" t="inlineStr">
        <is>
          <t>documento</t>
        </is>
      </c>
      <c r="E1545" s="18" t="n">
        <v>77</v>
      </c>
      <c r="F1545" s="18" t="inlineStr">
        <is>
          <t>ruta_archivo</t>
        </is>
      </c>
      <c r="G1545" s="18" t="inlineStr">
        <is>
          <t>character varying(500)</t>
        </is>
      </c>
      <c r="H1545" s="18" t="inlineStr">
        <is>
          <t>No</t>
        </is>
      </c>
      <c r="I1545" s="18" t="inlineStr"/>
      <c r="J1545" s="18" t="inlineStr"/>
      <c r="K1545" s="18" t="inlineStr"/>
      <c r="L1545" s="18" t="inlineStr">
        <is>
          <t>No</t>
        </is>
      </c>
      <c r="M1545" s="18" t="inlineStr">
        <is>
          <t>No</t>
        </is>
      </c>
      <c r="N1545" s="18" t="inlineStr"/>
      <c r="O1545" s="18" t="inlineStr"/>
      <c r="P1545" s="18" t="inlineStr">
        <is>
          <t>Mapeada en internal-institutional-control-service/src/esap/documentos/entities/documento.entity.ts:131 (Documento.rutaArchivo) | Validación: IsOptional, IsString</t>
        </is>
      </c>
      <c r="Q1545" s="18" t="inlineStr">
        <is>
          <t>Propuesta semántica</t>
        </is>
      </c>
      <c r="R1545" s="18" t="inlineStr">
        <is>
          <t>Ruta de almacenamiento del archivo del documento.</t>
        </is>
      </c>
      <c r="S1545" s="18" t="inlineStr">
        <is>
          <t>Alta</t>
        </is>
      </c>
      <c r="T1545" s="18" t="inlineStr">
        <is>
          <t>nombre + tipo ~</t>
        </is>
      </c>
      <c r="U1545" s="18" t="inlineStr"/>
      <c r="V1545" s="19" t="inlineStr">
        <is>
          <t>Pendiente</t>
        </is>
      </c>
      <c r="W1545" s="19" t="inlineStr"/>
      <c r="X1545" s="19" t="inlineStr"/>
      <c r="Y1545" s="20" t="n"/>
      <c r="Z1545" s="19" t="inlineStr"/>
      <c r="AA1545" s="18">
        <f>IF(OR(V1545="Aprobada"),R1545,IF(AND(OR(V1545="Aprobada con ajuste",V1545="Rechazada"),W1545&lt;&gt;""),W1545,""))</f>
        <v/>
      </c>
    </row>
    <row r="1546">
      <c r="A1546" s="18" t="inlineStr">
        <is>
          <t>C1545</t>
        </is>
      </c>
      <c r="B1546" s="18" t="inlineStr">
        <is>
          <t>Control interno</t>
        </is>
      </c>
      <c r="C1546" s="18" t="inlineStr">
        <is>
          <t>control_interno</t>
        </is>
      </c>
      <c r="D1546" s="18" t="inlineStr">
        <is>
          <t>documento</t>
        </is>
      </c>
      <c r="E1546" s="18" t="n">
        <v>77</v>
      </c>
      <c r="F1546" s="18" t="inlineStr">
        <is>
          <t>nombre_archivo</t>
        </is>
      </c>
      <c r="G1546" s="18" t="inlineStr">
        <is>
          <t>character varying(255)</t>
        </is>
      </c>
      <c r="H1546" s="18" t="inlineStr">
        <is>
          <t>No</t>
        </is>
      </c>
      <c r="I1546" s="18" t="inlineStr"/>
      <c r="J1546" s="18" t="inlineStr"/>
      <c r="K1546" s="18" t="inlineStr"/>
      <c r="L1546" s="18" t="inlineStr">
        <is>
          <t>No</t>
        </is>
      </c>
      <c r="M1546" s="18" t="inlineStr">
        <is>
          <t>No</t>
        </is>
      </c>
      <c r="N1546" s="18" t="inlineStr"/>
      <c r="O1546" s="18" t="inlineStr"/>
      <c r="P1546" s="18" t="inlineStr">
        <is>
          <t>Mapeada en internal-institutional-control-service/src/esap/documentos/entities/documento.entity.ts:134 (Documento.nombreArchivo) | Validación: IsNotEmpty, IsOptional, IsString</t>
        </is>
      </c>
      <c r="Q1546" s="18" t="inlineStr">
        <is>
          <t>Propuesta semántica</t>
        </is>
      </c>
      <c r="R1546" s="18" t="inlineStr">
        <is>
          <t>Nombre del archivo del documento.</t>
        </is>
      </c>
      <c r="S1546" s="18" t="inlineStr">
        <is>
          <t>Alta</t>
        </is>
      </c>
      <c r="T1546" s="18" t="inlineStr">
        <is>
          <t>nombre + tipo ~</t>
        </is>
      </c>
      <c r="U1546" s="18" t="inlineStr"/>
      <c r="V1546" s="19" t="inlineStr">
        <is>
          <t>Pendiente</t>
        </is>
      </c>
      <c r="W1546" s="19" t="inlineStr"/>
      <c r="X1546" s="19" t="inlineStr"/>
      <c r="Y1546" s="20" t="n"/>
      <c r="Z1546" s="19" t="inlineStr"/>
      <c r="AA1546" s="18">
        <f>IF(OR(V1546="Aprobada"),R1546,IF(AND(OR(V1546="Aprobada con ajuste",V1546="Rechazada"),W1546&lt;&gt;""),W1546,""))</f>
        <v/>
      </c>
    </row>
    <row r="1547">
      <c r="A1547" s="18" t="inlineStr">
        <is>
          <t>C1546</t>
        </is>
      </c>
      <c r="B1547" s="18" t="inlineStr">
        <is>
          <t>Control interno</t>
        </is>
      </c>
      <c r="C1547" s="18" t="inlineStr">
        <is>
          <t>control_interno</t>
        </is>
      </c>
      <c r="D1547" s="18" t="inlineStr">
        <is>
          <t>documento</t>
        </is>
      </c>
      <c r="E1547" s="18" t="n">
        <v>77</v>
      </c>
      <c r="F1547" s="18" t="inlineStr">
        <is>
          <t>tipo_mime</t>
        </is>
      </c>
      <c r="G1547" s="18" t="inlineStr">
        <is>
          <t>character varying(100)</t>
        </is>
      </c>
      <c r="H1547" s="18" t="inlineStr">
        <is>
          <t>No</t>
        </is>
      </c>
      <c r="I1547" s="18" t="inlineStr"/>
      <c r="J1547" s="18" t="inlineStr"/>
      <c r="K1547" s="18" t="inlineStr"/>
      <c r="L1547" s="18" t="inlineStr">
        <is>
          <t>No</t>
        </is>
      </c>
      <c r="M1547" s="18" t="inlineStr">
        <is>
          <t>No</t>
        </is>
      </c>
      <c r="N1547" s="18" t="inlineStr"/>
      <c r="O1547" s="18" t="inlineStr"/>
      <c r="P1547" s="18" t="inlineStr">
        <is>
          <t>Mapeada en internal-institutional-control-service/src/esap/documentos/entities/documento.entity.ts:137 (Documento.tipoMime) | Validación: IsNotEmpty, IsString</t>
        </is>
      </c>
      <c r="Q1547" s="18" t="inlineStr">
        <is>
          <t>Propuesta semántica</t>
        </is>
      </c>
      <c r="R1547" s="18" t="inlineStr">
        <is>
          <t>Tipo MIME del archivo (por ejemplo, application/pdf).</t>
        </is>
      </c>
      <c r="S1547" s="18" t="inlineStr">
        <is>
          <t>Alta</t>
        </is>
      </c>
      <c r="T1547" s="18" t="inlineStr">
        <is>
          <t>nombre + tipo ~</t>
        </is>
      </c>
      <c r="U1547" s="18" t="inlineStr"/>
      <c r="V1547" s="19" t="inlineStr">
        <is>
          <t>Pendiente</t>
        </is>
      </c>
      <c r="W1547" s="19" t="inlineStr"/>
      <c r="X1547" s="19" t="inlineStr"/>
      <c r="Y1547" s="20" t="n"/>
      <c r="Z1547" s="19" t="inlineStr"/>
      <c r="AA1547" s="18">
        <f>IF(OR(V1547="Aprobada"),R1547,IF(AND(OR(V1547="Aprobada con ajuste",V1547="Rechazada"),W1547&lt;&gt;""),W1547,""))</f>
        <v/>
      </c>
    </row>
    <row r="1548">
      <c r="A1548" s="18" t="inlineStr">
        <is>
          <t>C1547</t>
        </is>
      </c>
      <c r="B1548" s="18" t="inlineStr">
        <is>
          <t>Control interno</t>
        </is>
      </c>
      <c r="C1548" s="18" t="inlineStr">
        <is>
          <t>control_interno</t>
        </is>
      </c>
      <c r="D1548" s="18" t="inlineStr">
        <is>
          <t>documento</t>
        </is>
      </c>
      <c r="E1548" s="18" t="n">
        <v>77</v>
      </c>
      <c r="F1548" s="18" t="inlineStr">
        <is>
          <t>tamanio_bytes</t>
        </is>
      </c>
      <c r="G1548" s="18" t="inlineStr">
        <is>
          <t>bigint</t>
        </is>
      </c>
      <c r="H1548" s="18" t="inlineStr">
        <is>
          <t>No</t>
        </is>
      </c>
      <c r="I1548" s="18" t="inlineStr"/>
      <c r="J1548" s="18" t="inlineStr"/>
      <c r="K1548" s="18" t="inlineStr"/>
      <c r="L1548" s="18" t="inlineStr">
        <is>
          <t>No</t>
        </is>
      </c>
      <c r="M1548" s="18" t="inlineStr">
        <is>
          <t>No</t>
        </is>
      </c>
      <c r="N1548" s="18" t="inlineStr"/>
      <c r="O1548" s="18" t="inlineStr"/>
      <c r="P1548" s="18" t="inlineStr">
        <is>
          <t>Mapeada en internal-institutional-control-service/src/esap/documentos/entities/documento.entity.ts:140 (Documento.tamanioBytes) | Validación: IsNumber, Min(0)</t>
        </is>
      </c>
      <c r="Q1548" s="18" t="inlineStr">
        <is>
          <t>Propuesta semántica</t>
        </is>
      </c>
      <c r="R1548" s="18" t="inlineStr">
        <is>
          <t>Tamaño del archivo, en bytes.</t>
        </is>
      </c>
      <c r="S1548" s="18" t="inlineStr">
        <is>
          <t>Alta</t>
        </is>
      </c>
      <c r="T1548" s="18" t="inlineStr">
        <is>
          <t>nombre + tipo + validación Min(0) ~</t>
        </is>
      </c>
      <c r="U1548" s="18" t="inlineStr"/>
      <c r="V1548" s="19" t="inlineStr">
        <is>
          <t>Pendiente</t>
        </is>
      </c>
      <c r="W1548" s="19" t="inlineStr"/>
      <c r="X1548" s="19" t="inlineStr"/>
      <c r="Y1548" s="20" t="n"/>
      <c r="Z1548" s="19" t="inlineStr"/>
      <c r="AA1548" s="18">
        <f>IF(OR(V1548="Aprobada"),R1548,IF(AND(OR(V1548="Aprobada con ajuste",V1548="Rechazada"),W1548&lt;&gt;""),W1548,""))</f>
        <v/>
      </c>
    </row>
    <row r="1549">
      <c r="A1549" s="18" t="inlineStr">
        <is>
          <t>C1548</t>
        </is>
      </c>
      <c r="B1549" s="18" t="inlineStr">
        <is>
          <t>Control interno</t>
        </is>
      </c>
      <c r="C1549" s="18" t="inlineStr">
        <is>
          <t>control_interno</t>
        </is>
      </c>
      <c r="D1549" s="18" t="inlineStr">
        <is>
          <t>documento</t>
        </is>
      </c>
      <c r="E1549" s="18" t="n">
        <v>77</v>
      </c>
      <c r="F1549" s="18" t="inlineStr">
        <is>
          <t>version</t>
        </is>
      </c>
      <c r="G1549" s="18" t="inlineStr">
        <is>
          <t>integer</t>
        </is>
      </c>
      <c r="H1549" s="18" t="inlineStr">
        <is>
          <t>Sí</t>
        </is>
      </c>
      <c r="I1549" s="18" t="inlineStr"/>
      <c r="J1549" s="18" t="inlineStr"/>
      <c r="K1549" s="18" t="inlineStr"/>
      <c r="L1549" s="18" t="inlineStr">
        <is>
          <t>No</t>
        </is>
      </c>
      <c r="M1549" s="18" t="inlineStr">
        <is>
          <t>No</t>
        </is>
      </c>
      <c r="N1549" s="18" t="inlineStr"/>
      <c r="O1549" s="18" t="inlineStr"/>
      <c r="P1549" s="18" t="inlineStr">
        <is>
          <t>Mapeada en internal-institutional-control-service/src/esap/documentos/entities/documento.entity.ts:143 (Documento.version) | Validación: IsOptional, IsString</t>
        </is>
      </c>
      <c r="Q1549" s="18" t="inlineStr">
        <is>
          <t>Regla estructural</t>
        </is>
      </c>
      <c r="R1549" s="18" t="inlineStr">
        <is>
          <t>Número de versión del registro.</t>
        </is>
      </c>
      <c r="S1549" s="18" t="inlineStr">
        <is>
          <t>Media</t>
        </is>
      </c>
      <c r="T1549" s="18" t="inlineStr">
        <is>
          <t>Convención de nombre de la columna.</t>
        </is>
      </c>
      <c r="U1549" s="18" t="inlineStr"/>
      <c r="V1549" s="19" t="inlineStr">
        <is>
          <t>Pendiente</t>
        </is>
      </c>
      <c r="W1549" s="19" t="inlineStr"/>
      <c r="X1549" s="19" t="inlineStr"/>
      <c r="Y1549" s="20" t="n"/>
      <c r="Z1549" s="19" t="inlineStr"/>
      <c r="AA1549" s="18">
        <f>IF(OR(V1549="Aprobada"),R1549,IF(AND(OR(V1549="Aprobada con ajuste",V1549="Rechazada"),W1549&lt;&gt;""),W1549,""))</f>
        <v/>
      </c>
    </row>
    <row r="1550">
      <c r="A1550" s="18" t="inlineStr">
        <is>
          <t>C1549</t>
        </is>
      </c>
      <c r="B1550" s="18" t="inlineStr">
        <is>
          <t>Control interno</t>
        </is>
      </c>
      <c r="C1550" s="18" t="inlineStr">
        <is>
          <t>control_interno</t>
        </is>
      </c>
      <c r="D1550" s="18" t="inlineStr">
        <is>
          <t>documento</t>
        </is>
      </c>
      <c r="E1550" s="18" t="n">
        <v>77</v>
      </c>
      <c r="F1550" s="18" t="inlineStr">
        <is>
          <t>subido_por</t>
        </is>
      </c>
      <c r="G1550" s="18" t="inlineStr">
        <is>
          <t>character varying(255)</t>
        </is>
      </c>
      <c r="H1550" s="18" t="inlineStr">
        <is>
          <t>No</t>
        </is>
      </c>
      <c r="I1550" s="18" t="inlineStr"/>
      <c r="J1550" s="18" t="inlineStr"/>
      <c r="K1550" s="18" t="inlineStr"/>
      <c r="L1550" s="18" t="inlineStr">
        <is>
          <t>No</t>
        </is>
      </c>
      <c r="M1550" s="18" t="inlineStr">
        <is>
          <t>No</t>
        </is>
      </c>
      <c r="N1550" s="18" t="inlineStr"/>
      <c r="O1550" s="18" t="inlineStr"/>
      <c r="P1550" s="18" t="inlineStr">
        <is>
          <t>Mapeada en internal-institutional-control-service/src/esap/documentos/entities/documento.entity.ts:153 (Documento.subidoPor) | Validación: IsNotEmpty, IsString</t>
        </is>
      </c>
      <c r="Q1550" s="18" t="inlineStr">
        <is>
          <t>Regla estructural</t>
        </is>
      </c>
      <c r="R1550" s="18" t="inlineStr">
        <is>
          <t>Usuario que realizó la carga.</t>
        </is>
      </c>
      <c r="S1550" s="18" t="inlineStr">
        <is>
          <t>Media</t>
        </is>
      </c>
      <c r="T1550" s="18" t="inlineStr">
        <is>
          <t>Convención de nombre de la columna.</t>
        </is>
      </c>
      <c r="U1550" s="18" t="inlineStr"/>
      <c r="V1550" s="19" t="inlineStr">
        <is>
          <t>Pendiente</t>
        </is>
      </c>
      <c r="W1550" s="19" t="inlineStr"/>
      <c r="X1550" s="19" t="inlineStr"/>
      <c r="Y1550" s="20" t="n"/>
      <c r="Z1550" s="19" t="inlineStr"/>
      <c r="AA1550" s="18">
        <f>IF(OR(V1550="Aprobada"),R1550,IF(AND(OR(V1550="Aprobada con ajuste",V1550="Rechazada"),W1550&lt;&gt;""),W1550,""))</f>
        <v/>
      </c>
    </row>
    <row r="1551">
      <c r="A1551" s="18" t="inlineStr">
        <is>
          <t>C1550</t>
        </is>
      </c>
      <c r="B1551" s="18" t="inlineStr">
        <is>
          <t>Control interno</t>
        </is>
      </c>
      <c r="C1551" s="18" t="inlineStr">
        <is>
          <t>control_interno</t>
        </is>
      </c>
      <c r="D1551" s="18" t="inlineStr">
        <is>
          <t>documento</t>
        </is>
      </c>
      <c r="E1551" s="18" t="n">
        <v>77</v>
      </c>
      <c r="F1551" s="18" t="inlineStr">
        <is>
          <t>hash_archivo</t>
        </is>
      </c>
      <c r="G1551" s="18" t="inlineStr">
        <is>
          <t>character varying(255)</t>
        </is>
      </c>
      <c r="H1551" s="18" t="inlineStr">
        <is>
          <t>Sí</t>
        </is>
      </c>
      <c r="I1551" s="18" t="inlineStr"/>
      <c r="J1551" s="18" t="inlineStr"/>
      <c r="K1551" s="18" t="inlineStr"/>
      <c r="L1551" s="18" t="inlineStr">
        <is>
          <t>No</t>
        </is>
      </c>
      <c r="M1551" s="18" t="inlineStr">
        <is>
          <t>No</t>
        </is>
      </c>
      <c r="N1551" s="18" t="inlineStr"/>
      <c r="O1551" s="18" t="inlineStr"/>
      <c r="P1551" s="18" t="inlineStr">
        <is>
          <t>Mapeada en internal-institutional-control-service/src/esap/documentos/entities/documento.entity.ts:156 (Documento.hashArchivo) | Validación: IsOptional, IsString</t>
        </is>
      </c>
      <c r="Q1551" s="18" t="inlineStr">
        <is>
          <t>Propuesta semántica</t>
        </is>
      </c>
      <c r="R1551" s="18" t="inlineStr">
        <is>
          <t>Hash del contenido del archivo, usado para verificar su integridad.</t>
        </is>
      </c>
      <c r="S1551" s="18" t="inlineStr">
        <is>
          <t>Media</t>
        </is>
      </c>
      <c r="T1551" s="18" t="inlineStr">
        <is>
          <t>nombre + tipo</t>
        </is>
      </c>
      <c r="U1551" s="18" t="inlineStr">
        <is>
          <t>¿Qué algoritmo se usa para hash_archivo (SHA-256, MD5)?</t>
        </is>
      </c>
      <c r="V1551" s="19" t="inlineStr">
        <is>
          <t>Pendiente</t>
        </is>
      </c>
      <c r="W1551" s="19" t="inlineStr"/>
      <c r="X1551" s="19" t="inlineStr"/>
      <c r="Y1551" s="20" t="n"/>
      <c r="Z1551" s="19" t="inlineStr"/>
      <c r="AA1551" s="18">
        <f>IF(OR(V1551="Aprobada"),R1551,IF(AND(OR(V1551="Aprobada con ajuste",V1551="Rechazada"),W1551&lt;&gt;""),W1551,""))</f>
        <v/>
      </c>
    </row>
    <row r="1552">
      <c r="A1552" s="18" t="inlineStr">
        <is>
          <t>C1551</t>
        </is>
      </c>
      <c r="B1552" s="18" t="inlineStr">
        <is>
          <t>Control interno</t>
        </is>
      </c>
      <c r="C1552" s="18" t="inlineStr">
        <is>
          <t>control_interno</t>
        </is>
      </c>
      <c r="D1552" s="18" t="inlineStr">
        <is>
          <t>documento</t>
        </is>
      </c>
      <c r="E1552" s="18" t="n">
        <v>77</v>
      </c>
      <c r="F1552" s="18" t="inlineStr">
        <is>
          <t>comprimido</t>
        </is>
      </c>
      <c r="G1552" s="18" t="inlineStr">
        <is>
          <t>boolean</t>
        </is>
      </c>
      <c r="H1552" s="18" t="inlineStr">
        <is>
          <t>Sí</t>
        </is>
      </c>
      <c r="I1552" s="18" t="inlineStr"/>
      <c r="J1552" s="18" t="inlineStr"/>
      <c r="K1552" s="18" t="inlineStr"/>
      <c r="L1552" s="18" t="inlineStr">
        <is>
          <t>No</t>
        </is>
      </c>
      <c r="M1552" s="18" t="inlineStr">
        <is>
          <t>No</t>
        </is>
      </c>
      <c r="N1552" s="18" t="inlineStr"/>
      <c r="O1552" s="18" t="inlineStr"/>
      <c r="P1552" s="18" t="inlineStr">
        <is>
          <t>Mapeada en internal-institutional-control-service/src/esap/documentos/entities/documento.entity.ts:159 (Documento.comprimido)</t>
        </is>
      </c>
      <c r="Q1552" s="18" t="inlineStr">
        <is>
          <t>Regla estructural</t>
        </is>
      </c>
      <c r="R1552" s="18" t="inlineStr">
        <is>
          <t>Indica si el registro está comprimido.</t>
        </is>
      </c>
      <c r="S1552" s="18" t="inlineStr">
        <is>
          <t>Media</t>
        </is>
      </c>
      <c r="T1552" s="18" t="inlineStr">
        <is>
          <t>Convención de nombre de la columna.</t>
        </is>
      </c>
      <c r="U1552" s="18" t="inlineStr"/>
      <c r="V1552" s="19" t="inlineStr">
        <is>
          <t>Pendiente</t>
        </is>
      </c>
      <c r="W1552" s="19" t="inlineStr"/>
      <c r="X1552" s="19" t="inlineStr"/>
      <c r="Y1552" s="20" t="n"/>
      <c r="Z1552" s="19" t="inlineStr"/>
      <c r="AA1552" s="18">
        <f>IF(OR(V1552="Aprobada"),R1552,IF(AND(OR(V1552="Aprobada con ajuste",V1552="Rechazada"),W1552&lt;&gt;""),W1552,""))</f>
        <v/>
      </c>
    </row>
    <row r="1553">
      <c r="A1553" s="18" t="inlineStr">
        <is>
          <t>C1552</t>
        </is>
      </c>
      <c r="B1553" s="18" t="inlineStr">
        <is>
          <t>Control interno</t>
        </is>
      </c>
      <c r="C1553" s="18" t="inlineStr">
        <is>
          <t>control_interno</t>
        </is>
      </c>
      <c r="D1553" s="18" t="inlineStr">
        <is>
          <t>documento</t>
        </is>
      </c>
      <c r="E1553" s="18" t="n">
        <v>77</v>
      </c>
      <c r="F1553" s="18" t="inlineStr">
        <is>
          <t>ruta_servidor_g</t>
        </is>
      </c>
      <c r="G1553" s="18" t="inlineStr">
        <is>
          <t>character varying(500)</t>
        </is>
      </c>
      <c r="H1553" s="18" t="inlineStr">
        <is>
          <t>Sí</t>
        </is>
      </c>
      <c r="I1553" s="18" t="inlineStr"/>
      <c r="J1553" s="18" t="inlineStr"/>
      <c r="K1553" s="18" t="inlineStr"/>
      <c r="L1553" s="18" t="inlineStr">
        <is>
          <t>No</t>
        </is>
      </c>
      <c r="M1553" s="18" t="inlineStr">
        <is>
          <t>No</t>
        </is>
      </c>
      <c r="N1553" s="18" t="inlineStr"/>
      <c r="O1553" s="18" t="inlineStr"/>
      <c r="P1553" s="18" t="inlineStr">
        <is>
          <t>Mapeada en internal-institutional-control-service/src/esap/documentos/entities/documento.entity.ts:162 (Documento.rutaServidorG)</t>
        </is>
      </c>
      <c r="Q1553" s="18" t="inlineStr">
        <is>
          <t>Propuesta semántica</t>
        </is>
      </c>
      <c r="R1553" s="18" t="inlineStr">
        <is>
          <t>Ruta del archivo en el servidor G, donde se sincroniza el documento.</t>
        </is>
      </c>
      <c r="S1553" s="18" t="inlineStr">
        <is>
          <t>Media</t>
        </is>
      </c>
      <c r="T1553" s="18" t="inlineStr">
        <is>
          <t>nombre + columnas vecinas (sincronizado_servidor_g, fecha_sincronizacion)</t>
        </is>
      </c>
      <c r="U1553" s="18" t="inlineStr">
        <is>
          <t>¿Qué es el servidor G y cuándo se sincroniza el documento?</t>
        </is>
      </c>
      <c r="V1553" s="19" t="inlineStr">
        <is>
          <t>Pendiente</t>
        </is>
      </c>
      <c r="W1553" s="19" t="inlineStr"/>
      <c r="X1553" s="19" t="inlineStr"/>
      <c r="Y1553" s="20" t="n"/>
      <c r="Z1553" s="19" t="inlineStr"/>
      <c r="AA1553" s="18">
        <f>IF(OR(V1553="Aprobada"),R1553,IF(AND(OR(V1553="Aprobada con ajuste",V1553="Rechazada"),W1553&lt;&gt;""),W1553,""))</f>
        <v/>
      </c>
    </row>
    <row r="1554">
      <c r="A1554" s="18" t="inlineStr">
        <is>
          <t>C1553</t>
        </is>
      </c>
      <c r="B1554" s="18" t="inlineStr">
        <is>
          <t>Control interno</t>
        </is>
      </c>
      <c r="C1554" s="18" t="inlineStr">
        <is>
          <t>control_interno</t>
        </is>
      </c>
      <c r="D1554" s="18" t="inlineStr">
        <is>
          <t>documento</t>
        </is>
      </c>
      <c r="E1554" s="18" t="n">
        <v>77</v>
      </c>
      <c r="F1554" s="18" t="inlineStr">
        <is>
          <t>sincronizado_servidor_g</t>
        </is>
      </c>
      <c r="G1554" s="18" t="inlineStr">
        <is>
          <t>boolean</t>
        </is>
      </c>
      <c r="H1554" s="18" t="inlineStr">
        <is>
          <t>Sí</t>
        </is>
      </c>
      <c r="I1554" s="18" t="inlineStr"/>
      <c r="J1554" s="18" t="inlineStr"/>
      <c r="K1554" s="18" t="inlineStr"/>
      <c r="L1554" s="18" t="inlineStr">
        <is>
          <t>No</t>
        </is>
      </c>
      <c r="M1554" s="18" t="inlineStr">
        <is>
          <t>No</t>
        </is>
      </c>
      <c r="N1554" s="18" t="inlineStr"/>
      <c r="O1554" s="18" t="inlineStr"/>
      <c r="P1554" s="18" t="inlineStr">
        <is>
          <t>Mapeada en internal-institutional-control-service/src/esap/documentos/entities/documento.entity.ts:165 (Documento.sincronizadoServidorG)</t>
        </is>
      </c>
      <c r="Q1554" s="18" t="inlineStr">
        <is>
          <t>Regla estructural</t>
        </is>
      </c>
      <c r="R1554" s="18" t="inlineStr">
        <is>
          <t>Indica si aplica: sincronizado servidor g.</t>
        </is>
      </c>
      <c r="S1554" s="18" t="inlineStr">
        <is>
          <t>Media</t>
        </is>
      </c>
      <c r="T1554" s="18" t="inlineStr">
        <is>
          <t>Convención de nombre de la columna.</t>
        </is>
      </c>
      <c r="U1554" s="18" t="inlineStr"/>
      <c r="V1554" s="19" t="inlineStr">
        <is>
          <t>Pendiente</t>
        </is>
      </c>
      <c r="W1554" s="19" t="inlineStr"/>
      <c r="X1554" s="19" t="inlineStr"/>
      <c r="Y1554" s="20" t="n"/>
      <c r="Z1554" s="19" t="inlineStr"/>
      <c r="AA1554" s="18">
        <f>IF(OR(V1554="Aprobada"),R1554,IF(AND(OR(V1554="Aprobada con ajuste",V1554="Rechazada"),W1554&lt;&gt;""),W1554,""))</f>
        <v/>
      </c>
    </row>
    <row r="1555">
      <c r="A1555" s="18" t="inlineStr">
        <is>
          <t>C1554</t>
        </is>
      </c>
      <c r="B1555" s="18" t="inlineStr">
        <is>
          <t>Control interno</t>
        </is>
      </c>
      <c r="C1555" s="18" t="inlineStr">
        <is>
          <t>control_interno</t>
        </is>
      </c>
      <c r="D1555" s="18" t="inlineStr">
        <is>
          <t>documento</t>
        </is>
      </c>
      <c r="E1555" s="18" t="n">
        <v>77</v>
      </c>
      <c r="F1555" s="18" t="inlineStr">
        <is>
          <t>fecha_sincronizacion</t>
        </is>
      </c>
      <c r="G1555" s="18" t="inlineStr">
        <is>
          <t>timestamp without time zone</t>
        </is>
      </c>
      <c r="H1555" s="18" t="inlineStr">
        <is>
          <t>Sí</t>
        </is>
      </c>
      <c r="I1555" s="18" t="inlineStr"/>
      <c r="J1555" s="18" t="inlineStr"/>
      <c r="K1555" s="18" t="inlineStr"/>
      <c r="L1555" s="18" t="inlineStr">
        <is>
          <t>No</t>
        </is>
      </c>
      <c r="M1555" s="18" t="inlineStr">
        <is>
          <t>No</t>
        </is>
      </c>
      <c r="N1555" s="18" t="inlineStr"/>
      <c r="O1555" s="18" t="inlineStr"/>
      <c r="P1555" s="18" t="inlineStr">
        <is>
          <t>Mapeada en internal-institutional-control-service/src/esap/documentos/entities/documento.entity.ts:168 (Documento.fechaSincronizacion)</t>
        </is>
      </c>
      <c r="Q1555" s="18" t="inlineStr">
        <is>
          <t>Regla estructural</t>
        </is>
      </c>
      <c r="R1555" s="18" t="inlineStr">
        <is>
          <t>Fecha de sincronización.</t>
        </is>
      </c>
      <c r="S1555" s="18" t="inlineStr">
        <is>
          <t>Media</t>
        </is>
      </c>
      <c r="T1555" s="18" t="inlineStr">
        <is>
          <t>Convención de nombre de la columna.</t>
        </is>
      </c>
      <c r="U1555" s="18" t="inlineStr"/>
      <c r="V1555" s="19" t="inlineStr">
        <is>
          <t>Pendiente</t>
        </is>
      </c>
      <c r="W1555" s="19" t="inlineStr"/>
      <c r="X1555" s="19" t="inlineStr"/>
      <c r="Y1555" s="20" t="n"/>
      <c r="Z1555" s="19" t="inlineStr"/>
      <c r="AA1555" s="18">
        <f>IF(OR(V1555="Aprobada"),R1555,IF(AND(OR(V1555="Aprobada con ajuste",V1555="Rechazada"),W1555&lt;&gt;""),W1555,""))</f>
        <v/>
      </c>
    </row>
    <row r="1556">
      <c r="A1556" s="18" t="inlineStr">
        <is>
          <t>C1555</t>
        </is>
      </c>
      <c r="B1556" s="18" t="inlineStr">
        <is>
          <t>Control interno</t>
        </is>
      </c>
      <c r="C1556" s="18" t="inlineStr">
        <is>
          <t>control_interno</t>
        </is>
      </c>
      <c r="D1556" s="18" t="inlineStr">
        <is>
          <t>documento</t>
        </is>
      </c>
      <c r="E1556" s="18" t="n">
        <v>77</v>
      </c>
      <c r="F1556" s="18" t="inlineStr">
        <is>
          <t>tipo_reporte</t>
        </is>
      </c>
      <c r="G1556" s="18" t="inlineStr">
        <is>
          <t>character varying(100)</t>
        </is>
      </c>
      <c r="H1556" s="18" t="inlineStr">
        <is>
          <t>Sí</t>
        </is>
      </c>
      <c r="I1556" s="18" t="inlineStr">
        <is>
          <t>CHECK</t>
        </is>
      </c>
      <c r="J1556" s="18" t="inlineStr">
        <is>
          <t>acta-apertura, acta-cierre, informe-auditoria, matriz-hallazgos, otro, plan-anual, plan-mejora, reporte-cumplimiento, reporte-ejecutivo, reporte-gravedad, reporte-territorial</t>
        </is>
      </c>
      <c r="K1556" s="18" t="inlineStr"/>
      <c r="L1556" s="18" t="inlineStr">
        <is>
          <t>Sí</t>
        </is>
      </c>
      <c r="M1556" s="18" t="inlineStr">
        <is>
          <t>No</t>
        </is>
      </c>
      <c r="N1556" s="18" t="inlineStr"/>
      <c r="O1556" s="18" t="inlineStr"/>
      <c r="P1556" s="18" t="inlineStr"/>
      <c r="Q1556" s="18" t="inlineStr">
        <is>
          <t>Propuesta semántica</t>
        </is>
      </c>
      <c r="R1556" s="18" t="inlineStr">
        <is>
          <t>Tipo de reporte cuando el documento es un reporte generado. Valores permitidos: acta-apertura, acta-cierre, informe-auditoria, matriz-hallazgos, plan-anual, plan-mejora, reporte-cumplimiento, reporte-ejecutivo, reporte-gravedad, reporte-territorial, otro.</t>
        </is>
      </c>
      <c r="S1556" s="18" t="inlineStr">
        <is>
          <t>Alta</t>
        </is>
      </c>
      <c r="T1556" s="18" t="inlineStr">
        <is>
          <t>valores permitidos del CHECK ~</t>
        </is>
      </c>
      <c r="U1556" s="18" t="inlineStr"/>
      <c r="V1556" s="19" t="inlineStr">
        <is>
          <t>Pendiente</t>
        </is>
      </c>
      <c r="W1556" s="19" t="inlineStr"/>
      <c r="X1556" s="19" t="inlineStr"/>
      <c r="Y1556" s="20" t="n"/>
      <c r="Z1556" s="19" t="inlineStr"/>
      <c r="AA1556" s="18">
        <f>IF(OR(V1556="Aprobada"),R1556,IF(AND(OR(V1556="Aprobada con ajuste",V1556="Rechazada"),W1556&lt;&gt;""),W1556,""))</f>
        <v/>
      </c>
    </row>
    <row r="1557">
      <c r="A1557" s="18" t="inlineStr">
        <is>
          <t>C1556</t>
        </is>
      </c>
      <c r="B1557" s="18" t="inlineStr">
        <is>
          <t>Control interno</t>
        </is>
      </c>
      <c r="C1557" s="18" t="inlineStr">
        <is>
          <t>control_interno</t>
        </is>
      </c>
      <c r="D1557" s="18" t="inlineStr">
        <is>
          <t>documento</t>
        </is>
      </c>
      <c r="E1557" s="18" t="n">
        <v>77</v>
      </c>
      <c r="F1557" s="18" t="inlineStr">
        <is>
          <t>visible_auditoria_id</t>
        </is>
      </c>
      <c r="G1557" s="18" t="inlineStr">
        <is>
          <t>uuid</t>
        </is>
      </c>
      <c r="H1557" s="18" t="inlineStr">
        <is>
          <t>Sí</t>
        </is>
      </c>
      <c r="I1557" s="18" t="inlineStr"/>
      <c r="J1557" s="18" t="inlineStr"/>
      <c r="K1557" s="18" t="inlineStr"/>
      <c r="L1557" s="18" t="inlineStr">
        <is>
          <t>No</t>
        </is>
      </c>
      <c r="M1557" s="18" t="inlineStr">
        <is>
          <t>No</t>
        </is>
      </c>
      <c r="N1557" s="18" t="inlineStr"/>
      <c r="O1557" s="18" t="inlineStr">
        <is>
          <t>idx_documento_visible_auditoria_id</t>
        </is>
      </c>
      <c r="P1557" s="18" t="inlineStr">
        <is>
          <t>internal-institutional-control-service/src/esap/documentos/entities/documento.entity.ts:117: Plantilla: visible solo para esta auditoría. NULL = visible para todas | Validación: IsOptional, IsUUID</t>
        </is>
      </c>
      <c r="Q1557" s="18" t="inlineStr">
        <is>
          <t>Código fuente</t>
        </is>
      </c>
      <c r="R1557" s="18" t="inlineStr">
        <is>
          <t>Identificador de la auditoría para la que es visible el documento plantilla; nulo indica que es visible para todas.</t>
        </is>
      </c>
      <c r="S1557" s="18" t="inlineStr">
        <is>
          <t>Alta</t>
        </is>
      </c>
      <c r="T1557" s="18" t="inlineStr">
        <is>
          <t>código: internal-institutional-control-service/src/esap/documentos/entities/documento.entity.ts:117</t>
        </is>
      </c>
      <c r="U1557" s="18" t="inlineStr"/>
      <c r="V1557" s="19" t="inlineStr">
        <is>
          <t>Pendiente</t>
        </is>
      </c>
      <c r="W1557" s="19" t="inlineStr"/>
      <c r="X1557" s="19" t="inlineStr"/>
      <c r="Y1557" s="20" t="n"/>
      <c r="Z1557" s="19" t="inlineStr"/>
      <c r="AA1557" s="18">
        <f>IF(OR(V1557="Aprobada"),R1557,IF(AND(OR(V1557="Aprobada con ajuste",V1557="Rechazada"),W1557&lt;&gt;""),W1557,""))</f>
        <v/>
      </c>
    </row>
    <row r="1558">
      <c r="A1558" s="18" t="inlineStr">
        <is>
          <t>C1557</t>
        </is>
      </c>
      <c r="B1558" s="18" t="inlineStr">
        <is>
          <t>Control interno</t>
        </is>
      </c>
      <c r="C1558" s="18" t="inlineStr">
        <is>
          <t>control_interno</t>
        </is>
      </c>
      <c r="D1558" s="18" t="inlineStr">
        <is>
          <t>documento_aprobacion</t>
        </is>
      </c>
      <c r="E1558" s="18" t="n">
        <v>0</v>
      </c>
      <c r="F1558" s="18" t="inlineStr">
        <is>
          <t>nombre_archivo</t>
        </is>
      </c>
      <c r="G1558" s="18" t="inlineStr">
        <is>
          <t>character varying(255)</t>
        </is>
      </c>
      <c r="H1558" s="18" t="inlineStr">
        <is>
          <t>No</t>
        </is>
      </c>
      <c r="I1558" s="18" t="inlineStr"/>
      <c r="J1558" s="18" t="inlineStr"/>
      <c r="K1558" s="18" t="inlineStr"/>
      <c r="L1558" s="18" t="inlineStr">
        <is>
          <t>No</t>
        </is>
      </c>
      <c r="M1558" s="18" t="inlineStr">
        <is>
          <t>No</t>
        </is>
      </c>
      <c r="N1558" s="18" t="inlineStr"/>
      <c r="O1558" s="18" t="inlineStr"/>
      <c r="P1558" s="18" t="inlineStr"/>
      <c r="Q1558" s="18" t="inlineStr">
        <is>
          <t>Propuesta semántica</t>
        </is>
      </c>
      <c r="R1558" s="18" t="inlineStr">
        <is>
          <t>Nombre del archivo adjunto a la solicitud de aprobación.</t>
        </is>
      </c>
      <c r="S1558" s="18" t="inlineStr">
        <is>
          <t>Alta</t>
        </is>
      </c>
      <c r="T1558" s="18" t="inlineStr">
        <is>
          <t>nombre + tipo + columnas vecinas (aprobacion_id) ~</t>
        </is>
      </c>
      <c r="U1558" s="18" t="inlineStr"/>
      <c r="V1558" s="19" t="inlineStr">
        <is>
          <t>Pendiente</t>
        </is>
      </c>
      <c r="W1558" s="19" t="inlineStr"/>
      <c r="X1558" s="19" t="inlineStr"/>
      <c r="Y1558" s="20" t="n"/>
      <c r="Z1558" s="19" t="inlineStr"/>
      <c r="AA1558" s="18">
        <f>IF(OR(V1558="Aprobada"),R1558,IF(AND(OR(V1558="Aprobada con ajuste",V1558="Rechazada"),W1558&lt;&gt;""),W1558,""))</f>
        <v/>
      </c>
    </row>
    <row r="1559">
      <c r="A1559" s="18" t="inlineStr">
        <is>
          <t>C1558</t>
        </is>
      </c>
      <c r="B1559" s="18" t="inlineStr">
        <is>
          <t>Control interno</t>
        </is>
      </c>
      <c r="C1559" s="18" t="inlineStr">
        <is>
          <t>control_interno</t>
        </is>
      </c>
      <c r="D1559" s="18" t="inlineStr">
        <is>
          <t>documento_aprobacion</t>
        </is>
      </c>
      <c r="E1559" s="18" t="n">
        <v>0</v>
      </c>
      <c r="F1559" s="18" t="inlineStr">
        <is>
          <t>ruta_archivo</t>
        </is>
      </c>
      <c r="G1559" s="18" t="inlineStr">
        <is>
          <t>character varying(500)</t>
        </is>
      </c>
      <c r="H1559" s="18" t="inlineStr">
        <is>
          <t>Sí</t>
        </is>
      </c>
      <c r="I1559" s="18" t="inlineStr"/>
      <c r="J1559" s="18" t="inlineStr"/>
      <c r="K1559" s="18" t="inlineStr"/>
      <c r="L1559" s="18" t="inlineStr">
        <is>
          <t>No</t>
        </is>
      </c>
      <c r="M1559" s="18" t="inlineStr">
        <is>
          <t>No</t>
        </is>
      </c>
      <c r="N1559" s="18" t="inlineStr"/>
      <c r="O1559" s="18" t="inlineStr"/>
      <c r="P1559" s="18" t="inlineStr"/>
      <c r="Q1559" s="18" t="inlineStr">
        <is>
          <t>Propuesta semántica</t>
        </is>
      </c>
      <c r="R1559" s="18" t="inlineStr">
        <is>
          <t>Ruta de almacenamiento del archivo adjunto.</t>
        </is>
      </c>
      <c r="S1559" s="18" t="inlineStr">
        <is>
          <t>Alta</t>
        </is>
      </c>
      <c r="T1559" s="18" t="inlineStr">
        <is>
          <t>nombre + tipo ~</t>
        </is>
      </c>
      <c r="U1559" s="18" t="inlineStr"/>
      <c r="V1559" s="19" t="inlineStr">
        <is>
          <t>Pendiente</t>
        </is>
      </c>
      <c r="W1559" s="19" t="inlineStr"/>
      <c r="X1559" s="19" t="inlineStr"/>
      <c r="Y1559" s="20" t="n"/>
      <c r="Z1559" s="19" t="inlineStr"/>
      <c r="AA1559" s="18">
        <f>IF(OR(V1559="Aprobada"),R1559,IF(AND(OR(V1559="Aprobada con ajuste",V1559="Rechazada"),W1559&lt;&gt;""),W1559,""))</f>
        <v/>
      </c>
    </row>
    <row r="1560">
      <c r="A1560" s="18" t="inlineStr">
        <is>
          <t>C1559</t>
        </is>
      </c>
      <c r="B1560" s="18" t="inlineStr">
        <is>
          <t>Control interno</t>
        </is>
      </c>
      <c r="C1560" s="18" t="inlineStr">
        <is>
          <t>control_interno</t>
        </is>
      </c>
      <c r="D1560" s="18" t="inlineStr">
        <is>
          <t>documento_aprobacion</t>
        </is>
      </c>
      <c r="E1560" s="18" t="n">
        <v>0</v>
      </c>
      <c r="F1560" s="18" t="inlineStr">
        <is>
          <t>tipo_mime</t>
        </is>
      </c>
      <c r="G1560" s="18" t="inlineStr">
        <is>
          <t>character varying(100)</t>
        </is>
      </c>
      <c r="H1560" s="18" t="inlineStr">
        <is>
          <t>Sí</t>
        </is>
      </c>
      <c r="I1560" s="18" t="inlineStr"/>
      <c r="J1560" s="18" t="inlineStr"/>
      <c r="K1560" s="18" t="inlineStr"/>
      <c r="L1560" s="18" t="inlineStr">
        <is>
          <t>No</t>
        </is>
      </c>
      <c r="M1560" s="18" t="inlineStr">
        <is>
          <t>No</t>
        </is>
      </c>
      <c r="N1560" s="18" t="inlineStr"/>
      <c r="O1560" s="18" t="inlineStr"/>
      <c r="P1560" s="18" t="inlineStr"/>
      <c r="Q1560" s="18" t="inlineStr">
        <is>
          <t>Propuesta semántica</t>
        </is>
      </c>
      <c r="R1560" s="18" t="inlineStr">
        <is>
          <t>Tipo MIME del archivo adjunto.</t>
        </is>
      </c>
      <c r="S1560" s="18" t="inlineStr">
        <is>
          <t>Alta</t>
        </is>
      </c>
      <c r="T1560" s="18" t="inlineStr">
        <is>
          <t>nombre + tipo ~</t>
        </is>
      </c>
      <c r="U1560" s="18" t="inlineStr"/>
      <c r="V1560" s="19" t="inlineStr">
        <is>
          <t>Pendiente</t>
        </is>
      </c>
      <c r="W1560" s="19" t="inlineStr"/>
      <c r="X1560" s="19" t="inlineStr"/>
      <c r="Y1560" s="20" t="n"/>
      <c r="Z1560" s="19" t="inlineStr"/>
      <c r="AA1560" s="18">
        <f>IF(OR(V1560="Aprobada"),R1560,IF(AND(OR(V1560="Aprobada con ajuste",V1560="Rechazada"),W1560&lt;&gt;""),W1560,""))</f>
        <v/>
      </c>
    </row>
    <row r="1561">
      <c r="A1561" s="18" t="inlineStr">
        <is>
          <t>C1560</t>
        </is>
      </c>
      <c r="B1561" s="18" t="inlineStr">
        <is>
          <t>Control interno</t>
        </is>
      </c>
      <c r="C1561" s="18" t="inlineStr">
        <is>
          <t>control_interno</t>
        </is>
      </c>
      <c r="D1561" s="18" t="inlineStr">
        <is>
          <t>documento_aprobacion</t>
        </is>
      </c>
      <c r="E1561" s="18" t="n">
        <v>0</v>
      </c>
      <c r="F1561" s="18" t="inlineStr">
        <is>
          <t>tamanio_bytes</t>
        </is>
      </c>
      <c r="G1561" s="18" t="inlineStr">
        <is>
          <t>bigint</t>
        </is>
      </c>
      <c r="H1561" s="18" t="inlineStr">
        <is>
          <t>Sí</t>
        </is>
      </c>
      <c r="I1561" s="18" t="inlineStr"/>
      <c r="J1561" s="18" t="inlineStr"/>
      <c r="K1561" s="18" t="inlineStr"/>
      <c r="L1561" s="18" t="inlineStr">
        <is>
          <t>No</t>
        </is>
      </c>
      <c r="M1561" s="18" t="inlineStr">
        <is>
          <t>No</t>
        </is>
      </c>
      <c r="N1561" s="18" t="inlineStr"/>
      <c r="O1561" s="18" t="inlineStr"/>
      <c r="P1561" s="18" t="inlineStr"/>
      <c r="Q1561" s="18" t="inlineStr">
        <is>
          <t>Propuesta semántica</t>
        </is>
      </c>
      <c r="R1561" s="18" t="inlineStr">
        <is>
          <t>Tamaño del archivo adjunto, en bytes.</t>
        </is>
      </c>
      <c r="S1561" s="18" t="inlineStr">
        <is>
          <t>Alta</t>
        </is>
      </c>
      <c r="T1561" s="18" t="inlineStr">
        <is>
          <t>nombre + tipo ~</t>
        </is>
      </c>
      <c r="U1561" s="18" t="inlineStr"/>
      <c r="V1561" s="19" t="inlineStr">
        <is>
          <t>Pendiente</t>
        </is>
      </c>
      <c r="W1561" s="19" t="inlineStr"/>
      <c r="X1561" s="19" t="inlineStr"/>
      <c r="Y1561" s="20" t="n"/>
      <c r="Z1561" s="19" t="inlineStr"/>
      <c r="AA1561" s="18">
        <f>IF(OR(V1561="Aprobada"),R1561,IF(AND(OR(V1561="Aprobada con ajuste",V1561="Rechazada"),W1561&lt;&gt;""),W1561,""))</f>
        <v/>
      </c>
    </row>
    <row r="1562">
      <c r="A1562" s="18" t="inlineStr">
        <is>
          <t>C1561</t>
        </is>
      </c>
      <c r="B1562" s="18" t="inlineStr">
        <is>
          <t>Control interno</t>
        </is>
      </c>
      <c r="C1562" s="18" t="inlineStr">
        <is>
          <t>control_interno</t>
        </is>
      </c>
      <c r="D1562" s="18" t="inlineStr">
        <is>
          <t>documento_plan_mejoramiento</t>
        </is>
      </c>
      <c r="E1562" s="18" t="n">
        <v>0</v>
      </c>
      <c r="F1562" s="18" t="inlineStr">
        <is>
          <t>nombre</t>
        </is>
      </c>
      <c r="G1562" s="18" t="inlineStr">
        <is>
          <t>character varying(255)</t>
        </is>
      </c>
      <c r="H1562" s="18" t="inlineStr">
        <is>
          <t>No</t>
        </is>
      </c>
      <c r="I1562" s="18" t="inlineStr"/>
      <c r="J1562" s="18" t="inlineStr"/>
      <c r="K1562" s="18" t="inlineStr"/>
      <c r="L1562" s="18" t="inlineStr">
        <is>
          <t>No</t>
        </is>
      </c>
      <c r="M1562" s="18" t="inlineStr">
        <is>
          <t>No</t>
        </is>
      </c>
      <c r="N1562" s="18" t="inlineStr"/>
      <c r="O1562" s="18" t="inlineStr"/>
      <c r="P1562" s="18" t="inlineStr">
        <is>
          <t>Mapeada en internal-institutional-control-service/src/esap/planes-mejoramiento/entities/documento-plan.entity.ts:36 (DocumentoPlanMejoramiento.nombre) | Validación: IsNotEmpty, IsNotEmpty({ message: 'El nombre del documento es obligatorio' }), IsOptional, IsString, Length(1, 500), MaxLength(120)</t>
        </is>
      </c>
      <c r="Q1562" s="18" t="inlineStr">
        <is>
          <t>Regla estructural</t>
        </is>
      </c>
      <c r="R1562" s="18" t="inlineStr">
        <is>
          <t>Nombre del registro de documento_plan_mejoramiento.</t>
        </is>
      </c>
      <c r="S1562" s="18" t="inlineStr">
        <is>
          <t>Media</t>
        </is>
      </c>
      <c r="T1562" s="18" t="inlineStr">
        <is>
          <t>Convención de nombre de la columna.</t>
        </is>
      </c>
      <c r="U1562" s="18" t="inlineStr"/>
      <c r="V1562" s="19" t="inlineStr">
        <is>
          <t>Pendiente</t>
        </is>
      </c>
      <c r="W1562" s="19" t="inlineStr"/>
      <c r="X1562" s="19" t="inlineStr"/>
      <c r="Y1562" s="20" t="n"/>
      <c r="Z1562" s="19" t="inlineStr"/>
      <c r="AA1562" s="18">
        <f>IF(OR(V1562="Aprobada"),R1562,IF(AND(OR(V1562="Aprobada con ajuste",V1562="Rechazada"),W1562&lt;&gt;""),W1562,""))</f>
        <v/>
      </c>
    </row>
    <row r="1563">
      <c r="A1563" s="18" t="inlineStr">
        <is>
          <t>C1562</t>
        </is>
      </c>
      <c r="B1563" s="18" t="inlineStr">
        <is>
          <t>Control interno</t>
        </is>
      </c>
      <c r="C1563" s="18" t="inlineStr">
        <is>
          <t>control_interno</t>
        </is>
      </c>
      <c r="D1563" s="18" t="inlineStr">
        <is>
          <t>documento_plan_mejoramiento</t>
        </is>
      </c>
      <c r="E1563" s="18" t="n">
        <v>0</v>
      </c>
      <c r="F1563" s="18" t="inlineStr">
        <is>
          <t>descripcion</t>
        </is>
      </c>
      <c r="G1563" s="18" t="inlineStr">
        <is>
          <t>text</t>
        </is>
      </c>
      <c r="H1563" s="18" t="inlineStr">
        <is>
          <t>Sí</t>
        </is>
      </c>
      <c r="I1563" s="18" t="inlineStr"/>
      <c r="J1563" s="18" t="inlineStr"/>
      <c r="K1563" s="18" t="inlineStr"/>
      <c r="L1563" s="18" t="inlineStr">
        <is>
          <t>No</t>
        </is>
      </c>
      <c r="M1563" s="18" t="inlineStr">
        <is>
          <t>No</t>
        </is>
      </c>
      <c r="N1563" s="18" t="inlineStr"/>
      <c r="O1563" s="18" t="inlineStr"/>
      <c r="P1563" s="18" t="inlineStr">
        <is>
          <t>Mapeada en internal-institutional-control-service/src/esap/planes-mejoramiento/entities/documento-plan.entity.ts:39 (DocumentoPlanMejoramiento.descripcion) | Validación: IsNotEmpty, IsOptional, IsString</t>
        </is>
      </c>
      <c r="Q1563" s="18" t="inlineStr">
        <is>
          <t>Regla estructural</t>
        </is>
      </c>
      <c r="R1563" s="18" t="inlineStr">
        <is>
          <t>Descripción del registro de documento_plan_mejoramiento.</t>
        </is>
      </c>
      <c r="S1563" s="18" t="inlineStr">
        <is>
          <t>Media</t>
        </is>
      </c>
      <c r="T1563" s="18" t="inlineStr">
        <is>
          <t>Convención de nombre de la columna.</t>
        </is>
      </c>
      <c r="U1563" s="18" t="inlineStr"/>
      <c r="V1563" s="19" t="inlineStr">
        <is>
          <t>Pendiente</t>
        </is>
      </c>
      <c r="W1563" s="19" t="inlineStr"/>
      <c r="X1563" s="19" t="inlineStr"/>
      <c r="Y1563" s="20" t="n"/>
      <c r="Z1563" s="19" t="inlineStr"/>
      <c r="AA1563" s="18">
        <f>IF(OR(V1563="Aprobada"),R1563,IF(AND(OR(V1563="Aprobada con ajuste",V1563="Rechazada"),W1563&lt;&gt;""),W1563,""))</f>
        <v/>
      </c>
    </row>
    <row r="1564">
      <c r="A1564" s="18" t="inlineStr">
        <is>
          <t>C1563</t>
        </is>
      </c>
      <c r="B1564" s="18" t="inlineStr">
        <is>
          <t>Control interno</t>
        </is>
      </c>
      <c r="C1564" s="18" t="inlineStr">
        <is>
          <t>control_interno</t>
        </is>
      </c>
      <c r="D1564" s="18" t="inlineStr">
        <is>
          <t>documento_plan_mejoramiento</t>
        </is>
      </c>
      <c r="E1564" s="18" t="n">
        <v>0</v>
      </c>
      <c r="F1564" s="18" t="inlineStr">
        <is>
          <t>tipo_documento</t>
        </is>
      </c>
      <c r="G1564" s="18" t="inlineStr">
        <is>
          <t>character varying(100)</t>
        </is>
      </c>
      <c r="H1564" s="18" t="inlineStr">
        <is>
          <t>No</t>
        </is>
      </c>
      <c r="I1564" s="18" t="inlineStr"/>
      <c r="J1564" s="18" t="inlineStr"/>
      <c r="K1564" s="18" t="inlineStr"/>
      <c r="L1564" s="18" t="inlineStr">
        <is>
          <t>No</t>
        </is>
      </c>
      <c r="M1564" s="18" t="inlineStr">
        <is>
          <t>No</t>
        </is>
      </c>
      <c r="N1564" s="18" t="inlineStr"/>
      <c r="O1564" s="18" t="inlineStr"/>
      <c r="P1564" s="18" t="inlineStr">
        <is>
          <t>Mapeada en internal-institutional-control-service/src/esap/planes-mejoramiento/entities/documento-plan.entity.ts:42 (DocumentoPlanMejoramiento.tipoDocumento) | Validación: IsEnum(TipoDocumento), IsEnum(TipoDocumentoEvidencia), IsNotEmpty, IsOptional</t>
        </is>
      </c>
      <c r="Q1564" s="18" t="inlineStr">
        <is>
          <t>Propuesta semántica</t>
        </is>
      </c>
      <c r="R1564" s="18" t="inlineStr">
        <is>
          <t>Tipo de documento del plan de mejoramiento, según el enum TipoDocumento o TipoDocumentoEvidencia.</t>
        </is>
      </c>
      <c r="S1564" s="18" t="inlineStr">
        <is>
          <t>Media</t>
        </is>
      </c>
      <c r="T1564" s="18" t="inlineStr">
        <is>
          <t>nombre + validaciones IsEnum</t>
        </is>
      </c>
      <c r="U1564" s="18" t="inlineStr">
        <is>
          <t>¿Qué valores admite tipo_documento en esta tabla?</t>
        </is>
      </c>
      <c r="V1564" s="19" t="inlineStr">
        <is>
          <t>Pendiente</t>
        </is>
      </c>
      <c r="W1564" s="19" t="inlineStr"/>
      <c r="X1564" s="19" t="inlineStr"/>
      <c r="Y1564" s="20" t="n"/>
      <c r="Z1564" s="19" t="inlineStr"/>
      <c r="AA1564" s="18">
        <f>IF(OR(V1564="Aprobada"),R1564,IF(AND(OR(V1564="Aprobada con ajuste",V1564="Rechazada"),W1564&lt;&gt;""),W1564,""))</f>
        <v/>
      </c>
    </row>
    <row r="1565">
      <c r="A1565" s="18" t="inlineStr">
        <is>
          <t>C1564</t>
        </is>
      </c>
      <c r="B1565" s="18" t="inlineStr">
        <is>
          <t>Control interno</t>
        </is>
      </c>
      <c r="C1565" s="18" t="inlineStr">
        <is>
          <t>control_interno</t>
        </is>
      </c>
      <c r="D1565" s="18" t="inlineStr">
        <is>
          <t>documento_plan_mejoramiento</t>
        </is>
      </c>
      <c r="E1565" s="18" t="n">
        <v>0</v>
      </c>
      <c r="F1565" s="18" t="inlineStr">
        <is>
          <t>ruta_archivo</t>
        </is>
      </c>
      <c r="G1565" s="18" t="inlineStr">
        <is>
          <t>character varying(500)</t>
        </is>
      </c>
      <c r="H1565" s="18" t="inlineStr">
        <is>
          <t>No</t>
        </is>
      </c>
      <c r="I1565" s="18" t="inlineStr"/>
      <c r="J1565" s="18" t="inlineStr"/>
      <c r="K1565" s="18" t="inlineStr"/>
      <c r="L1565" s="18" t="inlineStr">
        <is>
          <t>No</t>
        </is>
      </c>
      <c r="M1565" s="18" t="inlineStr">
        <is>
          <t>No</t>
        </is>
      </c>
      <c r="N1565" s="18" t="inlineStr"/>
      <c r="O1565" s="18" t="inlineStr"/>
      <c r="P1565" s="18" t="inlineStr">
        <is>
          <t>Mapeada en internal-institutional-control-service/src/esap/planes-mejoramiento/entities/documento-plan.entity.ts:45 (DocumentoPlanMejoramiento.rutaArchivo) | Validación: IsOptional, IsString</t>
        </is>
      </c>
      <c r="Q1565" s="18" t="inlineStr">
        <is>
          <t>Propuesta semántica</t>
        </is>
      </c>
      <c r="R1565" s="18" t="inlineStr">
        <is>
          <t>Ruta de almacenamiento del archivo.</t>
        </is>
      </c>
      <c r="S1565" s="18" t="inlineStr">
        <is>
          <t>Alta</t>
        </is>
      </c>
      <c r="T1565" s="18" t="inlineStr">
        <is>
          <t>nombre + tipo ~</t>
        </is>
      </c>
      <c r="U1565" s="18" t="inlineStr"/>
      <c r="V1565" s="19" t="inlineStr">
        <is>
          <t>Pendiente</t>
        </is>
      </c>
      <c r="W1565" s="19" t="inlineStr"/>
      <c r="X1565" s="19" t="inlineStr"/>
      <c r="Y1565" s="20" t="n"/>
      <c r="Z1565" s="19" t="inlineStr"/>
      <c r="AA1565" s="18">
        <f>IF(OR(V1565="Aprobada"),R1565,IF(AND(OR(V1565="Aprobada con ajuste",V1565="Rechazada"),W1565&lt;&gt;""),W1565,""))</f>
        <v/>
      </c>
    </row>
    <row r="1566">
      <c r="A1566" s="18" t="inlineStr">
        <is>
          <t>C1565</t>
        </is>
      </c>
      <c r="B1566" s="18" t="inlineStr">
        <is>
          <t>Control interno</t>
        </is>
      </c>
      <c r="C1566" s="18" t="inlineStr">
        <is>
          <t>control_interno</t>
        </is>
      </c>
      <c r="D1566" s="18" t="inlineStr">
        <is>
          <t>documento_plan_mejoramiento</t>
        </is>
      </c>
      <c r="E1566" s="18" t="n">
        <v>0</v>
      </c>
      <c r="F1566" s="18" t="inlineStr">
        <is>
          <t>nombre_archivo_original</t>
        </is>
      </c>
      <c r="G1566" s="18" t="inlineStr">
        <is>
          <t>character varying(255)</t>
        </is>
      </c>
      <c r="H1566" s="18" t="inlineStr">
        <is>
          <t>No</t>
        </is>
      </c>
      <c r="I1566" s="18" t="inlineStr"/>
      <c r="J1566" s="18" t="inlineStr"/>
      <c r="K1566" s="18" t="inlineStr"/>
      <c r="L1566" s="18" t="inlineStr">
        <is>
          <t>No</t>
        </is>
      </c>
      <c r="M1566" s="18" t="inlineStr">
        <is>
          <t>No</t>
        </is>
      </c>
      <c r="N1566" s="18" t="inlineStr"/>
      <c r="O1566" s="18" t="inlineStr"/>
      <c r="P1566" s="18" t="inlineStr">
        <is>
          <t>Mapeada en internal-institutional-control-service/src/esap/planes-mejoramiento/entities/documento-plan.entity.ts:48 (DocumentoPlanMejoramiento.nombreArchivoOriginal)</t>
        </is>
      </c>
      <c r="Q1566" s="18" t="inlineStr">
        <is>
          <t>Propuesta semántica</t>
        </is>
      </c>
      <c r="R1566" s="18" t="inlineStr">
        <is>
          <t>Nombre original del archivo al momento de subirlo.</t>
        </is>
      </c>
      <c r="S1566" s="18" t="inlineStr">
        <is>
          <t>Alta</t>
        </is>
      </c>
      <c r="T1566" s="18" t="inlineStr">
        <is>
          <t>nombre + tipo ~</t>
        </is>
      </c>
      <c r="U1566" s="18" t="inlineStr"/>
      <c r="V1566" s="19" t="inlineStr">
        <is>
          <t>Pendiente</t>
        </is>
      </c>
      <c r="W1566" s="19" t="inlineStr"/>
      <c r="X1566" s="19" t="inlineStr"/>
      <c r="Y1566" s="20" t="n"/>
      <c r="Z1566" s="19" t="inlineStr"/>
      <c r="AA1566" s="18">
        <f>IF(OR(V1566="Aprobada"),R1566,IF(AND(OR(V1566="Aprobada con ajuste",V1566="Rechazada"),W1566&lt;&gt;""),W1566,""))</f>
        <v/>
      </c>
    </row>
    <row r="1567">
      <c r="A1567" s="18" t="inlineStr">
        <is>
          <t>C1566</t>
        </is>
      </c>
      <c r="B1567" s="18" t="inlineStr">
        <is>
          <t>Control interno</t>
        </is>
      </c>
      <c r="C1567" s="18" t="inlineStr">
        <is>
          <t>control_interno</t>
        </is>
      </c>
      <c r="D1567" s="18" t="inlineStr">
        <is>
          <t>documento_plan_mejoramiento</t>
        </is>
      </c>
      <c r="E1567" s="18" t="n">
        <v>0</v>
      </c>
      <c r="F1567" s="18" t="inlineStr">
        <is>
          <t>tipo_mime</t>
        </is>
      </c>
      <c r="G1567" s="18" t="inlineStr">
        <is>
          <t>character varying(100)</t>
        </is>
      </c>
      <c r="H1567" s="18" t="inlineStr">
        <is>
          <t>No</t>
        </is>
      </c>
      <c r="I1567" s="18" t="inlineStr"/>
      <c r="J1567" s="18" t="inlineStr"/>
      <c r="K1567" s="18" t="inlineStr"/>
      <c r="L1567" s="18" t="inlineStr">
        <is>
          <t>No</t>
        </is>
      </c>
      <c r="M1567" s="18" t="inlineStr">
        <is>
          <t>No</t>
        </is>
      </c>
      <c r="N1567" s="18" t="inlineStr"/>
      <c r="O1567" s="18" t="inlineStr"/>
      <c r="P1567" s="18" t="inlineStr">
        <is>
          <t>Mapeada en internal-institutional-control-service/src/esap/planes-mejoramiento/entities/documento-plan.entity.ts:51 (DocumentoPlanMejoramiento.tipoMime) | Validación: IsNotEmpty, IsString</t>
        </is>
      </c>
      <c r="Q1567" s="18" t="inlineStr">
        <is>
          <t>Propuesta semántica</t>
        </is>
      </c>
      <c r="R1567" s="18" t="inlineStr">
        <is>
          <t>Tipo MIME del archivo.</t>
        </is>
      </c>
      <c r="S1567" s="18" t="inlineStr">
        <is>
          <t>Alta</t>
        </is>
      </c>
      <c r="T1567" s="18" t="inlineStr">
        <is>
          <t>nombre + tipo ~</t>
        </is>
      </c>
      <c r="U1567" s="18" t="inlineStr"/>
      <c r="V1567" s="19" t="inlineStr">
        <is>
          <t>Pendiente</t>
        </is>
      </c>
      <c r="W1567" s="19" t="inlineStr"/>
      <c r="X1567" s="19" t="inlineStr"/>
      <c r="Y1567" s="20" t="n"/>
      <c r="Z1567" s="19" t="inlineStr"/>
      <c r="AA1567" s="18">
        <f>IF(OR(V1567="Aprobada"),R1567,IF(AND(OR(V1567="Aprobada con ajuste",V1567="Rechazada"),W1567&lt;&gt;""),W1567,""))</f>
        <v/>
      </c>
    </row>
    <row r="1568">
      <c r="A1568" s="18" t="inlineStr">
        <is>
          <t>C1567</t>
        </is>
      </c>
      <c r="B1568" s="18" t="inlineStr">
        <is>
          <t>Control interno</t>
        </is>
      </c>
      <c r="C1568" s="18" t="inlineStr">
        <is>
          <t>control_interno</t>
        </is>
      </c>
      <c r="D1568" s="18" t="inlineStr">
        <is>
          <t>documento_plan_mejoramiento</t>
        </is>
      </c>
      <c r="E1568" s="18" t="n">
        <v>0</v>
      </c>
      <c r="F1568" s="18" t="inlineStr">
        <is>
          <t>tamanio_bytes</t>
        </is>
      </c>
      <c r="G1568" s="18" t="inlineStr">
        <is>
          <t>bigint</t>
        </is>
      </c>
      <c r="H1568" s="18" t="inlineStr">
        <is>
          <t>No</t>
        </is>
      </c>
      <c r="I1568" s="18" t="inlineStr"/>
      <c r="J1568" s="18" t="inlineStr"/>
      <c r="K1568" s="18" t="inlineStr"/>
      <c r="L1568" s="18" t="inlineStr">
        <is>
          <t>No</t>
        </is>
      </c>
      <c r="M1568" s="18" t="inlineStr">
        <is>
          <t>No</t>
        </is>
      </c>
      <c r="N1568" s="18" t="inlineStr"/>
      <c r="O1568" s="18" t="inlineStr"/>
      <c r="P1568" s="18" t="inlineStr">
        <is>
          <t>Mapeada en internal-institutional-control-service/src/esap/planes-mejoramiento/entities/documento-plan.entity.ts:54 (DocumentoPlanMejoramiento.tamanioBytes) | Validación: IsNumber, Min(0)</t>
        </is>
      </c>
      <c r="Q1568" s="18" t="inlineStr">
        <is>
          <t>Propuesta semántica</t>
        </is>
      </c>
      <c r="R1568" s="18" t="inlineStr">
        <is>
          <t>Tamaño del archivo, en bytes.</t>
        </is>
      </c>
      <c r="S1568" s="18" t="inlineStr">
        <is>
          <t>Alta</t>
        </is>
      </c>
      <c r="T1568" s="18" t="inlineStr">
        <is>
          <t>nombre + tipo + validación Min(0) ~</t>
        </is>
      </c>
      <c r="U1568" s="18" t="inlineStr"/>
      <c r="V1568" s="19" t="inlineStr">
        <is>
          <t>Pendiente</t>
        </is>
      </c>
      <c r="W1568" s="19" t="inlineStr"/>
      <c r="X1568" s="19" t="inlineStr"/>
      <c r="Y1568" s="20" t="n"/>
      <c r="Z1568" s="19" t="inlineStr"/>
      <c r="AA1568" s="18">
        <f>IF(OR(V1568="Aprobada"),R1568,IF(AND(OR(V1568="Aprobada con ajuste",V1568="Rechazada"),W1568&lt;&gt;""),W1568,""))</f>
        <v/>
      </c>
    </row>
    <row r="1569">
      <c r="A1569" s="18" t="inlineStr">
        <is>
          <t>C1568</t>
        </is>
      </c>
      <c r="B1569" s="18" t="inlineStr">
        <is>
          <t>Control interno</t>
        </is>
      </c>
      <c r="C1569" s="18" t="inlineStr">
        <is>
          <t>control_interno</t>
        </is>
      </c>
      <c r="D1569" s="18" t="inlineStr">
        <is>
          <t>documento_plan_mejoramiento</t>
        </is>
      </c>
      <c r="E1569" s="18" t="n">
        <v>0</v>
      </c>
      <c r="F1569" s="18" t="inlineStr">
        <is>
          <t>subido_por</t>
        </is>
      </c>
      <c r="G1569" s="18" t="inlineStr">
        <is>
          <t>character varying(255)</t>
        </is>
      </c>
      <c r="H1569" s="18" t="inlineStr">
        <is>
          <t>No</t>
        </is>
      </c>
      <c r="I1569" s="18" t="inlineStr"/>
      <c r="J1569" s="18" t="inlineStr"/>
      <c r="K1569" s="18" t="inlineStr"/>
      <c r="L1569" s="18" t="inlineStr">
        <is>
          <t>No</t>
        </is>
      </c>
      <c r="M1569" s="18" t="inlineStr">
        <is>
          <t>No</t>
        </is>
      </c>
      <c r="N1569" s="18" t="inlineStr"/>
      <c r="O1569" s="18" t="inlineStr"/>
      <c r="P1569" s="18" t="inlineStr">
        <is>
          <t>Mapeada en internal-institutional-control-service/src/esap/planes-mejoramiento/entities/documento-plan.entity.ts:57 (DocumentoPlanMejoramiento.subidoPor) | Validación: IsNotEmpty, IsString</t>
        </is>
      </c>
      <c r="Q1569" s="18" t="inlineStr">
        <is>
          <t>Regla estructural</t>
        </is>
      </c>
      <c r="R1569" s="18" t="inlineStr">
        <is>
          <t>Usuario que realizó la carga.</t>
        </is>
      </c>
      <c r="S1569" s="18" t="inlineStr">
        <is>
          <t>Media</t>
        </is>
      </c>
      <c r="T1569" s="18" t="inlineStr">
        <is>
          <t>Convención de nombre de la columna.</t>
        </is>
      </c>
      <c r="U1569" s="18" t="inlineStr"/>
      <c r="V1569" s="19" t="inlineStr">
        <is>
          <t>Pendiente</t>
        </is>
      </c>
      <c r="W1569" s="19" t="inlineStr"/>
      <c r="X1569" s="19" t="inlineStr"/>
      <c r="Y1569" s="20" t="n"/>
      <c r="Z1569" s="19" t="inlineStr"/>
      <c r="AA1569" s="18">
        <f>IF(OR(V1569="Aprobada"),R1569,IF(AND(OR(V1569="Aprobada con ajuste",V1569="Rechazada"),W1569&lt;&gt;""),W1569,""))</f>
        <v/>
      </c>
    </row>
    <row r="1570">
      <c r="A1570" s="18" t="inlineStr">
        <is>
          <t>C1569</t>
        </is>
      </c>
      <c r="B1570" s="18" t="inlineStr">
        <is>
          <t>Control interno</t>
        </is>
      </c>
      <c r="C1570" s="18" t="inlineStr">
        <is>
          <t>control_interno</t>
        </is>
      </c>
      <c r="D1570" s="18" t="inlineStr">
        <is>
          <t>documento_plan_mejoramiento</t>
        </is>
      </c>
      <c r="E1570" s="18" t="n">
        <v>0</v>
      </c>
      <c r="F1570" s="18" t="inlineStr">
        <is>
          <t>subido_por_id</t>
        </is>
      </c>
      <c r="G1570" s="18" t="inlineStr">
        <is>
          <t>bigint</t>
        </is>
      </c>
      <c r="H1570" s="18" t="inlineStr">
        <is>
          <t>Sí</t>
        </is>
      </c>
      <c r="I1570" s="18" t="inlineStr"/>
      <c r="J1570" s="18" t="inlineStr"/>
      <c r="K1570" s="18" t="inlineStr"/>
      <c r="L1570" s="18" t="inlineStr">
        <is>
          <t>No</t>
        </is>
      </c>
      <c r="M1570" s="18" t="inlineStr">
        <is>
          <t>No</t>
        </is>
      </c>
      <c r="N1570" s="18" t="inlineStr"/>
      <c r="O1570" s="18" t="inlineStr"/>
      <c r="P1570" s="18" t="inlineStr">
        <is>
          <t>Mapeada en internal-institutional-control-service/src/esap/planes-mejoramiento/entities/documento-plan.entity.ts:60 (DocumentoPlanMejoramiento.subidoPorId)</t>
        </is>
      </c>
      <c r="Q1570" s="18" t="inlineStr">
        <is>
          <t>Propuesta semántica</t>
        </is>
      </c>
      <c r="R1570" s="18" t="inlineStr">
        <is>
          <t>Identificador del usuario que subió el documento.</t>
        </is>
      </c>
      <c r="S1570" s="18" t="inlineStr">
        <is>
          <t>Media</t>
        </is>
      </c>
      <c r="T1570" s="18" t="inlineStr">
        <is>
          <t>nombre + columnas vecinas (subido_por)</t>
        </is>
      </c>
      <c r="U1570" s="18" t="inlineStr">
        <is>
          <t>¿subido_por_id referencia auth."user"? No tiene FK declarada.</t>
        </is>
      </c>
      <c r="V1570" s="19" t="inlineStr">
        <is>
          <t>Pendiente</t>
        </is>
      </c>
      <c r="W1570" s="19" t="inlineStr"/>
      <c r="X1570" s="19" t="inlineStr"/>
      <c r="Y1570" s="20" t="n"/>
      <c r="Z1570" s="19" t="inlineStr"/>
      <c r="AA1570" s="18">
        <f>IF(OR(V1570="Aprobada"),R1570,IF(AND(OR(V1570="Aprobada con ajuste",V1570="Rechazada"),W1570&lt;&gt;""),W1570,""))</f>
        <v/>
      </c>
    </row>
    <row r="1571">
      <c r="A1571" s="18" t="inlineStr">
        <is>
          <t>C1570</t>
        </is>
      </c>
      <c r="B1571" s="18" t="inlineStr">
        <is>
          <t>Control interno</t>
        </is>
      </c>
      <c r="C1571" s="18" t="inlineStr">
        <is>
          <t>control_interno</t>
        </is>
      </c>
      <c r="D1571" s="18" t="inlineStr">
        <is>
          <t>documento_plan_mejoramiento</t>
        </is>
      </c>
      <c r="E1571" s="18" t="n">
        <v>0</v>
      </c>
      <c r="F1571" s="18" t="inlineStr">
        <is>
          <t>fecha_subida</t>
        </is>
      </c>
      <c r="G1571" s="18" t="inlineStr">
        <is>
          <t>timestamp with time zone</t>
        </is>
      </c>
      <c r="H1571" s="18" t="inlineStr">
        <is>
          <t>Sí</t>
        </is>
      </c>
      <c r="I1571" s="18" t="inlineStr"/>
      <c r="J1571" s="18" t="inlineStr"/>
      <c r="K1571" s="18" t="inlineStr"/>
      <c r="L1571" s="18" t="inlineStr">
        <is>
          <t>No</t>
        </is>
      </c>
      <c r="M1571" s="18" t="inlineStr">
        <is>
          <t>No</t>
        </is>
      </c>
      <c r="N1571" s="18" t="inlineStr"/>
      <c r="O1571" s="18" t="inlineStr"/>
      <c r="P1571" s="18" t="inlineStr">
        <is>
          <t>Mapeada en internal-institutional-control-service/src/esap/planes-mejoramiento/entities/documento-plan.entity.ts:63 (DocumentoPlanMejoramiento.fechaSubida)</t>
        </is>
      </c>
      <c r="Q1571" s="18" t="inlineStr">
        <is>
          <t>Regla estructural</t>
        </is>
      </c>
      <c r="R1571" s="18" t="inlineStr">
        <is>
          <t>Fecha de la carga.</t>
        </is>
      </c>
      <c r="S1571" s="18" t="inlineStr">
        <is>
          <t>Media</t>
        </is>
      </c>
      <c r="T1571" s="18" t="inlineStr">
        <is>
          <t>Convención de nombre de la columna.</t>
        </is>
      </c>
      <c r="U1571" s="18" t="inlineStr"/>
      <c r="V1571" s="19" t="inlineStr">
        <is>
          <t>Pendiente</t>
        </is>
      </c>
      <c r="W1571" s="19" t="inlineStr"/>
      <c r="X1571" s="19" t="inlineStr"/>
      <c r="Y1571" s="20" t="n"/>
      <c r="Z1571" s="19" t="inlineStr"/>
      <c r="AA1571" s="18">
        <f>IF(OR(V1571="Aprobada"),R1571,IF(AND(OR(V1571="Aprobada con ajuste",V1571="Rechazada"),W1571&lt;&gt;""),W1571,""))</f>
        <v/>
      </c>
    </row>
    <row r="1572">
      <c r="A1572" s="18" t="inlineStr">
        <is>
          <t>C1571</t>
        </is>
      </c>
      <c r="B1572" s="18" t="inlineStr">
        <is>
          <t>Control interno</t>
        </is>
      </c>
      <c r="C1572" s="18" t="inlineStr">
        <is>
          <t>control_interno</t>
        </is>
      </c>
      <c r="D1572" s="18" t="inlineStr">
        <is>
          <t>documento_plan_mejoramiento</t>
        </is>
      </c>
      <c r="E1572" s="18" t="n">
        <v>0</v>
      </c>
      <c r="F1572" s="18" t="inlineStr">
        <is>
          <t>estado_validacion</t>
        </is>
      </c>
      <c r="G1572" s="18" t="inlineStr">
        <is>
          <t>character varying(50)</t>
        </is>
      </c>
      <c r="H1572" s="18" t="inlineStr">
        <is>
          <t>Sí</t>
        </is>
      </c>
      <c r="I1572" s="18" t="inlineStr"/>
      <c r="J1572" s="18" t="inlineStr"/>
      <c r="K1572" s="18" t="inlineStr"/>
      <c r="L1572" s="18" t="inlineStr">
        <is>
          <t>No</t>
        </is>
      </c>
      <c r="M1572" s="18" t="inlineStr">
        <is>
          <t>No</t>
        </is>
      </c>
      <c r="N1572" s="18" t="inlineStr"/>
      <c r="O1572" s="18" t="inlineStr"/>
      <c r="P1572" s="18" t="inlineStr">
        <is>
          <t>internal-institutional-control-service/src/esap/planes-mejoramiento/entities/documento-plan.entity.ts:67: Campos para validación de evidencia por el auditor | Validación: IsEnum(EstadoValidacion)</t>
        </is>
      </c>
      <c r="Q1572" s="18" t="inlineStr">
        <is>
          <t>Código fuente</t>
        </is>
      </c>
      <c r="R1572" s="18" t="inlineStr">
        <is>
          <t>Estado de la validación de la evidencia por el auditor; por defecto PENDIENTE_REVISION.</t>
        </is>
      </c>
      <c r="S1572" s="18" t="inlineStr">
        <is>
          <t>Media</t>
        </is>
      </c>
      <c r="T1572" s="18" t="inlineStr">
        <is>
          <t>código: internal-institutional-control-service/src/esap/planes-mejoramiento/entities/documento-plan.entity.ts:67</t>
        </is>
      </c>
      <c r="U1572" s="18" t="inlineStr">
        <is>
          <t>¿Qué valores tiene el enum EstadoValidacion usado en documento_plan_mejoramiento?</t>
        </is>
      </c>
      <c r="V1572" s="19" t="inlineStr">
        <is>
          <t>Pendiente</t>
        </is>
      </c>
      <c r="W1572" s="19" t="inlineStr"/>
      <c r="X1572" s="19" t="inlineStr"/>
      <c r="Y1572" s="20" t="n"/>
      <c r="Z1572" s="19" t="inlineStr"/>
      <c r="AA1572" s="18">
        <f>IF(OR(V1572="Aprobada"),R1572,IF(AND(OR(V1572="Aprobada con ajuste",V1572="Rechazada"),W1572&lt;&gt;""),W1572,""))</f>
        <v/>
      </c>
    </row>
    <row r="1573">
      <c r="A1573" s="18" t="inlineStr">
        <is>
          <t>C1572</t>
        </is>
      </c>
      <c r="B1573" s="18" t="inlineStr">
        <is>
          <t>Control interno</t>
        </is>
      </c>
      <c r="C1573" s="18" t="inlineStr">
        <is>
          <t>control_interno</t>
        </is>
      </c>
      <c r="D1573" s="18" t="inlineStr">
        <is>
          <t>documento_plan_mejoramiento</t>
        </is>
      </c>
      <c r="E1573" s="18" t="n">
        <v>0</v>
      </c>
      <c r="F1573" s="18" t="inlineStr">
        <is>
          <t>comentarios_auditor</t>
        </is>
      </c>
      <c r="G1573" s="18" t="inlineStr">
        <is>
          <t>text</t>
        </is>
      </c>
      <c r="H1573" s="18" t="inlineStr">
        <is>
          <t>Sí</t>
        </is>
      </c>
      <c r="I1573" s="18" t="inlineStr"/>
      <c r="J1573" s="18" t="inlineStr"/>
      <c r="K1573" s="18" t="inlineStr"/>
      <c r="L1573" s="18" t="inlineStr">
        <is>
          <t>No</t>
        </is>
      </c>
      <c r="M1573" s="18" t="inlineStr">
        <is>
          <t>No</t>
        </is>
      </c>
      <c r="N1573" s="18" t="inlineStr"/>
      <c r="O1573" s="18" t="inlineStr"/>
      <c r="P1573" s="18" t="inlineStr">
        <is>
          <t>Mapeada en internal-institutional-control-service/src/esap/planes-mejoramiento/entities/documento-plan.entity.ts:70 (DocumentoPlanMejoramiento.comentariosAuditor)</t>
        </is>
      </c>
      <c r="Q1573" s="18" t="inlineStr">
        <is>
          <t>Propuesta semántica</t>
        </is>
      </c>
      <c r="R1573" s="18" t="inlineStr">
        <is>
          <t>Comentarios del auditor al validar el documento.</t>
        </is>
      </c>
      <c r="S1573" s="18" t="inlineStr">
        <is>
          <t>Alta</t>
        </is>
      </c>
      <c r="T1573" s="18" t="inlineStr">
        <is>
          <t>nombre + columnas vecinas (estado_validacion, validado_por) ~</t>
        </is>
      </c>
      <c r="U1573" s="18" t="inlineStr"/>
      <c r="V1573" s="19" t="inlineStr">
        <is>
          <t>Pendiente</t>
        </is>
      </c>
      <c r="W1573" s="19" t="inlineStr"/>
      <c r="X1573" s="19" t="inlineStr"/>
      <c r="Y1573" s="20" t="n"/>
      <c r="Z1573" s="19" t="inlineStr"/>
      <c r="AA1573" s="18">
        <f>IF(OR(V1573="Aprobada"),R1573,IF(AND(OR(V1573="Aprobada con ajuste",V1573="Rechazada"),W1573&lt;&gt;""),W1573,""))</f>
        <v/>
      </c>
    </row>
    <row r="1574">
      <c r="A1574" s="18" t="inlineStr">
        <is>
          <t>C1573</t>
        </is>
      </c>
      <c r="B1574" s="18" t="inlineStr">
        <is>
          <t>Control interno</t>
        </is>
      </c>
      <c r="C1574" s="18" t="inlineStr">
        <is>
          <t>control_interno</t>
        </is>
      </c>
      <c r="D1574" s="18" t="inlineStr">
        <is>
          <t>documento_plan_mejoramiento</t>
        </is>
      </c>
      <c r="E1574" s="18" t="n">
        <v>0</v>
      </c>
      <c r="F1574" s="18" t="inlineStr">
        <is>
          <t>fecha_validacion</t>
        </is>
      </c>
      <c r="G1574" s="18" t="inlineStr">
        <is>
          <t>timestamp with time zone</t>
        </is>
      </c>
      <c r="H1574" s="18" t="inlineStr">
        <is>
          <t>Sí</t>
        </is>
      </c>
      <c r="I1574" s="18" t="inlineStr"/>
      <c r="J1574" s="18" t="inlineStr"/>
      <c r="K1574" s="18" t="inlineStr"/>
      <c r="L1574" s="18" t="inlineStr">
        <is>
          <t>No</t>
        </is>
      </c>
      <c r="M1574" s="18" t="inlineStr">
        <is>
          <t>No</t>
        </is>
      </c>
      <c r="N1574" s="18" t="inlineStr"/>
      <c r="O1574" s="18" t="inlineStr"/>
      <c r="P1574" s="18" t="inlineStr">
        <is>
          <t>Mapeada en internal-institutional-control-service/src/esap/planes-mejoramiento/entities/documento-plan.entity.ts:73 (DocumentoPlanMejoramiento.fechaValidacion)</t>
        </is>
      </c>
      <c r="Q1574" s="18" t="inlineStr">
        <is>
          <t>Regla estructural</t>
        </is>
      </c>
      <c r="R1574" s="18" t="inlineStr">
        <is>
          <t>Fecha de validación.</t>
        </is>
      </c>
      <c r="S1574" s="18" t="inlineStr">
        <is>
          <t>Media</t>
        </is>
      </c>
      <c r="T1574" s="18" t="inlineStr">
        <is>
          <t>Convención de nombre de la columna.</t>
        </is>
      </c>
      <c r="U1574" s="18" t="inlineStr"/>
      <c r="V1574" s="19" t="inlineStr">
        <is>
          <t>Pendiente</t>
        </is>
      </c>
      <c r="W1574" s="19" t="inlineStr"/>
      <c r="X1574" s="19" t="inlineStr"/>
      <c r="Y1574" s="20" t="n"/>
      <c r="Z1574" s="19" t="inlineStr"/>
      <c r="AA1574" s="18">
        <f>IF(OR(V1574="Aprobada"),R1574,IF(AND(OR(V1574="Aprobada con ajuste",V1574="Rechazada"),W1574&lt;&gt;""),W1574,""))</f>
        <v/>
      </c>
    </row>
    <row r="1575">
      <c r="A1575" s="18" t="inlineStr">
        <is>
          <t>C1574</t>
        </is>
      </c>
      <c r="B1575" s="18" t="inlineStr">
        <is>
          <t>Control interno</t>
        </is>
      </c>
      <c r="C1575" s="18" t="inlineStr">
        <is>
          <t>control_interno</t>
        </is>
      </c>
      <c r="D1575" s="18" t="inlineStr">
        <is>
          <t>documento_plan_mejoramiento</t>
        </is>
      </c>
      <c r="E1575" s="18" t="n">
        <v>0</v>
      </c>
      <c r="F1575" s="18" t="inlineStr">
        <is>
          <t>validado_por</t>
        </is>
      </c>
      <c r="G1575" s="18" t="inlineStr">
        <is>
          <t>character varying(255)</t>
        </is>
      </c>
      <c r="H1575" s="18" t="inlineStr">
        <is>
          <t>Sí</t>
        </is>
      </c>
      <c r="I1575" s="18" t="inlineStr"/>
      <c r="J1575" s="18" t="inlineStr"/>
      <c r="K1575" s="18" t="inlineStr"/>
      <c r="L1575" s="18" t="inlineStr">
        <is>
          <t>No</t>
        </is>
      </c>
      <c r="M1575" s="18" t="inlineStr">
        <is>
          <t>No</t>
        </is>
      </c>
      <c r="N1575" s="18" t="inlineStr"/>
      <c r="O1575" s="18" t="inlineStr"/>
      <c r="P1575" s="18" t="inlineStr">
        <is>
          <t>Mapeada en internal-institutional-control-service/src/esap/planes-mejoramiento/entities/documento-plan.entity.ts:76 (DocumentoPlanMejoramiento.validadoPor)</t>
        </is>
      </c>
      <c r="Q1575" s="18" t="inlineStr">
        <is>
          <t>Regla estructural</t>
        </is>
      </c>
      <c r="R1575" s="18" t="inlineStr">
        <is>
          <t>Usuario que realizó la validación.</t>
        </is>
      </c>
      <c r="S1575" s="18" t="inlineStr">
        <is>
          <t>Media</t>
        </is>
      </c>
      <c r="T1575" s="18" t="inlineStr">
        <is>
          <t>Convención de nombre de la columna.</t>
        </is>
      </c>
      <c r="U1575" s="18" t="inlineStr"/>
      <c r="V1575" s="19" t="inlineStr">
        <is>
          <t>Pendiente</t>
        </is>
      </c>
      <c r="W1575" s="19" t="inlineStr"/>
      <c r="X1575" s="19" t="inlineStr"/>
      <c r="Y1575" s="20" t="n"/>
      <c r="Z1575" s="19" t="inlineStr"/>
      <c r="AA1575" s="18">
        <f>IF(OR(V1575="Aprobada"),R1575,IF(AND(OR(V1575="Aprobada con ajuste",V1575="Rechazada"),W1575&lt;&gt;""),W1575,""))</f>
        <v/>
      </c>
    </row>
    <row r="1576">
      <c r="A1576" s="18" t="inlineStr">
        <is>
          <t>C1575</t>
        </is>
      </c>
      <c r="B1576" s="18" t="inlineStr">
        <is>
          <t>Control interno</t>
        </is>
      </c>
      <c r="C1576" s="18" t="inlineStr">
        <is>
          <t>control_interno</t>
        </is>
      </c>
      <c r="D1576" s="18" t="inlineStr">
        <is>
          <t>documento_plan_mejoramiento</t>
        </is>
      </c>
      <c r="E1576" s="18" t="n">
        <v>0</v>
      </c>
      <c r="F1576" s="18" t="inlineStr">
        <is>
          <t>solicita_nueva_evidencia</t>
        </is>
      </c>
      <c r="G1576" s="18" t="inlineStr">
        <is>
          <t>boolean</t>
        </is>
      </c>
      <c r="H1576" s="18" t="inlineStr">
        <is>
          <t>Sí</t>
        </is>
      </c>
      <c r="I1576" s="18" t="inlineStr"/>
      <c r="J1576" s="18" t="inlineStr"/>
      <c r="K1576" s="18" t="inlineStr"/>
      <c r="L1576" s="18" t="inlineStr">
        <is>
          <t>No</t>
        </is>
      </c>
      <c r="M1576" s="18" t="inlineStr">
        <is>
          <t>No</t>
        </is>
      </c>
      <c r="N1576" s="18" t="inlineStr"/>
      <c r="O1576" s="18" t="inlineStr"/>
      <c r="P1576" s="18" t="inlineStr">
        <is>
          <t>Mapeada en internal-institutional-control-service/src/esap/planes-mejoramiento/entities/documento-plan.entity.ts:79 (DocumentoPlanMejoramiento.solicitaNuevaEvidencia)</t>
        </is>
      </c>
      <c r="Q1576" s="18" t="inlineStr">
        <is>
          <t>Regla estructural</t>
        </is>
      </c>
      <c r="R1576" s="18" t="inlineStr">
        <is>
          <t>Indica si aplica: solicita nueva evidencia.</t>
        </is>
      </c>
      <c r="S1576" s="18" t="inlineStr">
        <is>
          <t>Media</t>
        </is>
      </c>
      <c r="T1576" s="18" t="inlineStr">
        <is>
          <t>Convención de nombre de la columna.</t>
        </is>
      </c>
      <c r="U1576" s="18" t="inlineStr"/>
      <c r="V1576" s="19" t="inlineStr">
        <is>
          <t>Pendiente</t>
        </is>
      </c>
      <c r="W1576" s="19" t="inlineStr"/>
      <c r="X1576" s="19" t="inlineStr"/>
      <c r="Y1576" s="20" t="n"/>
      <c r="Z1576" s="19" t="inlineStr"/>
      <c r="AA1576" s="18">
        <f>IF(OR(V1576="Aprobada"),R1576,IF(AND(OR(V1576="Aprobada con ajuste",V1576="Rechazada"),W1576&lt;&gt;""),W1576,""))</f>
        <v/>
      </c>
    </row>
    <row r="1577">
      <c r="A1577" s="18" t="inlineStr">
        <is>
          <t>C1576</t>
        </is>
      </c>
      <c r="B1577" s="18" t="inlineStr">
        <is>
          <t>Control interno</t>
        </is>
      </c>
      <c r="C1577" s="18" t="inlineStr">
        <is>
          <t>control_interno</t>
        </is>
      </c>
      <c r="D1577" s="18" t="inlineStr">
        <is>
          <t>entrega_informe_ley</t>
        </is>
      </c>
      <c r="E1577" s="18" t="n">
        <v>0</v>
      </c>
      <c r="F1577" s="18" t="inlineStr">
        <is>
          <t>periodo</t>
        </is>
      </c>
      <c r="G1577" s="18" t="inlineStr">
        <is>
          <t>character varying(50)</t>
        </is>
      </c>
      <c r="H1577" s="18" t="inlineStr">
        <is>
          <t>No</t>
        </is>
      </c>
      <c r="I1577" s="18" t="inlineStr"/>
      <c r="J1577" s="18" t="inlineStr"/>
      <c r="K1577" s="18" t="inlineStr"/>
      <c r="L1577" s="18" t="inlineStr">
        <is>
          <t>No</t>
        </is>
      </c>
      <c r="M1577" s="18" t="inlineStr">
        <is>
          <t>No</t>
        </is>
      </c>
      <c r="N1577" s="18" t="inlineStr"/>
      <c r="O1577" s="18" t="inlineStr"/>
      <c r="P1577" s="18" t="inlineStr">
        <is>
          <t>internal-institutional-control-service/src/esap/informes-ley/entities/entrega-informe-ley.entity.ts:29: "2025-01", "2025-Q1", "2025-S1", "2025" | internal-institutional-control-service/schema-esap.sql:315: "2025-01", "2025-Q1", "2025-S1", "2025" | Validación: IsNotEmpty, IsOptional, IsString, Length(1, 50)</t>
        </is>
      </c>
      <c r="Q1577" s="18" t="inlineStr">
        <is>
          <t>Código fuente</t>
        </is>
      </c>
      <c r="R1577" s="18" t="inlineStr">
        <is>
          <t>Periodo que reporta la entrega del informe de ley, en formato mes (2025-01), trimestre (2025-Q1), semestre (2025-S1) o año (2025).</t>
        </is>
      </c>
      <c r="S1577" s="18" t="inlineStr">
        <is>
          <t>Alta</t>
        </is>
      </c>
      <c r="T1577" s="18" t="inlineStr">
        <is>
          <t>código: internal-institutional-control-service/src/esap/informes-ley/entities/entrega-informe-ley.entity.ts:29</t>
        </is>
      </c>
      <c r="U1577" s="18" t="inlineStr"/>
      <c r="V1577" s="19" t="inlineStr">
        <is>
          <t>Pendiente</t>
        </is>
      </c>
      <c r="W1577" s="19" t="inlineStr"/>
      <c r="X1577" s="19" t="inlineStr"/>
      <c r="Y1577" s="20" t="n"/>
      <c r="Z1577" s="19" t="inlineStr"/>
      <c r="AA1577" s="18">
        <f>IF(OR(V1577="Aprobada"),R1577,IF(AND(OR(V1577="Aprobada con ajuste",V1577="Rechazada"),W1577&lt;&gt;""),W1577,""))</f>
        <v/>
      </c>
    </row>
    <row r="1578">
      <c r="A1578" s="18" t="inlineStr">
        <is>
          <t>C1577</t>
        </is>
      </c>
      <c r="B1578" s="18" t="inlineStr">
        <is>
          <t>Control interno</t>
        </is>
      </c>
      <c r="C1578" s="18" t="inlineStr">
        <is>
          <t>control_interno</t>
        </is>
      </c>
      <c r="D1578" s="18" t="inlineStr">
        <is>
          <t>entrega_informe_ley</t>
        </is>
      </c>
      <c r="E1578" s="18" t="n">
        <v>0</v>
      </c>
      <c r="F1578" s="18" t="inlineStr">
        <is>
          <t>fecha_vencimiento</t>
        </is>
      </c>
      <c r="G1578" s="18" t="inlineStr">
        <is>
          <t>date</t>
        </is>
      </c>
      <c r="H1578" s="18" t="inlineStr">
        <is>
          <t>No</t>
        </is>
      </c>
      <c r="I1578" s="18" t="inlineStr"/>
      <c r="J1578" s="18" t="inlineStr"/>
      <c r="K1578" s="18" t="inlineStr"/>
      <c r="L1578" s="18" t="inlineStr">
        <is>
          <t>No</t>
        </is>
      </c>
      <c r="M1578" s="18" t="inlineStr">
        <is>
          <t>No</t>
        </is>
      </c>
      <c r="N1578" s="18" t="inlineStr"/>
      <c r="O1578" s="18" t="inlineStr">
        <is>
          <t>idx_entrega_vencimiento</t>
        </is>
      </c>
      <c r="P1578" s="18" t="inlineStr">
        <is>
          <t>Mapeada en internal-institutional-control-service/src/esap/informes-ley/entities/entrega-informe-ley.entity.ts:32 (EntregaInformeLey.fechaVencimiento) | Validación: IsDateString, IsNotEmpty, IsOptional</t>
        </is>
      </c>
      <c r="Q1578" s="18" t="inlineStr">
        <is>
          <t>Regla estructural</t>
        </is>
      </c>
      <c r="R1578" s="18" t="inlineStr">
        <is>
          <t>Fecha de vencimiento.</t>
        </is>
      </c>
      <c r="S1578" s="18" t="inlineStr">
        <is>
          <t>Media</t>
        </is>
      </c>
      <c r="T1578" s="18" t="inlineStr">
        <is>
          <t>Convención de nombre de la columna.</t>
        </is>
      </c>
      <c r="U1578" s="18" t="inlineStr"/>
      <c r="V1578" s="19" t="inlineStr">
        <is>
          <t>Pendiente</t>
        </is>
      </c>
      <c r="W1578" s="19" t="inlineStr"/>
      <c r="X1578" s="19" t="inlineStr"/>
      <c r="Y1578" s="20" t="n"/>
      <c r="Z1578" s="19" t="inlineStr"/>
      <c r="AA1578" s="18">
        <f>IF(OR(V1578="Aprobada"),R1578,IF(AND(OR(V1578="Aprobada con ajuste",V1578="Rechazada"),W1578&lt;&gt;""),W1578,""))</f>
        <v/>
      </c>
    </row>
    <row r="1579">
      <c r="A1579" s="18" t="inlineStr">
        <is>
          <t>C1578</t>
        </is>
      </c>
      <c r="B1579" s="18" t="inlineStr">
        <is>
          <t>Control interno</t>
        </is>
      </c>
      <c r="C1579" s="18" t="inlineStr">
        <is>
          <t>control_interno</t>
        </is>
      </c>
      <c r="D1579" s="18" t="inlineStr">
        <is>
          <t>entrega_informe_ley</t>
        </is>
      </c>
      <c r="E1579" s="18" t="n">
        <v>0</v>
      </c>
      <c r="F1579" s="18" t="inlineStr">
        <is>
          <t>fecha_entrega</t>
        </is>
      </c>
      <c r="G1579" s="18" t="inlineStr">
        <is>
          <t>timestamp without time zone</t>
        </is>
      </c>
      <c r="H1579" s="18" t="inlineStr">
        <is>
          <t>Sí</t>
        </is>
      </c>
      <c r="I1579" s="18" t="inlineStr"/>
      <c r="J1579" s="18" t="inlineStr"/>
      <c r="K1579" s="18" t="inlineStr"/>
      <c r="L1579" s="18" t="inlineStr">
        <is>
          <t>No</t>
        </is>
      </c>
      <c r="M1579" s="18" t="inlineStr">
        <is>
          <t>No</t>
        </is>
      </c>
      <c r="N1579" s="18" t="inlineStr"/>
      <c r="O1579" s="18" t="inlineStr"/>
      <c r="P1579" s="18" t="inlineStr">
        <is>
          <t>Mapeada en internal-institutional-control-service/src/esap/informes-ley/entities/entrega-informe-ley.entity.ts:35 (EntregaInformeLey.fechaEntrega) | Validación: IsDateString, IsOptional</t>
        </is>
      </c>
      <c r="Q1579" s="18" t="inlineStr">
        <is>
          <t>Regla estructural</t>
        </is>
      </c>
      <c r="R1579" s="18" t="inlineStr">
        <is>
          <t>Fecha de entrega.</t>
        </is>
      </c>
      <c r="S1579" s="18" t="inlineStr">
        <is>
          <t>Media</t>
        </is>
      </c>
      <c r="T1579" s="18" t="inlineStr">
        <is>
          <t>Convención de nombre de la columna.</t>
        </is>
      </c>
      <c r="U1579" s="18" t="inlineStr"/>
      <c r="V1579" s="19" t="inlineStr">
        <is>
          <t>Pendiente</t>
        </is>
      </c>
      <c r="W1579" s="19" t="inlineStr"/>
      <c r="X1579" s="19" t="inlineStr"/>
      <c r="Y1579" s="20" t="n"/>
      <c r="Z1579" s="19" t="inlineStr"/>
      <c r="AA1579" s="18">
        <f>IF(OR(V1579="Aprobada"),R1579,IF(AND(OR(V1579="Aprobada con ajuste",V1579="Rechazada"),W1579&lt;&gt;""),W1579,""))</f>
        <v/>
      </c>
    </row>
    <row r="1580">
      <c r="A1580" s="18" t="inlineStr">
        <is>
          <t>C1579</t>
        </is>
      </c>
      <c r="B1580" s="18" t="inlineStr">
        <is>
          <t>Control interno</t>
        </is>
      </c>
      <c r="C1580" s="18" t="inlineStr">
        <is>
          <t>control_interno</t>
        </is>
      </c>
      <c r="D1580" s="18" t="inlineStr">
        <is>
          <t>entrega_informe_ley</t>
        </is>
      </c>
      <c r="E1580" s="18" t="n">
        <v>0</v>
      </c>
      <c r="F1580" s="18" t="inlineStr">
        <is>
          <t>estado</t>
        </is>
      </c>
      <c r="G1580" s="18" t="inlineStr">
        <is>
          <t>character varying(50)</t>
        </is>
      </c>
      <c r="H1580" s="18" t="inlineStr">
        <is>
          <t>No</t>
        </is>
      </c>
      <c r="I1580" s="18" t="inlineStr">
        <is>
          <t>CHECK</t>
        </is>
      </c>
      <c r="J1580" s="18" t="inlineStr">
        <is>
          <t>en-proceso, entregado, pendiente, rechazado, vencido</t>
        </is>
      </c>
      <c r="K1580" s="18" t="inlineStr"/>
      <c r="L1580" s="18" t="inlineStr">
        <is>
          <t>Sí</t>
        </is>
      </c>
      <c r="M1580" s="18" t="inlineStr">
        <is>
          <t>No</t>
        </is>
      </c>
      <c r="N1580" s="18" t="inlineStr"/>
      <c r="O1580" s="18" t="inlineStr">
        <is>
          <t>idx_entrega_estado</t>
        </is>
      </c>
      <c r="P1580" s="18" t="inlineStr">
        <is>
          <t>Mapeada en internal-institutional-control-service/src/esap/informes-ley/entities/entrega-informe-ley.entity.ts:38 (EntregaInformeLey.estado) | Validación: IsEnum(AccionCorrectivaEstado), IsEnum(EstadoEtapa), IsEnum(EstadoPlanIndividual), IsEnum(EstadoTarea), IsEnum(HallazgoEstado), IsEnum(PlanMejoramientoEstado)</t>
        </is>
      </c>
      <c r="Q1580" s="18" t="inlineStr">
        <is>
          <t>Regla estructural</t>
        </is>
      </c>
      <c r="R1580" s="18" t="inlineStr">
        <is>
          <t>Estado del registro de entrega_informe_ley.</t>
        </is>
      </c>
      <c r="S1580" s="18" t="inlineStr">
        <is>
          <t>Media</t>
        </is>
      </c>
      <c r="T1580" s="18" t="inlineStr">
        <is>
          <t>Convención de nombre de la columna.</t>
        </is>
      </c>
      <c r="U1580" s="18" t="inlineStr"/>
      <c r="V1580" s="19" t="inlineStr">
        <is>
          <t>Pendiente</t>
        </is>
      </c>
      <c r="W1580" s="19" t="inlineStr"/>
      <c r="X1580" s="19" t="inlineStr"/>
      <c r="Y1580" s="20" t="n"/>
      <c r="Z1580" s="19" t="inlineStr"/>
      <c r="AA1580" s="18">
        <f>IF(OR(V1580="Aprobada"),R1580,IF(AND(OR(V1580="Aprobada con ajuste",V1580="Rechazada"),W1580&lt;&gt;""),W1580,""))</f>
        <v/>
      </c>
    </row>
    <row r="1581">
      <c r="A1581" s="18" t="inlineStr">
        <is>
          <t>C1580</t>
        </is>
      </c>
      <c r="B1581" s="18" t="inlineStr">
        <is>
          <t>Control interno</t>
        </is>
      </c>
      <c r="C1581" s="18" t="inlineStr">
        <is>
          <t>control_interno</t>
        </is>
      </c>
      <c r="D1581" s="18" t="inlineStr">
        <is>
          <t>entrega_informe_ley</t>
        </is>
      </c>
      <c r="E1581" s="18" t="n">
        <v>0</v>
      </c>
      <c r="F1581" s="18" t="inlineStr">
        <is>
          <t>archivo_nombre</t>
        </is>
      </c>
      <c r="G1581" s="18" t="inlineStr">
        <is>
          <t>character varying(255)</t>
        </is>
      </c>
      <c r="H1581" s="18" t="inlineStr">
        <is>
          <t>Sí</t>
        </is>
      </c>
      <c r="I1581" s="18" t="inlineStr"/>
      <c r="J1581" s="18" t="inlineStr"/>
      <c r="K1581" s="18" t="inlineStr"/>
      <c r="L1581" s="18" t="inlineStr">
        <is>
          <t>No</t>
        </is>
      </c>
      <c r="M1581" s="18" t="inlineStr">
        <is>
          <t>No</t>
        </is>
      </c>
      <c r="N1581" s="18" t="inlineStr"/>
      <c r="O1581" s="18" t="inlineStr"/>
      <c r="P1581" s="18" t="inlineStr">
        <is>
          <t>internal-institutional-control-service/src/esap/informes-ley/entities/entrega-informe-ley.entity.ts:46: Archivo | Validación: IsOptional, IsString, Length(0, 255)</t>
        </is>
      </c>
      <c r="Q1581" s="18" t="inlineStr">
        <is>
          <t>Código fuente</t>
        </is>
      </c>
      <c r="R1581" s="18" t="inlineStr">
        <is>
          <t>Nombre del archivo del informe entregado.</t>
        </is>
      </c>
      <c r="S1581" s="18" t="inlineStr">
        <is>
          <t>Alta</t>
        </is>
      </c>
      <c r="T1581" s="18" t="inlineStr">
        <is>
          <t>código: internal-institutional-control-service/src/esap/informes-ley/entities/entrega-informe-ley.entity.ts:46</t>
        </is>
      </c>
      <c r="U1581" s="18" t="inlineStr"/>
      <c r="V1581" s="19" t="inlineStr">
        <is>
          <t>Pendiente</t>
        </is>
      </c>
      <c r="W1581" s="19" t="inlineStr"/>
      <c r="X1581" s="19" t="inlineStr"/>
      <c r="Y1581" s="20" t="n"/>
      <c r="Z1581" s="19" t="inlineStr"/>
      <c r="AA1581" s="18">
        <f>IF(OR(V1581="Aprobada"),R1581,IF(AND(OR(V1581="Aprobada con ajuste",V1581="Rechazada"),W1581&lt;&gt;""),W1581,""))</f>
        <v/>
      </c>
    </row>
    <row r="1582">
      <c r="A1582" s="18" t="inlineStr">
        <is>
          <t>C1581</t>
        </is>
      </c>
      <c r="B1582" s="18" t="inlineStr">
        <is>
          <t>Control interno</t>
        </is>
      </c>
      <c r="C1582" s="18" t="inlineStr">
        <is>
          <t>control_interno</t>
        </is>
      </c>
      <c r="D1582" s="18" t="inlineStr">
        <is>
          <t>entrega_informe_ley</t>
        </is>
      </c>
      <c r="E1582" s="18" t="n">
        <v>0</v>
      </c>
      <c r="F1582" s="18" t="inlineStr">
        <is>
          <t>archivo_url</t>
        </is>
      </c>
      <c r="G1582" s="18" t="inlineStr">
        <is>
          <t>character varying(500)</t>
        </is>
      </c>
      <c r="H1582" s="18" t="inlineStr">
        <is>
          <t>Sí</t>
        </is>
      </c>
      <c r="I1582" s="18" t="inlineStr"/>
      <c r="J1582" s="18" t="inlineStr"/>
      <c r="K1582" s="18" t="inlineStr"/>
      <c r="L1582" s="18" t="inlineStr">
        <is>
          <t>No</t>
        </is>
      </c>
      <c r="M1582" s="18" t="inlineStr">
        <is>
          <t>No</t>
        </is>
      </c>
      <c r="N1582" s="18" t="inlineStr"/>
      <c r="O1582" s="18" t="inlineStr"/>
      <c r="P1582" s="18" t="inlineStr">
        <is>
          <t>Mapeada en internal-institutional-control-service/src/esap/informes-ley/entities/entrega-informe-ley.entity.ts:49 (EntregaInformeLey.archivoUrl) | Validación: IsOptional, IsString, Length(0, 500)</t>
        </is>
      </c>
      <c r="Q1582" s="18" t="inlineStr">
        <is>
          <t>Propuesta semántica</t>
        </is>
      </c>
      <c r="R1582" s="18" t="inlineStr">
        <is>
          <t>URL del archivo entregado del informe de ley.</t>
        </is>
      </c>
      <c r="S1582" s="18" t="inlineStr">
        <is>
          <t>Alta</t>
        </is>
      </c>
      <c r="T1582" s="18" t="inlineStr">
        <is>
          <t>nombre + tipo + columnas vecinas (archivo_nombre) ~</t>
        </is>
      </c>
      <c r="U1582" s="18" t="inlineStr"/>
      <c r="V1582" s="19" t="inlineStr">
        <is>
          <t>Pendiente</t>
        </is>
      </c>
      <c r="W1582" s="19" t="inlineStr"/>
      <c r="X1582" s="19" t="inlineStr"/>
      <c r="Y1582" s="20" t="n"/>
      <c r="Z1582" s="19" t="inlineStr"/>
      <c r="AA1582" s="18">
        <f>IF(OR(V1582="Aprobada"),R1582,IF(AND(OR(V1582="Aprobada con ajuste",V1582="Rechazada"),W1582&lt;&gt;""),W1582,""))</f>
        <v/>
      </c>
    </row>
    <row r="1583">
      <c r="A1583" s="18" t="inlineStr">
        <is>
          <t>C1582</t>
        </is>
      </c>
      <c r="B1583" s="18" t="inlineStr">
        <is>
          <t>Control interno</t>
        </is>
      </c>
      <c r="C1583" s="18" t="inlineStr">
        <is>
          <t>control_interno</t>
        </is>
      </c>
      <c r="D1583" s="18" t="inlineStr">
        <is>
          <t>entrega_informe_ley</t>
        </is>
      </c>
      <c r="E1583" s="18" t="n">
        <v>0</v>
      </c>
      <c r="F1583" s="18" t="inlineStr">
        <is>
          <t>archivo_tamano</t>
        </is>
      </c>
      <c r="G1583" s="18" t="inlineStr">
        <is>
          <t>bigint</t>
        </is>
      </c>
      <c r="H1583" s="18" t="inlineStr">
        <is>
          <t>Sí</t>
        </is>
      </c>
      <c r="I1583" s="18" t="inlineStr"/>
      <c r="J1583" s="18" t="inlineStr"/>
      <c r="K1583" s="18" t="inlineStr"/>
      <c r="L1583" s="18" t="inlineStr">
        <is>
          <t>No</t>
        </is>
      </c>
      <c r="M1583" s="18" t="inlineStr">
        <is>
          <t>No</t>
        </is>
      </c>
      <c r="N1583" s="18" t="inlineStr"/>
      <c r="O1583" s="18" t="inlineStr"/>
      <c r="P1583" s="18" t="inlineStr">
        <is>
          <t>Mapeada en internal-institutional-control-service/src/esap/informes-ley/entities/entrega-informe-ley.entity.ts:52 (EntregaInformeLey.archivoTamano) | Validación: IsNumber, IsOptional</t>
        </is>
      </c>
      <c r="Q1583" s="18" t="inlineStr">
        <is>
          <t>Propuesta semántica</t>
        </is>
      </c>
      <c r="R1583" s="18" t="inlineStr">
        <is>
          <t>Tamaño del archivo entregado.</t>
        </is>
      </c>
      <c r="S1583" s="18" t="inlineStr">
        <is>
          <t>Media</t>
        </is>
      </c>
      <c r="T1583" s="18" t="inlineStr">
        <is>
          <t>nombre + tipo bigint</t>
        </is>
      </c>
      <c r="U1583" s="18" t="inlineStr">
        <is>
          <t>¿archivo_tamano está en bytes?</t>
        </is>
      </c>
      <c r="V1583" s="19" t="inlineStr">
        <is>
          <t>Pendiente</t>
        </is>
      </c>
      <c r="W1583" s="19" t="inlineStr"/>
      <c r="X1583" s="19" t="inlineStr"/>
      <c r="Y1583" s="20" t="n"/>
      <c r="Z1583" s="19" t="inlineStr"/>
      <c r="AA1583" s="18">
        <f>IF(OR(V1583="Aprobada"),R1583,IF(AND(OR(V1583="Aprobada con ajuste",V1583="Rechazada"),W1583&lt;&gt;""),W1583,""))</f>
        <v/>
      </c>
    </row>
    <row r="1584">
      <c r="A1584" s="18" t="inlineStr">
        <is>
          <t>C1583</t>
        </is>
      </c>
      <c r="B1584" s="18" t="inlineStr">
        <is>
          <t>Control interno</t>
        </is>
      </c>
      <c r="C1584" s="18" t="inlineStr">
        <is>
          <t>control_interno</t>
        </is>
      </c>
      <c r="D1584" s="18" t="inlineStr">
        <is>
          <t>entrega_informe_ley</t>
        </is>
      </c>
      <c r="E1584" s="18" t="n">
        <v>0</v>
      </c>
      <c r="F1584" s="18" t="inlineStr">
        <is>
          <t>elaborado_por</t>
        </is>
      </c>
      <c r="G1584" s="18" t="inlineStr">
        <is>
          <t>character varying(255)</t>
        </is>
      </c>
      <c r="H1584" s="18" t="inlineStr">
        <is>
          <t>Sí</t>
        </is>
      </c>
      <c r="I1584" s="18" t="inlineStr"/>
      <c r="J1584" s="18" t="inlineStr"/>
      <c r="K1584" s="18" t="inlineStr"/>
      <c r="L1584" s="18" t="inlineStr">
        <is>
          <t>No</t>
        </is>
      </c>
      <c r="M1584" s="18" t="inlineStr">
        <is>
          <t>No</t>
        </is>
      </c>
      <c r="N1584" s="18" t="inlineStr"/>
      <c r="O1584" s="18" t="inlineStr"/>
      <c r="P1584" s="18" t="inlineStr">
        <is>
          <t>internal-institutional-control-service/src/esap/informes-ley/entities/entrega-informe-ley.entity.ts:56: Proceso | Validación: IsOptional, IsString, Length(0, 255)</t>
        </is>
      </c>
      <c r="Q1584" s="18" t="inlineStr">
        <is>
          <t>Código fuente</t>
        </is>
      </c>
      <c r="R1584" s="18" t="inlineStr">
        <is>
          <t>Persona que elaboró el informe.</t>
        </is>
      </c>
      <c r="S1584" s="18" t="inlineStr">
        <is>
          <t>Media</t>
        </is>
      </c>
      <c r="T1584" s="18" t="inlineStr">
        <is>
          <t>nombre + tipo + columnas vecinas</t>
        </is>
      </c>
      <c r="U1584" s="18" t="inlineStr">
        <is>
          <t>¿elaborado_por guarda el nombre o el identificador del usuario?</t>
        </is>
      </c>
      <c r="V1584" s="19" t="inlineStr">
        <is>
          <t>Pendiente</t>
        </is>
      </c>
      <c r="W1584" s="19" t="inlineStr"/>
      <c r="X1584" s="19" t="inlineStr"/>
      <c r="Y1584" s="20" t="n"/>
      <c r="Z1584" s="19" t="inlineStr"/>
      <c r="AA1584" s="18">
        <f>IF(OR(V1584="Aprobada"),R1584,IF(AND(OR(V1584="Aprobada con ajuste",V1584="Rechazada"),W1584&lt;&gt;""),W1584,""))</f>
        <v/>
      </c>
    </row>
    <row r="1585">
      <c r="A1585" s="18" t="inlineStr">
        <is>
          <t>C1584</t>
        </is>
      </c>
      <c r="B1585" s="18" t="inlineStr">
        <is>
          <t>Control interno</t>
        </is>
      </c>
      <c r="C1585" s="18" t="inlineStr">
        <is>
          <t>control_interno</t>
        </is>
      </c>
      <c r="D1585" s="18" t="inlineStr">
        <is>
          <t>entrega_informe_ley</t>
        </is>
      </c>
      <c r="E1585" s="18" t="n">
        <v>0</v>
      </c>
      <c r="F1585" s="18" t="inlineStr">
        <is>
          <t>fecha_elaboracion</t>
        </is>
      </c>
      <c r="G1585" s="18" t="inlineStr">
        <is>
          <t>timestamp without time zone</t>
        </is>
      </c>
      <c r="H1585" s="18" t="inlineStr">
        <is>
          <t>Sí</t>
        </is>
      </c>
      <c r="I1585" s="18" t="inlineStr"/>
      <c r="J1585" s="18" t="inlineStr"/>
      <c r="K1585" s="18" t="inlineStr"/>
      <c r="L1585" s="18" t="inlineStr">
        <is>
          <t>No</t>
        </is>
      </c>
      <c r="M1585" s="18" t="inlineStr">
        <is>
          <t>No</t>
        </is>
      </c>
      <c r="N1585" s="18" t="inlineStr"/>
      <c r="O1585" s="18" t="inlineStr"/>
      <c r="P1585" s="18" t="inlineStr">
        <is>
          <t>Mapeada en internal-institutional-control-service/src/esap/informes-ley/entities/entrega-informe-ley.entity.ts:59 (EntregaInformeLey.fechaElaboracion) | Validación: IsDateString, IsOptional</t>
        </is>
      </c>
      <c r="Q1585" s="18" t="inlineStr">
        <is>
          <t>Regla estructural</t>
        </is>
      </c>
      <c r="R1585" s="18" t="inlineStr">
        <is>
          <t>Fecha de elaboración.</t>
        </is>
      </c>
      <c r="S1585" s="18" t="inlineStr">
        <is>
          <t>Media</t>
        </is>
      </c>
      <c r="T1585" s="18" t="inlineStr">
        <is>
          <t>Convención de nombre de la columna.</t>
        </is>
      </c>
      <c r="U1585" s="18" t="inlineStr"/>
      <c r="V1585" s="19" t="inlineStr">
        <is>
          <t>Pendiente</t>
        </is>
      </c>
      <c r="W1585" s="19" t="inlineStr"/>
      <c r="X1585" s="19" t="inlineStr"/>
      <c r="Y1585" s="20" t="n"/>
      <c r="Z1585" s="19" t="inlineStr"/>
      <c r="AA1585" s="18">
        <f>IF(OR(V1585="Aprobada"),R1585,IF(AND(OR(V1585="Aprobada con ajuste",V1585="Rechazada"),W1585&lt;&gt;""),W1585,""))</f>
        <v/>
      </c>
    </row>
    <row r="1586">
      <c r="A1586" s="18" t="inlineStr">
        <is>
          <t>C1585</t>
        </is>
      </c>
      <c r="B1586" s="18" t="inlineStr">
        <is>
          <t>Control interno</t>
        </is>
      </c>
      <c r="C1586" s="18" t="inlineStr">
        <is>
          <t>control_interno</t>
        </is>
      </c>
      <c r="D1586" s="18" t="inlineStr">
        <is>
          <t>entrega_informe_ley</t>
        </is>
      </c>
      <c r="E1586" s="18" t="n">
        <v>0</v>
      </c>
      <c r="F1586" s="18" t="inlineStr">
        <is>
          <t>aprobado_por</t>
        </is>
      </c>
      <c r="G1586" s="18" t="inlineStr">
        <is>
          <t>character varying(255)</t>
        </is>
      </c>
      <c r="H1586" s="18" t="inlineStr">
        <is>
          <t>Sí</t>
        </is>
      </c>
      <c r="I1586" s="18" t="inlineStr"/>
      <c r="J1586" s="18" t="inlineStr"/>
      <c r="K1586" s="18" t="inlineStr"/>
      <c r="L1586" s="18" t="inlineStr">
        <is>
          <t>No</t>
        </is>
      </c>
      <c r="M1586" s="18" t="inlineStr">
        <is>
          <t>No</t>
        </is>
      </c>
      <c r="N1586" s="18" t="inlineStr"/>
      <c r="O1586" s="18" t="inlineStr"/>
      <c r="P1586" s="18" t="inlineStr">
        <is>
          <t>Mapeada en internal-institutional-control-service/src/esap/informes-ley/entities/entrega-informe-ley.entity.ts:62 (EntregaInformeLey.aprobadoPor) | Validación: IsOptional, IsString, Length(0, 255)</t>
        </is>
      </c>
      <c r="Q1586" s="18" t="inlineStr">
        <is>
          <t>Regla estructural</t>
        </is>
      </c>
      <c r="R1586" s="18" t="inlineStr">
        <is>
          <t>Usuario que realizó la aprobación.</t>
        </is>
      </c>
      <c r="S1586" s="18" t="inlineStr">
        <is>
          <t>Media</t>
        </is>
      </c>
      <c r="T1586" s="18" t="inlineStr">
        <is>
          <t>Convención de nombre de la columna.</t>
        </is>
      </c>
      <c r="U1586" s="18" t="inlineStr"/>
      <c r="V1586" s="19" t="inlineStr">
        <is>
          <t>Pendiente</t>
        </is>
      </c>
      <c r="W1586" s="19" t="inlineStr"/>
      <c r="X1586" s="19" t="inlineStr"/>
      <c r="Y1586" s="20" t="n"/>
      <c r="Z1586" s="19" t="inlineStr"/>
      <c r="AA1586" s="18">
        <f>IF(OR(V1586="Aprobada"),R1586,IF(AND(OR(V1586="Aprobada con ajuste",V1586="Rechazada"),W1586&lt;&gt;""),W1586,""))</f>
        <v/>
      </c>
    </row>
    <row r="1587">
      <c r="A1587" s="18" t="inlineStr">
        <is>
          <t>C1586</t>
        </is>
      </c>
      <c r="B1587" s="18" t="inlineStr">
        <is>
          <t>Control interno</t>
        </is>
      </c>
      <c r="C1587" s="18" t="inlineStr">
        <is>
          <t>control_interno</t>
        </is>
      </c>
      <c r="D1587" s="18" t="inlineStr">
        <is>
          <t>entrega_informe_ley</t>
        </is>
      </c>
      <c r="E1587" s="18" t="n">
        <v>0</v>
      </c>
      <c r="F1587" s="18" t="inlineStr">
        <is>
          <t>fecha_aprobacion</t>
        </is>
      </c>
      <c r="G1587" s="18" t="inlineStr">
        <is>
          <t>timestamp without time zone</t>
        </is>
      </c>
      <c r="H1587" s="18" t="inlineStr">
        <is>
          <t>Sí</t>
        </is>
      </c>
      <c r="I1587" s="18" t="inlineStr"/>
      <c r="J1587" s="18" t="inlineStr"/>
      <c r="K1587" s="18" t="inlineStr"/>
      <c r="L1587" s="18" t="inlineStr">
        <is>
          <t>No</t>
        </is>
      </c>
      <c r="M1587" s="18" t="inlineStr">
        <is>
          <t>No</t>
        </is>
      </c>
      <c r="N1587" s="18" t="inlineStr"/>
      <c r="O1587" s="18" t="inlineStr"/>
      <c r="P1587" s="18" t="inlineStr">
        <is>
          <t>Mapeada en internal-institutional-control-service/src/esap/informes-ley/entities/entrega-informe-ley.entity.ts:65 (EntregaInformeLey.fechaAprobacion) | Validación: IsDateString, IsOptional</t>
        </is>
      </c>
      <c r="Q1587" s="18" t="inlineStr">
        <is>
          <t>Regla estructural</t>
        </is>
      </c>
      <c r="R1587" s="18" t="inlineStr">
        <is>
          <t>Fecha de aprobación.</t>
        </is>
      </c>
      <c r="S1587" s="18" t="inlineStr">
        <is>
          <t>Media</t>
        </is>
      </c>
      <c r="T1587" s="18" t="inlineStr">
        <is>
          <t>Convención de nombre de la columna.</t>
        </is>
      </c>
      <c r="U1587" s="18" t="inlineStr"/>
      <c r="V1587" s="19" t="inlineStr">
        <is>
          <t>Pendiente</t>
        </is>
      </c>
      <c r="W1587" s="19" t="inlineStr"/>
      <c r="X1587" s="19" t="inlineStr"/>
      <c r="Y1587" s="20" t="n"/>
      <c r="Z1587" s="19" t="inlineStr"/>
      <c r="AA1587" s="18">
        <f>IF(OR(V1587="Aprobada"),R1587,IF(AND(OR(V1587="Aprobada con ajuste",V1587="Rechazada"),W1587&lt;&gt;""),W1587,""))</f>
        <v/>
      </c>
    </row>
    <row r="1588">
      <c r="A1588" s="18" t="inlineStr">
        <is>
          <t>C1587</t>
        </is>
      </c>
      <c r="B1588" s="18" t="inlineStr">
        <is>
          <t>Control interno</t>
        </is>
      </c>
      <c r="C1588" s="18" t="inlineStr">
        <is>
          <t>control_interno</t>
        </is>
      </c>
      <c r="D1588" s="18" t="inlineStr">
        <is>
          <t>entrega_informe_ley</t>
        </is>
      </c>
      <c r="E1588" s="18" t="n">
        <v>0</v>
      </c>
      <c r="F1588" s="18" t="inlineStr">
        <is>
          <t>enviado_por</t>
        </is>
      </c>
      <c r="G1588" s="18" t="inlineStr">
        <is>
          <t>character varying(255)</t>
        </is>
      </c>
      <c r="H1588" s="18" t="inlineStr">
        <is>
          <t>Sí</t>
        </is>
      </c>
      <c r="I1588" s="18" t="inlineStr"/>
      <c r="J1588" s="18" t="inlineStr"/>
      <c r="K1588" s="18" t="inlineStr"/>
      <c r="L1588" s="18" t="inlineStr">
        <is>
          <t>No</t>
        </is>
      </c>
      <c r="M1588" s="18" t="inlineStr">
        <is>
          <t>No</t>
        </is>
      </c>
      <c r="N1588" s="18" t="inlineStr"/>
      <c r="O1588" s="18" t="inlineStr"/>
      <c r="P1588" s="18" t="inlineStr">
        <is>
          <t>Mapeada en internal-institutional-control-service/src/esap/informes-ley/entities/entrega-informe-ley.entity.ts:68 (EntregaInformeLey.enviadoPor) | Validación: IsOptional, IsString, Length(0, 255)</t>
        </is>
      </c>
      <c r="Q1588" s="18" t="inlineStr">
        <is>
          <t>Regla estructural</t>
        </is>
      </c>
      <c r="R1588" s="18" t="inlineStr">
        <is>
          <t>Usuario que realizó el envío.</t>
        </is>
      </c>
      <c r="S1588" s="18" t="inlineStr">
        <is>
          <t>Media</t>
        </is>
      </c>
      <c r="T1588" s="18" t="inlineStr">
        <is>
          <t>Convención de nombre de la columna.</t>
        </is>
      </c>
      <c r="U1588" s="18" t="inlineStr"/>
      <c r="V1588" s="19" t="inlineStr">
        <is>
          <t>Pendiente</t>
        </is>
      </c>
      <c r="W1588" s="19" t="inlineStr"/>
      <c r="X1588" s="19" t="inlineStr"/>
      <c r="Y1588" s="20" t="n"/>
      <c r="Z1588" s="19" t="inlineStr"/>
      <c r="AA1588" s="18">
        <f>IF(OR(V1588="Aprobada"),R1588,IF(AND(OR(V1588="Aprobada con ajuste",V1588="Rechazada"),W1588&lt;&gt;""),W1588,""))</f>
        <v/>
      </c>
    </row>
    <row r="1589">
      <c r="A1589" s="18" t="inlineStr">
        <is>
          <t>C1588</t>
        </is>
      </c>
      <c r="B1589" s="18" t="inlineStr">
        <is>
          <t>Control interno</t>
        </is>
      </c>
      <c r="C1589" s="18" t="inlineStr">
        <is>
          <t>control_interno</t>
        </is>
      </c>
      <c r="D1589" s="18" t="inlineStr">
        <is>
          <t>entrega_informe_ley</t>
        </is>
      </c>
      <c r="E1589" s="18" t="n">
        <v>0</v>
      </c>
      <c r="F1589" s="18" t="inlineStr">
        <is>
          <t>observaciones</t>
        </is>
      </c>
      <c r="G1589" s="18" t="inlineStr">
        <is>
          <t>text</t>
        </is>
      </c>
      <c r="H1589" s="18" t="inlineStr">
        <is>
          <t>Sí</t>
        </is>
      </c>
      <c r="I1589" s="18" t="inlineStr"/>
      <c r="J1589" s="18" t="inlineStr"/>
      <c r="K1589" s="18" t="inlineStr"/>
      <c r="L1589" s="18" t="inlineStr">
        <is>
          <t>No</t>
        </is>
      </c>
      <c r="M1589" s="18" t="inlineStr">
        <is>
          <t>No</t>
        </is>
      </c>
      <c r="N1589" s="18" t="inlineStr"/>
      <c r="O1589" s="18" t="inlineStr"/>
      <c r="P1589" s="18" t="inlineStr">
        <is>
          <t>internal-institutional-control-service/src/esap/informes-ley/entities/entrega-informe-ley.entity.ts:79: Observaciones | Validación: IsOptional, IsString</t>
        </is>
      </c>
      <c r="Q1589" s="18" t="inlineStr">
        <is>
          <t>Código fuente</t>
        </is>
      </c>
      <c r="R1589" s="18" t="inlineStr">
        <is>
          <t>Observaciones sobre la entrega del informe.</t>
        </is>
      </c>
      <c r="S1589" s="18" t="inlineStr">
        <is>
          <t>Alta</t>
        </is>
      </c>
      <c r="T1589" s="18" t="inlineStr">
        <is>
          <t>código: internal-institutional-control-service/src/esap/informes-ley/entities/entrega-informe-ley.entity.ts:79</t>
        </is>
      </c>
      <c r="U1589" s="18" t="inlineStr"/>
      <c r="V1589" s="19" t="inlineStr">
        <is>
          <t>Pendiente</t>
        </is>
      </c>
      <c r="W1589" s="19" t="inlineStr"/>
      <c r="X1589" s="19" t="inlineStr"/>
      <c r="Y1589" s="20" t="n"/>
      <c r="Z1589" s="19" t="inlineStr"/>
      <c r="AA1589" s="18">
        <f>IF(OR(V1589="Aprobada"),R1589,IF(AND(OR(V1589="Aprobada con ajuste",V1589="Rechazada"),W1589&lt;&gt;""),W1589,""))</f>
        <v/>
      </c>
    </row>
    <row r="1590">
      <c r="A1590" s="18" t="inlineStr">
        <is>
          <t>C1589</t>
        </is>
      </c>
      <c r="B1590" s="18" t="inlineStr">
        <is>
          <t>Control interno</t>
        </is>
      </c>
      <c r="C1590" s="18" t="inlineStr">
        <is>
          <t>control_interno</t>
        </is>
      </c>
      <c r="D1590" s="18" t="inlineStr">
        <is>
          <t>entrega_informe_ley</t>
        </is>
      </c>
      <c r="E1590" s="18" t="n">
        <v>0</v>
      </c>
      <c r="F1590" s="18" t="inlineStr">
        <is>
          <t>motivo_rechazo</t>
        </is>
      </c>
      <c r="G1590" s="18" t="inlineStr">
        <is>
          <t>text</t>
        </is>
      </c>
      <c r="H1590" s="18" t="inlineStr">
        <is>
          <t>Sí</t>
        </is>
      </c>
      <c r="I1590" s="18" t="inlineStr"/>
      <c r="J1590" s="18" t="inlineStr"/>
      <c r="K1590" s="18" t="inlineStr"/>
      <c r="L1590" s="18" t="inlineStr">
        <is>
          <t>No</t>
        </is>
      </c>
      <c r="M1590" s="18" t="inlineStr">
        <is>
          <t>No</t>
        </is>
      </c>
      <c r="N1590" s="18" t="inlineStr"/>
      <c r="O1590" s="18" t="inlineStr"/>
      <c r="P1590" s="18" t="inlineStr">
        <is>
          <t>Mapeada en internal-institutional-control-service/src/esap/informes-ley/entities/entrega-informe-ley.entity.ts:82 (EntregaInformeLey.motivoRechazo) | Validación: IsNotEmpty, IsOptional, IsString</t>
        </is>
      </c>
      <c r="Q1590" s="18" t="inlineStr">
        <is>
          <t>Regla estructural</t>
        </is>
      </c>
      <c r="R1590" s="18" t="inlineStr">
        <is>
          <t>Motivo del rechazo.</t>
        </is>
      </c>
      <c r="S1590" s="18" t="inlineStr">
        <is>
          <t>Media</t>
        </is>
      </c>
      <c r="T1590" s="18" t="inlineStr">
        <is>
          <t>Convención de nombre de la columna.</t>
        </is>
      </c>
      <c r="U1590" s="18" t="inlineStr"/>
      <c r="V1590" s="19" t="inlineStr">
        <is>
          <t>Pendiente</t>
        </is>
      </c>
      <c r="W1590" s="19" t="inlineStr"/>
      <c r="X1590" s="19" t="inlineStr"/>
      <c r="Y1590" s="20" t="n"/>
      <c r="Z1590" s="19" t="inlineStr"/>
      <c r="AA1590" s="18">
        <f>IF(OR(V1590="Aprobada"),R1590,IF(AND(OR(V1590="Aprobada con ajuste",V1590="Rechazada"),W1590&lt;&gt;""),W1590,""))</f>
        <v/>
      </c>
    </row>
    <row r="1591">
      <c r="A1591" s="18" t="inlineStr">
        <is>
          <t>C1590</t>
        </is>
      </c>
      <c r="B1591" s="18" t="inlineStr">
        <is>
          <t>Control interno</t>
        </is>
      </c>
      <c r="C1591" s="18" t="inlineStr">
        <is>
          <t>control_interno</t>
        </is>
      </c>
      <c r="D1591" s="18" t="inlineStr">
        <is>
          <t>entrega_informe_ley</t>
        </is>
      </c>
      <c r="E1591" s="18" t="n">
        <v>0</v>
      </c>
      <c r="F1591" s="18" t="inlineStr">
        <is>
          <t>numero_radicado</t>
        </is>
      </c>
      <c r="G1591" s="18" t="inlineStr">
        <is>
          <t>character varying(255)</t>
        </is>
      </c>
      <c r="H1591" s="18" t="inlineStr">
        <is>
          <t>Sí</t>
        </is>
      </c>
      <c r="I1591" s="18" t="inlineStr"/>
      <c r="J1591" s="18" t="inlineStr"/>
      <c r="K1591" s="18" t="inlineStr"/>
      <c r="L1591" s="18" t="inlineStr">
        <is>
          <t>No</t>
        </is>
      </c>
      <c r="M1591" s="18" t="inlineStr">
        <is>
          <t>No</t>
        </is>
      </c>
      <c r="N1591" s="18" t="inlineStr"/>
      <c r="O1591" s="18" t="inlineStr"/>
      <c r="P1591" s="18" t="inlineStr">
        <is>
          <t>internal-institutional-control-service/src/esap/informes-ley/entities/entrega-informe-ley.entity.ts:72: Radicado | Validación: IsOptional, IsString, Length(0, 255)</t>
        </is>
      </c>
      <c r="Q1591" s="18" t="inlineStr">
        <is>
          <t>Código fuente</t>
        </is>
      </c>
      <c r="R1591" s="18" t="inlineStr">
        <is>
          <t>Número de radicado de la entrega del informe.</t>
        </is>
      </c>
      <c r="S1591" s="18" t="inlineStr">
        <is>
          <t>Alta</t>
        </is>
      </c>
      <c r="T1591" s="18" t="inlineStr">
        <is>
          <t>código: internal-institutional-control-service/src/esap/informes-ley/entities/entrega-informe-ley.entity.ts:72</t>
        </is>
      </c>
      <c r="U1591" s="18" t="inlineStr"/>
      <c r="V1591" s="19" t="inlineStr">
        <is>
          <t>Pendiente</t>
        </is>
      </c>
      <c r="W1591" s="19" t="inlineStr"/>
      <c r="X1591" s="19" t="inlineStr"/>
      <c r="Y1591" s="20" t="n"/>
      <c r="Z1591" s="19" t="inlineStr"/>
      <c r="AA1591" s="18">
        <f>IF(OR(V1591="Aprobada"),R1591,IF(AND(OR(V1591="Aprobada con ajuste",V1591="Rechazada"),W1591&lt;&gt;""),W1591,""))</f>
        <v/>
      </c>
    </row>
    <row r="1592">
      <c r="A1592" s="18" t="inlineStr">
        <is>
          <t>C1591</t>
        </is>
      </c>
      <c r="B1592" s="18" t="inlineStr">
        <is>
          <t>Control interno</t>
        </is>
      </c>
      <c r="C1592" s="18" t="inlineStr">
        <is>
          <t>control_interno</t>
        </is>
      </c>
      <c r="D1592" s="18" t="inlineStr">
        <is>
          <t>entrega_informe_ley</t>
        </is>
      </c>
      <c r="E1592" s="18" t="n">
        <v>0</v>
      </c>
      <c r="F1592" s="18" t="inlineStr">
        <is>
          <t>fecha_radicacion</t>
        </is>
      </c>
      <c r="G1592" s="18" t="inlineStr">
        <is>
          <t>timestamp without time zone</t>
        </is>
      </c>
      <c r="H1592" s="18" t="inlineStr">
        <is>
          <t>Sí</t>
        </is>
      </c>
      <c r="I1592" s="18" t="inlineStr"/>
      <c r="J1592" s="18" t="inlineStr"/>
      <c r="K1592" s="18" t="inlineStr"/>
      <c r="L1592" s="18" t="inlineStr">
        <is>
          <t>No</t>
        </is>
      </c>
      <c r="M1592" s="18" t="inlineStr">
        <is>
          <t>No</t>
        </is>
      </c>
      <c r="N1592" s="18" t="inlineStr"/>
      <c r="O1592" s="18" t="inlineStr"/>
      <c r="P1592" s="18" t="inlineStr">
        <is>
          <t>Mapeada en internal-institutional-control-service/src/esap/informes-ley/entities/entrega-informe-ley.entity.ts:75 (EntregaInformeLey.fechaRadicacion) | Validación: IsDateString, IsOptional</t>
        </is>
      </c>
      <c r="Q1592" s="18" t="inlineStr">
        <is>
          <t>Regla estructural</t>
        </is>
      </c>
      <c r="R1592" s="18" t="inlineStr">
        <is>
          <t>Fecha de radicación.</t>
        </is>
      </c>
      <c r="S1592" s="18" t="inlineStr">
        <is>
          <t>Media</t>
        </is>
      </c>
      <c r="T1592" s="18" t="inlineStr">
        <is>
          <t>Convención de nombre de la columna.</t>
        </is>
      </c>
      <c r="U1592" s="18" t="inlineStr"/>
      <c r="V1592" s="19" t="inlineStr">
        <is>
          <t>Pendiente</t>
        </is>
      </c>
      <c r="W1592" s="19" t="inlineStr"/>
      <c r="X1592" s="19" t="inlineStr"/>
      <c r="Y1592" s="20" t="n"/>
      <c r="Z1592" s="19" t="inlineStr"/>
      <c r="AA1592" s="18">
        <f>IF(OR(V1592="Aprobada"),R1592,IF(AND(OR(V1592="Aprobada con ajuste",V1592="Rechazada"),W1592&lt;&gt;""),W1592,""))</f>
        <v/>
      </c>
    </row>
    <row r="1593">
      <c r="A1593" s="18" t="inlineStr">
        <is>
          <t>C1592</t>
        </is>
      </c>
      <c r="B1593" s="18" t="inlineStr">
        <is>
          <t>Control interno</t>
        </is>
      </c>
      <c r="C1593" s="18" t="inlineStr">
        <is>
          <t>control_interno</t>
        </is>
      </c>
      <c r="D1593" s="18" t="inlineStr">
        <is>
          <t>entrega_informe_ley</t>
        </is>
      </c>
      <c r="E1593" s="18" t="n">
        <v>0</v>
      </c>
      <c r="F1593" s="18" t="inlineStr">
        <is>
          <t>fecha_generacion</t>
        </is>
      </c>
      <c r="G1593" s="18" t="inlineStr">
        <is>
          <t>timestamp without time zone</t>
        </is>
      </c>
      <c r="H1593" s="18" t="inlineStr">
        <is>
          <t>Sí</t>
        </is>
      </c>
      <c r="I1593" s="18" t="inlineStr"/>
      <c r="J1593" s="18" t="inlineStr"/>
      <c r="K1593" s="18" t="inlineStr"/>
      <c r="L1593" s="18" t="inlineStr">
        <is>
          <t>No</t>
        </is>
      </c>
      <c r="M1593" s="18" t="inlineStr">
        <is>
          <t>No</t>
        </is>
      </c>
      <c r="N1593" s="18" t="inlineStr"/>
      <c r="O1593" s="18" t="inlineStr">
        <is>
          <t>idx_entrega_generacion</t>
        </is>
      </c>
      <c r="P1593" s="18" t="inlineStr">
        <is>
          <t>Mapeada en internal-institutional-control-service/src/esap/informes-ley/entities/entrega-informe-ley.entity.ts:98 (EntregaInformeLey.fechaGeneracion) | Validación: IsDateString, IsOptional</t>
        </is>
      </c>
      <c r="Q1593" s="18" t="inlineStr">
        <is>
          <t>Regla estructural</t>
        </is>
      </c>
      <c r="R1593" s="18" t="inlineStr">
        <is>
          <t>Fecha de generación.</t>
        </is>
      </c>
      <c r="S1593" s="18" t="inlineStr">
        <is>
          <t>Media</t>
        </is>
      </c>
      <c r="T1593" s="18" t="inlineStr">
        <is>
          <t>Convención de nombre de la columna.</t>
        </is>
      </c>
      <c r="U1593" s="18" t="inlineStr"/>
      <c r="V1593" s="19" t="inlineStr">
        <is>
          <t>Pendiente</t>
        </is>
      </c>
      <c r="W1593" s="19" t="inlineStr"/>
      <c r="X1593" s="19" t="inlineStr"/>
      <c r="Y1593" s="20" t="n"/>
      <c r="Z1593" s="19" t="inlineStr"/>
      <c r="AA1593" s="18">
        <f>IF(OR(V1593="Aprobada"),R1593,IF(AND(OR(V1593="Aprobada con ajuste",V1593="Rechazada"),W1593&lt;&gt;""),W1593,""))</f>
        <v/>
      </c>
    </row>
    <row r="1594">
      <c r="A1594" s="18" t="inlineStr">
        <is>
          <t>C1593</t>
        </is>
      </c>
      <c r="B1594" s="18" t="inlineStr">
        <is>
          <t>Control interno</t>
        </is>
      </c>
      <c r="C1594" s="18" t="inlineStr">
        <is>
          <t>control_interno</t>
        </is>
      </c>
      <c r="D1594" s="18" t="inlineStr">
        <is>
          <t>entrega_informe_ley</t>
        </is>
      </c>
      <c r="E1594" s="18" t="n">
        <v>0</v>
      </c>
      <c r="F1594" s="18" t="inlineStr">
        <is>
          <t>generado_por</t>
        </is>
      </c>
      <c r="G1594" s="18" t="inlineStr">
        <is>
          <t>character varying(255)</t>
        </is>
      </c>
      <c r="H1594" s="18" t="inlineStr">
        <is>
          <t>Sí</t>
        </is>
      </c>
      <c r="I1594" s="18" t="inlineStr"/>
      <c r="J1594" s="18" t="inlineStr"/>
      <c r="K1594" s="18" t="inlineStr"/>
      <c r="L1594" s="18" t="inlineStr">
        <is>
          <t>No</t>
        </is>
      </c>
      <c r="M1594" s="18" t="inlineStr">
        <is>
          <t>No</t>
        </is>
      </c>
      <c r="N1594" s="18" t="inlineStr"/>
      <c r="O1594" s="18" t="inlineStr"/>
      <c r="P1594" s="18" t="inlineStr">
        <is>
          <t>Mapeada en internal-institutional-control-service/src/esap/informes-ley/entities/entrega-informe-ley.entity.ts:101 (EntregaInformeLey.generadoPor)</t>
        </is>
      </c>
      <c r="Q1594" s="18" t="inlineStr">
        <is>
          <t>Regla estructural</t>
        </is>
      </c>
      <c r="R1594" s="18" t="inlineStr">
        <is>
          <t>Usuario que realizó la generación.</t>
        </is>
      </c>
      <c r="S1594" s="18" t="inlineStr">
        <is>
          <t>Media</t>
        </is>
      </c>
      <c r="T1594" s="18" t="inlineStr">
        <is>
          <t>Convención de nombre de la columna.</t>
        </is>
      </c>
      <c r="U1594" s="18" t="inlineStr"/>
      <c r="V1594" s="19" t="inlineStr">
        <is>
          <t>Pendiente</t>
        </is>
      </c>
      <c r="W1594" s="19" t="inlineStr"/>
      <c r="X1594" s="19" t="inlineStr"/>
      <c r="Y1594" s="20" t="n"/>
      <c r="Z1594" s="19" t="inlineStr"/>
      <c r="AA1594" s="18">
        <f>IF(OR(V1594="Aprobada"),R1594,IF(AND(OR(V1594="Aprobada con ajuste",V1594="Rechazada"),W1594&lt;&gt;""),W1594,""))</f>
        <v/>
      </c>
    </row>
    <row r="1595">
      <c r="A1595" s="18" t="inlineStr">
        <is>
          <t>C1594</t>
        </is>
      </c>
      <c r="B1595" s="18" t="inlineStr">
        <is>
          <t>Control interno</t>
        </is>
      </c>
      <c r="C1595" s="18" t="inlineStr">
        <is>
          <t>control_interno</t>
        </is>
      </c>
      <c r="D1595" s="18" t="inlineStr">
        <is>
          <t>entrega_informe_ley</t>
        </is>
      </c>
      <c r="E1595" s="18" t="n">
        <v>0</v>
      </c>
      <c r="F1595" s="18" t="inlineStr">
        <is>
          <t>formato_archivo</t>
        </is>
      </c>
      <c r="G1595" s="18" t="inlineStr">
        <is>
          <t>character varying(50)</t>
        </is>
      </c>
      <c r="H1595" s="18" t="inlineStr">
        <is>
          <t>Sí</t>
        </is>
      </c>
      <c r="I1595" s="18" t="inlineStr">
        <is>
          <t>CHECK</t>
        </is>
      </c>
      <c r="J1595" s="18" t="inlineStr">
        <is>
          <t>Excel, PDF, Word</t>
        </is>
      </c>
      <c r="K1595" s="18" t="inlineStr"/>
      <c r="L1595" s="18" t="inlineStr">
        <is>
          <t>Sí</t>
        </is>
      </c>
      <c r="M1595" s="18" t="inlineStr">
        <is>
          <t>No</t>
        </is>
      </c>
      <c r="N1595" s="18" t="inlineStr"/>
      <c r="O1595" s="18" t="inlineStr"/>
      <c r="P1595" s="18" t="inlineStr">
        <is>
          <t>Mapeada en internal-institutional-control-service/src/esap/informes-ley/entities/entrega-informe-ley.entity.ts:104 (EntregaInformeLey.formatoArchivo)</t>
        </is>
      </c>
      <c r="Q1595" s="18" t="inlineStr">
        <is>
          <t>Propuesta semántica</t>
        </is>
      </c>
      <c r="R1595" s="18" t="inlineStr">
        <is>
          <t>Formato del archivo generado. Valores permitidos: PDF, Word, Excel.</t>
        </is>
      </c>
      <c r="S1595" s="18" t="inlineStr">
        <is>
          <t>Alta</t>
        </is>
      </c>
      <c r="T1595" s="18" t="inlineStr">
        <is>
          <t>valores permitidos del CHECK ~</t>
        </is>
      </c>
      <c r="U1595" s="18" t="inlineStr"/>
      <c r="V1595" s="19" t="inlineStr">
        <is>
          <t>Pendiente</t>
        </is>
      </c>
      <c r="W1595" s="19" t="inlineStr"/>
      <c r="X1595" s="19" t="inlineStr"/>
      <c r="Y1595" s="20" t="n"/>
      <c r="Z1595" s="19" t="inlineStr"/>
      <c r="AA1595" s="18">
        <f>IF(OR(V1595="Aprobada"),R1595,IF(AND(OR(V1595="Aprobada con ajuste",V1595="Rechazada"),W1595&lt;&gt;""),W1595,""))</f>
        <v/>
      </c>
    </row>
    <row r="1596">
      <c r="A1596" s="18" t="inlineStr">
        <is>
          <t>C1595</t>
        </is>
      </c>
      <c r="B1596" s="18" t="inlineStr">
        <is>
          <t>Control interno</t>
        </is>
      </c>
      <c r="C1596" s="18" t="inlineStr">
        <is>
          <t>control_interno</t>
        </is>
      </c>
      <c r="D1596" s="18" t="inlineStr">
        <is>
          <t>entrega_informe_ley</t>
        </is>
      </c>
      <c r="E1596" s="18" t="n">
        <v>0</v>
      </c>
      <c r="F1596" s="18" t="inlineStr">
        <is>
          <t>plantilla_usada</t>
        </is>
      </c>
      <c r="G1596" s="18" t="inlineStr">
        <is>
          <t>character varying(255)</t>
        </is>
      </c>
      <c r="H1596" s="18" t="inlineStr">
        <is>
          <t>Sí</t>
        </is>
      </c>
      <c r="I1596" s="18" t="inlineStr"/>
      <c r="J1596" s="18" t="inlineStr"/>
      <c r="K1596" s="18" t="inlineStr"/>
      <c r="L1596" s="18" t="inlineStr">
        <is>
          <t>No</t>
        </is>
      </c>
      <c r="M1596" s="18" t="inlineStr">
        <is>
          <t>No</t>
        </is>
      </c>
      <c r="N1596" s="18" t="inlineStr"/>
      <c r="O1596" s="18" t="inlineStr"/>
      <c r="P1596" s="18" t="inlineStr">
        <is>
          <t>Mapeada en internal-institutional-control-service/src/esap/informes-ley/entities/entrega-informe-ley.entity.ts:107 (EntregaInformeLey.plantillaUsada)</t>
        </is>
      </c>
      <c r="Q1596" s="18" t="inlineStr">
        <is>
          <t>Propuesta semántica</t>
        </is>
      </c>
      <c r="R1596" s="18" t="inlineStr">
        <is>
          <t>Plantilla usada para generar el informe.</t>
        </is>
      </c>
      <c r="S1596" s="18" t="inlineStr">
        <is>
          <t>Media</t>
        </is>
      </c>
      <c r="T1596" s="18" t="inlineStr">
        <is>
          <t>nombre + columnas vecinas (version_plantilla, fecha_generacion)</t>
        </is>
      </c>
      <c r="U1596" s="18" t="inlineStr">
        <is>
          <t>¿plantilla_usada guarda el nombre o la ruta de la plantilla?</t>
        </is>
      </c>
      <c r="V1596" s="19" t="inlineStr">
        <is>
          <t>Pendiente</t>
        </is>
      </c>
      <c r="W1596" s="19" t="inlineStr"/>
      <c r="X1596" s="19" t="inlineStr"/>
      <c r="Y1596" s="20" t="n"/>
      <c r="Z1596" s="19" t="inlineStr"/>
      <c r="AA1596" s="18">
        <f>IF(OR(V1596="Aprobada"),R1596,IF(AND(OR(V1596="Aprobada con ajuste",V1596="Rechazada"),W1596&lt;&gt;""),W1596,""))</f>
        <v/>
      </c>
    </row>
    <row r="1597">
      <c r="A1597" s="18" t="inlineStr">
        <is>
          <t>C1596</t>
        </is>
      </c>
      <c r="B1597" s="18" t="inlineStr">
        <is>
          <t>Control interno</t>
        </is>
      </c>
      <c r="C1597" s="18" t="inlineStr">
        <is>
          <t>control_interno</t>
        </is>
      </c>
      <c r="D1597" s="18" t="inlineStr">
        <is>
          <t>entrega_informe_ley</t>
        </is>
      </c>
      <c r="E1597" s="18" t="n">
        <v>0</v>
      </c>
      <c r="F1597" s="18" t="inlineStr">
        <is>
          <t>version_plantilla</t>
        </is>
      </c>
      <c r="G1597" s="18" t="inlineStr">
        <is>
          <t>character varying(50)</t>
        </is>
      </c>
      <c r="H1597" s="18" t="inlineStr">
        <is>
          <t>Sí</t>
        </is>
      </c>
      <c r="I1597" s="18" t="inlineStr"/>
      <c r="J1597" s="18" t="inlineStr"/>
      <c r="K1597" s="18" t="inlineStr"/>
      <c r="L1597" s="18" t="inlineStr">
        <is>
          <t>No</t>
        </is>
      </c>
      <c r="M1597" s="18" t="inlineStr">
        <is>
          <t>No</t>
        </is>
      </c>
      <c r="N1597" s="18" t="inlineStr"/>
      <c r="O1597" s="18" t="inlineStr"/>
      <c r="P1597" s="18" t="inlineStr">
        <is>
          <t>Mapeada en internal-institutional-control-service/src/esap/informes-ley/entities/entrega-informe-ley.entity.ts:110 (EntregaInformeLey.versionPlantilla)</t>
        </is>
      </c>
      <c r="Q1597" s="18" t="inlineStr">
        <is>
          <t>Propuesta semántica</t>
        </is>
      </c>
      <c r="R1597" s="18" t="inlineStr">
        <is>
          <t>Versión de la plantilla usada para generar el informe.</t>
        </is>
      </c>
      <c r="S1597" s="18" t="inlineStr">
        <is>
          <t>Alta</t>
        </is>
      </c>
      <c r="T1597" s="18" t="inlineStr">
        <is>
          <t>nombre + columnas vecinas (plantilla_usada) ~</t>
        </is>
      </c>
      <c r="U1597" s="18" t="inlineStr"/>
      <c r="V1597" s="19" t="inlineStr">
        <is>
          <t>Pendiente</t>
        </is>
      </c>
      <c r="W1597" s="19" t="inlineStr"/>
      <c r="X1597" s="19" t="inlineStr"/>
      <c r="Y1597" s="20" t="n"/>
      <c r="Z1597" s="19" t="inlineStr"/>
      <c r="AA1597" s="18">
        <f>IF(OR(V1597="Aprobada"),R1597,IF(AND(OR(V1597="Aprobada con ajuste",V1597="Rechazada"),W1597&lt;&gt;""),W1597,""))</f>
        <v/>
      </c>
    </row>
    <row r="1598">
      <c r="A1598" s="18" t="inlineStr">
        <is>
          <t>C1597</t>
        </is>
      </c>
      <c r="B1598" s="18" t="inlineStr">
        <is>
          <t>Control interno</t>
        </is>
      </c>
      <c r="C1598" s="18" t="inlineStr">
        <is>
          <t>control_interno</t>
        </is>
      </c>
      <c r="D1598" s="18" t="inlineStr">
        <is>
          <t>equipo_auditor</t>
        </is>
      </c>
      <c r="E1598" s="18" t="n">
        <v>160</v>
      </c>
      <c r="F1598" s="18" t="inlineStr">
        <is>
          <t>activo</t>
        </is>
      </c>
      <c r="G1598" s="18" t="inlineStr">
        <is>
          <t>boolean</t>
        </is>
      </c>
      <c r="H1598" s="18" t="inlineStr">
        <is>
          <t>Sí</t>
        </is>
      </c>
      <c r="I1598" s="18" t="inlineStr"/>
      <c r="J1598" s="18" t="inlineStr"/>
      <c r="K1598" s="18" t="inlineStr"/>
      <c r="L1598" s="18" t="inlineStr">
        <is>
          <t>No</t>
        </is>
      </c>
      <c r="M1598" s="18" t="inlineStr">
        <is>
          <t>Sí</t>
        </is>
      </c>
      <c r="N1598" s="18" t="inlineStr">
        <is>
          <t>Vista control_interno.v_auditor_disponibilidad</t>
        </is>
      </c>
      <c r="O1598" s="18" t="inlineStr">
        <is>
          <t>idx_equipo_auditor_activo</t>
        </is>
      </c>
      <c r="P1598" s="18" t="inlineStr">
        <is>
          <t>Mapeada en internal-institutional-control-service/src/esap/auditorias/entities/equipo-auditor.entity.ts:34 (EquipoAuditor.activo) | Validación: IsBoolean, IsOptional</t>
        </is>
      </c>
      <c r="Q1598" s="18" t="inlineStr">
        <is>
          <t>Regla estructural</t>
        </is>
      </c>
      <c r="R1598" s="18" t="inlineStr">
        <is>
          <t>Indica si el registro está activo.</t>
        </is>
      </c>
      <c r="S1598" s="18" t="inlineStr">
        <is>
          <t>Media</t>
        </is>
      </c>
      <c r="T1598" s="18" t="inlineStr">
        <is>
          <t>Convención de nombre de la columna.</t>
        </is>
      </c>
      <c r="U1598" s="18" t="inlineStr"/>
      <c r="V1598" s="19" t="inlineStr">
        <is>
          <t>Pendiente</t>
        </is>
      </c>
      <c r="W1598" s="19" t="inlineStr"/>
      <c r="X1598" s="19" t="inlineStr"/>
      <c r="Y1598" s="20" t="n"/>
      <c r="Z1598" s="19" t="inlineStr"/>
      <c r="AA1598" s="18">
        <f>IF(OR(V1598="Aprobada"),R1598,IF(AND(OR(V1598="Aprobada con ajuste",V1598="Rechazada"),W1598&lt;&gt;""),W1598,""))</f>
        <v/>
      </c>
    </row>
    <row r="1599">
      <c r="A1599" s="18" t="inlineStr">
        <is>
          <t>C1598</t>
        </is>
      </c>
      <c r="B1599" s="18" t="inlineStr">
        <is>
          <t>Control interno</t>
        </is>
      </c>
      <c r="C1599" s="18" t="inlineStr">
        <is>
          <t>control_interno</t>
        </is>
      </c>
      <c r="D1599" s="18" t="inlineStr">
        <is>
          <t>equipo_auditor</t>
        </is>
      </c>
      <c r="E1599" s="18" t="n">
        <v>160</v>
      </c>
      <c r="F1599" s="18" t="inlineStr">
        <is>
          <t>fecha_asignacion</t>
        </is>
      </c>
      <c r="G1599" s="18" t="inlineStr">
        <is>
          <t>timestamp without time zone</t>
        </is>
      </c>
      <c r="H1599" s="18" t="inlineStr">
        <is>
          <t>Sí</t>
        </is>
      </c>
      <c r="I1599" s="18" t="inlineStr"/>
      <c r="J1599" s="18" t="inlineStr"/>
      <c r="K1599" s="18" t="inlineStr"/>
      <c r="L1599" s="18" t="inlineStr">
        <is>
          <t>No</t>
        </is>
      </c>
      <c r="M1599" s="18" t="inlineStr">
        <is>
          <t>No</t>
        </is>
      </c>
      <c r="N1599" s="18" t="inlineStr"/>
      <c r="O1599" s="18" t="inlineStr"/>
      <c r="P1599" s="18" t="inlineStr">
        <is>
          <t>Mapeada en internal-institutional-control-service/src/esap/auditorias/entities/equipo-auditor.entity.ts:37 (EquipoAuditor.fechaAsignacion)</t>
        </is>
      </c>
      <c r="Q1599" s="18" t="inlineStr">
        <is>
          <t>Regla estructural</t>
        </is>
      </c>
      <c r="R1599" s="18" t="inlineStr">
        <is>
          <t>Fecha de asignación.</t>
        </is>
      </c>
      <c r="S1599" s="18" t="inlineStr">
        <is>
          <t>Media</t>
        </is>
      </c>
      <c r="T1599" s="18" t="inlineStr">
        <is>
          <t>Convención de nombre de la columna.</t>
        </is>
      </c>
      <c r="U1599" s="18" t="inlineStr"/>
      <c r="V1599" s="19" t="inlineStr">
        <is>
          <t>Pendiente</t>
        </is>
      </c>
      <c r="W1599" s="19" t="inlineStr"/>
      <c r="X1599" s="19" t="inlineStr"/>
      <c r="Y1599" s="20" t="n"/>
      <c r="Z1599" s="19" t="inlineStr"/>
      <c r="AA1599" s="18">
        <f>IF(OR(V1599="Aprobada"),R1599,IF(AND(OR(V1599="Aprobada con ajuste",V1599="Rechazada"),W1599&lt;&gt;""),W1599,""))</f>
        <v/>
      </c>
    </row>
    <row r="1600">
      <c r="A1600" s="18" t="inlineStr">
        <is>
          <t>C1599</t>
        </is>
      </c>
      <c r="B1600" s="18" t="inlineStr">
        <is>
          <t>Control interno</t>
        </is>
      </c>
      <c r="C1600" s="18" t="inlineStr">
        <is>
          <t>control_interno</t>
        </is>
      </c>
      <c r="D1600" s="18" t="inlineStr">
        <is>
          <t>equipo_auditor</t>
        </is>
      </c>
      <c r="E1600" s="18" t="n">
        <v>160</v>
      </c>
      <c r="F1600" s="18" t="inlineStr">
        <is>
          <t>fecha_retiro</t>
        </is>
      </c>
      <c r="G1600" s="18" t="inlineStr">
        <is>
          <t>timestamp without time zone</t>
        </is>
      </c>
      <c r="H1600" s="18" t="inlineStr">
        <is>
          <t>Sí</t>
        </is>
      </c>
      <c r="I1600" s="18" t="inlineStr"/>
      <c r="J1600" s="18" t="inlineStr"/>
      <c r="K1600" s="18" t="inlineStr"/>
      <c r="L1600" s="18" t="inlineStr">
        <is>
          <t>No</t>
        </is>
      </c>
      <c r="M1600" s="18" t="inlineStr">
        <is>
          <t>No</t>
        </is>
      </c>
      <c r="N1600" s="18" t="inlineStr"/>
      <c r="O1600" s="18" t="inlineStr"/>
      <c r="P1600" s="18" t="inlineStr">
        <is>
          <t>Mapeada en internal-institutional-control-service/src/esap/auditorias/entities/equipo-auditor.entity.ts:40 (EquipoAuditor.fechaRetiro)</t>
        </is>
      </c>
      <c r="Q1600" s="18" t="inlineStr">
        <is>
          <t>Regla estructural</t>
        </is>
      </c>
      <c r="R1600" s="18" t="inlineStr">
        <is>
          <t>Fecha de retiro.</t>
        </is>
      </c>
      <c r="S1600" s="18" t="inlineStr">
        <is>
          <t>Media</t>
        </is>
      </c>
      <c r="T1600" s="18" t="inlineStr">
        <is>
          <t>Convención de nombre de la columna.</t>
        </is>
      </c>
      <c r="U1600" s="18" t="inlineStr"/>
      <c r="V1600" s="19" t="inlineStr">
        <is>
          <t>Pendiente</t>
        </is>
      </c>
      <c r="W1600" s="19" t="inlineStr"/>
      <c r="X1600" s="19" t="inlineStr"/>
      <c r="Y1600" s="20" t="n"/>
      <c r="Z1600" s="19" t="inlineStr"/>
      <c r="AA1600" s="18">
        <f>IF(OR(V1600="Aprobada"),R1600,IF(AND(OR(V1600="Aprobada con ajuste",V1600="Rechazada"),W1600&lt;&gt;""),W1600,""))</f>
        <v/>
      </c>
    </row>
    <row r="1601">
      <c r="A1601" s="18" t="inlineStr">
        <is>
          <t>C1600</t>
        </is>
      </c>
      <c r="B1601" s="18" t="inlineStr">
        <is>
          <t>Control interno</t>
        </is>
      </c>
      <c r="C1601" s="18" t="inlineStr">
        <is>
          <t>control_interno</t>
        </is>
      </c>
      <c r="D1601" s="18" t="inlineStr">
        <is>
          <t>equipo_auditor</t>
        </is>
      </c>
      <c r="E1601" s="18" t="n">
        <v>160</v>
      </c>
      <c r="F1601" s="18" t="inlineStr">
        <is>
          <t>observaciones</t>
        </is>
      </c>
      <c r="G1601" s="18" t="inlineStr">
        <is>
          <t>text</t>
        </is>
      </c>
      <c r="H1601" s="18" t="inlineStr">
        <is>
          <t>Sí</t>
        </is>
      </c>
      <c r="I1601" s="18" t="inlineStr"/>
      <c r="J1601" s="18" t="inlineStr"/>
      <c r="K1601" s="18" t="inlineStr"/>
      <c r="L1601" s="18" t="inlineStr">
        <is>
          <t>No</t>
        </is>
      </c>
      <c r="M1601" s="18" t="inlineStr">
        <is>
          <t>Sí</t>
        </is>
      </c>
      <c r="N1601" s="18" t="inlineStr">
        <is>
          <t>Vista control_interno.v_auditor_disponibilidad</t>
        </is>
      </c>
      <c r="O1601" s="18" t="inlineStr"/>
      <c r="P1601" s="18" t="inlineStr">
        <is>
          <t>Mapeada en internal-institutional-control-service/src/esap/auditorias/entities/equipo-auditor.entity.ts:43 (EquipoAuditor.observaciones) | Validación: IsOptional, IsString</t>
        </is>
      </c>
      <c r="Q1601" s="18" t="inlineStr">
        <is>
          <t>Regla estructural</t>
        </is>
      </c>
      <c r="R1601" s="18" t="inlineStr">
        <is>
          <t>Observaciones registradas sobre el registro.</t>
        </is>
      </c>
      <c r="S1601" s="18" t="inlineStr">
        <is>
          <t>Media</t>
        </is>
      </c>
      <c r="T1601" s="18" t="inlineStr">
        <is>
          <t>Convención de nombre de la columna.</t>
        </is>
      </c>
      <c r="U1601" s="18" t="inlineStr"/>
      <c r="V1601" s="19" t="inlineStr">
        <is>
          <t>Pendiente</t>
        </is>
      </c>
      <c r="W1601" s="19" t="inlineStr"/>
      <c r="X1601" s="19" t="inlineStr"/>
      <c r="Y1601" s="20" t="n"/>
      <c r="Z1601" s="19" t="inlineStr"/>
      <c r="AA1601" s="18">
        <f>IF(OR(V1601="Aprobada"),R1601,IF(AND(OR(V1601="Aprobada con ajuste",V1601="Rechazada"),W1601&lt;&gt;""),W1601,""))</f>
        <v/>
      </c>
    </row>
    <row r="1602">
      <c r="A1602" s="18" t="inlineStr">
        <is>
          <t>C1601</t>
        </is>
      </c>
      <c r="B1602" s="18" t="inlineStr">
        <is>
          <t>Control interno</t>
        </is>
      </c>
      <c r="C1602" s="18" t="inlineStr">
        <is>
          <t>control_interno</t>
        </is>
      </c>
      <c r="D1602" s="18" t="inlineStr">
        <is>
          <t>especialidades_ocig</t>
        </is>
      </c>
      <c r="E1602" s="18" t="n">
        <v>13</v>
      </c>
      <c r="F1602" s="18" t="inlineStr">
        <is>
          <t>nombre</t>
        </is>
      </c>
      <c r="G1602" s="18" t="inlineStr">
        <is>
          <t>character varying(100)</t>
        </is>
      </c>
      <c r="H1602" s="18" t="inlineStr">
        <is>
          <t>No</t>
        </is>
      </c>
      <c r="I1602" s="18" t="inlineStr">
        <is>
          <t>Única</t>
        </is>
      </c>
      <c r="J1602" s="18" t="inlineStr"/>
      <c r="K1602" s="18" t="inlineStr"/>
      <c r="L1602" s="18" t="inlineStr">
        <is>
          <t>No</t>
        </is>
      </c>
      <c r="M1602" s="18" t="inlineStr">
        <is>
          <t>No</t>
        </is>
      </c>
      <c r="N1602" s="18" t="inlineStr"/>
      <c r="O1602" s="18" t="inlineStr">
        <is>
          <t>especialidades_ocig_nombre_key</t>
        </is>
      </c>
      <c r="P1602" s="18" t="inlineStr"/>
      <c r="Q1602" s="18" t="inlineStr">
        <is>
          <t>Regla estructural</t>
        </is>
      </c>
      <c r="R1602" s="18" t="inlineStr">
        <is>
          <t>Nombre del registro de especialidades_ocig.</t>
        </is>
      </c>
      <c r="S1602" s="18" t="inlineStr">
        <is>
          <t>Media</t>
        </is>
      </c>
      <c r="T1602" s="18" t="inlineStr">
        <is>
          <t>Convención de nombre de la columna.</t>
        </is>
      </c>
      <c r="U1602" s="18" t="inlineStr"/>
      <c r="V1602" s="19" t="inlineStr">
        <is>
          <t>Pendiente</t>
        </is>
      </c>
      <c r="W1602" s="19" t="inlineStr"/>
      <c r="X1602" s="19" t="inlineStr"/>
      <c r="Y1602" s="20" t="n"/>
      <c r="Z1602" s="19" t="inlineStr"/>
      <c r="AA1602" s="18">
        <f>IF(OR(V1602="Aprobada"),R1602,IF(AND(OR(V1602="Aprobada con ajuste",V1602="Rechazada"),W1602&lt;&gt;""),W1602,""))</f>
        <v/>
      </c>
    </row>
    <row r="1603">
      <c r="A1603" s="18" t="inlineStr">
        <is>
          <t>C1602</t>
        </is>
      </c>
      <c r="B1603" s="18" t="inlineStr">
        <is>
          <t>Control interno</t>
        </is>
      </c>
      <c r="C1603" s="18" t="inlineStr">
        <is>
          <t>control_interno</t>
        </is>
      </c>
      <c r="D1603" s="18" t="inlineStr">
        <is>
          <t>especialidades_ocig</t>
        </is>
      </c>
      <c r="E1603" s="18" t="n">
        <v>13</v>
      </c>
      <c r="F1603" s="18" t="inlineStr">
        <is>
          <t>descripcion</t>
        </is>
      </c>
      <c r="G1603" s="18" t="inlineStr">
        <is>
          <t>text</t>
        </is>
      </c>
      <c r="H1603" s="18" t="inlineStr">
        <is>
          <t>Sí</t>
        </is>
      </c>
      <c r="I1603" s="18" t="inlineStr"/>
      <c r="J1603" s="18" t="inlineStr"/>
      <c r="K1603" s="18" t="inlineStr"/>
      <c r="L1603" s="18" t="inlineStr">
        <is>
          <t>No</t>
        </is>
      </c>
      <c r="M1603" s="18" t="inlineStr">
        <is>
          <t>No</t>
        </is>
      </c>
      <c r="N1603" s="18" t="inlineStr"/>
      <c r="O1603" s="18" t="inlineStr"/>
      <c r="P1603" s="18" t="inlineStr"/>
      <c r="Q1603" s="18" t="inlineStr">
        <is>
          <t>Regla estructural</t>
        </is>
      </c>
      <c r="R1603" s="18" t="inlineStr">
        <is>
          <t>Descripción del registro de especialidades_ocig.</t>
        </is>
      </c>
      <c r="S1603" s="18" t="inlineStr">
        <is>
          <t>Media</t>
        </is>
      </c>
      <c r="T1603" s="18" t="inlineStr">
        <is>
          <t>Convención de nombre de la columna.</t>
        </is>
      </c>
      <c r="U1603" s="18" t="inlineStr"/>
      <c r="V1603" s="19" t="inlineStr">
        <is>
          <t>Pendiente</t>
        </is>
      </c>
      <c r="W1603" s="19" t="inlineStr"/>
      <c r="X1603" s="19" t="inlineStr"/>
      <c r="Y1603" s="20" t="n"/>
      <c r="Z1603" s="19" t="inlineStr"/>
      <c r="AA1603" s="18">
        <f>IF(OR(V1603="Aprobada"),R1603,IF(AND(OR(V1603="Aprobada con ajuste",V1603="Rechazada"),W1603&lt;&gt;""),W1603,""))</f>
        <v/>
      </c>
    </row>
    <row r="1604">
      <c r="A1604" s="18" t="inlineStr">
        <is>
          <t>C1603</t>
        </is>
      </c>
      <c r="B1604" s="18" t="inlineStr">
        <is>
          <t>Control interno</t>
        </is>
      </c>
      <c r="C1604" s="18" t="inlineStr">
        <is>
          <t>control_interno</t>
        </is>
      </c>
      <c r="D1604" s="18" t="inlineStr">
        <is>
          <t>especialidades_ocig</t>
        </is>
      </c>
      <c r="E1604" s="18" t="n">
        <v>13</v>
      </c>
      <c r="F1604" s="18" t="inlineStr">
        <is>
          <t>activo</t>
        </is>
      </c>
      <c r="G1604" s="18" t="inlineStr">
        <is>
          <t>boolean</t>
        </is>
      </c>
      <c r="H1604" s="18" t="inlineStr">
        <is>
          <t>Sí</t>
        </is>
      </c>
      <c r="I1604" s="18" t="inlineStr"/>
      <c r="J1604" s="18" t="inlineStr"/>
      <c r="K1604" s="18" t="inlineStr"/>
      <c r="L1604" s="18" t="inlineStr">
        <is>
          <t>No</t>
        </is>
      </c>
      <c r="M1604" s="18" t="inlineStr">
        <is>
          <t>No</t>
        </is>
      </c>
      <c r="N1604" s="18" t="inlineStr"/>
      <c r="O1604" s="18" t="inlineStr"/>
      <c r="P1604" s="18" t="inlineStr"/>
      <c r="Q1604" s="18" t="inlineStr">
        <is>
          <t>Regla estructural</t>
        </is>
      </c>
      <c r="R1604" s="18" t="inlineStr">
        <is>
          <t>Indica si el registro está activo.</t>
        </is>
      </c>
      <c r="S1604" s="18" t="inlineStr">
        <is>
          <t>Media</t>
        </is>
      </c>
      <c r="T1604" s="18" t="inlineStr">
        <is>
          <t>Convención de nombre de la columna.</t>
        </is>
      </c>
      <c r="U1604" s="18" t="inlineStr"/>
      <c r="V1604" s="19" t="inlineStr">
        <is>
          <t>Pendiente</t>
        </is>
      </c>
      <c r="W1604" s="19" t="inlineStr"/>
      <c r="X1604" s="19" t="inlineStr"/>
      <c r="Y1604" s="20" t="n"/>
      <c r="Z1604" s="19" t="inlineStr"/>
      <c r="AA1604" s="18">
        <f>IF(OR(V1604="Aprobada"),R1604,IF(AND(OR(V1604="Aprobada con ajuste",V1604="Rechazada"),W1604&lt;&gt;""),W1604,""))</f>
        <v/>
      </c>
    </row>
    <row r="1605">
      <c r="A1605" s="18" t="inlineStr">
        <is>
          <t>C1604</t>
        </is>
      </c>
      <c r="B1605" s="18" t="inlineStr">
        <is>
          <t>Control interno</t>
        </is>
      </c>
      <c r="C1605" s="18" t="inlineStr">
        <is>
          <t>control_interno</t>
        </is>
      </c>
      <c r="D1605" s="18" t="inlineStr">
        <is>
          <t>especialidades_ocig</t>
        </is>
      </c>
      <c r="E1605" s="18" t="n">
        <v>13</v>
      </c>
      <c r="F1605" s="18" t="inlineStr">
        <is>
          <t>orden</t>
        </is>
      </c>
      <c r="G1605" s="18" t="inlineStr">
        <is>
          <t>integer</t>
        </is>
      </c>
      <c r="H1605" s="18" t="inlineStr">
        <is>
          <t>Sí</t>
        </is>
      </c>
      <c r="I1605" s="18" t="inlineStr"/>
      <c r="J1605" s="18" t="inlineStr"/>
      <c r="K1605" s="18" t="inlineStr"/>
      <c r="L1605" s="18" t="inlineStr">
        <is>
          <t>No</t>
        </is>
      </c>
      <c r="M1605" s="18" t="inlineStr">
        <is>
          <t>No</t>
        </is>
      </c>
      <c r="N1605" s="18" t="inlineStr"/>
      <c r="O1605" s="18" t="inlineStr"/>
      <c r="P1605" s="18" t="inlineStr"/>
      <c r="Q1605" s="18" t="inlineStr">
        <is>
          <t>Regla estructural</t>
        </is>
      </c>
      <c r="R1605" s="18" t="inlineStr">
        <is>
          <t>Posición del registro para su ordenamiento.</t>
        </is>
      </c>
      <c r="S1605" s="18" t="inlineStr">
        <is>
          <t>Media</t>
        </is>
      </c>
      <c r="T1605" s="18" t="inlineStr">
        <is>
          <t>Convención de nombre de la columna.</t>
        </is>
      </c>
      <c r="U1605" s="18" t="inlineStr"/>
      <c r="V1605" s="19" t="inlineStr">
        <is>
          <t>Pendiente</t>
        </is>
      </c>
      <c r="W1605" s="19" t="inlineStr"/>
      <c r="X1605" s="19" t="inlineStr"/>
      <c r="Y1605" s="20" t="n"/>
      <c r="Z1605" s="19" t="inlineStr"/>
      <c r="AA1605" s="18">
        <f>IF(OR(V1605="Aprobada"),R1605,IF(AND(OR(V1605="Aprobada con ajuste",V1605="Rechazada"),W1605&lt;&gt;""),W1605,""))</f>
        <v/>
      </c>
    </row>
    <row r="1606">
      <c r="A1606" s="18" t="inlineStr">
        <is>
          <t>C1605</t>
        </is>
      </c>
      <c r="B1606" s="18" t="inlineStr">
        <is>
          <t>Control interno</t>
        </is>
      </c>
      <c r="C1606" s="18" t="inlineStr">
        <is>
          <t>control_interno</t>
        </is>
      </c>
      <c r="D1606" s="18" t="inlineStr">
        <is>
          <t>etapa_auditoria</t>
        </is>
      </c>
      <c r="E1606" s="18" t="n">
        <v>0</v>
      </c>
      <c r="F1606" s="18" t="inlineStr">
        <is>
          <t>etapa</t>
        </is>
      </c>
      <c r="G1606" s="18" t="inlineStr">
        <is>
          <t>character varying(50)</t>
        </is>
      </c>
      <c r="H1606" s="18" t="inlineStr">
        <is>
          <t>No</t>
        </is>
      </c>
      <c r="I1606" s="18" t="inlineStr">
        <is>
          <t>CHECK</t>
        </is>
      </c>
      <c r="J1606" s="18" t="inlineStr">
        <is>
          <t>comunicacion, ejecucion, planeacion</t>
        </is>
      </c>
      <c r="K1606" s="18" t="inlineStr"/>
      <c r="L1606" s="18" t="inlineStr">
        <is>
          <t>Sí</t>
        </is>
      </c>
      <c r="M1606" s="18" t="inlineStr">
        <is>
          <t>No</t>
        </is>
      </c>
      <c r="N1606" s="18" t="inlineStr"/>
      <c r="O1606" s="18" t="inlineStr"/>
      <c r="P1606" s="18" t="inlineStr"/>
      <c r="Q1606" s="18" t="inlineStr">
        <is>
          <t>Propuesta semántica</t>
        </is>
      </c>
      <c r="R1606" s="18" t="inlineStr">
        <is>
          <t>Etapa de ejecución de la auditoría. Valores permitidos: planeacion, comunicacion, ejecucion.</t>
        </is>
      </c>
      <c r="S1606" s="18" t="inlineStr">
        <is>
          <t>Alta</t>
        </is>
      </c>
      <c r="T1606" s="18" t="inlineStr">
        <is>
          <t>valores permitidos del CHECK ~</t>
        </is>
      </c>
      <c r="U1606" s="18" t="inlineStr"/>
      <c r="V1606" s="19" t="inlineStr">
        <is>
          <t>Pendiente</t>
        </is>
      </c>
      <c r="W1606" s="19" t="inlineStr"/>
      <c r="X1606" s="19" t="inlineStr"/>
      <c r="Y1606" s="20" t="n"/>
      <c r="Z1606" s="19" t="inlineStr"/>
      <c r="AA1606" s="18">
        <f>IF(OR(V1606="Aprobada"),R1606,IF(AND(OR(V1606="Aprobada con ajuste",V1606="Rechazada"),W1606&lt;&gt;""),W1606,""))</f>
        <v/>
      </c>
    </row>
    <row r="1607">
      <c r="A1607" s="18" t="inlineStr">
        <is>
          <t>C1606</t>
        </is>
      </c>
      <c r="B1607" s="18" t="inlineStr">
        <is>
          <t>Control interno</t>
        </is>
      </c>
      <c r="C1607" s="18" t="inlineStr">
        <is>
          <t>control_interno</t>
        </is>
      </c>
      <c r="D1607" s="18" t="inlineStr">
        <is>
          <t>etapa_auditoria</t>
        </is>
      </c>
      <c r="E1607" s="18" t="n">
        <v>0</v>
      </c>
      <c r="F1607" s="18" t="inlineStr">
        <is>
          <t>estado</t>
        </is>
      </c>
      <c r="G1607" s="18" t="inlineStr">
        <is>
          <t>character varying(50)</t>
        </is>
      </c>
      <c r="H1607" s="18" t="inlineStr">
        <is>
          <t>No</t>
        </is>
      </c>
      <c r="I1607" s="18" t="inlineStr">
        <is>
          <t>CHECK</t>
        </is>
      </c>
      <c r="J1607" s="18" t="inlineStr">
        <is>
          <t>completada, en_progreso, pendiente</t>
        </is>
      </c>
      <c r="K1607" s="18" t="inlineStr"/>
      <c r="L1607" s="18" t="inlineStr">
        <is>
          <t>Sí</t>
        </is>
      </c>
      <c r="M1607" s="18" t="inlineStr">
        <is>
          <t>No</t>
        </is>
      </c>
      <c r="N1607" s="18" t="inlineStr"/>
      <c r="O1607" s="18" t="inlineStr">
        <is>
          <t>idx_etapa_auditoria_estado</t>
        </is>
      </c>
      <c r="P1607" s="18" t="inlineStr"/>
      <c r="Q1607" s="18" t="inlineStr">
        <is>
          <t>Regla estructural</t>
        </is>
      </c>
      <c r="R1607" s="18" t="inlineStr">
        <is>
          <t>Estado del registro de etapa_auditoria.</t>
        </is>
      </c>
      <c r="S1607" s="18" t="inlineStr">
        <is>
          <t>Media</t>
        </is>
      </c>
      <c r="T1607" s="18" t="inlineStr">
        <is>
          <t>Convención de nombre de la columna.</t>
        </is>
      </c>
      <c r="U1607" s="18" t="inlineStr"/>
      <c r="V1607" s="19" t="inlineStr">
        <is>
          <t>Pendiente</t>
        </is>
      </c>
      <c r="W1607" s="19" t="inlineStr"/>
      <c r="X1607" s="19" t="inlineStr"/>
      <c r="Y1607" s="20" t="n"/>
      <c r="Z1607" s="19" t="inlineStr"/>
      <c r="AA1607" s="18">
        <f>IF(OR(V1607="Aprobada"),R1607,IF(AND(OR(V1607="Aprobada con ajuste",V1607="Rechazada"),W1607&lt;&gt;""),W1607,""))</f>
        <v/>
      </c>
    </row>
    <row r="1608">
      <c r="A1608" s="18" t="inlineStr">
        <is>
          <t>C1607</t>
        </is>
      </c>
      <c r="B1608" s="18" t="inlineStr">
        <is>
          <t>Control interno</t>
        </is>
      </c>
      <c r="C1608" s="18" t="inlineStr">
        <is>
          <t>control_interno</t>
        </is>
      </c>
      <c r="D1608" s="18" t="inlineStr">
        <is>
          <t>etapa_auditoria</t>
        </is>
      </c>
      <c r="E1608" s="18" t="n">
        <v>0</v>
      </c>
      <c r="F1608" s="18" t="inlineStr">
        <is>
          <t>fecha_inicio</t>
        </is>
      </c>
      <c r="G1608" s="18" t="inlineStr">
        <is>
          <t>date</t>
        </is>
      </c>
      <c r="H1608" s="18" t="inlineStr">
        <is>
          <t>No</t>
        </is>
      </c>
      <c r="I1608" s="18" t="inlineStr"/>
      <c r="J1608" s="18" t="inlineStr"/>
      <c r="K1608" s="18" t="inlineStr"/>
      <c r="L1608" s="18" t="inlineStr">
        <is>
          <t>No</t>
        </is>
      </c>
      <c r="M1608" s="18" t="inlineStr">
        <is>
          <t>No</t>
        </is>
      </c>
      <c r="N1608" s="18" t="inlineStr"/>
      <c r="O1608" s="18" t="inlineStr"/>
      <c r="P1608" s="18" t="inlineStr"/>
      <c r="Q1608" s="18" t="inlineStr">
        <is>
          <t>Regla estructural</t>
        </is>
      </c>
      <c r="R1608" s="18" t="inlineStr">
        <is>
          <t>Fecha de inicio.</t>
        </is>
      </c>
      <c r="S1608" s="18" t="inlineStr">
        <is>
          <t>Media</t>
        </is>
      </c>
      <c r="T1608" s="18" t="inlineStr">
        <is>
          <t>Convención de nombre de la columna.</t>
        </is>
      </c>
      <c r="U1608" s="18" t="inlineStr"/>
      <c r="V1608" s="19" t="inlineStr">
        <is>
          <t>Pendiente</t>
        </is>
      </c>
      <c r="W1608" s="19" t="inlineStr"/>
      <c r="X1608" s="19" t="inlineStr"/>
      <c r="Y1608" s="20" t="n"/>
      <c r="Z1608" s="19" t="inlineStr"/>
      <c r="AA1608" s="18">
        <f>IF(OR(V1608="Aprobada"),R1608,IF(AND(OR(V1608="Aprobada con ajuste",V1608="Rechazada"),W1608&lt;&gt;""),W1608,""))</f>
        <v/>
      </c>
    </row>
    <row r="1609">
      <c r="A1609" s="18" t="inlineStr">
        <is>
          <t>C1608</t>
        </is>
      </c>
      <c r="B1609" s="18" t="inlineStr">
        <is>
          <t>Control interno</t>
        </is>
      </c>
      <c r="C1609" s="18" t="inlineStr">
        <is>
          <t>control_interno</t>
        </is>
      </c>
      <c r="D1609" s="18" t="inlineStr">
        <is>
          <t>etapa_auditoria</t>
        </is>
      </c>
      <c r="E1609" s="18" t="n">
        <v>0</v>
      </c>
      <c r="F1609" s="18" t="inlineStr">
        <is>
          <t>fecha_fin</t>
        </is>
      </c>
      <c r="G1609" s="18" t="inlineStr">
        <is>
          <t>date</t>
        </is>
      </c>
      <c r="H1609" s="18" t="inlineStr">
        <is>
          <t>Sí</t>
        </is>
      </c>
      <c r="I1609" s="18" t="inlineStr"/>
      <c r="J1609" s="18" t="inlineStr"/>
      <c r="K1609" s="18" t="inlineStr"/>
      <c r="L1609" s="18" t="inlineStr">
        <is>
          <t>No</t>
        </is>
      </c>
      <c r="M1609" s="18" t="inlineStr">
        <is>
          <t>No</t>
        </is>
      </c>
      <c r="N1609" s="18" t="inlineStr"/>
      <c r="O1609" s="18" t="inlineStr"/>
      <c r="P1609" s="18" t="inlineStr"/>
      <c r="Q1609" s="18" t="inlineStr">
        <is>
          <t>Regla estructural</t>
        </is>
      </c>
      <c r="R1609" s="18" t="inlineStr">
        <is>
          <t>Fecha de finalización.</t>
        </is>
      </c>
      <c r="S1609" s="18" t="inlineStr">
        <is>
          <t>Media</t>
        </is>
      </c>
      <c r="T1609" s="18" t="inlineStr">
        <is>
          <t>Convención de nombre de la columna.</t>
        </is>
      </c>
      <c r="U1609" s="18" t="inlineStr"/>
      <c r="V1609" s="19" t="inlineStr">
        <is>
          <t>Pendiente</t>
        </is>
      </c>
      <c r="W1609" s="19" t="inlineStr"/>
      <c r="X1609" s="19" t="inlineStr"/>
      <c r="Y1609" s="20" t="n"/>
      <c r="Z1609" s="19" t="inlineStr"/>
      <c r="AA1609" s="18">
        <f>IF(OR(V1609="Aprobada"),R1609,IF(AND(OR(V1609="Aprobada con ajuste",V1609="Rechazada"),W1609&lt;&gt;""),W1609,""))</f>
        <v/>
      </c>
    </row>
    <row r="1610">
      <c r="A1610" s="18" t="inlineStr">
        <is>
          <t>C1609</t>
        </is>
      </c>
      <c r="B1610" s="18" t="inlineStr">
        <is>
          <t>Control interno</t>
        </is>
      </c>
      <c r="C1610" s="18" t="inlineStr">
        <is>
          <t>control_interno</t>
        </is>
      </c>
      <c r="D1610" s="18" t="inlineStr">
        <is>
          <t>etapa_auditoria</t>
        </is>
      </c>
      <c r="E1610" s="18" t="n">
        <v>0</v>
      </c>
      <c r="F1610" s="18" t="inlineStr">
        <is>
          <t>fecha_limite</t>
        </is>
      </c>
      <c r="G1610" s="18" t="inlineStr">
        <is>
          <t>date</t>
        </is>
      </c>
      <c r="H1610" s="18" t="inlineStr">
        <is>
          <t>No</t>
        </is>
      </c>
      <c r="I1610" s="18" t="inlineStr"/>
      <c r="J1610" s="18" t="inlineStr"/>
      <c r="K1610" s="18" t="inlineStr"/>
      <c r="L1610" s="18" t="inlineStr">
        <is>
          <t>No</t>
        </is>
      </c>
      <c r="M1610" s="18" t="inlineStr">
        <is>
          <t>No</t>
        </is>
      </c>
      <c r="N1610" s="18" t="inlineStr"/>
      <c r="O1610" s="18" t="inlineStr"/>
      <c r="P1610" s="18" t="inlineStr"/>
      <c r="Q1610" s="18" t="inlineStr">
        <is>
          <t>Regla estructural</t>
        </is>
      </c>
      <c r="R1610" s="18" t="inlineStr">
        <is>
          <t>Fecha límite.</t>
        </is>
      </c>
      <c r="S1610" s="18" t="inlineStr">
        <is>
          <t>Media</t>
        </is>
      </c>
      <c r="T1610" s="18" t="inlineStr">
        <is>
          <t>Convención de nombre de la columna.</t>
        </is>
      </c>
      <c r="U1610" s="18" t="inlineStr"/>
      <c r="V1610" s="19" t="inlineStr">
        <is>
          <t>Pendiente</t>
        </is>
      </c>
      <c r="W1610" s="19" t="inlineStr"/>
      <c r="X1610" s="19" t="inlineStr"/>
      <c r="Y1610" s="20" t="n"/>
      <c r="Z1610" s="19" t="inlineStr"/>
      <c r="AA1610" s="18">
        <f>IF(OR(V1610="Aprobada"),R1610,IF(AND(OR(V1610="Aprobada con ajuste",V1610="Rechazada"),W1610&lt;&gt;""),W1610,""))</f>
        <v/>
      </c>
    </row>
    <row r="1611">
      <c r="A1611" s="18" t="inlineStr">
        <is>
          <t>C1610</t>
        </is>
      </c>
      <c r="B1611" s="18" t="inlineStr">
        <is>
          <t>Control interno</t>
        </is>
      </c>
      <c r="C1611" s="18" t="inlineStr">
        <is>
          <t>control_interno</t>
        </is>
      </c>
      <c r="D1611" s="18" t="inlineStr">
        <is>
          <t>etapa_auditoria</t>
        </is>
      </c>
      <c r="E1611" s="18" t="n">
        <v>0</v>
      </c>
      <c r="F1611" s="18" t="inlineStr">
        <is>
          <t>datos</t>
        </is>
      </c>
      <c r="G1611" s="18" t="inlineStr">
        <is>
          <t>jsonb</t>
        </is>
      </c>
      <c r="H1611" s="18" t="inlineStr">
        <is>
          <t>No</t>
        </is>
      </c>
      <c r="I1611" s="18" t="inlineStr"/>
      <c r="J1611" s="18" t="inlineStr"/>
      <c r="K1611" s="18" t="inlineStr"/>
      <c r="L1611" s="18" t="inlineStr">
        <is>
          <t>No</t>
        </is>
      </c>
      <c r="M1611" s="18" t="inlineStr">
        <is>
          <t>No</t>
        </is>
      </c>
      <c r="N1611" s="18" t="inlineStr"/>
      <c r="O1611" s="18" t="inlineStr"/>
      <c r="P1611" s="18" t="inlineStr"/>
      <c r="Q1611" s="18" t="inlineStr">
        <is>
          <t>Propuesta semántica</t>
        </is>
      </c>
      <c r="R1611" s="18" t="inlineStr">
        <is>
          <t>Datos registrados para la etapa de la auditoría, en formato JSON.</t>
        </is>
      </c>
      <c r="S1611" s="18" t="inlineStr">
        <is>
          <t>Baja</t>
        </is>
      </c>
      <c r="T1611" s="18" t="inlineStr">
        <is>
          <t>nombre + tipo jsonb</t>
        </is>
      </c>
      <c r="U1611" s="18" t="inlineStr">
        <is>
          <t>¿Qué estructura tiene datos en cada etapa?</t>
        </is>
      </c>
      <c r="V1611" s="19" t="inlineStr">
        <is>
          <t>Pendiente</t>
        </is>
      </c>
      <c r="W1611" s="19" t="inlineStr"/>
      <c r="X1611" s="19" t="inlineStr"/>
      <c r="Y1611" s="20" t="n"/>
      <c r="Z1611" s="19" t="inlineStr"/>
      <c r="AA1611" s="18">
        <f>IF(OR(V1611="Aprobada"),R1611,IF(AND(OR(V1611="Aprobada con ajuste",V1611="Rechazada"),W1611&lt;&gt;""),W1611,""))</f>
        <v/>
      </c>
    </row>
    <row r="1612">
      <c r="A1612" s="18" t="inlineStr">
        <is>
          <t>C1611</t>
        </is>
      </c>
      <c r="B1612" s="18" t="inlineStr">
        <is>
          <t>Control interno</t>
        </is>
      </c>
      <c r="C1612" s="18" t="inlineStr">
        <is>
          <t>control_interno</t>
        </is>
      </c>
      <c r="D1612" s="18" t="inlineStr">
        <is>
          <t>etapa_auditoria</t>
        </is>
      </c>
      <c r="E1612" s="18" t="n">
        <v>0</v>
      </c>
      <c r="F1612" s="18" t="inlineStr">
        <is>
          <t>porcentaje_avance</t>
        </is>
      </c>
      <c r="G1612" s="18" t="inlineStr">
        <is>
          <t>integer</t>
        </is>
      </c>
      <c r="H1612" s="18" t="inlineStr">
        <is>
          <t>Sí</t>
        </is>
      </c>
      <c r="I1612" s="18" t="inlineStr">
        <is>
          <t>CHECK</t>
        </is>
      </c>
      <c r="J1612" s="18" t="inlineStr"/>
      <c r="K1612" s="18" t="inlineStr"/>
      <c r="L1612" s="18" t="inlineStr">
        <is>
          <t>No</t>
        </is>
      </c>
      <c r="M1612" s="18" t="inlineStr">
        <is>
          <t>No</t>
        </is>
      </c>
      <c r="N1612" s="18" t="inlineStr"/>
      <c r="O1612" s="18" t="inlineStr"/>
      <c r="P1612" s="18" t="inlineStr"/>
      <c r="Q1612" s="18" t="inlineStr">
        <is>
          <t>Propuesta semántica</t>
        </is>
      </c>
      <c r="R1612" s="18" t="inlineStr">
        <is>
          <t>Porcentaje de avance de la etapa de la auditoría.</t>
        </is>
      </c>
      <c r="S1612" s="18" t="inlineStr">
        <is>
          <t>Media</t>
        </is>
      </c>
      <c r="T1612" s="18" t="inlineStr">
        <is>
          <t>nombre + tipo + defecto 0</t>
        </is>
      </c>
      <c r="U1612" s="18" t="inlineStr">
        <is>
          <t>¿porcentaje_avance se expresa de 0 a 100 y quién lo actualiza?</t>
        </is>
      </c>
      <c r="V1612" s="19" t="inlineStr">
        <is>
          <t>Pendiente</t>
        </is>
      </c>
      <c r="W1612" s="19" t="inlineStr"/>
      <c r="X1612" s="19" t="inlineStr"/>
      <c r="Y1612" s="20" t="n"/>
      <c r="Z1612" s="19" t="inlineStr"/>
      <c r="AA1612" s="18">
        <f>IF(OR(V1612="Aprobada"),R1612,IF(AND(OR(V1612="Aprobada con ajuste",V1612="Rechazada"),W1612&lt;&gt;""),W1612,""))</f>
        <v/>
      </c>
    </row>
    <row r="1613">
      <c r="A1613" s="18" t="inlineStr">
        <is>
          <t>C1612</t>
        </is>
      </c>
      <c r="B1613" s="18" t="inlineStr">
        <is>
          <t>Control interno</t>
        </is>
      </c>
      <c r="C1613" s="18" t="inlineStr">
        <is>
          <t>control_interno</t>
        </is>
      </c>
      <c r="D1613" s="18" t="inlineStr">
        <is>
          <t>etapa_kanban</t>
        </is>
      </c>
      <c r="E1613" s="18" t="n">
        <v>12</v>
      </c>
      <c r="F1613" s="18" t="inlineStr">
        <is>
          <t>nombre</t>
        </is>
      </c>
      <c r="G1613" s="18" t="inlineStr">
        <is>
          <t>character varying(255)</t>
        </is>
      </c>
      <c r="H1613" s="18" t="inlineStr">
        <is>
          <t>No</t>
        </is>
      </c>
      <c r="I1613" s="18" t="inlineStr"/>
      <c r="J1613" s="18" t="inlineStr"/>
      <c r="K1613" s="18" t="inlineStr"/>
      <c r="L1613" s="18" t="inlineStr">
        <is>
          <t>No</t>
        </is>
      </c>
      <c r="M1613" s="18" t="inlineStr">
        <is>
          <t>No</t>
        </is>
      </c>
      <c r="N1613" s="18" t="inlineStr"/>
      <c r="O1613" s="18" t="inlineStr"/>
      <c r="P1613" s="18" t="inlineStr">
        <is>
          <t>Mapeada en internal-institutional-control-service/src/esap/tableros-kanban/entities/etapa-kanban.entity.ts:38 (EtapaKanban.nombre) | Validación: IsNotEmpty, IsNotEmpty({ message: 'El nombre del documento es obligatorio' }), IsOptional, IsString, Length(1, 500), MaxLength(120)</t>
        </is>
      </c>
      <c r="Q1613" s="18" t="inlineStr">
        <is>
          <t>Regla estructural</t>
        </is>
      </c>
      <c r="R1613" s="18" t="inlineStr">
        <is>
          <t>Nombre del registro de etapa_kanban.</t>
        </is>
      </c>
      <c r="S1613" s="18" t="inlineStr">
        <is>
          <t>Media</t>
        </is>
      </c>
      <c r="T1613" s="18" t="inlineStr">
        <is>
          <t>Convención de nombre de la columna.</t>
        </is>
      </c>
      <c r="U1613" s="18" t="inlineStr"/>
      <c r="V1613" s="19" t="inlineStr">
        <is>
          <t>Pendiente</t>
        </is>
      </c>
      <c r="W1613" s="19" t="inlineStr"/>
      <c r="X1613" s="19" t="inlineStr"/>
      <c r="Y1613" s="20" t="n"/>
      <c r="Z1613" s="19" t="inlineStr"/>
      <c r="AA1613" s="18">
        <f>IF(OR(V1613="Aprobada"),R1613,IF(AND(OR(V1613="Aprobada con ajuste",V1613="Rechazada"),W1613&lt;&gt;""),W1613,""))</f>
        <v/>
      </c>
    </row>
    <row r="1614">
      <c r="A1614" s="18" t="inlineStr">
        <is>
          <t>C1613</t>
        </is>
      </c>
      <c r="B1614" s="18" t="inlineStr">
        <is>
          <t>Control interno</t>
        </is>
      </c>
      <c r="C1614" s="18" t="inlineStr">
        <is>
          <t>control_interno</t>
        </is>
      </c>
      <c r="D1614" s="18" t="inlineStr">
        <is>
          <t>etapa_kanban</t>
        </is>
      </c>
      <c r="E1614" s="18" t="n">
        <v>12</v>
      </c>
      <c r="F1614" s="18" t="inlineStr">
        <is>
          <t>descripcion</t>
        </is>
      </c>
      <c r="G1614" s="18" t="inlineStr">
        <is>
          <t>text</t>
        </is>
      </c>
      <c r="H1614" s="18" t="inlineStr">
        <is>
          <t>Sí</t>
        </is>
      </c>
      <c r="I1614" s="18" t="inlineStr"/>
      <c r="J1614" s="18" t="inlineStr"/>
      <c r="K1614" s="18" t="inlineStr"/>
      <c r="L1614" s="18" t="inlineStr">
        <is>
          <t>No</t>
        </is>
      </c>
      <c r="M1614" s="18" t="inlineStr">
        <is>
          <t>No</t>
        </is>
      </c>
      <c r="N1614" s="18" t="inlineStr"/>
      <c r="O1614" s="18" t="inlineStr"/>
      <c r="P1614" s="18" t="inlineStr">
        <is>
          <t>Mapeada en internal-institutional-control-service/src/esap/tableros-kanban/entities/etapa-kanban.entity.ts:41 (EtapaKanban.descripcion) | Validación: IsNotEmpty, IsOptional, IsString</t>
        </is>
      </c>
      <c r="Q1614" s="18" t="inlineStr">
        <is>
          <t>Regla estructural</t>
        </is>
      </c>
      <c r="R1614" s="18" t="inlineStr">
        <is>
          <t>Descripción del registro de etapa_kanban.</t>
        </is>
      </c>
      <c r="S1614" s="18" t="inlineStr">
        <is>
          <t>Media</t>
        </is>
      </c>
      <c r="T1614" s="18" t="inlineStr">
        <is>
          <t>Convención de nombre de la columna.</t>
        </is>
      </c>
      <c r="U1614" s="18" t="inlineStr"/>
      <c r="V1614" s="19" t="inlineStr">
        <is>
          <t>Pendiente</t>
        </is>
      </c>
      <c r="W1614" s="19" t="inlineStr"/>
      <c r="X1614" s="19" t="inlineStr"/>
      <c r="Y1614" s="20" t="n"/>
      <c r="Z1614" s="19" t="inlineStr"/>
      <c r="AA1614" s="18">
        <f>IF(OR(V1614="Aprobada"),R1614,IF(AND(OR(V1614="Aprobada con ajuste",V1614="Rechazada"),W1614&lt;&gt;""),W1614,""))</f>
        <v/>
      </c>
    </row>
    <row r="1615">
      <c r="A1615" s="18" t="inlineStr">
        <is>
          <t>C1614</t>
        </is>
      </c>
      <c r="B1615" s="18" t="inlineStr">
        <is>
          <t>Control interno</t>
        </is>
      </c>
      <c r="C1615" s="18" t="inlineStr">
        <is>
          <t>control_interno</t>
        </is>
      </c>
      <c r="D1615" s="18" t="inlineStr">
        <is>
          <t>etapa_kanban</t>
        </is>
      </c>
      <c r="E1615" s="18" t="n">
        <v>12</v>
      </c>
      <c r="F1615" s="18" t="inlineStr">
        <is>
          <t>orden</t>
        </is>
      </c>
      <c r="G1615" s="18" t="inlineStr">
        <is>
          <t>integer</t>
        </is>
      </c>
      <c r="H1615" s="18" t="inlineStr">
        <is>
          <t>No</t>
        </is>
      </c>
      <c r="I1615" s="18" t="inlineStr"/>
      <c r="J1615" s="18" t="inlineStr"/>
      <c r="K1615" s="18" t="inlineStr"/>
      <c r="L1615" s="18" t="inlineStr">
        <is>
          <t>No</t>
        </is>
      </c>
      <c r="M1615" s="18" t="inlineStr">
        <is>
          <t>No</t>
        </is>
      </c>
      <c r="N1615" s="18" t="inlineStr"/>
      <c r="O1615" s="18" t="inlineStr">
        <is>
          <t>idx_etapa_kanban_tablero_orden</t>
        </is>
      </c>
      <c r="P1615" s="18" t="inlineStr">
        <is>
          <t>Mapeada en internal-institutional-control-service/src/esap/tableros-kanban/entities/etapa-kanban.entity.ts:44 (EtapaKanban.orden) | Validación: IsInt, IsOptional, Min(1)</t>
        </is>
      </c>
      <c r="Q1615" s="18" t="inlineStr">
        <is>
          <t>Regla estructural</t>
        </is>
      </c>
      <c r="R1615" s="18" t="inlineStr">
        <is>
          <t>Posición del registro para su ordenamiento.</t>
        </is>
      </c>
      <c r="S1615" s="18" t="inlineStr">
        <is>
          <t>Media</t>
        </is>
      </c>
      <c r="T1615" s="18" t="inlineStr">
        <is>
          <t>Convención de nombre de la columna.</t>
        </is>
      </c>
      <c r="U1615" s="18" t="inlineStr"/>
      <c r="V1615" s="19" t="inlineStr">
        <is>
          <t>Pendiente</t>
        </is>
      </c>
      <c r="W1615" s="19" t="inlineStr"/>
      <c r="X1615" s="19" t="inlineStr"/>
      <c r="Y1615" s="20" t="n"/>
      <c r="Z1615" s="19" t="inlineStr"/>
      <c r="AA1615" s="18">
        <f>IF(OR(V1615="Aprobada"),R1615,IF(AND(OR(V1615="Aprobada con ajuste",V1615="Rechazada"),W1615&lt;&gt;""),W1615,""))</f>
        <v/>
      </c>
    </row>
    <row r="1616">
      <c r="A1616" s="18" t="inlineStr">
        <is>
          <t>C1615</t>
        </is>
      </c>
      <c r="B1616" s="18" t="inlineStr">
        <is>
          <t>Control interno</t>
        </is>
      </c>
      <c r="C1616" s="18" t="inlineStr">
        <is>
          <t>control_interno</t>
        </is>
      </c>
      <c r="D1616" s="18" t="inlineStr">
        <is>
          <t>etapa_kanban</t>
        </is>
      </c>
      <c r="E1616" s="18" t="n">
        <v>12</v>
      </c>
      <c r="F1616" s="18" t="inlineStr">
        <is>
          <t>color</t>
        </is>
      </c>
      <c r="G1616" s="18" t="inlineStr">
        <is>
          <t>character varying(7)</t>
        </is>
      </c>
      <c r="H1616" s="18" t="inlineStr">
        <is>
          <t>No</t>
        </is>
      </c>
      <c r="I1616" s="18" t="inlineStr"/>
      <c r="J1616" s="18" t="inlineStr"/>
      <c r="K1616" s="18" t="inlineStr"/>
      <c r="L1616" s="18" t="inlineStr">
        <is>
          <t>No</t>
        </is>
      </c>
      <c r="M1616" s="18" t="inlineStr">
        <is>
          <t>No</t>
        </is>
      </c>
      <c r="N1616" s="18" t="inlineStr"/>
      <c r="O1616" s="18" t="inlineStr"/>
      <c r="P1616" s="18" t="inlineStr">
        <is>
          <t>internal-institutional-control-service/src/esap/tableros-kanban/entities/etapa-kanban.entity.ts:47: Hex color | db/migrations/old/089_create_tableros_kanban.sql:32: Hex color | Validación: IsOptional, IsString, MaxLength(120)</t>
        </is>
      </c>
      <c r="Q1616" s="18" t="inlineStr">
        <is>
          <t>Código fuente</t>
        </is>
      </c>
      <c r="R1616" s="18" t="inlineStr">
        <is>
          <t>Color de la etapa en el tablero Kanban, en formato hexadecimal.</t>
        </is>
      </c>
      <c r="S1616" s="18" t="inlineStr">
        <is>
          <t>Alta</t>
        </is>
      </c>
      <c r="T1616" s="18" t="inlineStr">
        <is>
          <t>código: internal-institutional-control-service/src/esap/tableros-kanban/entities/etapa-kanban.entity.ts:47</t>
        </is>
      </c>
      <c r="U1616" s="18" t="inlineStr"/>
      <c r="V1616" s="19" t="inlineStr">
        <is>
          <t>Pendiente</t>
        </is>
      </c>
      <c r="W1616" s="19" t="inlineStr"/>
      <c r="X1616" s="19" t="inlineStr"/>
      <c r="Y1616" s="20" t="n"/>
      <c r="Z1616" s="19" t="inlineStr"/>
      <c r="AA1616" s="18">
        <f>IF(OR(V1616="Aprobada"),R1616,IF(AND(OR(V1616="Aprobada con ajuste",V1616="Rechazada"),W1616&lt;&gt;""),W1616,""))</f>
        <v/>
      </c>
    </row>
    <row r="1617">
      <c r="A1617" s="18" t="inlineStr">
        <is>
          <t>C1616</t>
        </is>
      </c>
      <c r="B1617" s="18" t="inlineStr">
        <is>
          <t>Control interno</t>
        </is>
      </c>
      <c r="C1617" s="18" t="inlineStr">
        <is>
          <t>control_interno</t>
        </is>
      </c>
      <c r="D1617" s="18" t="inlineStr">
        <is>
          <t>etapa_kanban</t>
        </is>
      </c>
      <c r="E1617" s="18" t="n">
        <v>12</v>
      </c>
      <c r="F1617" s="18" t="inlineStr">
        <is>
          <t>visible</t>
        </is>
      </c>
      <c r="G1617" s="18" t="inlineStr">
        <is>
          <t>boolean</t>
        </is>
      </c>
      <c r="H1617" s="18" t="inlineStr">
        <is>
          <t>No</t>
        </is>
      </c>
      <c r="I1617" s="18" t="inlineStr"/>
      <c r="J1617" s="18" t="inlineStr"/>
      <c r="K1617" s="18" t="inlineStr"/>
      <c r="L1617" s="18" t="inlineStr">
        <is>
          <t>No</t>
        </is>
      </c>
      <c r="M1617" s="18" t="inlineStr">
        <is>
          <t>No</t>
        </is>
      </c>
      <c r="N1617" s="18" t="inlineStr"/>
      <c r="O1617" s="18" t="inlineStr"/>
      <c r="P1617" s="18" t="inlineStr">
        <is>
          <t>Mapeada en internal-institutional-control-service/src/esap/tableros-kanban/entities/etapa-kanban.entity.ts:56 (EtapaKanban.visible) | Validación: IsBoolean, IsOptional</t>
        </is>
      </c>
      <c r="Q1617" s="18" t="inlineStr">
        <is>
          <t>Regla estructural</t>
        </is>
      </c>
      <c r="R1617" s="18" t="inlineStr">
        <is>
          <t>Indica si aplica: visible.</t>
        </is>
      </c>
      <c r="S1617" s="18" t="inlineStr">
        <is>
          <t>Media</t>
        </is>
      </c>
      <c r="T1617" s="18" t="inlineStr">
        <is>
          <t>Convención de nombre de la columna.</t>
        </is>
      </c>
      <c r="U1617" s="18" t="inlineStr"/>
      <c r="V1617" s="19" t="inlineStr">
        <is>
          <t>Pendiente</t>
        </is>
      </c>
      <c r="W1617" s="19" t="inlineStr"/>
      <c r="X1617" s="19" t="inlineStr"/>
      <c r="Y1617" s="20" t="n"/>
      <c r="Z1617" s="19" t="inlineStr"/>
      <c r="AA1617" s="18">
        <f>IF(OR(V1617="Aprobada"),R1617,IF(AND(OR(V1617="Aprobada con ajuste",V1617="Rechazada"),W1617&lt;&gt;""),W1617,""))</f>
        <v/>
      </c>
    </row>
    <row r="1618">
      <c r="A1618" s="18" t="inlineStr">
        <is>
          <t>C1617</t>
        </is>
      </c>
      <c r="B1618" s="18" t="inlineStr">
        <is>
          <t>Control interno</t>
        </is>
      </c>
      <c r="C1618" s="18" t="inlineStr">
        <is>
          <t>control_interno</t>
        </is>
      </c>
      <c r="D1618" s="18" t="inlineStr">
        <is>
          <t>etapa_kanban</t>
        </is>
      </c>
      <c r="E1618" s="18" t="n">
        <v>12</v>
      </c>
      <c r="F1618" s="18" t="inlineStr">
        <is>
          <t>notificar_vencimiento</t>
        </is>
      </c>
      <c r="G1618" s="18" t="inlineStr">
        <is>
          <t>boolean</t>
        </is>
      </c>
      <c r="H1618" s="18" t="inlineStr">
        <is>
          <t>No</t>
        </is>
      </c>
      <c r="I1618" s="18" t="inlineStr"/>
      <c r="J1618" s="18" t="inlineStr"/>
      <c r="K1618" s="18" t="inlineStr"/>
      <c r="L1618" s="18" t="inlineStr">
        <is>
          <t>No</t>
        </is>
      </c>
      <c r="M1618" s="18" t="inlineStr">
        <is>
          <t>No</t>
        </is>
      </c>
      <c r="N1618" s="18" t="inlineStr"/>
      <c r="O1618" s="18" t="inlineStr"/>
      <c r="P1618" s="18" t="inlineStr">
        <is>
          <t>Mapeada en internal-institutional-control-service/src/esap/tableros-kanban/entities/etapa-kanban.entity.ts:59 (EtapaKanban.notificarVencimiento) | Validación: IsBoolean, IsOptional</t>
        </is>
      </c>
      <c r="Q1618" s="18" t="inlineStr">
        <is>
          <t>Regla estructural</t>
        </is>
      </c>
      <c r="R1618" s="18" t="inlineStr">
        <is>
          <t>Indica si aplica: notificar vencimiento.</t>
        </is>
      </c>
      <c r="S1618" s="18" t="inlineStr">
        <is>
          <t>Media</t>
        </is>
      </c>
      <c r="T1618" s="18" t="inlineStr">
        <is>
          <t>Convención de nombre de la columna.</t>
        </is>
      </c>
      <c r="U1618" s="18" t="inlineStr"/>
      <c r="V1618" s="19" t="inlineStr">
        <is>
          <t>Pendiente</t>
        </is>
      </c>
      <c r="W1618" s="19" t="inlineStr"/>
      <c r="X1618" s="19" t="inlineStr"/>
      <c r="Y1618" s="20" t="n"/>
      <c r="Z1618" s="19" t="inlineStr"/>
      <c r="AA1618" s="18">
        <f>IF(OR(V1618="Aprobada"),R1618,IF(AND(OR(V1618="Aprobada con ajuste",V1618="Rechazada"),W1618&lt;&gt;""),W1618,""))</f>
        <v/>
      </c>
    </row>
    <row r="1619">
      <c r="A1619" s="18" t="inlineStr">
        <is>
          <t>C1618</t>
        </is>
      </c>
      <c r="B1619" s="18" t="inlineStr">
        <is>
          <t>Control interno</t>
        </is>
      </c>
      <c r="C1619" s="18" t="inlineStr">
        <is>
          <t>control_interno</t>
        </is>
      </c>
      <c r="D1619" s="18" t="inlineStr">
        <is>
          <t>etapa_kanban</t>
        </is>
      </c>
      <c r="E1619" s="18" t="n">
        <v>12</v>
      </c>
      <c r="F1619" s="18" t="inlineStr">
        <is>
          <t>dias_anticipacion_alerta</t>
        </is>
      </c>
      <c r="G1619" s="18" t="inlineStr">
        <is>
          <t>integer</t>
        </is>
      </c>
      <c r="H1619" s="18" t="inlineStr">
        <is>
          <t>No</t>
        </is>
      </c>
      <c r="I1619" s="18" t="inlineStr"/>
      <c r="J1619" s="18" t="inlineStr"/>
      <c r="K1619" s="18" t="inlineStr"/>
      <c r="L1619" s="18" t="inlineStr">
        <is>
          <t>No</t>
        </is>
      </c>
      <c r="M1619" s="18" t="inlineStr">
        <is>
          <t>No</t>
        </is>
      </c>
      <c r="N1619" s="18" t="inlineStr"/>
      <c r="O1619" s="18" t="inlineStr"/>
      <c r="P1619" s="18" t="inlineStr">
        <is>
          <t>Mapeada en internal-institutional-control-service/src/esap/tableros-kanban/entities/etapa-kanban.entity.ts:62 (EtapaKanban.diasAnticipacionAlerta) | Validación: IsInt, IsOptional, Max(90), Min(0), Min(1)</t>
        </is>
      </c>
      <c r="Q1619" s="18" t="inlineStr">
        <is>
          <t>Propuesta semántica</t>
        </is>
      </c>
      <c r="R1619" s="18" t="inlineStr">
        <is>
          <t>Días de anticipación con que se alerta el vencimiento de la etapa, de 0 a 90; 0 por defecto.</t>
        </is>
      </c>
      <c r="S1619" s="18" t="inlineStr">
        <is>
          <t>Media</t>
        </is>
      </c>
      <c r="T1619" s="18" t="inlineStr">
        <is>
          <t>nombre + validaciones Min(0), Max(90) + columnas vecinas (notificar_vencimiento)</t>
        </is>
      </c>
      <c r="U1619" s="18" t="inlineStr">
        <is>
          <t>¿El mínimo es 0 o 1? Las validaciones declaran Min(0) y Min(1).</t>
        </is>
      </c>
      <c r="V1619" s="19" t="inlineStr">
        <is>
          <t>Pendiente</t>
        </is>
      </c>
      <c r="W1619" s="19" t="inlineStr"/>
      <c r="X1619" s="19" t="inlineStr"/>
      <c r="Y1619" s="20" t="n"/>
      <c r="Z1619" s="19" t="inlineStr"/>
      <c r="AA1619" s="18">
        <f>IF(OR(V1619="Aprobada"),R1619,IF(AND(OR(V1619="Aprobada con ajuste",V1619="Rechazada"),W1619&lt;&gt;""),W1619,""))</f>
        <v/>
      </c>
    </row>
    <row r="1620">
      <c r="A1620" s="18" t="inlineStr">
        <is>
          <t>C1619</t>
        </is>
      </c>
      <c r="B1620" s="18" t="inlineStr">
        <is>
          <t>Control interno</t>
        </is>
      </c>
      <c r="C1620" s="18" t="inlineStr">
        <is>
          <t>control_interno</t>
        </is>
      </c>
      <c r="D1620" s="18" t="inlineStr">
        <is>
          <t>etapa_kanban</t>
        </is>
      </c>
      <c r="E1620" s="18" t="n">
        <v>12</v>
      </c>
      <c r="F1620" s="18" t="inlineStr">
        <is>
          <t>permitir_retroceso</t>
        </is>
      </c>
      <c r="G1620" s="18" t="inlineStr">
        <is>
          <t>boolean</t>
        </is>
      </c>
      <c r="H1620" s="18" t="inlineStr">
        <is>
          <t>No</t>
        </is>
      </c>
      <c r="I1620" s="18" t="inlineStr"/>
      <c r="J1620" s="18" t="inlineStr"/>
      <c r="K1620" s="18" t="inlineStr"/>
      <c r="L1620" s="18" t="inlineStr">
        <is>
          <t>No</t>
        </is>
      </c>
      <c r="M1620" s="18" t="inlineStr">
        <is>
          <t>No</t>
        </is>
      </c>
      <c r="N1620" s="18" t="inlineStr"/>
      <c r="O1620" s="18" t="inlineStr"/>
      <c r="P1620" s="18" t="inlineStr">
        <is>
          <t>Mapeada en internal-institutional-control-service/src/esap/tableros-kanban/entities/etapa-kanban.entity.ts:73 (EtapaKanban.permitirRetroceso) | Validación: IsBoolean, IsOptional</t>
        </is>
      </c>
      <c r="Q1620" s="18" t="inlineStr">
        <is>
          <t>Regla estructural</t>
        </is>
      </c>
      <c r="R1620" s="18" t="inlineStr">
        <is>
          <t>Indica si aplica: permitir retroceso.</t>
        </is>
      </c>
      <c r="S1620" s="18" t="inlineStr">
        <is>
          <t>Media</t>
        </is>
      </c>
      <c r="T1620" s="18" t="inlineStr">
        <is>
          <t>Convención de nombre de la columna.</t>
        </is>
      </c>
      <c r="U1620" s="18" t="inlineStr"/>
      <c r="V1620" s="19" t="inlineStr">
        <is>
          <t>Pendiente</t>
        </is>
      </c>
      <c r="W1620" s="19" t="inlineStr"/>
      <c r="X1620" s="19" t="inlineStr"/>
      <c r="Y1620" s="20" t="n"/>
      <c r="Z1620" s="19" t="inlineStr"/>
      <c r="AA1620" s="18">
        <f>IF(OR(V1620="Aprobada"),R1620,IF(AND(OR(V1620="Aprobada con ajuste",V1620="Rechazada"),W1620&lt;&gt;""),W1620,""))</f>
        <v/>
      </c>
    </row>
    <row r="1621">
      <c r="A1621" s="18" t="inlineStr">
        <is>
          <t>C1620</t>
        </is>
      </c>
      <c r="B1621" s="18" t="inlineStr">
        <is>
          <t>Control interno</t>
        </is>
      </c>
      <c r="C1621" s="18" t="inlineStr">
        <is>
          <t>control_interno</t>
        </is>
      </c>
      <c r="D1621" s="18" t="inlineStr">
        <is>
          <t>etapa_kanban</t>
        </is>
      </c>
      <c r="E1621" s="18" t="n">
        <v>12</v>
      </c>
      <c r="F1621" s="18" t="inlineStr">
        <is>
          <t>deleted_at</t>
        </is>
      </c>
      <c r="G1621" s="18" t="inlineStr">
        <is>
          <t>timestamp with time zone</t>
        </is>
      </c>
      <c r="H1621" s="18" t="inlineStr">
        <is>
          <t>Sí</t>
        </is>
      </c>
      <c r="I1621" s="18" t="inlineStr"/>
      <c r="J1621" s="18" t="inlineStr"/>
      <c r="K1621" s="18" t="inlineStr"/>
      <c r="L1621" s="18" t="inlineStr">
        <is>
          <t>No</t>
        </is>
      </c>
      <c r="M1621" s="18" t="inlineStr">
        <is>
          <t>No</t>
        </is>
      </c>
      <c r="N1621" s="18" t="inlineStr"/>
      <c r="O1621" s="18" t="inlineStr">
        <is>
          <t>idx_etapa_kanban_deleted_at</t>
        </is>
      </c>
      <c r="P1621" s="18" t="inlineStr">
        <is>
          <t>Mapeada en internal-institutional-control-service/src/esap/tableros-kanban/entities/etapa-kanban.entity.ts:82 (EtapaKanban.deletedAt)</t>
        </is>
      </c>
      <c r="Q1621" s="18" t="inlineStr">
        <is>
          <t>Regla estructural</t>
        </is>
      </c>
      <c r="R1621" s="18" t="inlineStr">
        <is>
          <t>Fecha y hora de la eliminación.</t>
        </is>
      </c>
      <c r="S1621" s="18" t="inlineStr">
        <is>
          <t>Media</t>
        </is>
      </c>
      <c r="T1621" s="18" t="inlineStr">
        <is>
          <t>Convención de nombre de la columna.</t>
        </is>
      </c>
      <c r="U1621" s="18" t="inlineStr"/>
      <c r="V1621" s="19" t="inlineStr">
        <is>
          <t>Pendiente</t>
        </is>
      </c>
      <c r="W1621" s="19" t="inlineStr"/>
      <c r="X1621" s="19" t="inlineStr"/>
      <c r="Y1621" s="20" t="n"/>
      <c r="Z1621" s="19" t="inlineStr"/>
      <c r="AA1621" s="18">
        <f>IF(OR(V1621="Aprobada"),R1621,IF(AND(OR(V1621="Aprobada con ajuste",V1621="Rechazada"),W1621&lt;&gt;""),W1621,""))</f>
        <v/>
      </c>
    </row>
    <row r="1622">
      <c r="A1622" s="18" t="inlineStr">
        <is>
          <t>C1621</t>
        </is>
      </c>
      <c r="B1622" s="18" t="inlineStr">
        <is>
          <t>Control interno</t>
        </is>
      </c>
      <c r="C1622" s="18" t="inlineStr">
        <is>
          <t>control_interno</t>
        </is>
      </c>
      <c r="D1622" s="18" t="inlineStr">
        <is>
          <t>evaluacion_proceso</t>
        </is>
      </c>
      <c r="E1622" s="18" t="n">
        <v>54</v>
      </c>
      <c r="F1622" s="18" t="inlineStr">
        <is>
          <t>dependencia_responsable</t>
        </is>
      </c>
      <c r="G1622" s="18" t="inlineStr">
        <is>
          <t>text</t>
        </is>
      </c>
      <c r="H1622" s="18" t="inlineStr">
        <is>
          <t>No</t>
        </is>
      </c>
      <c r="I1622" s="18" t="inlineStr"/>
      <c r="J1622" s="18" t="inlineStr"/>
      <c r="K1622" s="18" t="inlineStr"/>
      <c r="L1622" s="18" t="inlineStr">
        <is>
          <t>No</t>
        </is>
      </c>
      <c r="M1622" s="18" t="inlineStr">
        <is>
          <t>No</t>
        </is>
      </c>
      <c r="N1622" s="18" t="inlineStr"/>
      <c r="O1622" s="18" t="inlineStr"/>
      <c r="P1622" s="18" t="inlineStr">
        <is>
          <t>internal-institutional-control-service/src/esap/universo-auditorias/entities/evaluacion-proceso.entity.ts:68: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IsNotEmpty, IsOptional, IsString</t>
        </is>
      </c>
      <c r="Q1622" s="18" t="inlineStr">
        <is>
          <t>Código fuente</t>
        </is>
      </c>
      <c r="R1622" s="18" t="inlineStr">
        <is>
          <t>Dependencia responsable del proceso evaluado.</t>
        </is>
      </c>
      <c r="S1622" s="18" t="inlineStr">
        <is>
          <t>Alta</t>
        </is>
      </c>
      <c r="T1622" s="18" t="inlineStr">
        <is>
          <t>nombre + tipo</t>
        </is>
      </c>
      <c r="U1622" s="18" t="inlineStr"/>
      <c r="V1622" s="19" t="inlineStr">
        <is>
          <t>Pendiente</t>
        </is>
      </c>
      <c r="W1622" s="19" t="inlineStr"/>
      <c r="X1622" s="19" t="inlineStr"/>
      <c r="Y1622" s="20" t="n"/>
      <c r="Z1622" s="19" t="inlineStr"/>
      <c r="AA1622" s="18">
        <f>IF(OR(V1622="Aprobada"),R1622,IF(AND(OR(V1622="Aprobada con ajuste",V1622="Rechazada"),W1622&lt;&gt;""),W1622,""))</f>
        <v/>
      </c>
    </row>
    <row r="1623">
      <c r="A1623" s="18" t="inlineStr">
        <is>
          <t>C1622</t>
        </is>
      </c>
      <c r="B1623" s="18" t="inlineStr">
        <is>
          <t>Control interno</t>
        </is>
      </c>
      <c r="C1623" s="18" t="inlineStr">
        <is>
          <t>control_interno</t>
        </is>
      </c>
      <c r="D1623" s="18" t="inlineStr">
        <is>
          <t>evaluacion_proceso</t>
        </is>
      </c>
      <c r="E1623" s="18" t="n">
        <v>54</v>
      </c>
      <c r="F1623" s="18" t="inlineStr">
        <is>
          <t>riesgos_extremos</t>
        </is>
      </c>
      <c r="G1623" s="18" t="inlineStr">
        <is>
          <t>integer</t>
        </is>
      </c>
      <c r="H1623" s="18" t="inlineStr">
        <is>
          <t>Sí</t>
        </is>
      </c>
      <c r="I1623" s="18" t="inlineStr"/>
      <c r="J1623" s="18" t="inlineStr"/>
      <c r="K1623" s="18" t="inlineStr"/>
      <c r="L1623" s="18" t="inlineStr">
        <is>
          <t>No</t>
        </is>
      </c>
      <c r="M1623" s="18" t="inlineStr">
        <is>
          <t>No</t>
        </is>
      </c>
      <c r="N1623" s="18" t="inlineStr"/>
      <c r="O1623" s="18" t="inlineStr"/>
      <c r="P1623" s="18" t="inlineStr">
        <is>
          <t>internal-institutional-control-service/src/esap/universo-auditorias/entities/evaluacion-proceso.entity.ts:75: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db/migrations/175_create_evaluacion_proceso.sql:22: Sección 1: Número de riesgos inherentes (D, E, F, G, H) | Validación: IsNumber, IsOptional, Min(0)</t>
        </is>
      </c>
      <c r="Q1623" s="18" t="inlineStr">
        <is>
          <t>Código fuente</t>
        </is>
      </c>
      <c r="R1623" s="18" t="inlineStr">
        <is>
          <t>Número de riesgos inherentes de nivel extremo del proceso (sección 1 de la evaluación). Por defecto 0.</t>
        </is>
      </c>
      <c r="S1623" s="18" t="inlineStr">
        <is>
          <t>Alta</t>
        </is>
      </c>
      <c r="T1623" s="18" t="inlineStr">
        <is>
          <t>código: db/migrations/175_create_evaluacion_proceso.sql:22</t>
        </is>
      </c>
      <c r="U1623" s="18" t="inlineStr"/>
      <c r="V1623" s="19" t="inlineStr">
        <is>
          <t>Pendiente</t>
        </is>
      </c>
      <c r="W1623" s="19" t="inlineStr"/>
      <c r="X1623" s="19" t="inlineStr"/>
      <c r="Y1623" s="20" t="n"/>
      <c r="Z1623" s="19" t="inlineStr"/>
      <c r="AA1623" s="18">
        <f>IF(OR(V1623="Aprobada"),R1623,IF(AND(OR(V1623="Aprobada con ajuste",V1623="Rechazada"),W1623&lt;&gt;""),W1623,""))</f>
        <v/>
      </c>
    </row>
    <row r="1624">
      <c r="A1624" s="18" t="inlineStr">
        <is>
          <t>C1623</t>
        </is>
      </c>
      <c r="B1624" s="18" t="inlineStr">
        <is>
          <t>Control interno</t>
        </is>
      </c>
      <c r="C1624" s="18" t="inlineStr">
        <is>
          <t>control_interno</t>
        </is>
      </c>
      <c r="D1624" s="18" t="inlineStr">
        <is>
          <t>evaluacion_proceso</t>
        </is>
      </c>
      <c r="E1624" s="18" t="n">
        <v>54</v>
      </c>
      <c r="F1624" s="18" t="inlineStr">
        <is>
          <t>riesgos_altos</t>
        </is>
      </c>
      <c r="G1624" s="18" t="inlineStr">
        <is>
          <t>integer</t>
        </is>
      </c>
      <c r="H1624" s="18" t="inlineStr">
        <is>
          <t>Sí</t>
        </is>
      </c>
      <c r="I1624" s="18" t="inlineStr"/>
      <c r="J1624" s="18" t="inlineStr"/>
      <c r="K1624" s="18" t="inlineStr"/>
      <c r="L1624" s="18" t="inlineStr">
        <is>
          <t>No</t>
        </is>
      </c>
      <c r="M1624" s="18" t="inlineStr">
        <is>
          <t>No</t>
        </is>
      </c>
      <c r="N1624" s="18" t="inlineStr"/>
      <c r="O1624" s="18" t="inlineStr"/>
      <c r="P1624" s="18" t="inlineStr">
        <is>
          <t>internal-institutional-control-service/src/esap/universo-auditorias/entities/evaluacion-proceso.entity.ts:78: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      </is>
      </c>
      <c r="Q1624" s="18" t="inlineStr">
        <is>
          <t>Código fuente</t>
        </is>
      </c>
      <c r="R1624" s="18" t="inlineStr">
        <is>
          <t>Número de riesgos de nivel alto del proceso. Por defecto 0.</t>
        </is>
      </c>
      <c r="S1624" s="18" t="inlineStr">
        <is>
          <t>Media</t>
        </is>
      </c>
      <c r="T1624" s="18" t="inlineStr">
        <is>
          <t>nombre + tipo + columnas vecinas</t>
        </is>
      </c>
      <c r="U1624" s="18" t="inlineStr">
        <is>
          <t>¿Son riesgos inherentes o residuales?</t>
        </is>
      </c>
      <c r="V1624" s="19" t="inlineStr">
        <is>
          <t>Pendiente</t>
        </is>
      </c>
      <c r="W1624" s="19" t="inlineStr"/>
      <c r="X1624" s="19" t="inlineStr"/>
      <c r="Y1624" s="20" t="n"/>
      <c r="Z1624" s="19" t="inlineStr"/>
      <c r="AA1624" s="18">
        <f>IF(OR(V1624="Aprobada"),R1624,IF(AND(OR(V1624="Aprobada con ajuste",V1624="Rechazada"),W1624&lt;&gt;""),W1624,""))</f>
        <v/>
      </c>
    </row>
    <row r="1625">
      <c r="A1625" s="18" t="inlineStr">
        <is>
          <t>C1624</t>
        </is>
      </c>
      <c r="B1625" s="18" t="inlineStr">
        <is>
          <t>Control interno</t>
        </is>
      </c>
      <c r="C1625" s="18" t="inlineStr">
        <is>
          <t>control_interno</t>
        </is>
      </c>
      <c r="D1625" s="18" t="inlineStr">
        <is>
          <t>evaluacion_proceso</t>
        </is>
      </c>
      <c r="E1625" s="18" t="n">
        <v>54</v>
      </c>
      <c r="F1625" s="18" t="inlineStr">
        <is>
          <t>riesgos_moderados</t>
        </is>
      </c>
      <c r="G1625" s="18" t="inlineStr">
        <is>
          <t>integer</t>
        </is>
      </c>
      <c r="H1625" s="18" t="inlineStr">
        <is>
          <t>Sí</t>
        </is>
      </c>
      <c r="I1625" s="18" t="inlineStr"/>
      <c r="J1625" s="18" t="inlineStr"/>
      <c r="K1625" s="18" t="inlineStr"/>
      <c r="L1625" s="18" t="inlineStr">
        <is>
          <t>No</t>
        </is>
      </c>
      <c r="M1625" s="18" t="inlineStr">
        <is>
          <t>No</t>
        </is>
      </c>
      <c r="N1625" s="18" t="inlineStr"/>
      <c r="O1625" s="18" t="inlineStr"/>
      <c r="P1625" s="18" t="inlineStr">
        <is>
          <t>internal-institutional-control-service/src/esap/universo-auditorias/entities/evaluacion-proceso.entity.ts:81: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      </is>
      </c>
      <c r="Q1625" s="18" t="inlineStr">
        <is>
          <t>Código fuente</t>
        </is>
      </c>
      <c r="R1625" s="18" t="inlineStr">
        <is>
          <t>Número de riesgos de nivel moderado del proceso. Por defecto 0.</t>
        </is>
      </c>
      <c r="S1625" s="18" t="inlineStr">
        <is>
          <t>Media</t>
        </is>
      </c>
      <c r="T1625" s="18" t="inlineStr">
        <is>
          <t>nombre + tipo + columnas vecinas</t>
        </is>
      </c>
      <c r="U1625" s="18" t="inlineStr">
        <is>
          <t>¿Son riesgos inherentes o residuales?</t>
        </is>
      </c>
      <c r="V1625" s="19" t="inlineStr">
        <is>
          <t>Pendiente</t>
        </is>
      </c>
      <c r="W1625" s="19" t="inlineStr"/>
      <c r="X1625" s="19" t="inlineStr"/>
      <c r="Y1625" s="20" t="n"/>
      <c r="Z1625" s="19" t="inlineStr"/>
      <c r="AA1625" s="18">
        <f>IF(OR(V1625="Aprobada"),R1625,IF(AND(OR(V1625="Aprobada con ajuste",V1625="Rechazada"),W1625&lt;&gt;""),W1625,""))</f>
        <v/>
      </c>
    </row>
    <row r="1626">
      <c r="A1626" s="18" t="inlineStr">
        <is>
          <t>C1625</t>
        </is>
      </c>
      <c r="B1626" s="18" t="inlineStr">
        <is>
          <t>Control interno</t>
        </is>
      </c>
      <c r="C1626" s="18" t="inlineStr">
        <is>
          <t>control_interno</t>
        </is>
      </c>
      <c r="D1626" s="18" t="inlineStr">
        <is>
          <t>evaluacion_proceso</t>
        </is>
      </c>
      <c r="E1626" s="18" t="n">
        <v>54</v>
      </c>
      <c r="F1626" s="18" t="inlineStr">
        <is>
          <t>riesgos_bajos</t>
        </is>
      </c>
      <c r="G1626" s="18" t="inlineStr">
        <is>
          <t>integer</t>
        </is>
      </c>
      <c r="H1626" s="18" t="inlineStr">
        <is>
          <t>Sí</t>
        </is>
      </c>
      <c r="I1626" s="18" t="inlineStr"/>
      <c r="J1626" s="18" t="inlineStr"/>
      <c r="K1626" s="18" t="inlineStr"/>
      <c r="L1626" s="18" t="inlineStr">
        <is>
          <t>No</t>
        </is>
      </c>
      <c r="M1626" s="18" t="inlineStr">
        <is>
          <t>No</t>
        </is>
      </c>
      <c r="N1626" s="18" t="inlineStr"/>
      <c r="O1626" s="18" t="inlineStr"/>
      <c r="P1626" s="18" t="inlineStr">
        <is>
          <t>internal-institutional-control-service/src/esap/universo-auditorias/entities/evaluacion-proceso.entity.ts:84: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      </is>
      </c>
      <c r="Q1626" s="18" t="inlineStr">
        <is>
          <t>Código fuente</t>
        </is>
      </c>
      <c r="R1626" s="18" t="inlineStr">
        <is>
          <t>Número de riesgos de nivel bajo del proceso. Por defecto 0.</t>
        </is>
      </c>
      <c r="S1626" s="18" t="inlineStr">
        <is>
          <t>Media</t>
        </is>
      </c>
      <c r="T1626" s="18" t="inlineStr">
        <is>
          <t>nombre + tipo + columnas vecinas</t>
        </is>
      </c>
      <c r="U1626" s="18" t="inlineStr">
        <is>
          <t>¿Son riesgos inherentes o residuales?</t>
        </is>
      </c>
      <c r="V1626" s="19" t="inlineStr">
        <is>
          <t>Pendiente</t>
        </is>
      </c>
      <c r="W1626" s="19" t="inlineStr"/>
      <c r="X1626" s="19" t="inlineStr"/>
      <c r="Y1626" s="20" t="n"/>
      <c r="Z1626" s="19" t="inlineStr"/>
      <c r="AA1626" s="18">
        <f>IF(OR(V1626="Aprobada"),R1626,IF(AND(OR(V1626="Aprobada con ajuste",V1626="Rechazada"),W1626&lt;&gt;""),W1626,""))</f>
        <v/>
      </c>
    </row>
    <row r="1627">
      <c r="A1627" s="18" t="inlineStr">
        <is>
          <t>C1626</t>
        </is>
      </c>
      <c r="B1627" s="18" t="inlineStr">
        <is>
          <t>Control interno</t>
        </is>
      </c>
      <c r="C1627" s="18" t="inlineStr">
        <is>
          <t>control_interno</t>
        </is>
      </c>
      <c r="D1627" s="18" t="inlineStr">
        <is>
          <t>evaluacion_proceso</t>
        </is>
      </c>
      <c r="E1627" s="18" t="n">
        <v>54</v>
      </c>
      <c r="F1627" s="18" t="inlineStr">
        <is>
          <t>total_riesgos</t>
        </is>
      </c>
      <c r="G1627" s="18" t="inlineStr">
        <is>
          <t>integer</t>
        </is>
      </c>
      <c r="H1627" s="18" t="inlineStr">
        <is>
          <t>Sí</t>
        </is>
      </c>
      <c r="I1627" s="18" t="inlineStr"/>
      <c r="J1627" s="18" t="inlineStr"/>
      <c r="K1627" s="18" t="inlineStr"/>
      <c r="L1627" s="18" t="inlineStr">
        <is>
          <t>No</t>
        </is>
      </c>
      <c r="M1627" s="18" t="inlineStr">
        <is>
          <t>No</t>
        </is>
      </c>
      <c r="N1627" s="18" t="inlineStr"/>
      <c r="O1627" s="18" t="inlineStr"/>
      <c r="P1627" s="18" t="inlineStr">
        <is>
          <t>internal-institutional-control-service/src/esap/universo-auditorias/entities/evaluacion-proceso.entity.ts:87: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Min(0)</t>
        </is>
      </c>
      <c r="Q1627" s="18" t="inlineStr">
        <is>
          <t>Código fuente</t>
        </is>
      </c>
      <c r="R1627" s="18" t="inlineStr">
        <is>
          <t>Número total de riesgos del proceso. Por defecto 0.</t>
        </is>
      </c>
      <c r="S1627" s="18" t="inlineStr">
        <is>
          <t>Media</t>
        </is>
      </c>
      <c r="T1627" s="18" t="inlineStr">
        <is>
          <t>nombre + tipo + columnas vecinas</t>
        </is>
      </c>
      <c r="U1627" s="18" t="inlineStr">
        <is>
          <t>¿Es la suma de riesgos extremos, altos, moderados y bajos, y se calcula automáticamente?</t>
        </is>
      </c>
      <c r="V1627" s="19" t="inlineStr">
        <is>
          <t>Pendiente</t>
        </is>
      </c>
      <c r="W1627" s="19" t="inlineStr"/>
      <c r="X1627" s="19" t="inlineStr"/>
      <c r="Y1627" s="20" t="n"/>
      <c r="Z1627" s="19" t="inlineStr"/>
      <c r="AA1627" s="18">
        <f>IF(OR(V1627="Aprobada"),R1627,IF(AND(OR(V1627="Aprobada con ajuste",V1627="Rechazada"),W1627&lt;&gt;""),W1627,""))</f>
        <v/>
      </c>
    </row>
    <row r="1628">
      <c r="A1628" s="18" t="inlineStr">
        <is>
          <t>C1627</t>
        </is>
      </c>
      <c r="B1628" s="18" t="inlineStr">
        <is>
          <t>Control interno</t>
        </is>
      </c>
      <c r="C1628" s="18" t="inlineStr">
        <is>
          <t>control_interno</t>
        </is>
      </c>
      <c r="D1628" s="18" t="inlineStr">
        <is>
          <t>evaluacion_proceso</t>
        </is>
      </c>
      <c r="E1628" s="18" t="n">
        <v>54</v>
      </c>
      <c r="F1628" s="18" t="inlineStr">
        <is>
          <t>requerimiento_comite</t>
        </is>
      </c>
      <c r="G1628" s="18" t="inlineStr">
        <is>
          <t>boolean</t>
        </is>
      </c>
      <c r="H1628" s="18" t="inlineStr">
        <is>
          <t>Sí</t>
        </is>
      </c>
      <c r="I1628" s="18" t="inlineStr"/>
      <c r="J1628" s="18" t="inlineStr"/>
      <c r="K1628" s="18" t="inlineStr"/>
      <c r="L1628" s="18" t="inlineStr">
        <is>
          <t>No</t>
        </is>
      </c>
      <c r="M1628" s="18" t="inlineStr">
        <is>
          <t>No</t>
        </is>
      </c>
      <c r="N1628" s="18" t="inlineStr"/>
      <c r="O1628" s="18" t="inlineStr"/>
      <c r="P1628" s="18" t="inlineStr">
        <is>
          <t>internal-institutional-control-service/src/esap/universo-auditorias/entities/evaluacion-proceso.entity.ts:94: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db/migrations/175_create_evaluacion_proceso.sql:29: Sección 2: Requerimientos especiales (J, K) | Validación: IsBoolean, IsOptional</t>
        </is>
      </c>
      <c r="Q1628" s="18" t="inlineStr">
        <is>
          <t>Código fuente</t>
        </is>
      </c>
      <c r="R1628" s="18" t="inlineStr">
        <is>
          <t>Indica si existe un requerimiento del comité para auditar el proceso (sección 2 de la evaluación, requerimientos especiales). Por defecto falso.</t>
        </is>
      </c>
      <c r="S1628" s="18" t="inlineStr">
        <is>
          <t>Media</t>
        </is>
      </c>
      <c r="T1628" s="18" t="inlineStr">
        <is>
          <t>código: db/migrations/175_create_evaluacion_proceso.sql:29</t>
        </is>
      </c>
      <c r="U1628" s="18" t="inlineStr">
        <is>
          <t>¿A qué comité se refiere: el Comité Institucional de Coordinación de Control Interno?</t>
        </is>
      </c>
      <c r="V1628" s="19" t="inlineStr">
        <is>
          <t>Pendiente</t>
        </is>
      </c>
      <c r="W1628" s="19" t="inlineStr"/>
      <c r="X1628" s="19" t="inlineStr"/>
      <c r="Y1628" s="20" t="n"/>
      <c r="Z1628" s="19" t="inlineStr"/>
      <c r="AA1628" s="18">
        <f>IF(OR(V1628="Aprobada"),R1628,IF(AND(OR(V1628="Aprobada con ajuste",V1628="Rechazada"),W1628&lt;&gt;""),W1628,""))</f>
        <v/>
      </c>
    </row>
    <row r="1629">
      <c r="A1629" s="18" t="inlineStr">
        <is>
          <t>C1628</t>
        </is>
      </c>
      <c r="B1629" s="18" t="inlineStr">
        <is>
          <t>Control interno</t>
        </is>
      </c>
      <c r="C1629" s="18" t="inlineStr">
        <is>
          <t>control_interno</t>
        </is>
      </c>
      <c r="D1629" s="18" t="inlineStr">
        <is>
          <t>evaluacion_proceso</t>
        </is>
      </c>
      <c r="E1629" s="18" t="n">
        <v>54</v>
      </c>
      <c r="F1629" s="18" t="inlineStr">
        <is>
          <t>requerimiento_entes_reg</t>
        </is>
      </c>
      <c r="G1629" s="18" t="inlineStr">
        <is>
          <t>boolean</t>
        </is>
      </c>
      <c r="H1629" s="18" t="inlineStr">
        <is>
          <t>Sí</t>
        </is>
      </c>
      <c r="I1629" s="18" t="inlineStr"/>
      <c r="J1629" s="18" t="inlineStr"/>
      <c r="K1629" s="18" t="inlineStr"/>
      <c r="L1629" s="18" t="inlineStr">
        <is>
          <t>No</t>
        </is>
      </c>
      <c r="M1629" s="18" t="inlineStr">
        <is>
          <t>No</t>
        </is>
      </c>
      <c r="N1629" s="18" t="inlineStr"/>
      <c r="O1629" s="18" t="inlineStr"/>
      <c r="P1629" s="18" t="inlineStr">
        <is>
          <t>internal-institutional-control-service/src/esap/universo-auditorias/entities/evaluacion-proceso.entity.ts:97: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629" s="18" t="inlineStr">
        <is>
          <t>Código fuente</t>
        </is>
      </c>
      <c r="R1629" s="18" t="inlineStr">
        <is>
          <t>Indica si existe un requerimiento de entes reguladores o de control para auditar el proceso. Por defecto falso.</t>
        </is>
      </c>
      <c r="S1629" s="18" t="inlineStr">
        <is>
          <t>Media</t>
        </is>
      </c>
      <c r="T1629" s="18" t="inlineStr">
        <is>
          <t>nombre + tipo + columnas vecinas</t>
        </is>
      </c>
      <c r="U1629" s="18" t="inlineStr">
        <is>
          <t>¿Qué entes se consideran y se registra cuál hizo el requerimiento?</t>
        </is>
      </c>
      <c r="V1629" s="19" t="inlineStr">
        <is>
          <t>Pendiente</t>
        </is>
      </c>
      <c r="W1629" s="19" t="inlineStr"/>
      <c r="X1629" s="19" t="inlineStr"/>
      <c r="Y1629" s="20" t="n"/>
      <c r="Z1629" s="19" t="inlineStr"/>
      <c r="AA1629" s="18">
        <f>IF(OR(V1629="Aprobada"),R1629,IF(AND(OR(V1629="Aprobada con ajuste",V1629="Rechazada"),W1629&lt;&gt;""),W1629,""))</f>
        <v/>
      </c>
    </row>
    <row r="1630">
      <c r="A1630" s="18" t="inlineStr">
        <is>
          <t>C1629</t>
        </is>
      </c>
      <c r="B1630" s="18" t="inlineStr">
        <is>
          <t>Control interno</t>
        </is>
      </c>
      <c r="C1630" s="18" t="inlineStr">
        <is>
          <t>control_interno</t>
        </is>
      </c>
      <c r="D1630" s="18" t="inlineStr">
        <is>
          <t>evaluacion_proceso</t>
        </is>
      </c>
      <c r="E1630" s="18" t="n">
        <v>54</v>
      </c>
      <c r="F1630" s="18" t="inlineStr">
        <is>
          <t>fecha_ultima_auditoria</t>
        </is>
      </c>
      <c r="G1630" s="18" t="inlineStr">
        <is>
          <t>date</t>
        </is>
      </c>
      <c r="H1630" s="18" t="inlineStr">
        <is>
          <t>Sí</t>
        </is>
      </c>
      <c r="I1630" s="18" t="inlineStr"/>
      <c r="J1630" s="18" t="inlineStr"/>
      <c r="K1630" s="18" t="inlineStr"/>
      <c r="L1630" s="18" t="inlineStr">
        <is>
          <t>No</t>
        </is>
      </c>
      <c r="M1630" s="18" t="inlineStr">
        <is>
          <t>No</t>
        </is>
      </c>
      <c r="N1630" s="18" t="inlineStr"/>
      <c r="O1630" s="18" t="inlineStr"/>
      <c r="P1630" s="18" t="inlineStr">
        <is>
          <t>internal-institutional-control-service/src/esap/universo-auditorias/entities/evaluacion-proceso.entity.ts:104: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db/migrations/175_create_evaluacion_proceso.sql:33: Sección 3: Información de auditoría anterior (L, N) | Validación: IsDateString, IsOptional</t>
        </is>
      </c>
      <c r="Q1630" s="18" t="inlineStr">
        <is>
          <t>Código fuente</t>
        </is>
      </c>
      <c r="R1630" s="18" t="inlineStr">
        <is>
          <t>Fecha de la última auditoría realizada al proceso (sección 3 de la evaluación).</t>
        </is>
      </c>
      <c r="S1630" s="18" t="inlineStr">
        <is>
          <t>Alta</t>
        </is>
      </c>
      <c r="T1630" s="18" t="inlineStr">
        <is>
          <t>código: db/migrations/175_create_evaluacion_proceso.sql:33</t>
        </is>
      </c>
      <c r="U1630" s="18" t="inlineStr"/>
      <c r="V1630" s="19" t="inlineStr">
        <is>
          <t>Pendiente</t>
        </is>
      </c>
      <c r="W1630" s="19" t="inlineStr"/>
      <c r="X1630" s="19" t="inlineStr"/>
      <c r="Y1630" s="20" t="n"/>
      <c r="Z1630" s="19" t="inlineStr"/>
      <c r="AA1630" s="18">
        <f>IF(OR(V1630="Aprobada"),R1630,IF(AND(OR(V1630="Aprobada con ajuste",V1630="Rechazada"),W1630&lt;&gt;""),W1630,""))</f>
        <v/>
      </c>
    </row>
    <row r="1631">
      <c r="A1631" s="18" t="inlineStr">
        <is>
          <t>C1630</t>
        </is>
      </c>
      <c r="B1631" s="18" t="inlineStr">
        <is>
          <t>Control interno</t>
        </is>
      </c>
      <c r="C1631" s="18" t="inlineStr">
        <is>
          <t>control_interno</t>
        </is>
      </c>
      <c r="D1631" s="18" t="inlineStr">
        <is>
          <t>evaluacion_proceso</t>
        </is>
      </c>
      <c r="E1631" s="18" t="n">
        <v>54</v>
      </c>
      <c r="F1631" s="18" t="inlineStr">
        <is>
          <t>resultado_ultima_auditoria</t>
        </is>
      </c>
      <c r="G1631" s="18" t="inlineStr">
        <is>
          <t>character varying(100)</t>
        </is>
      </c>
      <c r="H1631" s="18" t="inlineStr">
        <is>
          <t>Sí</t>
        </is>
      </c>
      <c r="I1631" s="18" t="inlineStr"/>
      <c r="J1631" s="18" t="inlineStr"/>
      <c r="K1631" s="18" t="inlineStr"/>
      <c r="L1631" s="18" t="inlineStr">
        <is>
          <t>No</t>
        </is>
      </c>
      <c r="M1631" s="18" t="inlineStr">
        <is>
          <t>No</t>
        </is>
      </c>
      <c r="N1631" s="18" t="inlineStr"/>
      <c r="O1631" s="18" t="inlineStr"/>
      <c r="P1631" s="18" t="inlineStr">
        <is>
          <t>internal-institutional-control-service/src/esap/universo-auditorias/entities/evaluacion-proceso.entity.ts:107: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631" s="18" t="inlineStr">
        <is>
          <t>Código fuente</t>
        </is>
      </c>
      <c r="R1631" s="18" t="inlineStr">
        <is>
          <t>Resultado de la última auditoría realizada al proceso.</t>
        </is>
      </c>
      <c r="S1631" s="18" t="inlineStr">
        <is>
          <t>Media</t>
        </is>
      </c>
      <c r="T1631" s="18" t="inlineStr">
        <is>
          <t>nombre + tipo + columnas vecinas</t>
        </is>
      </c>
      <c r="U1631" s="18" t="inlineStr">
        <is>
          <t>¿Qué valores admite el resultado y es texto libre?</t>
        </is>
      </c>
      <c r="V1631" s="19" t="inlineStr">
        <is>
          <t>Pendiente</t>
        </is>
      </c>
      <c r="W1631" s="19" t="inlineStr"/>
      <c r="X1631" s="19" t="inlineStr"/>
      <c r="Y1631" s="20" t="n"/>
      <c r="Z1631" s="19" t="inlineStr"/>
      <c r="AA1631" s="18">
        <f>IF(OR(V1631="Aprobada"),R1631,IF(AND(OR(V1631="Aprobada con ajuste",V1631="Rechazada"),W1631&lt;&gt;""),W1631,""))</f>
        <v/>
      </c>
    </row>
    <row r="1632">
      <c r="A1632" s="18" t="inlineStr">
        <is>
          <t>C1631</t>
        </is>
      </c>
      <c r="B1632" s="18" t="inlineStr">
        <is>
          <t>Control interno</t>
        </is>
      </c>
      <c r="C1632" s="18" t="inlineStr">
        <is>
          <t>control_interno</t>
        </is>
      </c>
      <c r="D1632" s="18" t="inlineStr">
        <is>
          <t>evaluacion_proceso</t>
        </is>
      </c>
      <c r="E1632" s="18" t="n">
        <v>54</v>
      </c>
      <c r="F1632" s="18" t="inlineStr">
        <is>
          <t>criticidad</t>
        </is>
      </c>
      <c r="G1632" s="18" t="inlineStr">
        <is>
          <t>integer</t>
        </is>
      </c>
      <c r="H1632" s="18" t="inlineStr">
        <is>
          <t>Sí</t>
        </is>
      </c>
      <c r="I1632" s="18" t="inlineStr"/>
      <c r="J1632" s="18" t="inlineStr"/>
      <c r="K1632" s="18" t="inlineStr"/>
      <c r="L1632" s="18" t="inlineStr">
        <is>
          <t>No</t>
        </is>
      </c>
      <c r="M1632" s="18" t="inlineStr">
        <is>
          <t>No</t>
        </is>
      </c>
      <c r="N1632" s="18" t="inlineStr"/>
      <c r="O1632" s="18" t="inlineStr"/>
      <c r="P1632" s="18" t="inlineStr">
        <is>
          <t>internal-institutional-control-service/src/esap/universo-auditorias/entities/evaluacion-proceso.entity.ts:114: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db/migrations/175_create_evaluacion_proceso.sql:37: Score de riesgo C+E-M (modelo simplificado 0-15) | Validación: IsNumber, IsOptional, Max(5), Min(0)</t>
        </is>
      </c>
      <c r="Q1632" s="18" t="inlineStr">
        <is>
          <t>Código fuente</t>
        </is>
      </c>
      <c r="R1632" s="18" t="inlineStr">
        <is>
          <t>Calificación de criticidad del proceso, de 0 a 5; componente C del puntaje de riesgo C+E-M. Por defecto 0.</t>
        </is>
      </c>
      <c r="S1632" s="18" t="inlineStr">
        <is>
          <t>Alta</t>
        </is>
      </c>
      <c r="T1632" s="18" t="inlineStr">
        <is>
          <t>código: db/migrations/175_create_evaluacion_proceso.sql:37</t>
        </is>
      </c>
      <c r="U1632" s="18" t="inlineStr"/>
      <c r="V1632" s="19" t="inlineStr">
        <is>
          <t>Pendiente</t>
        </is>
      </c>
      <c r="W1632" s="19" t="inlineStr"/>
      <c r="X1632" s="19" t="inlineStr"/>
      <c r="Y1632" s="20" t="n"/>
      <c r="Z1632" s="19" t="inlineStr"/>
      <c r="AA1632" s="18">
        <f>IF(OR(V1632="Aprobada"),R1632,IF(AND(OR(V1632="Aprobada con ajuste",V1632="Rechazada"),W1632&lt;&gt;""),W1632,""))</f>
        <v/>
      </c>
    </row>
    <row r="1633">
      <c r="A1633" s="18" t="inlineStr">
        <is>
          <t>C1632</t>
        </is>
      </c>
      <c r="B1633" s="18" t="inlineStr">
        <is>
          <t>Control interno</t>
        </is>
      </c>
      <c r="C1633" s="18" t="inlineStr">
        <is>
          <t>control_interno</t>
        </is>
      </c>
      <c r="D1633" s="18" t="inlineStr">
        <is>
          <t>evaluacion_proceso</t>
        </is>
      </c>
      <c r="E1633" s="18" t="n">
        <v>54</v>
      </c>
      <c r="F1633" s="18" t="inlineStr">
        <is>
          <t>exposicion</t>
        </is>
      </c>
      <c r="G1633" s="18" t="inlineStr">
        <is>
          <t>integer</t>
        </is>
      </c>
      <c r="H1633" s="18" t="inlineStr">
        <is>
          <t>Sí</t>
        </is>
      </c>
      <c r="I1633" s="18" t="inlineStr"/>
      <c r="J1633" s="18" t="inlineStr"/>
      <c r="K1633" s="18" t="inlineStr"/>
      <c r="L1633" s="18" t="inlineStr">
        <is>
          <t>No</t>
        </is>
      </c>
      <c r="M1633" s="18" t="inlineStr">
        <is>
          <t>No</t>
        </is>
      </c>
      <c r="N1633" s="18" t="inlineStr"/>
      <c r="O1633" s="18" t="inlineStr"/>
      <c r="P1633" s="18" t="inlineStr">
        <is>
          <t>internal-institutional-control-service/src/esap/universo-auditorias/entities/evaluacion-proceso.entity.ts:117: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Max(5), Min(0)</t>
        </is>
      </c>
      <c r="Q1633" s="18" t="inlineStr">
        <is>
          <t>Código fuente</t>
        </is>
      </c>
      <c r="R1633" s="18" t="inlineStr">
        <is>
          <t>Calificación de exposición del proceso, de 0 a 5. Por defecto 0.</t>
        </is>
      </c>
      <c r="S1633" s="18" t="inlineStr">
        <is>
          <t>Media</t>
        </is>
      </c>
      <c r="T1633" s="18" t="inlineStr">
        <is>
          <t>nombre + tipo + validaciones Min(0), Max(5)</t>
        </is>
      </c>
      <c r="U1633" s="18" t="inlineStr">
        <is>
          <t>¿La exposición es el componente E del puntaje de riesgo (C+E-M)?</t>
        </is>
      </c>
      <c r="V1633" s="19" t="inlineStr">
        <is>
          <t>Pendiente</t>
        </is>
      </c>
      <c r="W1633" s="19" t="inlineStr"/>
      <c r="X1633" s="19" t="inlineStr"/>
      <c r="Y1633" s="20" t="n"/>
      <c r="Z1633" s="19" t="inlineStr"/>
      <c r="AA1633" s="18">
        <f>IF(OR(V1633="Aprobada"),R1633,IF(AND(OR(V1633="Aprobada con ajuste",V1633="Rechazada"),W1633&lt;&gt;""),W1633,""))</f>
        <v/>
      </c>
    </row>
    <row r="1634">
      <c r="A1634" s="18" t="inlineStr">
        <is>
          <t>C1633</t>
        </is>
      </c>
      <c r="B1634" s="18" t="inlineStr">
        <is>
          <t>Control interno</t>
        </is>
      </c>
      <c r="C1634" s="18" t="inlineStr">
        <is>
          <t>control_interno</t>
        </is>
      </c>
      <c r="D1634" s="18" t="inlineStr">
        <is>
          <t>evaluacion_proceso</t>
        </is>
      </c>
      <c r="E1634" s="18" t="n">
        <v>54</v>
      </c>
      <c r="F1634" s="18" t="inlineStr">
        <is>
          <t>mitigantes</t>
        </is>
      </c>
      <c r="G1634" s="18" t="inlineStr">
        <is>
          <t>integer</t>
        </is>
      </c>
      <c r="H1634" s="18" t="inlineStr">
        <is>
          <t>Sí</t>
        </is>
      </c>
      <c r="I1634" s="18" t="inlineStr"/>
      <c r="J1634" s="18" t="inlineStr"/>
      <c r="K1634" s="18" t="inlineStr"/>
      <c r="L1634" s="18" t="inlineStr">
        <is>
          <t>No</t>
        </is>
      </c>
      <c r="M1634" s="18" t="inlineStr">
        <is>
          <t>No</t>
        </is>
      </c>
      <c r="N1634" s="18" t="inlineStr"/>
      <c r="O1634" s="18" t="inlineStr"/>
      <c r="P1634" s="18" t="inlineStr">
        <is>
          <t>internal-institutional-control-service/src/esap/universo-auditorias/entities/evaluacion-proceso.entity.ts:120: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Max(5), Min(0)</t>
        </is>
      </c>
      <c r="Q1634" s="18" t="inlineStr">
        <is>
          <t>Código fuente</t>
        </is>
      </c>
      <c r="R1634" s="18" t="inlineStr">
        <is>
          <t>Calificación de los mitigantes del proceso, de 0 a 5. Por defecto 0.</t>
        </is>
      </c>
      <c r="S1634" s="18" t="inlineStr">
        <is>
          <t>Media</t>
        </is>
      </c>
      <c r="T1634" s="18" t="inlineStr">
        <is>
          <t>nombre + tipo + validaciones Min(0), Max(5)</t>
        </is>
      </c>
      <c r="U1634" s="18" t="inlineStr">
        <is>
          <t>¿Los mitigantes son el componente M que se resta en el puntaje de riesgo (C+E-M)?</t>
        </is>
      </c>
      <c r="V1634" s="19" t="inlineStr">
        <is>
          <t>Pendiente</t>
        </is>
      </c>
      <c r="W1634" s="19" t="inlineStr"/>
      <c r="X1634" s="19" t="inlineStr"/>
      <c r="Y1634" s="20" t="n"/>
      <c r="Z1634" s="19" t="inlineStr"/>
      <c r="AA1634" s="18">
        <f>IF(OR(V1634="Aprobada"),R1634,IF(AND(OR(V1634="Aprobada con ajuste",V1634="Rechazada"),W1634&lt;&gt;""),W1634,""))</f>
        <v/>
      </c>
    </row>
    <row r="1635">
      <c r="A1635" s="18" t="inlineStr">
        <is>
          <t>C1634</t>
        </is>
      </c>
      <c r="B1635" s="18" t="inlineStr">
        <is>
          <t>Control interno</t>
        </is>
      </c>
      <c r="C1635" s="18" t="inlineStr">
        <is>
          <t>control_interno</t>
        </is>
      </c>
      <c r="D1635" s="18" t="inlineStr">
        <is>
          <t>evaluacion_proceso</t>
        </is>
      </c>
      <c r="E1635" s="18" t="n">
        <v>54</v>
      </c>
      <c r="F1635" s="18" t="inlineStr">
        <is>
          <t>score_riesgo</t>
        </is>
      </c>
      <c r="G1635" s="18" t="inlineStr">
        <is>
          <t>integer</t>
        </is>
      </c>
      <c r="H1635" s="18" t="inlineStr">
        <is>
          <t>Sí</t>
        </is>
      </c>
      <c r="I1635" s="18" t="inlineStr"/>
      <c r="J1635" s="18" t="inlineStr"/>
      <c r="K1635" s="18" t="inlineStr"/>
      <c r="L1635" s="18" t="inlineStr">
        <is>
          <t>No</t>
        </is>
      </c>
      <c r="M1635" s="18" t="inlineStr">
        <is>
          <t>No</t>
        </is>
      </c>
      <c r="N1635" s="18" t="inlineStr"/>
      <c r="O1635" s="18" t="inlineStr"/>
      <c r="P1635" s="18" t="inlineStr">
        <is>
          <t>internal-institutional-control-service/src/esap/universo-auditorias/entities/evaluacion-proceso.entity.ts:123: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IsOptional, Max(15), Min(0)</t>
        </is>
      </c>
      <c r="Q1635" s="18" t="inlineStr">
        <is>
          <t>Código fuente</t>
        </is>
      </c>
      <c r="R1635" s="18" t="inlineStr">
        <is>
          <t>Puntaje de riesgo del proceso, de 0 a 15. Por defecto 0.</t>
        </is>
      </c>
      <c r="S1635" s="18" t="inlineStr">
        <is>
          <t>Media</t>
        </is>
      </c>
      <c r="T1635" s="18" t="inlineStr">
        <is>
          <t>nombre + tipo + validaciones Min(0), Max(15)</t>
        </is>
      </c>
      <c r="U1635" s="18" t="inlineStr">
        <is>
          <t>¿Se calcula como criticidad + exposición - mitigantes?</t>
        </is>
      </c>
      <c r="V1635" s="19" t="inlineStr">
        <is>
          <t>Pendiente</t>
        </is>
      </c>
      <c r="W1635" s="19" t="inlineStr"/>
      <c r="X1635" s="19" t="inlineStr"/>
      <c r="Y1635" s="20" t="n"/>
      <c r="Z1635" s="19" t="inlineStr"/>
      <c r="AA1635" s="18">
        <f>IF(OR(V1635="Aprobada"),R1635,IF(AND(OR(V1635="Aprobada con ajuste",V1635="Rechazada"),W1635&lt;&gt;""),W1635,""))</f>
        <v/>
      </c>
    </row>
    <row r="1636">
      <c r="A1636" s="18" t="inlineStr">
        <is>
          <t>C1635</t>
        </is>
      </c>
      <c r="B1636" s="18" t="inlineStr">
        <is>
          <t>Control interno</t>
        </is>
      </c>
      <c r="C1636" s="18" t="inlineStr">
        <is>
          <t>control_interno</t>
        </is>
      </c>
      <c r="D1636" s="18" t="inlineStr">
        <is>
          <t>evaluacion_proceso</t>
        </is>
      </c>
      <c r="E1636" s="18" t="n">
        <v>54</v>
      </c>
      <c r="F1636" s="18" t="inlineStr">
        <is>
          <t>dias_transcurridos</t>
        </is>
      </c>
      <c r="G1636" s="18" t="inlineStr">
        <is>
          <t>integer</t>
        </is>
      </c>
      <c r="H1636" s="18" t="inlineStr">
        <is>
          <t>Sí</t>
        </is>
      </c>
      <c r="I1636" s="18" t="inlineStr"/>
      <c r="J1636" s="18" t="inlineStr"/>
      <c r="K1636" s="18" t="inlineStr"/>
      <c r="L1636" s="18" t="inlineStr">
        <is>
          <t>No</t>
        </is>
      </c>
      <c r="M1636" s="18" t="inlineStr">
        <is>
          <t>No</t>
        </is>
      </c>
      <c r="N1636" s="18" t="inlineStr"/>
      <c r="O1636" s="18" t="inlineStr"/>
      <c r="P1636" s="18" t="inlineStr">
        <is>
          <t>internal-institutional-control-service/src/esap/universo-auditorias/entities/evaluacion-proceso.entity.ts:163: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</t>
        </is>
      </c>
      <c r="Q1636" s="18" t="inlineStr">
        <is>
          <t>Código fuente</t>
        </is>
      </c>
      <c r="R1636" s="18" t="inlineStr">
        <is>
          <t>Número de días transcurridos desde la última auditoría del proceso.</t>
        </is>
      </c>
      <c r="S1636" s="18" t="inlineStr">
        <is>
          <t>Media</t>
        </is>
      </c>
      <c r="T1636" s="18" t="inlineStr">
        <is>
          <t>nombre + tipo + columnas vecinas</t>
        </is>
      </c>
      <c r="U1636" s="18" t="inlineStr">
        <is>
          <t>¿Se cuentan desde fecha_ultima_auditoria hasta fecha_corte?</t>
        </is>
      </c>
      <c r="V1636" s="19" t="inlineStr">
        <is>
          <t>Pendiente</t>
        </is>
      </c>
      <c r="W1636" s="19" t="inlineStr"/>
      <c r="X1636" s="19" t="inlineStr"/>
      <c r="Y1636" s="20" t="n"/>
      <c r="Z1636" s="19" t="inlineStr"/>
      <c r="AA1636" s="18">
        <f>IF(OR(V1636="Aprobada"),R1636,IF(AND(OR(V1636="Aprobada con ajuste",V1636="Rechazada"),W1636&lt;&gt;""),W1636,""))</f>
        <v/>
      </c>
    </row>
    <row r="1637">
      <c r="A1637" s="18" t="inlineStr">
        <is>
          <t>C1636</t>
        </is>
      </c>
      <c r="B1637" s="18" t="inlineStr">
        <is>
          <t>Control interno</t>
        </is>
      </c>
      <c r="C1637" s="18" t="inlineStr">
        <is>
          <t>control_interno</t>
        </is>
      </c>
      <c r="D1637" s="18" t="inlineStr">
        <is>
          <t>evaluacion_proceso</t>
        </is>
      </c>
      <c r="E1637" s="18" t="n">
        <v>54</v>
      </c>
      <c r="F1637" s="18" t="inlineStr">
        <is>
          <t>plan_rotacion</t>
        </is>
      </c>
      <c r="G1637" s="18" t="inlineStr">
        <is>
          <t>character varying(20)</t>
        </is>
      </c>
      <c r="H1637" s="18" t="inlineStr">
        <is>
          <t>Sí</t>
        </is>
      </c>
      <c r="I1637" s="18" t="inlineStr"/>
      <c r="J1637" s="18" t="inlineStr"/>
      <c r="K1637" s="18" t="inlineStr"/>
      <c r="L1637" s="18" t="inlineStr">
        <is>
          <t>No</t>
        </is>
      </c>
      <c r="M1637" s="18" t="inlineStr">
        <is>
          <t>No</t>
        </is>
      </c>
      <c r="N1637" s="18" t="inlineStr"/>
      <c r="O1637" s="18" t="inlineStr"/>
      <c r="P1637" s="18" t="inlineStr">
        <is>
          <t>internal-institutional-control-service/src/esap/universo-auditorias/entities/evaluacion-proceso.entity.ts:166: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637" s="18" t="inlineStr">
        <is>
          <t>Código fuente</t>
        </is>
      </c>
      <c r="R1637" s="18" t="inlineStr">
        <is>
          <t>Plan de rotación de auditoría asignado al proceso.</t>
        </is>
      </c>
      <c r="S1637" s="18" t="inlineStr">
        <is>
          <t>Baja</t>
        </is>
      </c>
      <c r="T1637" s="18" t="inlineStr">
        <is>
          <t>nombre + tipo</t>
        </is>
      </c>
      <c r="U1637" s="18" t="inlineStr">
        <is>
          <t>¿Qué valores admite plan_rotacion y cómo se relaciona con dias_rotacion y ciclo_rotacion_dafp?</t>
        </is>
      </c>
      <c r="V1637" s="19" t="inlineStr">
        <is>
          <t>Pendiente</t>
        </is>
      </c>
      <c r="W1637" s="19" t="inlineStr"/>
      <c r="X1637" s="19" t="inlineStr"/>
      <c r="Y1637" s="20" t="n"/>
      <c r="Z1637" s="19" t="inlineStr"/>
      <c r="AA1637" s="18">
        <f>IF(OR(V1637="Aprobada"),R1637,IF(AND(OR(V1637="Aprobada con ajuste",V1637="Rechazada"),W1637&lt;&gt;""),W1637,""))</f>
        <v/>
      </c>
    </row>
    <row r="1638">
      <c r="A1638" s="18" t="inlineStr">
        <is>
          <t>C1637</t>
        </is>
      </c>
      <c r="B1638" s="18" t="inlineStr">
        <is>
          <t>Control interno</t>
        </is>
      </c>
      <c r="C1638" s="18" t="inlineStr">
        <is>
          <t>control_interno</t>
        </is>
      </c>
      <c r="D1638" s="18" t="inlineStr">
        <is>
          <t>evaluacion_proceso</t>
        </is>
      </c>
      <c r="E1638" s="18" t="n">
        <v>54</v>
      </c>
      <c r="F1638" s="18" t="inlineStr">
        <is>
          <t>dias_rotacion</t>
        </is>
      </c>
      <c r="G1638" s="18" t="inlineStr">
        <is>
          <t>integer</t>
        </is>
      </c>
      <c r="H1638" s="18" t="inlineStr">
        <is>
          <t>Sí</t>
        </is>
      </c>
      <c r="I1638" s="18" t="inlineStr"/>
      <c r="J1638" s="18" t="inlineStr"/>
      <c r="K1638" s="18" t="inlineStr"/>
      <c r="L1638" s="18" t="inlineStr">
        <is>
          <t>No</t>
        </is>
      </c>
      <c r="M1638" s="18" t="inlineStr">
        <is>
          <t>No</t>
        </is>
      </c>
      <c r="N1638" s="18" t="inlineStr"/>
      <c r="O1638" s="18" t="inlineStr"/>
      <c r="P1638" s="18" t="inlineStr">
        <is>
          <t>internal-institutional-control-service/src/esap/universo-auditorias/entities/evaluacion-proceso.entity.ts:169: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IsNumber, IsOptional</t>
        </is>
      </c>
      <c r="Q1638" s="18" t="inlineStr">
        <is>
          <t>Código fuente</t>
        </is>
      </c>
      <c r="R1638" s="18" t="inlineStr">
        <is>
          <t>Número de días del ciclo de rotación de auditoría del proceso. Por defecto 360.</t>
        </is>
      </c>
      <c r="S1638" s="18" t="inlineStr">
        <is>
          <t>Media</t>
        </is>
      </c>
      <c r="T1638" s="18" t="inlineStr">
        <is>
          <t>nombre + tipo + columnas vecinas</t>
        </is>
      </c>
      <c r="U1638" s="18" t="inlineStr">
        <is>
          <t>¿Es el intervalo máximo entre auditorías del proceso según el plan de rotación?</t>
        </is>
      </c>
      <c r="V1638" s="19" t="inlineStr">
        <is>
          <t>Pendiente</t>
        </is>
      </c>
      <c r="W1638" s="19" t="inlineStr"/>
      <c r="X1638" s="19" t="inlineStr"/>
      <c r="Y1638" s="20" t="n"/>
      <c r="Z1638" s="19" t="inlineStr"/>
      <c r="AA1638" s="18">
        <f>IF(OR(V1638="Aprobada"),R1638,IF(AND(OR(V1638="Aprobada con ajuste",V1638="Rechazada"),W1638&lt;&gt;""),W1638,""))</f>
        <v/>
      </c>
    </row>
    <row r="1639">
      <c r="A1639" s="18" t="inlineStr">
        <is>
          <t>C1638</t>
        </is>
      </c>
      <c r="B1639" s="18" t="inlineStr">
        <is>
          <t>Control interno</t>
        </is>
      </c>
      <c r="C1639" s="18" t="inlineStr">
        <is>
          <t>control_interno</t>
        </is>
      </c>
      <c r="D1639" s="18" t="inlineStr">
        <is>
          <t>evaluacion_proceso</t>
        </is>
      </c>
      <c r="E1639" s="18" t="n">
        <v>54</v>
      </c>
      <c r="F1639" s="18" t="inlineStr">
        <is>
          <t>decision_rotacion</t>
        </is>
      </c>
      <c r="G1639" s="18" t="inlineStr">
        <is>
          <t>character varying(20)</t>
        </is>
      </c>
      <c r="H1639" s="18" t="inlineStr">
        <is>
          <t>Sí</t>
        </is>
      </c>
      <c r="I1639" s="18" t="inlineStr"/>
      <c r="J1639" s="18" t="inlineStr"/>
      <c r="K1639" s="18" t="inlineStr"/>
      <c r="L1639" s="18" t="inlineStr">
        <is>
          <t>No</t>
        </is>
      </c>
      <c r="M1639" s="18" t="inlineStr">
        <is>
          <t>No</t>
        </is>
      </c>
      <c r="N1639" s="18" t="inlineStr"/>
      <c r="O1639" s="18" t="inlineStr"/>
      <c r="P1639" s="18" t="inlineStr">
        <is>
          <t>internal-institutional-control-service/src/esap/universo-auditorias/entities/evaluacion-proceso.entity.ts:172: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639" s="18" t="inlineStr">
        <is>
          <t>Código fuente</t>
        </is>
      </c>
      <c r="R1639" s="18" t="inlineStr">
        <is>
          <t>Decisión de rotación de auditoría para el proceso.</t>
        </is>
      </c>
      <c r="S1639" s="18" t="inlineStr">
        <is>
          <t>Baja</t>
        </is>
      </c>
      <c r="T1639" s="18" t="inlineStr">
        <is>
          <t>nombre + tipo</t>
        </is>
      </c>
      <c r="U1639" s="18" t="inlineStr">
        <is>
          <t>¿Qué valores admite decision_rotacion y en qué se diferencia de decision_final?</t>
        </is>
      </c>
      <c r="V1639" s="19" t="inlineStr">
        <is>
          <t>Pendiente</t>
        </is>
      </c>
      <c r="W1639" s="19" t="inlineStr"/>
      <c r="X1639" s="19" t="inlineStr"/>
      <c r="Y1639" s="20" t="n"/>
      <c r="Z1639" s="19" t="inlineStr"/>
      <c r="AA1639" s="18">
        <f>IF(OR(V1639="Aprobada"),R1639,IF(AND(OR(V1639="Aprobada con ajuste",V1639="Rechazada"),W1639&lt;&gt;""),W1639,""))</f>
        <v/>
      </c>
    </row>
    <row r="1640">
      <c r="A1640" s="18" t="inlineStr">
        <is>
          <t>C1639</t>
        </is>
      </c>
      <c r="B1640" s="18" t="inlineStr">
        <is>
          <t>Control interno</t>
        </is>
      </c>
      <c r="C1640" s="18" t="inlineStr">
        <is>
          <t>control_interno</t>
        </is>
      </c>
      <c r="D1640" s="18" t="inlineStr">
        <is>
          <t>evaluacion_proceso</t>
        </is>
      </c>
      <c r="E1640" s="18" t="n">
        <v>54</v>
      </c>
      <c r="F1640" s="18" t="inlineStr">
        <is>
          <t>motivo_decision</t>
        </is>
      </c>
      <c r="G1640" s="18" t="inlineStr">
        <is>
          <t>text</t>
        </is>
      </c>
      <c r="H1640" s="18" t="inlineStr">
        <is>
          <t>Sí</t>
        </is>
      </c>
      <c r="I1640" s="18" t="inlineStr"/>
      <c r="J1640" s="18" t="inlineStr"/>
      <c r="K1640" s="18" t="inlineStr"/>
      <c r="L1640" s="18" t="inlineStr">
        <is>
          <t>No</t>
        </is>
      </c>
      <c r="M1640" s="18" t="inlineStr">
        <is>
          <t>No</t>
        </is>
      </c>
      <c r="N1640" s="18" t="inlineStr"/>
      <c r="O1640" s="18" t="inlineStr"/>
      <c r="P1640" s="18" t="inlineStr">
        <is>
          <t>internal-institutional-control-service/src/esap/universo-auditorias/entities/evaluacion-proceso.entity.ts:182: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640" s="18" t="inlineStr">
        <is>
          <t>Código fuente</t>
        </is>
      </c>
      <c r="R1640" s="18" t="inlineStr">
        <is>
          <t>Motivo de la decisión tomada sobre la auditoría del proceso.</t>
        </is>
      </c>
      <c r="S1640" s="18" t="inlineStr">
        <is>
          <t>Media</t>
        </is>
      </c>
      <c r="T1640" s="18" t="inlineStr">
        <is>
          <t>nombre + tipo + propuesta por regla</t>
        </is>
      </c>
      <c r="U1640" s="18" t="inlineStr">
        <is>
          <t>¿Justifica decision_final, decision_rotacion o ambas?</t>
        </is>
      </c>
      <c r="V1640" s="19" t="inlineStr">
        <is>
          <t>Pendiente</t>
        </is>
      </c>
      <c r="W1640" s="19" t="inlineStr"/>
      <c r="X1640" s="19" t="inlineStr"/>
      <c r="Y1640" s="20" t="n"/>
      <c r="Z1640" s="19" t="inlineStr"/>
      <c r="AA1640" s="18">
        <f>IF(OR(V1640="Aprobada"),R1640,IF(AND(OR(V1640="Aprobada con ajuste",V1640="Rechazada"),W1640&lt;&gt;""),W1640,""))</f>
        <v/>
      </c>
    </row>
    <row r="1641">
      <c r="A1641" s="18" t="inlineStr">
        <is>
          <t>C1640</t>
        </is>
      </c>
      <c r="B1641" s="18" t="inlineStr">
        <is>
          <t>Control interno</t>
        </is>
      </c>
      <c r="C1641" s="18" t="inlineStr">
        <is>
          <t>control_interno</t>
        </is>
      </c>
      <c r="D1641" s="18" t="inlineStr">
        <is>
          <t>evaluacion_proceso</t>
        </is>
      </c>
      <c r="E1641" s="18" t="n">
        <v>54</v>
      </c>
      <c r="F1641" s="18" t="inlineStr">
        <is>
          <t>prioridad_regla</t>
        </is>
      </c>
      <c r="G1641" s="18" t="inlineStr">
        <is>
          <t>integer</t>
        </is>
      </c>
      <c r="H1641" s="18" t="inlineStr">
        <is>
          <t>Sí</t>
        </is>
      </c>
      <c r="I1641" s="18" t="inlineStr"/>
      <c r="J1641" s="18" t="inlineStr"/>
      <c r="K1641" s="18" t="inlineStr"/>
      <c r="L1641" s="18" t="inlineStr">
        <is>
          <t>No</t>
        </is>
      </c>
      <c r="M1641" s="18" t="inlineStr">
        <is>
          <t>No</t>
        </is>
      </c>
      <c r="N1641" s="18" t="inlineStr"/>
      <c r="O1641" s="18" t="inlineStr"/>
      <c r="P1641" s="18" t="inlineStr">
        <is>
          <t>internal-institutional-control-service/src/esap/universo-auditorias/entities/evaluacion-proceso.entity.ts:185: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1-5, qué regla DAFP aplicó | Validación: IsNumber, IsOptional, Max(5), Min(1)</t>
        </is>
      </c>
      <c r="Q1641" s="18" t="inlineStr">
        <is>
          <t>Código fuente</t>
        </is>
      </c>
      <c r="R1641" s="18" t="inlineStr">
        <is>
          <t>Número de la regla DAFP aplicada en la evaluación del proceso, de 1 a 5.</t>
        </is>
      </c>
      <c r="S1641" s="18" t="inlineStr">
        <is>
          <t>Alta</t>
        </is>
      </c>
      <c r="T1641" s="18" t="inlineStr">
        <is>
          <t>código: internal-institutional-control-service/src/esap/universo-auditorias/entities/evaluacion-proceso.entity.ts:185</t>
        </is>
      </c>
      <c r="U1641" s="18" t="inlineStr"/>
      <c r="V1641" s="19" t="inlineStr">
        <is>
          <t>Pendiente</t>
        </is>
      </c>
      <c r="W1641" s="19" t="inlineStr"/>
      <c r="X1641" s="19" t="inlineStr"/>
      <c r="Y1641" s="20" t="n"/>
      <c r="Z1641" s="19" t="inlineStr"/>
      <c r="AA1641" s="18">
        <f>IF(OR(V1641="Aprobada"),R1641,IF(AND(OR(V1641="Aprobada con ajuste",V1641="Rechazada"),W1641&lt;&gt;""),W1641,""))</f>
        <v/>
      </c>
    </row>
    <row r="1642">
      <c r="A1642" s="18" t="inlineStr">
        <is>
          <t>C1641</t>
        </is>
      </c>
      <c r="B1642" s="18" t="inlineStr">
        <is>
          <t>Control interno</t>
        </is>
      </c>
      <c r="C1642" s="18" t="inlineStr">
        <is>
          <t>control_interno</t>
        </is>
      </c>
      <c r="D1642" s="18" t="inlineStr">
        <is>
          <t>evaluacion_proceso</t>
        </is>
      </c>
      <c r="E1642" s="18" t="n">
        <v>54</v>
      </c>
      <c r="F1642" s="18" t="inlineStr">
        <is>
          <t>activo</t>
        </is>
      </c>
      <c r="G1642" s="18" t="inlineStr">
        <is>
          <t>boolean</t>
        </is>
      </c>
      <c r="H1642" s="18" t="inlineStr">
        <is>
          <t>Sí</t>
        </is>
      </c>
      <c r="I1642" s="18" t="inlineStr"/>
      <c r="J1642" s="18" t="inlineStr"/>
      <c r="K1642" s="18" t="inlineStr"/>
      <c r="L1642" s="18" t="inlineStr">
        <is>
          <t>No</t>
        </is>
      </c>
      <c r="M1642" s="18" t="inlineStr">
        <is>
          <t>No</t>
        </is>
      </c>
      <c r="N1642" s="18" t="inlineStr"/>
      <c r="O1642" s="18" t="inlineStr">
        <is>
          <t>idx_evaluacion_proceso_activo</t>
        </is>
      </c>
      <c r="P1642" s="18" t="inlineStr">
        <is>
          <t>internal-institutional-control-service/src/esap/universo-auditorias/entities/evaluacion-proceso.entity.ts:206: ═══════════════════════════════════════════════════════════════════════ RELACIÓN CON PROCESO MAESTRO 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642" s="18" t="inlineStr">
        <is>
          <t>Código fuente</t>
        </is>
      </c>
      <c r="R1642" s="18" t="inlineStr">
        <is>
          <t>Indica si la evaluación del proceso está activa. Por defecto verdadero.</t>
        </is>
      </c>
      <c r="S1642" s="18" t="inlineStr">
        <is>
          <t>Alta</t>
        </is>
      </c>
      <c r="T1642" s="18" t="inlineStr">
        <is>
          <t>nombre + tipo + propuesta por regla</t>
        </is>
      </c>
      <c r="U1642" s="18" t="inlineStr"/>
      <c r="V1642" s="19" t="inlineStr">
        <is>
          <t>Pendiente</t>
        </is>
      </c>
      <c r="W1642" s="19" t="inlineStr"/>
      <c r="X1642" s="19" t="inlineStr"/>
      <c r="Y1642" s="20" t="n"/>
      <c r="Z1642" s="19" t="inlineStr"/>
      <c r="AA1642" s="18">
        <f>IF(OR(V1642="Aprobada"),R1642,IF(AND(OR(V1642="Aprobada con ajuste",V1642="Rechazada"),W1642&lt;&gt;""),W1642,""))</f>
        <v/>
      </c>
    </row>
    <row r="1643">
      <c r="A1643" s="18" t="inlineStr">
        <is>
          <t>C1642</t>
        </is>
      </c>
      <c r="B1643" s="18" t="inlineStr">
        <is>
          <t>Control interno</t>
        </is>
      </c>
      <c r="C1643" s="18" t="inlineStr">
        <is>
          <t>control_interno</t>
        </is>
      </c>
      <c r="D1643" s="18" t="inlineStr">
        <is>
          <t>evidencia_accion</t>
        </is>
      </c>
      <c r="E1643" s="18" t="n">
        <v>0</v>
      </c>
      <c r="F1643" s="18" t="inlineStr">
        <is>
          <t>archivo_ref</t>
        </is>
      </c>
      <c r="G1643" s="18" t="inlineStr">
        <is>
          <t>character varying(1000)</t>
        </is>
      </c>
      <c r="H1643" s="18" t="inlineStr">
        <is>
          <t>No</t>
        </is>
      </c>
      <c r="I1643" s="18" t="inlineStr"/>
      <c r="J1643" s="18" t="inlineStr"/>
      <c r="K1643" s="18" t="inlineStr"/>
      <c r="L1643" s="18" t="inlineStr">
        <is>
          <t>No</t>
        </is>
      </c>
      <c r="M1643" s="18" t="inlineStr">
        <is>
          <t>No</t>
        </is>
      </c>
      <c r="N1643" s="18" t="inlineStr"/>
      <c r="O1643" s="18" t="inlineStr"/>
      <c r="P1643" s="18" t="inlineStr">
        <is>
          <t>internal-institutional-control-service/src/esap/planes-mejoramiento/entities/evidencia-accion.entity.ts:45: Referencia al archivo en el repositorio documental (URL o path relativo)</t>
        </is>
      </c>
      <c r="Q1643" s="18" t="inlineStr">
        <is>
          <t>Código fuente</t>
        </is>
      </c>
      <c r="R1643" s="18" t="inlineStr">
        <is>
          <t>Referencia al archivo de la evidencia en el repositorio documental (URL o ruta relativa).</t>
        </is>
      </c>
      <c r="S1643" s="18" t="inlineStr">
        <is>
          <t>Alta</t>
        </is>
      </c>
      <c r="T1643" s="18" t="inlineStr">
        <is>
          <t>código: internal-institutional-control-service/src/esap/planes-mejoramiento/entities/evidencia-accion.entity.ts:45</t>
        </is>
      </c>
      <c r="U1643" s="18" t="inlineStr"/>
      <c r="V1643" s="19" t="inlineStr">
        <is>
          <t>Pendiente</t>
        </is>
      </c>
      <c r="W1643" s="19" t="inlineStr"/>
      <c r="X1643" s="19" t="inlineStr"/>
      <c r="Y1643" s="20" t="n"/>
      <c r="Z1643" s="19" t="inlineStr"/>
      <c r="AA1643" s="18">
        <f>IF(OR(V1643="Aprobada"),R1643,IF(AND(OR(V1643="Aprobada con ajuste",V1643="Rechazada"),W1643&lt;&gt;""),W1643,""))</f>
        <v/>
      </c>
    </row>
    <row r="1644">
      <c r="A1644" s="18" t="inlineStr">
        <is>
          <t>C1643</t>
        </is>
      </c>
      <c r="B1644" s="18" t="inlineStr">
        <is>
          <t>Control interno</t>
        </is>
      </c>
      <c r="C1644" s="18" t="inlineStr">
        <is>
          <t>control_interno</t>
        </is>
      </c>
      <c r="D1644" s="18" t="inlineStr">
        <is>
          <t>evidencia_accion</t>
        </is>
      </c>
      <c r="E1644" s="18" t="n">
        <v>0</v>
      </c>
      <c r="F1644" s="18" t="inlineStr">
        <is>
          <t>archivo_nombre</t>
        </is>
      </c>
      <c r="G1644" s="18" t="inlineStr">
        <is>
          <t>character varying(500)</t>
        </is>
      </c>
      <c r="H1644" s="18" t="inlineStr">
        <is>
          <t>No</t>
        </is>
      </c>
      <c r="I1644" s="18" t="inlineStr"/>
      <c r="J1644" s="18" t="inlineStr"/>
      <c r="K1644" s="18" t="inlineStr"/>
      <c r="L1644" s="18" t="inlineStr">
        <is>
          <t>No</t>
        </is>
      </c>
      <c r="M1644" s="18" t="inlineStr">
        <is>
          <t>No</t>
        </is>
      </c>
      <c r="N1644" s="18" t="inlineStr"/>
      <c r="O1644" s="18" t="inlineStr"/>
      <c r="P1644" s="18" t="inlineStr">
        <is>
          <t>internal-institutional-control-service/src/esap/planes-mejoramiento/entities/evidencia-accion.entity.ts:49: Nombre original del archivo subido | Validación: IsOptional, IsString, Length(0, 255)</t>
        </is>
      </c>
      <c r="Q1644" s="18" t="inlineStr">
        <is>
          <t>Código fuente</t>
        </is>
      </c>
      <c r="R1644" s="18" t="inlineStr">
        <is>
          <t>Nombre original del archivo cargado.</t>
        </is>
      </c>
      <c r="S1644" s="18" t="inlineStr">
        <is>
          <t>Alta</t>
        </is>
      </c>
      <c r="T1644" s="18" t="inlineStr">
        <is>
          <t>código: internal-institutional-control-service/src/esap/planes-mejoramiento/entities/evidencia-accion.entity.ts:49</t>
        </is>
      </c>
      <c r="U1644" s="18" t="inlineStr"/>
      <c r="V1644" s="19" t="inlineStr">
        <is>
          <t>Pendiente</t>
        </is>
      </c>
      <c r="W1644" s="19" t="inlineStr"/>
      <c r="X1644" s="19" t="inlineStr"/>
      <c r="Y1644" s="20" t="n"/>
      <c r="Z1644" s="19" t="inlineStr"/>
      <c r="AA1644" s="18">
        <f>IF(OR(V1644="Aprobada"),R1644,IF(AND(OR(V1644="Aprobada con ajuste",V1644="Rechazada"),W1644&lt;&gt;""),W1644,""))</f>
        <v/>
      </c>
    </row>
    <row r="1645">
      <c r="A1645" s="18" t="inlineStr">
        <is>
          <t>C1644</t>
        </is>
      </c>
      <c r="B1645" s="18" t="inlineStr">
        <is>
          <t>Control interno</t>
        </is>
      </c>
      <c r="C1645" s="18" t="inlineStr">
        <is>
          <t>control_interno</t>
        </is>
      </c>
      <c r="D1645" s="18" t="inlineStr">
        <is>
          <t>evidencia_accion</t>
        </is>
      </c>
      <c r="E1645" s="18" t="n">
        <v>0</v>
      </c>
      <c r="F1645" s="18" t="inlineStr">
        <is>
          <t>archivo_tipo</t>
        </is>
      </c>
      <c r="G1645" s="18" t="inlineStr">
        <is>
          <t>character varying(100)</t>
        </is>
      </c>
      <c r="H1645" s="18" t="inlineStr">
        <is>
          <t>Sí</t>
        </is>
      </c>
      <c r="I1645" s="18" t="inlineStr"/>
      <c r="J1645" s="18" t="inlineStr"/>
      <c r="K1645" s="18" t="inlineStr"/>
      <c r="L1645" s="18" t="inlineStr">
        <is>
          <t>No</t>
        </is>
      </c>
      <c r="M1645" s="18" t="inlineStr">
        <is>
          <t>No</t>
        </is>
      </c>
      <c r="N1645" s="18" t="inlineStr"/>
      <c r="O1645" s="18" t="inlineStr"/>
      <c r="P1645" s="18" t="inlineStr">
        <is>
          <t>internal-institutional-control-service/src/esap/planes-mejoramiento/entities/evidencia-accion.entity.ts:53: MIME type del archivo</t>
        </is>
      </c>
      <c r="Q1645" s="18" t="inlineStr">
        <is>
          <t>Código fuente</t>
        </is>
      </c>
      <c r="R1645" s="18" t="inlineStr">
        <is>
          <t>Tipo MIME del archivo.</t>
        </is>
      </c>
      <c r="S1645" s="18" t="inlineStr">
        <is>
          <t>Alta</t>
        </is>
      </c>
      <c r="T1645" s="18" t="inlineStr">
        <is>
          <t>código: internal-institutional-control-service/src/esap/planes-mejoramiento/entities/evidencia-accion.entity.ts:53</t>
        </is>
      </c>
      <c r="U1645" s="18" t="inlineStr"/>
      <c r="V1645" s="19" t="inlineStr">
        <is>
          <t>Pendiente</t>
        </is>
      </c>
      <c r="W1645" s="19" t="inlineStr"/>
      <c r="X1645" s="19" t="inlineStr"/>
      <c r="Y1645" s="20" t="n"/>
      <c r="Z1645" s="19" t="inlineStr"/>
      <c r="AA1645" s="18">
        <f>IF(OR(V1645="Aprobada"),R1645,IF(AND(OR(V1645="Aprobada con ajuste",V1645="Rechazada"),W1645&lt;&gt;""),W1645,""))</f>
        <v/>
      </c>
    </row>
    <row r="1646">
      <c r="A1646" s="18" t="inlineStr">
        <is>
          <t>C1645</t>
        </is>
      </c>
      <c r="B1646" s="18" t="inlineStr">
        <is>
          <t>Control interno</t>
        </is>
      </c>
      <c r="C1646" s="18" t="inlineStr">
        <is>
          <t>control_interno</t>
        </is>
      </c>
      <c r="D1646" s="18" t="inlineStr">
        <is>
          <t>evidencia_accion</t>
        </is>
      </c>
      <c r="E1646" s="18" t="n">
        <v>0</v>
      </c>
      <c r="F1646" s="18" t="inlineStr">
        <is>
          <t>archivo_tamanio</t>
        </is>
      </c>
      <c r="G1646" s="18" t="inlineStr">
        <is>
          <t>bigint</t>
        </is>
      </c>
      <c r="H1646" s="18" t="inlineStr">
        <is>
          <t>Sí</t>
        </is>
      </c>
      <c r="I1646" s="18" t="inlineStr"/>
      <c r="J1646" s="18" t="inlineStr"/>
      <c r="K1646" s="18" t="inlineStr"/>
      <c r="L1646" s="18" t="inlineStr">
        <is>
          <t>No</t>
        </is>
      </c>
      <c r="M1646" s="18" t="inlineStr">
        <is>
          <t>No</t>
        </is>
      </c>
      <c r="N1646" s="18" t="inlineStr"/>
      <c r="O1646" s="18" t="inlineStr"/>
      <c r="P1646" s="18" t="inlineStr">
        <is>
          <t>internal-institutional-control-service/src/esap/planes-mejoramiento/entities/evidencia-accion.entity.ts:57: Tamaño en bytes</t>
        </is>
      </c>
      <c r="Q1646" s="18" t="inlineStr">
        <is>
          <t>Código fuente</t>
        </is>
      </c>
      <c r="R1646" s="18" t="inlineStr">
        <is>
          <t>Tamaño del archivo en bytes.</t>
        </is>
      </c>
      <c r="S1646" s="18" t="inlineStr">
        <is>
          <t>Alta</t>
        </is>
      </c>
      <c r="T1646" s="18" t="inlineStr">
        <is>
          <t>código: internal-institutional-control-service/src/esap/planes-mejoramiento/entities/evidencia-accion.entity.ts:57</t>
        </is>
      </c>
      <c r="U1646" s="18" t="inlineStr"/>
      <c r="V1646" s="19" t="inlineStr">
        <is>
          <t>Pendiente</t>
        </is>
      </c>
      <c r="W1646" s="19" t="inlineStr"/>
      <c r="X1646" s="19" t="inlineStr"/>
      <c r="Y1646" s="20" t="n"/>
      <c r="Z1646" s="19" t="inlineStr"/>
      <c r="AA1646" s="18">
        <f>IF(OR(V1646="Aprobada"),R1646,IF(AND(OR(V1646="Aprobada con ajuste",V1646="Rechazada"),W1646&lt;&gt;""),W1646,""))</f>
        <v/>
      </c>
    </row>
    <row r="1647">
      <c r="A1647" s="18" t="inlineStr">
        <is>
          <t>C1646</t>
        </is>
      </c>
      <c r="B1647" s="18" t="inlineStr">
        <is>
          <t>Control interno</t>
        </is>
      </c>
      <c r="C1647" s="18" t="inlineStr">
        <is>
          <t>control_interno</t>
        </is>
      </c>
      <c r="D1647" s="18" t="inlineStr">
        <is>
          <t>evidencia_accion</t>
        </is>
      </c>
      <c r="E1647" s="18" t="n">
        <v>0</v>
      </c>
      <c r="F1647" s="18" t="inlineStr">
        <is>
          <t>descripcion</t>
        </is>
      </c>
      <c r="G1647" s="18" t="inlineStr">
        <is>
          <t>text</t>
        </is>
      </c>
      <c r="H1647" s="18" t="inlineStr">
        <is>
          <t>Sí</t>
        </is>
      </c>
      <c r="I1647" s="18" t="inlineStr"/>
      <c r="J1647" s="18" t="inlineStr"/>
      <c r="K1647" s="18" t="inlineStr"/>
      <c r="L1647" s="18" t="inlineStr">
        <is>
          <t>No</t>
        </is>
      </c>
      <c r="M1647" s="18" t="inlineStr">
        <is>
          <t>No</t>
        </is>
      </c>
      <c r="N1647" s="18" t="inlineStr"/>
      <c r="O1647" s="18" t="inlineStr"/>
      <c r="P1647" s="18" t="inlineStr">
        <is>
          <t>internal-institutional-control-service/src/esap/planes-mejoramiento/entities/evidencia-accion.entity.ts:61: Descripción libre de la evidencia | Validación: IsNotEmpty, IsOptional, IsString</t>
        </is>
      </c>
      <c r="Q1647" s="18" t="inlineStr">
        <is>
          <t>Código fuente</t>
        </is>
      </c>
      <c r="R1647" s="18" t="inlineStr">
        <is>
          <t>Descripción libre de la evidencia.</t>
        </is>
      </c>
      <c r="S1647" s="18" t="inlineStr">
        <is>
          <t>Alta</t>
        </is>
      </c>
      <c r="T1647" s="18" t="inlineStr">
        <is>
          <t>código: internal-institutional-control-service/src/esap/planes-mejoramiento/entities/evidencia-accion.entity.ts:61</t>
        </is>
      </c>
      <c r="U1647" s="18" t="inlineStr"/>
      <c r="V1647" s="19" t="inlineStr">
        <is>
          <t>Pendiente</t>
        </is>
      </c>
      <c r="W1647" s="19" t="inlineStr"/>
      <c r="X1647" s="19" t="inlineStr"/>
      <c r="Y1647" s="20" t="n"/>
      <c r="Z1647" s="19" t="inlineStr"/>
      <c r="AA1647" s="18">
        <f>IF(OR(V1647="Aprobada"),R1647,IF(AND(OR(V1647="Aprobada con ajuste",V1647="Rechazada"),W1647&lt;&gt;""),W1647,""))</f>
        <v/>
      </c>
    </row>
    <row r="1648">
      <c r="A1648" s="18" t="inlineStr">
        <is>
          <t>C1647</t>
        </is>
      </c>
      <c r="B1648" s="18" t="inlineStr">
        <is>
          <t>Control interno</t>
        </is>
      </c>
      <c r="C1648" s="18" t="inlineStr">
        <is>
          <t>control_interno</t>
        </is>
      </c>
      <c r="D1648" s="18" t="inlineStr">
        <is>
          <t>evidencia_accion</t>
        </is>
      </c>
      <c r="E1648" s="18" t="n">
        <v>0</v>
      </c>
      <c r="F1648" s="18" t="inlineStr">
        <is>
          <t>cargada_por_id</t>
        </is>
      </c>
      <c r="G1648" s="18" t="inlineStr">
        <is>
          <t>character varying(255)</t>
        </is>
      </c>
      <c r="H1648" s="18" t="inlineStr">
        <is>
          <t>No</t>
        </is>
      </c>
      <c r="I1648" s="18" t="inlineStr"/>
      <c r="J1648" s="18" t="inlineStr"/>
      <c r="K1648" s="18" t="inlineStr"/>
      <c r="L1648" s="18" t="inlineStr">
        <is>
          <t>No</t>
        </is>
      </c>
      <c r="M1648" s="18" t="inlineStr">
        <is>
          <t>No</t>
        </is>
      </c>
      <c r="N1648" s="18" t="inlineStr"/>
      <c r="O1648" s="18" t="inlineStr"/>
      <c r="P1648" s="18" t="inlineStr">
        <is>
          <t>internal-institutional-control-service/src/esap/planes-mejoramiento/entities/evidencia-accion.entity.ts:65: ID del usuario del área auditada que cargó la evidencia</t>
        </is>
      </c>
      <c r="Q1648" s="18" t="inlineStr">
        <is>
          <t>Código fuente</t>
        </is>
      </c>
      <c r="R1648" s="18" t="inlineStr">
        <is>
          <t>Identificador del usuario del área auditada que cargó la evidencia.</t>
        </is>
      </c>
      <c r="S1648" s="18" t="inlineStr">
        <is>
          <t>Alta</t>
        </is>
      </c>
      <c r="T1648" s="18" t="inlineStr">
        <is>
          <t>código: internal-institutional-control-service/src/esap/planes-mejoramiento/entities/evidencia-accion.entity.ts:65</t>
        </is>
      </c>
      <c r="U1648" s="18" t="inlineStr"/>
      <c r="V1648" s="19" t="inlineStr">
        <is>
          <t>Pendiente</t>
        </is>
      </c>
      <c r="W1648" s="19" t="inlineStr"/>
      <c r="X1648" s="19" t="inlineStr"/>
      <c r="Y1648" s="20" t="n"/>
      <c r="Z1648" s="19" t="inlineStr"/>
      <c r="AA1648" s="18">
        <f>IF(OR(V1648="Aprobada"),R1648,IF(AND(OR(V1648="Aprobada con ajuste",V1648="Rechazada"),W1648&lt;&gt;""),W1648,""))</f>
        <v/>
      </c>
    </row>
    <row r="1649">
      <c r="A1649" s="18" t="inlineStr">
        <is>
          <t>C1648</t>
        </is>
      </c>
      <c r="B1649" s="18" t="inlineStr">
        <is>
          <t>Control interno</t>
        </is>
      </c>
      <c r="C1649" s="18" t="inlineStr">
        <is>
          <t>control_interno</t>
        </is>
      </c>
      <c r="D1649" s="18" t="inlineStr">
        <is>
          <t>evidencia_accion</t>
        </is>
      </c>
      <c r="E1649" s="18" t="n">
        <v>0</v>
      </c>
      <c r="F1649" s="18" t="inlineStr">
        <is>
          <t>cargada_por_nombre</t>
        </is>
      </c>
      <c r="G1649" s="18" t="inlineStr">
        <is>
          <t>character varying(500)</t>
        </is>
      </c>
      <c r="H1649" s="18" t="inlineStr">
        <is>
          <t>Sí</t>
        </is>
      </c>
      <c r="I1649" s="18" t="inlineStr"/>
      <c r="J1649" s="18" t="inlineStr"/>
      <c r="K1649" s="18" t="inlineStr"/>
      <c r="L1649" s="18" t="inlineStr">
        <is>
          <t>No</t>
        </is>
      </c>
      <c r="M1649" s="18" t="inlineStr">
        <is>
          <t>No</t>
        </is>
      </c>
      <c r="N1649" s="18" t="inlineStr"/>
      <c r="O1649" s="18" t="inlineStr"/>
      <c r="P1649" s="18" t="inlineStr">
        <is>
          <t>internal-institutional-control-service/src/esap/planes-mejoramiento/entities/evidencia-accion.entity.ts:69: Nombre del usuario que cargó (desnormalizado para trazabilidad)</t>
        </is>
      </c>
      <c r="Q1649" s="18" t="inlineStr">
        <is>
          <t>Código fuente</t>
        </is>
      </c>
      <c r="R1649" s="18" t="inlineStr">
        <is>
          <t>Nombre del usuario que cargó la evidencia, copiado para trazabilidad.</t>
        </is>
      </c>
      <c r="S1649" s="18" t="inlineStr">
        <is>
          <t>Alta</t>
        </is>
      </c>
      <c r="T1649" s="18" t="inlineStr">
        <is>
          <t>código: internal-institutional-control-service/src/esap/planes-mejoramiento/entities/evidencia-accion.entity.ts:69</t>
        </is>
      </c>
      <c r="U1649" s="18" t="inlineStr"/>
      <c r="V1649" s="19" t="inlineStr">
        <is>
          <t>Pendiente</t>
        </is>
      </c>
      <c r="W1649" s="19" t="inlineStr"/>
      <c r="X1649" s="19" t="inlineStr"/>
      <c r="Y1649" s="20" t="n"/>
      <c r="Z1649" s="19" t="inlineStr"/>
      <c r="AA1649" s="18">
        <f>IF(OR(V1649="Aprobada"),R1649,IF(AND(OR(V1649="Aprobada con ajuste",V1649="Rechazada"),W1649&lt;&gt;""),W1649,""))</f>
        <v/>
      </c>
    </row>
    <row r="1650">
      <c r="A1650" s="18" t="inlineStr">
        <is>
          <t>C1649</t>
        </is>
      </c>
      <c r="B1650" s="18" t="inlineStr">
        <is>
          <t>Control interno</t>
        </is>
      </c>
      <c r="C1650" s="18" t="inlineStr">
        <is>
          <t>control_interno</t>
        </is>
      </c>
      <c r="D1650" s="18" t="inlineStr">
        <is>
          <t>evidencia_accion</t>
        </is>
      </c>
      <c r="E1650" s="18" t="n">
        <v>0</v>
      </c>
      <c r="F1650" s="18" t="inlineStr">
        <is>
          <t>cargada_at</t>
        </is>
      </c>
      <c r="G1650" s="18" t="inlineStr">
        <is>
          <t>timestamp with time zone</t>
        </is>
      </c>
      <c r="H1650" s="18" t="inlineStr">
        <is>
          <t>Sí</t>
        </is>
      </c>
      <c r="I1650" s="18" t="inlineStr"/>
      <c r="J1650" s="18" t="inlineStr"/>
      <c r="K1650" s="18" t="inlineStr"/>
      <c r="L1650" s="18" t="inlineStr">
        <is>
          <t>No</t>
        </is>
      </c>
      <c r="M1650" s="18" t="inlineStr">
        <is>
          <t>No</t>
        </is>
      </c>
      <c r="N1650" s="18" t="inlineStr"/>
      <c r="O1650" s="18" t="inlineStr"/>
      <c r="P1650" s="18" t="inlineStr">
        <is>
          <t>Mapeada en internal-institutional-control-service/src/esap/planes-mejoramiento/entities/evidencia-accion.entity.ts:72 (EvidenciaAccion.cargadaAt)</t>
        </is>
      </c>
      <c r="Q1650" s="18" t="inlineStr">
        <is>
          <t>Regla estructural</t>
        </is>
      </c>
      <c r="R1650" s="18" t="inlineStr">
        <is>
          <t>Fecha y hora de la carga.</t>
        </is>
      </c>
      <c r="S1650" s="18" t="inlineStr">
        <is>
          <t>Media</t>
        </is>
      </c>
      <c r="T1650" s="18" t="inlineStr">
        <is>
          <t>Convención de nombre de la columna.</t>
        </is>
      </c>
      <c r="U1650" s="18" t="inlineStr"/>
      <c r="V1650" s="19" t="inlineStr">
        <is>
          <t>Pendiente</t>
        </is>
      </c>
      <c r="W1650" s="19" t="inlineStr"/>
      <c r="X1650" s="19" t="inlineStr"/>
      <c r="Y1650" s="20" t="n"/>
      <c r="Z1650" s="19" t="inlineStr"/>
      <c r="AA1650" s="18">
        <f>IF(OR(V1650="Aprobada"),R1650,IF(AND(OR(V1650="Aprobada con ajuste",V1650="Rechazada"),W1650&lt;&gt;""),W1650,""))</f>
        <v/>
      </c>
    </row>
    <row r="1651">
      <c r="A1651" s="18" t="inlineStr">
        <is>
          <t>C1650</t>
        </is>
      </c>
      <c r="B1651" s="18" t="inlineStr">
        <is>
          <t>Control interno</t>
        </is>
      </c>
      <c r="C1651" s="18" t="inlineStr">
        <is>
          <t>control_interno</t>
        </is>
      </c>
      <c r="D1651" s="18" t="inlineStr">
        <is>
          <t>evidencia_accion</t>
        </is>
      </c>
      <c r="E1651" s="18" t="n">
        <v>0</v>
      </c>
      <c r="F1651" s="18" t="inlineStr">
        <is>
          <t>estado_validacion</t>
        </is>
      </c>
      <c r="G1651" s="18" t="inlineStr">
        <is>
          <t>character varying(30)</t>
        </is>
      </c>
      <c r="H1651" s="18" t="inlineStr">
        <is>
          <t>Sí</t>
        </is>
      </c>
      <c r="I1651" s="18" t="inlineStr"/>
      <c r="J1651" s="18" t="inlineStr"/>
      <c r="K1651" s="18" t="inlineStr"/>
      <c r="L1651" s="18" t="inlineStr">
        <is>
          <t>No</t>
        </is>
      </c>
      <c r="M1651" s="18" t="inlineStr">
        <is>
          <t>No</t>
        </is>
      </c>
      <c r="N1651" s="18" t="inlineStr"/>
      <c r="O1651" s="18" t="inlineStr"/>
      <c r="P1651" s="18" t="inlineStr">
        <is>
          <t>internal-institutional-control-service/src/esap/planes-mejoramiento/entities/evidencia-accion.entity.ts:76: Estado de validación por parte del auditor OCI (RF-SG-02) | Validación: IsEnum(EstadoValidacion)</t>
        </is>
      </c>
      <c r="Q1651" s="18" t="inlineStr">
        <is>
          <t>Código fuente</t>
        </is>
      </c>
      <c r="R1651" s="18" t="inlineStr">
        <is>
          <t>Estado de la validación de la evidencia por el auditor de la Oficina de Control Interno; por defecto pendiente (RF-SG-02).</t>
        </is>
      </c>
      <c r="S1651" s="18" t="inlineStr">
        <is>
          <t>Alta</t>
        </is>
      </c>
      <c r="T1651" s="18" t="inlineStr">
        <is>
          <t>código: internal-institutional-control-service/src/esap/planes-mejoramiento/entities/evidencia-accion.entity.ts:76</t>
        </is>
      </c>
      <c r="U1651" s="18" t="inlineStr"/>
      <c r="V1651" s="19" t="inlineStr">
        <is>
          <t>Pendiente</t>
        </is>
      </c>
      <c r="W1651" s="19" t="inlineStr"/>
      <c r="X1651" s="19" t="inlineStr"/>
      <c r="Y1651" s="20" t="n"/>
      <c r="Z1651" s="19" t="inlineStr"/>
      <c r="AA1651" s="18">
        <f>IF(OR(V1651="Aprobada"),R1651,IF(AND(OR(V1651="Aprobada con ajuste",V1651="Rechazada"),W1651&lt;&gt;""),W1651,""))</f>
        <v/>
      </c>
    </row>
    <row r="1652">
      <c r="A1652" s="18" t="inlineStr">
        <is>
          <t>C1651</t>
        </is>
      </c>
      <c r="B1652" s="18" t="inlineStr">
        <is>
          <t>Control interno</t>
        </is>
      </c>
      <c r="C1652" s="18" t="inlineStr">
        <is>
          <t>control_interno</t>
        </is>
      </c>
      <c r="D1652" s="18" t="inlineStr">
        <is>
          <t>evidencia_accion</t>
        </is>
      </c>
      <c r="E1652" s="18" t="n">
        <v>0</v>
      </c>
      <c r="F1652" s="18" t="inlineStr">
        <is>
          <t>comentarios</t>
        </is>
      </c>
      <c r="G1652" s="18" t="inlineStr">
        <is>
          <t>text</t>
        </is>
      </c>
      <c r="H1652" s="18" t="inlineStr">
        <is>
          <t>Sí</t>
        </is>
      </c>
      <c r="I1652" s="18" t="inlineStr"/>
      <c r="J1652" s="18" t="inlineStr"/>
      <c r="K1652" s="18" t="inlineStr"/>
      <c r="L1652" s="18" t="inlineStr">
        <is>
          <t>No</t>
        </is>
      </c>
      <c r="M1652" s="18" t="inlineStr">
        <is>
          <t>No</t>
        </is>
      </c>
      <c r="N1652" s="18" t="inlineStr"/>
      <c r="O1652" s="18" t="inlineStr"/>
      <c r="P1652" s="18" t="inlineStr">
        <is>
          <t>internal-institutional-control-service/src/esap/planes-mejoramiento/entities/evidencia-accion.entity.ts:85: Comentarios del auditor al calificar la evidencia | Validación: IsNotEmpty, IsOptional, IsString, MinLength(10, { message: 'Los comentarios deben tener al menos 10 caracteres' })</t>
        </is>
      </c>
      <c r="Q1652" s="18" t="inlineStr">
        <is>
          <t>Código fuente</t>
        </is>
      </c>
      <c r="R1652" s="18" t="inlineStr">
        <is>
          <t>Comentarios del auditor al calificar la evidencia; mínimo 10 caracteres.</t>
        </is>
      </c>
      <c r="S1652" s="18" t="inlineStr">
        <is>
          <t>Alta</t>
        </is>
      </c>
      <c r="T1652" s="18" t="inlineStr">
        <is>
          <t>código: internal-institutional-control-service/src/esap/planes-mejoramiento/entities/evidencia-accion.entity.ts:85</t>
        </is>
      </c>
      <c r="U1652" s="18" t="inlineStr"/>
      <c r="V1652" s="19" t="inlineStr">
        <is>
          <t>Pendiente</t>
        </is>
      </c>
      <c r="W1652" s="19" t="inlineStr"/>
      <c r="X1652" s="19" t="inlineStr"/>
      <c r="Y1652" s="20" t="n"/>
      <c r="Z1652" s="19" t="inlineStr"/>
      <c r="AA1652" s="18">
        <f>IF(OR(V1652="Aprobada"),R1652,IF(AND(OR(V1652="Aprobada con ajuste",V1652="Rechazada"),W1652&lt;&gt;""),W1652,""))</f>
        <v/>
      </c>
    </row>
    <row r="1653">
      <c r="A1653" s="18" t="inlineStr">
        <is>
          <t>C1652</t>
        </is>
      </c>
      <c r="B1653" s="18" t="inlineStr">
        <is>
          <t>Control interno</t>
        </is>
      </c>
      <c r="C1653" s="18" t="inlineStr">
        <is>
          <t>control_interno</t>
        </is>
      </c>
      <c r="D1653" s="18" t="inlineStr">
        <is>
          <t>evidencia_accion</t>
        </is>
      </c>
      <c r="E1653" s="18" t="n">
        <v>0</v>
      </c>
      <c r="F1653" s="18" t="inlineStr">
        <is>
          <t>solicita_nueva_evidencia</t>
        </is>
      </c>
      <c r="G1653" s="18" t="inlineStr">
        <is>
          <t>boolean</t>
        </is>
      </c>
      <c r="H1653" s="18" t="inlineStr">
        <is>
          <t>Sí</t>
        </is>
      </c>
      <c r="I1653" s="18" t="inlineStr"/>
      <c r="J1653" s="18" t="inlineStr"/>
      <c r="K1653" s="18" t="inlineStr"/>
      <c r="L1653" s="18" t="inlineStr">
        <is>
          <t>No</t>
        </is>
      </c>
      <c r="M1653" s="18" t="inlineStr">
        <is>
          <t>No</t>
        </is>
      </c>
      <c r="N1653" s="18" t="inlineStr"/>
      <c r="O1653" s="18" t="inlineStr"/>
      <c r="P1653" s="18" t="inlineStr">
        <is>
          <t>internal-institutional-control-service/src/esap/planes-mejoramiento/entities/evidencia-accion.entity.ts:89: ¿El auditor solicita nueva evidencia o aclaraciones? (RF-SG-03)</t>
        </is>
      </c>
      <c r="Q1653" s="18" t="inlineStr">
        <is>
          <t>Código fuente</t>
        </is>
      </c>
      <c r="R1653" s="18" t="inlineStr">
        <is>
          <t>Indica si el auditor solicita nueva evidencia o aclaraciones; por defecto falso (RF-SG-03).</t>
        </is>
      </c>
      <c r="S1653" s="18" t="inlineStr">
        <is>
          <t>Alta</t>
        </is>
      </c>
      <c r="T1653" s="18" t="inlineStr">
        <is>
          <t>código: internal-institutional-control-service/src/esap/planes-mejoramiento/entities/evidencia-accion.entity.ts:89</t>
        </is>
      </c>
      <c r="U1653" s="18" t="inlineStr"/>
      <c r="V1653" s="19" t="inlineStr">
        <is>
          <t>Pendiente</t>
        </is>
      </c>
      <c r="W1653" s="19" t="inlineStr"/>
      <c r="X1653" s="19" t="inlineStr"/>
      <c r="Y1653" s="20" t="n"/>
      <c r="Z1653" s="19" t="inlineStr"/>
      <c r="AA1653" s="18">
        <f>IF(OR(V1653="Aprobada"),R1653,IF(AND(OR(V1653="Aprobada con ajuste",V1653="Rechazada"),W1653&lt;&gt;""),W1653,""))</f>
        <v/>
      </c>
    </row>
    <row r="1654">
      <c r="A1654" s="18" t="inlineStr">
        <is>
          <t>C1653</t>
        </is>
      </c>
      <c r="B1654" s="18" t="inlineStr">
        <is>
          <t>Control interno</t>
        </is>
      </c>
      <c r="C1654" s="18" t="inlineStr">
        <is>
          <t>control_interno</t>
        </is>
      </c>
      <c r="D1654" s="18" t="inlineStr">
        <is>
          <t>evidencia_accion</t>
        </is>
      </c>
      <c r="E1654" s="18" t="n">
        <v>0</v>
      </c>
      <c r="F1654" s="18" t="inlineStr">
        <is>
          <t>calificada_por_id</t>
        </is>
      </c>
      <c r="G1654" s="18" t="inlineStr">
        <is>
          <t>character varying(255)</t>
        </is>
      </c>
      <c r="H1654" s="18" t="inlineStr">
        <is>
          <t>Sí</t>
        </is>
      </c>
      <c r="I1654" s="18" t="inlineStr"/>
      <c r="J1654" s="18" t="inlineStr"/>
      <c r="K1654" s="18" t="inlineStr"/>
      <c r="L1654" s="18" t="inlineStr">
        <is>
          <t>No</t>
        </is>
      </c>
      <c r="M1654" s="18" t="inlineStr">
        <is>
          <t>No</t>
        </is>
      </c>
      <c r="N1654" s="18" t="inlineStr"/>
      <c r="O1654" s="18" t="inlineStr"/>
      <c r="P1654" s="18" t="inlineStr">
        <is>
          <t>internal-institutional-control-service/src/esap/planes-mejoramiento/entities/evidencia-accion.entity.ts:93: ID del auditor que calificó</t>
        </is>
      </c>
      <c r="Q1654" s="18" t="inlineStr">
        <is>
          <t>Código fuente</t>
        </is>
      </c>
      <c r="R1654" s="18" t="inlineStr">
        <is>
          <t>Identificador del auditor que calificó la evidencia.</t>
        </is>
      </c>
      <c r="S1654" s="18" t="inlineStr">
        <is>
          <t>Alta</t>
        </is>
      </c>
      <c r="T1654" s="18" t="inlineStr">
        <is>
          <t>código: internal-institutional-control-service/src/esap/planes-mejoramiento/entities/evidencia-accion.entity.ts:93</t>
        </is>
      </c>
      <c r="U1654" s="18" t="inlineStr"/>
      <c r="V1654" s="19" t="inlineStr">
        <is>
          <t>Pendiente</t>
        </is>
      </c>
      <c r="W1654" s="19" t="inlineStr"/>
      <c r="X1654" s="19" t="inlineStr"/>
      <c r="Y1654" s="20" t="n"/>
      <c r="Z1654" s="19" t="inlineStr"/>
      <c r="AA1654" s="18">
        <f>IF(OR(V1654="Aprobada"),R1654,IF(AND(OR(V1654="Aprobada con ajuste",V1654="Rechazada"),W1654&lt;&gt;""),W1654,""))</f>
        <v/>
      </c>
    </row>
    <row r="1655">
      <c r="A1655" s="18" t="inlineStr">
        <is>
          <t>C1654</t>
        </is>
      </c>
      <c r="B1655" s="18" t="inlineStr">
        <is>
          <t>Control interno</t>
        </is>
      </c>
      <c r="C1655" s="18" t="inlineStr">
        <is>
          <t>control_interno</t>
        </is>
      </c>
      <c r="D1655" s="18" t="inlineStr">
        <is>
          <t>evidencia_accion</t>
        </is>
      </c>
      <c r="E1655" s="18" t="n">
        <v>0</v>
      </c>
      <c r="F1655" s="18" t="inlineStr">
        <is>
          <t>calificada_por_nombre</t>
        </is>
      </c>
      <c r="G1655" s="18" t="inlineStr">
        <is>
          <t>character varying(500)</t>
        </is>
      </c>
      <c r="H1655" s="18" t="inlineStr">
        <is>
          <t>Sí</t>
        </is>
      </c>
      <c r="I1655" s="18" t="inlineStr"/>
      <c r="J1655" s="18" t="inlineStr"/>
      <c r="K1655" s="18" t="inlineStr"/>
      <c r="L1655" s="18" t="inlineStr">
        <is>
          <t>No</t>
        </is>
      </c>
      <c r="M1655" s="18" t="inlineStr">
        <is>
          <t>No</t>
        </is>
      </c>
      <c r="N1655" s="18" t="inlineStr"/>
      <c r="O1655" s="18" t="inlineStr"/>
      <c r="P1655" s="18" t="inlineStr">
        <is>
          <t>internal-institutional-control-service/src/esap/planes-mejoramiento/entities/evidencia-accion.entity.ts:97: Nombre del auditor que calificó (desnormalizado para trazabilidad)</t>
        </is>
      </c>
      <c r="Q1655" s="18" t="inlineStr">
        <is>
          <t>Código fuente</t>
        </is>
      </c>
      <c r="R1655" s="18" t="inlineStr">
        <is>
          <t>Nombre del auditor que calificó la evidencia, copiado para trazabilidad.</t>
        </is>
      </c>
      <c r="S1655" s="18" t="inlineStr">
        <is>
          <t>Alta</t>
        </is>
      </c>
      <c r="T1655" s="18" t="inlineStr">
        <is>
          <t>código: internal-institutional-control-service/src/esap/planes-mejoramiento/entities/evidencia-accion.entity.ts:97</t>
        </is>
      </c>
      <c r="U1655" s="18" t="inlineStr"/>
      <c r="V1655" s="19" t="inlineStr">
        <is>
          <t>Pendiente</t>
        </is>
      </c>
      <c r="W1655" s="19" t="inlineStr"/>
      <c r="X1655" s="19" t="inlineStr"/>
      <c r="Y1655" s="20" t="n"/>
      <c r="Z1655" s="19" t="inlineStr"/>
      <c r="AA1655" s="18">
        <f>IF(OR(V1655="Aprobada"),R1655,IF(AND(OR(V1655="Aprobada con ajuste",V1655="Rechazada"),W1655&lt;&gt;""),W1655,""))</f>
        <v/>
      </c>
    </row>
    <row r="1656">
      <c r="A1656" s="18" t="inlineStr">
        <is>
          <t>C1655</t>
        </is>
      </c>
      <c r="B1656" s="18" t="inlineStr">
        <is>
          <t>Control interno</t>
        </is>
      </c>
      <c r="C1656" s="18" t="inlineStr">
        <is>
          <t>control_interno</t>
        </is>
      </c>
      <c r="D1656" s="18" t="inlineStr">
        <is>
          <t>evidencia_accion</t>
        </is>
      </c>
      <c r="E1656" s="18" t="n">
        <v>0</v>
      </c>
      <c r="F1656" s="18" t="inlineStr">
        <is>
          <t>calificada_at</t>
        </is>
      </c>
      <c r="G1656" s="18" t="inlineStr">
        <is>
          <t>timestamp with time zone</t>
        </is>
      </c>
      <c r="H1656" s="18" t="inlineStr">
        <is>
          <t>Sí</t>
        </is>
      </c>
      <c r="I1656" s="18" t="inlineStr"/>
      <c r="J1656" s="18" t="inlineStr"/>
      <c r="K1656" s="18" t="inlineStr"/>
      <c r="L1656" s="18" t="inlineStr">
        <is>
          <t>No</t>
        </is>
      </c>
      <c r="M1656" s="18" t="inlineStr">
        <is>
          <t>No</t>
        </is>
      </c>
      <c r="N1656" s="18" t="inlineStr"/>
      <c r="O1656" s="18" t="inlineStr"/>
      <c r="P1656" s="18" t="inlineStr">
        <is>
          <t>internal-institutional-control-service/src/esap/planes-mejoramiento/entities/evidencia-accion.entity.ts:101: Fecha/hora de calificación</t>
        </is>
      </c>
      <c r="Q1656" s="18" t="inlineStr">
        <is>
          <t>Código fuente</t>
        </is>
      </c>
      <c r="R1656" s="18" t="inlineStr">
        <is>
          <t>Fecha y hora de la calificación de la evidencia.</t>
        </is>
      </c>
      <c r="S1656" s="18" t="inlineStr">
        <is>
          <t>Alta</t>
        </is>
      </c>
      <c r="T1656" s="18" t="inlineStr">
        <is>
          <t>código: internal-institutional-control-service/src/esap/planes-mejoramiento/entities/evidencia-accion.entity.ts:101</t>
        </is>
      </c>
      <c r="U1656" s="18" t="inlineStr"/>
      <c r="V1656" s="19" t="inlineStr">
        <is>
          <t>Pendiente</t>
        </is>
      </c>
      <c r="W1656" s="19" t="inlineStr"/>
      <c r="X1656" s="19" t="inlineStr"/>
      <c r="Y1656" s="20" t="n"/>
      <c r="Z1656" s="19" t="inlineStr"/>
      <c r="AA1656" s="18">
        <f>IF(OR(V1656="Aprobada"),R1656,IF(AND(OR(V1656="Aprobada con ajuste",V1656="Rechazada"),W1656&lt;&gt;""),W1656,""))</f>
        <v/>
      </c>
    </row>
    <row r="1657">
      <c r="A1657" s="18" t="inlineStr">
        <is>
          <t>C1656</t>
        </is>
      </c>
      <c r="B1657" s="18" t="inlineStr">
        <is>
          <t>Control interno</t>
        </is>
      </c>
      <c r="C1657" s="18" t="inlineStr">
        <is>
          <t>control_interno</t>
        </is>
      </c>
      <c r="D1657" s="18" t="inlineStr">
        <is>
          <t>evidencia_documento</t>
        </is>
      </c>
      <c r="E1657" s="18" t="n">
        <v>48</v>
      </c>
      <c r="F1657" s="18" t="inlineStr">
        <is>
          <t>nombre</t>
        </is>
      </c>
      <c r="G1657" s="18" t="inlineStr">
        <is>
          <t>character varying(255)</t>
        </is>
      </c>
      <c r="H1657" s="18" t="inlineStr">
        <is>
          <t>No</t>
        </is>
      </c>
      <c r="I1657" s="18" t="inlineStr"/>
      <c r="J1657" s="18" t="inlineStr"/>
      <c r="K1657" s="18" t="inlineStr"/>
      <c r="L1657" s="18" t="inlineStr">
        <is>
          <t>No</t>
        </is>
      </c>
      <c r="M1657" s="18" t="inlineStr">
        <is>
          <t>No</t>
        </is>
      </c>
      <c r="N1657" s="18" t="inlineStr"/>
      <c r="O1657" s="18" t="inlineStr"/>
      <c r="P1657" s="18" t="inlineStr">
        <is>
          <t>internal-institutional-control-service/src/esap/evidencias/entities/evidencia-documento.entity.ts:50: Metadatos | db/migrations/old/076_create_evidencias_documentos.sql:49: Metadatos del documento | Validación: IsNotEmpty, IsNotEmpty({ message: 'El nombre del documento es obligatorio' }), IsOptional, IsString, Length(1, 500), MaxLength(120)</t>
        </is>
      </c>
      <c r="Q1657" s="18" t="inlineStr">
        <is>
          <t>Código fuente</t>
        </is>
      </c>
      <c r="R1657" s="18" t="inlineStr">
        <is>
          <t>Nombre del documento de evidencia.</t>
        </is>
      </c>
      <c r="S1657" s="18" t="inlineStr">
        <is>
          <t>Alta</t>
        </is>
      </c>
      <c r="T1657" s="18" t="inlineStr">
        <is>
          <t>código: db/migrations/old/076_create_evidencias_documentos.sql:49</t>
        </is>
      </c>
      <c r="U1657" s="18" t="inlineStr"/>
      <c r="V1657" s="19" t="inlineStr">
        <is>
          <t>Pendiente</t>
        </is>
      </c>
      <c r="W1657" s="19" t="inlineStr"/>
      <c r="X1657" s="19" t="inlineStr"/>
      <c r="Y1657" s="20" t="n"/>
      <c r="Z1657" s="19" t="inlineStr"/>
      <c r="AA1657" s="18">
        <f>IF(OR(V1657="Aprobada"),R1657,IF(AND(OR(V1657="Aprobada con ajuste",V1657="Rechazada"),W1657&lt;&gt;""),W1657,""))</f>
        <v/>
      </c>
    </row>
    <row r="1658">
      <c r="A1658" s="18" t="inlineStr">
        <is>
          <t>C1657</t>
        </is>
      </c>
      <c r="B1658" s="18" t="inlineStr">
        <is>
          <t>Control interno</t>
        </is>
      </c>
      <c r="C1658" s="18" t="inlineStr">
        <is>
          <t>control_interno</t>
        </is>
      </c>
      <c r="D1658" s="18" t="inlineStr">
        <is>
          <t>evidencia_documento</t>
        </is>
      </c>
      <c r="E1658" s="18" t="n">
        <v>48</v>
      </c>
      <c r="F1658" s="18" t="inlineStr">
        <is>
          <t>descripcion</t>
        </is>
      </c>
      <c r="G1658" s="18" t="inlineStr">
        <is>
          <t>text</t>
        </is>
      </c>
      <c r="H1658" s="18" t="inlineStr">
        <is>
          <t>Sí</t>
        </is>
      </c>
      <c r="I1658" s="18" t="inlineStr"/>
      <c r="J1658" s="18" t="inlineStr"/>
      <c r="K1658" s="18" t="inlineStr"/>
      <c r="L1658" s="18" t="inlineStr">
        <is>
          <t>No</t>
        </is>
      </c>
      <c r="M1658" s="18" t="inlineStr">
        <is>
          <t>No</t>
        </is>
      </c>
      <c r="N1658" s="18" t="inlineStr"/>
      <c r="O1658" s="18" t="inlineStr"/>
      <c r="P1658" s="18" t="inlineStr">
        <is>
          <t>Mapeada en internal-institutional-control-service/src/esap/evidencias/entities/evidencia-documento.entity.ts:53 (EvidenciaDocumento.descripcion) | Validación: IsNotEmpty, IsOptional, IsString</t>
        </is>
      </c>
      <c r="Q1658" s="18" t="inlineStr">
        <is>
          <t>Regla estructural</t>
        </is>
      </c>
      <c r="R1658" s="18" t="inlineStr">
        <is>
          <t>Descripción del registro de evidencia_documento.</t>
        </is>
      </c>
      <c r="S1658" s="18" t="inlineStr">
        <is>
          <t>Media</t>
        </is>
      </c>
      <c r="T1658" s="18" t="inlineStr">
        <is>
          <t>Convención de nombre de la columna.</t>
        </is>
      </c>
      <c r="U1658" s="18" t="inlineStr"/>
      <c r="V1658" s="19" t="inlineStr">
        <is>
          <t>Pendiente</t>
        </is>
      </c>
      <c r="W1658" s="19" t="inlineStr"/>
      <c r="X1658" s="19" t="inlineStr"/>
      <c r="Y1658" s="20" t="n"/>
      <c r="Z1658" s="19" t="inlineStr"/>
      <c r="AA1658" s="18">
        <f>IF(OR(V1658="Aprobada"),R1658,IF(AND(OR(V1658="Aprobada con ajuste",V1658="Rechazada"),W1658&lt;&gt;""),W1658,""))</f>
        <v/>
      </c>
    </row>
    <row r="1659">
      <c r="A1659" s="18" t="inlineStr">
        <is>
          <t>C1658</t>
        </is>
      </c>
      <c r="B1659" s="18" t="inlineStr">
        <is>
          <t>Control interno</t>
        </is>
      </c>
      <c r="C1659" s="18" t="inlineStr">
        <is>
          <t>control_interno</t>
        </is>
      </c>
      <c r="D1659" s="18" t="inlineStr">
        <is>
          <t>evidencia_documento</t>
        </is>
      </c>
      <c r="E1659" s="18" t="n">
        <v>48</v>
      </c>
      <c r="F1659" s="18" t="inlineStr">
        <is>
          <t>tipo_documento</t>
        </is>
      </c>
      <c r="G1659" s="18" t="inlineStr">
        <is>
          <t>control_interno.tipo_documento_evidencia</t>
        </is>
      </c>
      <c r="H1659" s="18" t="inlineStr">
        <is>
          <t>No</t>
        </is>
      </c>
      <c r="I1659" s="18" t="inlineStr">
        <is>
          <t>Enumerado</t>
        </is>
      </c>
      <c r="J1659" s="18" t="inlineStr">
        <is>
          <t>evidencia_hallazgo, evidencia_accion, evidencia_plan, documento_plan, certificado, acta, informe, otro</t>
        </is>
      </c>
      <c r="K1659" s="18" t="inlineStr"/>
      <c r="L1659" s="18" t="inlineStr">
        <is>
          <t>Sí</t>
        </is>
      </c>
      <c r="M1659" s="18" t="inlineStr">
        <is>
          <t>No</t>
        </is>
      </c>
      <c r="N1659" s="18" t="inlineStr"/>
      <c r="O1659" s="18" t="inlineStr">
        <is>
          <t>idx_evidencia_tipo</t>
        </is>
      </c>
      <c r="P1659" s="18" t="inlineStr">
        <is>
          <t>Mapeada en internal-institutional-control-service/src/esap/evidencias/entities/evidencia-documento.entity.ts:56 (EvidenciaDocumento.tipoDocumento) | Validación: IsEnum(TipoDocumento), IsEnum(TipoDocumentoEvidencia), IsNotEmpty, IsOptional</t>
        </is>
      </c>
      <c r="Q1659" s="18" t="inlineStr">
        <is>
          <t>Propuesta semántica</t>
        </is>
      </c>
      <c r="R1659" s="18" t="inlineStr">
        <is>
          <t>Tipo de documento de evidencia. Valores permitidos: evidencia_hallazgo, evidencia_accion, evidencia_plan, documento_plan, certificado, acta, informe, otro.</t>
        </is>
      </c>
      <c r="S1659" s="18" t="inlineStr">
        <is>
          <t>Alta</t>
        </is>
      </c>
      <c r="T1659" s="18" t="inlineStr">
        <is>
          <t>valores permitidos del enum tipo_documento_evidencia ~</t>
        </is>
      </c>
      <c r="U1659" s="18" t="inlineStr"/>
      <c r="V1659" s="19" t="inlineStr">
        <is>
          <t>Pendiente</t>
        </is>
      </c>
      <c r="W1659" s="19" t="inlineStr"/>
      <c r="X1659" s="19" t="inlineStr"/>
      <c r="Y1659" s="20" t="n"/>
      <c r="Z1659" s="19" t="inlineStr"/>
      <c r="AA1659" s="18">
        <f>IF(OR(V1659="Aprobada"),R1659,IF(AND(OR(V1659="Aprobada con ajuste",V1659="Rechazada"),W1659&lt;&gt;""),W1659,""))</f>
        <v/>
      </c>
    </row>
    <row r="1660">
      <c r="A1660" s="18" t="inlineStr">
        <is>
          <t>C1659</t>
        </is>
      </c>
      <c r="B1660" s="18" t="inlineStr">
        <is>
          <t>Control interno</t>
        </is>
      </c>
      <c r="C1660" s="18" t="inlineStr">
        <is>
          <t>control_interno</t>
        </is>
      </c>
      <c r="D1660" s="18" t="inlineStr">
        <is>
          <t>evidencia_documento</t>
        </is>
      </c>
      <c r="E1660" s="18" t="n">
        <v>48</v>
      </c>
      <c r="F1660" s="18" t="inlineStr">
        <is>
          <t>ruta_archivo</t>
        </is>
      </c>
      <c r="G1660" s="18" t="inlineStr">
        <is>
          <t>character varying(500)</t>
        </is>
      </c>
      <c r="H1660" s="18" t="inlineStr">
        <is>
          <t>No</t>
        </is>
      </c>
      <c r="I1660" s="18" t="inlineStr"/>
      <c r="J1660" s="18" t="inlineStr"/>
      <c r="K1660" s="18" t="inlineStr"/>
      <c r="L1660" s="18" t="inlineStr">
        <is>
          <t>No</t>
        </is>
      </c>
      <c r="M1660" s="18" t="inlineStr">
        <is>
          <t>No</t>
        </is>
      </c>
      <c r="N1660" s="18" t="inlineStr"/>
      <c r="O1660" s="18" t="inlineStr"/>
      <c r="P1660" s="18" t="inlineStr">
        <is>
          <t>internal-institutional-control-service/src/esap/evidencias/entities/evidencia-documento.entity.ts:93: Archivo físico | db/migrations/old/076_create_evidencias_documentos.sql:60: Archivo físico | Validación: IsOptional, IsString</t>
        </is>
      </c>
      <c r="Q1660" s="18" t="inlineStr">
        <is>
          <t>Código fuente</t>
        </is>
      </c>
      <c r="R1660" s="18" t="inlineStr">
        <is>
          <t>Ruta del archivo físico de la evidencia.</t>
        </is>
      </c>
      <c r="S1660" s="18" t="inlineStr">
        <is>
          <t>Alta</t>
        </is>
      </c>
      <c r="T1660" s="18" t="inlineStr">
        <is>
          <t>código: db/migrations/old/076_create_evidencias_documentos.sql:60</t>
        </is>
      </c>
      <c r="U1660" s="18" t="inlineStr"/>
      <c r="V1660" s="19" t="inlineStr">
        <is>
          <t>Pendiente</t>
        </is>
      </c>
      <c r="W1660" s="19" t="inlineStr"/>
      <c r="X1660" s="19" t="inlineStr"/>
      <c r="Y1660" s="20" t="n"/>
      <c r="Z1660" s="19" t="inlineStr"/>
      <c r="AA1660" s="18">
        <f>IF(OR(V1660="Aprobada"),R1660,IF(AND(OR(V1660="Aprobada con ajuste",V1660="Rechazada"),W1660&lt;&gt;""),W1660,""))</f>
        <v/>
      </c>
    </row>
    <row r="1661">
      <c r="A1661" s="18" t="inlineStr">
        <is>
          <t>C1660</t>
        </is>
      </c>
      <c r="B1661" s="18" t="inlineStr">
        <is>
          <t>Control interno</t>
        </is>
      </c>
      <c r="C1661" s="18" t="inlineStr">
        <is>
          <t>control_interno</t>
        </is>
      </c>
      <c r="D1661" s="18" t="inlineStr">
        <is>
          <t>evidencia_documento</t>
        </is>
      </c>
      <c r="E1661" s="18" t="n">
        <v>48</v>
      </c>
      <c r="F1661" s="18" t="inlineStr">
        <is>
          <t>nombre_archivo_original</t>
        </is>
      </c>
      <c r="G1661" s="18" t="inlineStr">
        <is>
          <t>character varying(255)</t>
        </is>
      </c>
      <c r="H1661" s="18" t="inlineStr">
        <is>
          <t>No</t>
        </is>
      </c>
      <c r="I1661" s="18" t="inlineStr"/>
      <c r="J1661" s="18" t="inlineStr"/>
      <c r="K1661" s="18" t="inlineStr"/>
      <c r="L1661" s="18" t="inlineStr">
        <is>
          <t>No</t>
        </is>
      </c>
      <c r="M1661" s="18" t="inlineStr">
        <is>
          <t>No</t>
        </is>
      </c>
      <c r="N1661" s="18" t="inlineStr"/>
      <c r="O1661" s="18" t="inlineStr"/>
      <c r="P1661" s="18" t="inlineStr">
        <is>
          <t>Mapeada en internal-institutional-control-service/src/esap/evidencias/entities/evidencia-documento.entity.ts:96 (EvidenciaDocumento.nombreArchivoOriginal)</t>
        </is>
      </c>
      <c r="Q1661" s="18" t="inlineStr">
        <is>
          <t>Propuesta semántica</t>
        </is>
      </c>
      <c r="R1661" s="18" t="inlineStr">
        <is>
          <t>Nombre original del archivo al momento de subirlo.</t>
        </is>
      </c>
      <c r="S1661" s="18" t="inlineStr">
        <is>
          <t>Alta</t>
        </is>
      </c>
      <c r="T1661" s="18" t="inlineStr">
        <is>
          <t>nombre + tipo ~</t>
        </is>
      </c>
      <c r="U1661" s="18" t="inlineStr"/>
      <c r="V1661" s="19" t="inlineStr">
        <is>
          <t>Pendiente</t>
        </is>
      </c>
      <c r="W1661" s="19" t="inlineStr"/>
      <c r="X1661" s="19" t="inlineStr"/>
      <c r="Y1661" s="20" t="n"/>
      <c r="Z1661" s="19" t="inlineStr"/>
      <c r="AA1661" s="18">
        <f>IF(OR(V1661="Aprobada"),R1661,IF(AND(OR(V1661="Aprobada con ajuste",V1661="Rechazada"),W1661&lt;&gt;""),W1661,""))</f>
        <v/>
      </c>
    </row>
    <row r="1662">
      <c r="A1662" s="18" t="inlineStr">
        <is>
          <t>C1661</t>
        </is>
      </c>
      <c r="B1662" s="18" t="inlineStr">
        <is>
          <t>Control interno</t>
        </is>
      </c>
      <c r="C1662" s="18" t="inlineStr">
        <is>
          <t>control_interno</t>
        </is>
      </c>
      <c r="D1662" s="18" t="inlineStr">
        <is>
          <t>evidencia_documento</t>
        </is>
      </c>
      <c r="E1662" s="18" t="n">
        <v>48</v>
      </c>
      <c r="F1662" s="18" t="inlineStr">
        <is>
          <t>tipo_mime</t>
        </is>
      </c>
      <c r="G1662" s="18" t="inlineStr">
        <is>
          <t>character varying(100)</t>
        </is>
      </c>
      <c r="H1662" s="18" t="inlineStr">
        <is>
          <t>No</t>
        </is>
      </c>
      <c r="I1662" s="18" t="inlineStr"/>
      <c r="J1662" s="18" t="inlineStr"/>
      <c r="K1662" s="18" t="inlineStr"/>
      <c r="L1662" s="18" t="inlineStr">
        <is>
          <t>No</t>
        </is>
      </c>
      <c r="M1662" s="18" t="inlineStr">
        <is>
          <t>No</t>
        </is>
      </c>
      <c r="N1662" s="18" t="inlineStr"/>
      <c r="O1662" s="18" t="inlineStr"/>
      <c r="P1662" s="18" t="inlineStr">
        <is>
          <t>Mapeada en internal-institutional-control-service/src/esap/evidencias/entities/evidencia-documento.entity.ts:99 (EvidenciaDocumento.tipoMime) | Validación: IsNotEmpty, IsString</t>
        </is>
      </c>
      <c r="Q1662" s="18" t="inlineStr">
        <is>
          <t>Propuesta semántica</t>
        </is>
      </c>
      <c r="R1662" s="18" t="inlineStr">
        <is>
          <t>Tipo MIME del archivo.</t>
        </is>
      </c>
      <c r="S1662" s="18" t="inlineStr">
        <is>
          <t>Alta</t>
        </is>
      </c>
      <c r="T1662" s="18" t="inlineStr">
        <is>
          <t>nombre + tipo ~</t>
        </is>
      </c>
      <c r="U1662" s="18" t="inlineStr"/>
      <c r="V1662" s="19" t="inlineStr">
        <is>
          <t>Pendiente</t>
        </is>
      </c>
      <c r="W1662" s="19" t="inlineStr"/>
      <c r="X1662" s="19" t="inlineStr"/>
      <c r="Y1662" s="20" t="n"/>
      <c r="Z1662" s="19" t="inlineStr"/>
      <c r="AA1662" s="18">
        <f>IF(OR(V1662="Aprobada"),R1662,IF(AND(OR(V1662="Aprobada con ajuste",V1662="Rechazada"),W1662&lt;&gt;""),W1662,""))</f>
        <v/>
      </c>
    </row>
    <row r="1663">
      <c r="A1663" s="18" t="inlineStr">
        <is>
          <t>C1662</t>
        </is>
      </c>
      <c r="B1663" s="18" t="inlineStr">
        <is>
          <t>Control interno</t>
        </is>
      </c>
      <c r="C1663" s="18" t="inlineStr">
        <is>
          <t>control_interno</t>
        </is>
      </c>
      <c r="D1663" s="18" t="inlineStr">
        <is>
          <t>evidencia_documento</t>
        </is>
      </c>
      <c r="E1663" s="18" t="n">
        <v>48</v>
      </c>
      <c r="F1663" s="18" t="inlineStr">
        <is>
          <t>tamanio_bytes</t>
        </is>
      </c>
      <c r="G1663" s="18" t="inlineStr">
        <is>
          <t>bigint</t>
        </is>
      </c>
      <c r="H1663" s="18" t="inlineStr">
        <is>
          <t>No</t>
        </is>
      </c>
      <c r="I1663" s="18" t="inlineStr"/>
      <c r="J1663" s="18" t="inlineStr"/>
      <c r="K1663" s="18" t="inlineStr"/>
      <c r="L1663" s="18" t="inlineStr">
        <is>
          <t>No</t>
        </is>
      </c>
      <c r="M1663" s="18" t="inlineStr">
        <is>
          <t>No</t>
        </is>
      </c>
      <c r="N1663" s="18" t="inlineStr"/>
      <c r="O1663" s="18" t="inlineStr"/>
      <c r="P1663" s="18" t="inlineStr">
        <is>
          <t>Mapeada en internal-institutional-control-service/src/esap/evidencias/entities/evidencia-documento.entity.ts:102 (EvidenciaDocumento.tamanioBytes) | Validación: IsNumber, Min(0)</t>
        </is>
      </c>
      <c r="Q1663" s="18" t="inlineStr">
        <is>
          <t>Propuesta semántica</t>
        </is>
      </c>
      <c r="R1663" s="18" t="inlineStr">
        <is>
          <t>Tamaño del archivo, en bytes.</t>
        </is>
      </c>
      <c r="S1663" s="18" t="inlineStr">
        <is>
          <t>Alta</t>
        </is>
      </c>
      <c r="T1663" s="18" t="inlineStr">
        <is>
          <t>nombre + tipo + validación Min(0) ~</t>
        </is>
      </c>
      <c r="U1663" s="18" t="inlineStr"/>
      <c r="V1663" s="19" t="inlineStr">
        <is>
          <t>Pendiente</t>
        </is>
      </c>
      <c r="W1663" s="19" t="inlineStr"/>
      <c r="X1663" s="19" t="inlineStr"/>
      <c r="Y1663" s="20" t="n"/>
      <c r="Z1663" s="19" t="inlineStr"/>
      <c r="AA1663" s="18">
        <f>IF(OR(V1663="Aprobada"),R1663,IF(AND(OR(V1663="Aprobada con ajuste",V1663="Rechazada"),W1663&lt;&gt;""),W1663,""))</f>
        <v/>
      </c>
    </row>
    <row r="1664">
      <c r="A1664" s="18" t="inlineStr">
        <is>
          <t>C1663</t>
        </is>
      </c>
      <c r="B1664" s="18" t="inlineStr">
        <is>
          <t>Control interno</t>
        </is>
      </c>
      <c r="C1664" s="18" t="inlineStr">
        <is>
          <t>control_interno</t>
        </is>
      </c>
      <c r="D1664" s="18" t="inlineStr">
        <is>
          <t>evidencia_documento</t>
        </is>
      </c>
      <c r="E1664" s="18" t="n">
        <v>48</v>
      </c>
      <c r="F1664" s="18" t="inlineStr">
        <is>
          <t>version</t>
        </is>
      </c>
      <c r="G1664" s="18" t="inlineStr">
        <is>
          <t>integer</t>
        </is>
      </c>
      <c r="H1664" s="18" t="inlineStr">
        <is>
          <t>Sí</t>
        </is>
      </c>
      <c r="I1664" s="18" t="inlineStr"/>
      <c r="J1664" s="18" t="inlineStr"/>
      <c r="K1664" s="18" t="inlineStr"/>
      <c r="L1664" s="18" t="inlineStr">
        <is>
          <t>No</t>
        </is>
      </c>
      <c r="M1664" s="18" t="inlineStr">
        <is>
          <t>No</t>
        </is>
      </c>
      <c r="N1664" s="18" t="inlineStr"/>
      <c r="O1664" s="18" t="inlineStr"/>
      <c r="P1664" s="18" t="inlineStr">
        <is>
          <t>internal-institutional-control-service/src/esap/evidencias/entities/evidencia-documento.entity.ts:109: Versionado | db/migrations/old/076_create_evidencias_documentos.sql:67: Versionado | Validación: IsOptional, IsString</t>
        </is>
      </c>
      <c r="Q1664" s="18" t="inlineStr">
        <is>
          <t>Código fuente</t>
        </is>
      </c>
      <c r="R1664" s="18" t="inlineStr">
        <is>
          <t>Número de versión del documento; por defecto 1.</t>
        </is>
      </c>
      <c r="S1664" s="18" t="inlineStr">
        <is>
          <t>Alta</t>
        </is>
      </c>
      <c r="T1664" s="18" t="inlineStr">
        <is>
          <t>código: db/migrations/old/076_create_evidencias_documentos.sql:67</t>
        </is>
      </c>
      <c r="U1664" s="18" t="inlineStr"/>
      <c r="V1664" s="19" t="inlineStr">
        <is>
          <t>Pendiente</t>
        </is>
      </c>
      <c r="W1664" s="19" t="inlineStr"/>
      <c r="X1664" s="19" t="inlineStr"/>
      <c r="Y1664" s="20" t="n"/>
      <c r="Z1664" s="19" t="inlineStr"/>
      <c r="AA1664" s="18">
        <f>IF(OR(V1664="Aprobada"),R1664,IF(AND(OR(V1664="Aprobada con ajuste",V1664="Rechazada"),W1664&lt;&gt;""),W1664,""))</f>
        <v/>
      </c>
    </row>
    <row r="1665">
      <c r="A1665" s="18" t="inlineStr">
        <is>
          <t>C1664</t>
        </is>
      </c>
      <c r="B1665" s="18" t="inlineStr">
        <is>
          <t>Control interno</t>
        </is>
      </c>
      <c r="C1665" s="18" t="inlineStr">
        <is>
          <t>control_interno</t>
        </is>
      </c>
      <c r="D1665" s="18" t="inlineStr">
        <is>
          <t>evidencia_documento</t>
        </is>
      </c>
      <c r="E1665" s="18" t="n">
        <v>48</v>
      </c>
      <c r="F1665" s="18" t="inlineStr">
        <is>
          <t>es_version_actual</t>
        </is>
      </c>
      <c r="G1665" s="18" t="inlineStr">
        <is>
          <t>boolean</t>
        </is>
      </c>
      <c r="H1665" s="18" t="inlineStr">
        <is>
          <t>Sí</t>
        </is>
      </c>
      <c r="I1665" s="18" t="inlineStr"/>
      <c r="J1665" s="18" t="inlineStr"/>
      <c r="K1665" s="18" t="inlineStr"/>
      <c r="L1665" s="18" t="inlineStr">
        <is>
          <t>No</t>
        </is>
      </c>
      <c r="M1665" s="18" t="inlineStr">
        <is>
          <t>No</t>
        </is>
      </c>
      <c r="N1665" s="18" t="inlineStr"/>
      <c r="O1665" s="18" t="inlineStr"/>
      <c r="P1665" s="18" t="inlineStr">
        <is>
          <t>Mapeada en internal-institutional-control-service/src/esap/evidencias/entities/evidencia-documento.entity.ts:119 (EvidenciaDocumento.esVersionActual)</t>
        </is>
      </c>
      <c r="Q1665" s="18" t="inlineStr">
        <is>
          <t>Regla estructural</t>
        </is>
      </c>
      <c r="R1665" s="18" t="inlineStr">
        <is>
          <t>Indica si aplica: versión actual.</t>
        </is>
      </c>
      <c r="S1665" s="18" t="inlineStr">
        <is>
          <t>Media</t>
        </is>
      </c>
      <c r="T1665" s="18" t="inlineStr">
        <is>
          <t>Convención de nombre de la columna.</t>
        </is>
      </c>
      <c r="U1665" s="18" t="inlineStr"/>
      <c r="V1665" s="19" t="inlineStr">
        <is>
          <t>Pendiente</t>
        </is>
      </c>
      <c r="W1665" s="19" t="inlineStr"/>
      <c r="X1665" s="19" t="inlineStr"/>
      <c r="Y1665" s="20" t="n"/>
      <c r="Z1665" s="19" t="inlineStr"/>
      <c r="AA1665" s="18">
        <f>IF(OR(V1665="Aprobada"),R1665,IF(AND(OR(V1665="Aprobada con ajuste",V1665="Rechazada"),W1665&lt;&gt;""),W1665,""))</f>
        <v/>
      </c>
    </row>
    <row r="1666">
      <c r="A1666" s="18" t="inlineStr">
        <is>
          <t>C1665</t>
        </is>
      </c>
      <c r="B1666" s="18" t="inlineStr">
        <is>
          <t>Control interno</t>
        </is>
      </c>
      <c r="C1666" s="18" t="inlineStr">
        <is>
          <t>control_interno</t>
        </is>
      </c>
      <c r="D1666" s="18" t="inlineStr">
        <is>
          <t>evidencia_documento</t>
        </is>
      </c>
      <c r="E1666" s="18" t="n">
        <v>48</v>
      </c>
      <c r="F1666" s="18" t="inlineStr">
        <is>
          <t>validado_por</t>
        </is>
      </c>
      <c r="G1666" s="18" t="inlineStr">
        <is>
          <t>character varying(255)</t>
        </is>
      </c>
      <c r="H1666" s="18" t="inlineStr">
        <is>
          <t>Sí</t>
        </is>
      </c>
      <c r="I1666" s="18" t="inlineStr"/>
      <c r="J1666" s="18" t="inlineStr"/>
      <c r="K1666" s="18" t="inlineStr"/>
      <c r="L1666" s="18" t="inlineStr">
        <is>
          <t>No</t>
        </is>
      </c>
      <c r="M1666" s="18" t="inlineStr">
        <is>
          <t>No</t>
        </is>
      </c>
      <c r="N1666" s="18" t="inlineStr"/>
      <c r="O1666" s="18" t="inlineStr"/>
      <c r="P1666" s="18" t="inlineStr">
        <is>
          <t>Mapeada en internal-institutional-control-service/src/esap/evidencias/entities/evidencia-documento.entity.ts:131 (EvidenciaDocumento.validadoPor)</t>
        </is>
      </c>
      <c r="Q1666" s="18" t="inlineStr">
        <is>
          <t>Regla estructural</t>
        </is>
      </c>
      <c r="R1666" s="18" t="inlineStr">
        <is>
          <t>Usuario que realizó la validación.</t>
        </is>
      </c>
      <c r="S1666" s="18" t="inlineStr">
        <is>
          <t>Media</t>
        </is>
      </c>
      <c r="T1666" s="18" t="inlineStr">
        <is>
          <t>Convención de nombre de la columna.</t>
        </is>
      </c>
      <c r="U1666" s="18" t="inlineStr"/>
      <c r="V1666" s="19" t="inlineStr">
        <is>
          <t>Pendiente</t>
        </is>
      </c>
      <c r="W1666" s="19" t="inlineStr"/>
      <c r="X1666" s="19" t="inlineStr"/>
      <c r="Y1666" s="20" t="n"/>
      <c r="Z1666" s="19" t="inlineStr"/>
      <c r="AA1666" s="18">
        <f>IF(OR(V1666="Aprobada"),R1666,IF(AND(OR(V1666="Aprobada con ajuste",V1666="Rechazada"),W1666&lt;&gt;""),W1666,""))</f>
        <v/>
      </c>
    </row>
    <row r="1667">
      <c r="A1667" s="18" t="inlineStr">
        <is>
          <t>C1666</t>
        </is>
      </c>
      <c r="B1667" s="18" t="inlineStr">
        <is>
          <t>Control interno</t>
        </is>
      </c>
      <c r="C1667" s="18" t="inlineStr">
        <is>
          <t>control_interno</t>
        </is>
      </c>
      <c r="D1667" s="18" t="inlineStr">
        <is>
          <t>evidencia_documento</t>
        </is>
      </c>
      <c r="E1667" s="18" t="n">
        <v>48</v>
      </c>
      <c r="F1667" s="18" t="inlineStr">
        <is>
          <t>fecha_validacion</t>
        </is>
      </c>
      <c r="G1667" s="18" t="inlineStr">
        <is>
          <t>timestamp without time zone</t>
        </is>
      </c>
      <c r="H1667" s="18" t="inlineStr">
        <is>
          <t>Sí</t>
        </is>
      </c>
      <c r="I1667" s="18" t="inlineStr"/>
      <c r="J1667" s="18" t="inlineStr"/>
      <c r="K1667" s="18" t="inlineStr"/>
      <c r="L1667" s="18" t="inlineStr">
        <is>
          <t>No</t>
        </is>
      </c>
      <c r="M1667" s="18" t="inlineStr">
        <is>
          <t>No</t>
        </is>
      </c>
      <c r="N1667" s="18" t="inlineStr"/>
      <c r="O1667" s="18" t="inlineStr"/>
      <c r="P1667" s="18" t="inlineStr">
        <is>
          <t>Mapeada en internal-institutional-control-service/src/esap/evidencias/entities/evidencia-documento.entity.ts:134 (EvidenciaDocumento.fechaValidacion)</t>
        </is>
      </c>
      <c r="Q1667" s="18" t="inlineStr">
        <is>
          <t>Regla estructural</t>
        </is>
      </c>
      <c r="R1667" s="18" t="inlineStr">
        <is>
          <t>Fecha de validación.</t>
        </is>
      </c>
      <c r="S1667" s="18" t="inlineStr">
        <is>
          <t>Media</t>
        </is>
      </c>
      <c r="T1667" s="18" t="inlineStr">
        <is>
          <t>Convención de nombre de la columna.</t>
        </is>
      </c>
      <c r="U1667" s="18" t="inlineStr"/>
      <c r="V1667" s="19" t="inlineStr">
        <is>
          <t>Pendiente</t>
        </is>
      </c>
      <c r="W1667" s="19" t="inlineStr"/>
      <c r="X1667" s="19" t="inlineStr"/>
      <c r="Y1667" s="20" t="n"/>
      <c r="Z1667" s="19" t="inlineStr"/>
      <c r="AA1667" s="18">
        <f>IF(OR(V1667="Aprobada"),R1667,IF(AND(OR(V1667="Aprobada con ajuste",V1667="Rechazada"),W1667&lt;&gt;""),W1667,""))</f>
        <v/>
      </c>
    </row>
    <row r="1668">
      <c r="A1668" s="18" t="inlineStr">
        <is>
          <t>C1667</t>
        </is>
      </c>
      <c r="B1668" s="18" t="inlineStr">
        <is>
          <t>Control interno</t>
        </is>
      </c>
      <c r="C1668" s="18" t="inlineStr">
        <is>
          <t>control_interno</t>
        </is>
      </c>
      <c r="D1668" s="18" t="inlineStr">
        <is>
          <t>evidencia_documento</t>
        </is>
      </c>
      <c r="E1668" s="18" t="n">
        <v>48</v>
      </c>
      <c r="F1668" s="18" t="inlineStr">
        <is>
          <t>observaciones_validacion</t>
        </is>
      </c>
      <c r="G1668" s="18" t="inlineStr">
        <is>
          <t>text</t>
        </is>
      </c>
      <c r="H1668" s="18" t="inlineStr">
        <is>
          <t>Sí</t>
        </is>
      </c>
      <c r="I1668" s="18" t="inlineStr"/>
      <c r="J1668" s="18" t="inlineStr"/>
      <c r="K1668" s="18" t="inlineStr"/>
      <c r="L1668" s="18" t="inlineStr">
        <is>
          <t>No</t>
        </is>
      </c>
      <c r="M1668" s="18" t="inlineStr">
        <is>
          <t>No</t>
        </is>
      </c>
      <c r="N1668" s="18" t="inlineStr"/>
      <c r="O1668" s="18" t="inlineStr"/>
      <c r="P1668" s="18" t="inlineStr">
        <is>
          <t>Mapeada en internal-institutional-control-service/src/esap/evidencias/entities/evidencia-documento.entity.ts:137 (EvidenciaDocumento.observacionesValidacion) | Validación: IsOptional, IsString</t>
        </is>
      </c>
      <c r="Q1668" s="18" t="inlineStr">
        <is>
          <t>Propuesta semántica</t>
        </is>
      </c>
      <c r="R1668" s="18" t="inlineStr">
        <is>
          <t>Observaciones registradas al validar la evidencia.</t>
        </is>
      </c>
      <c r="S1668" s="18" t="inlineStr">
        <is>
          <t>Alta</t>
        </is>
      </c>
      <c r="T1668" s="18" t="inlineStr">
        <is>
          <t>nombre + columnas vecinas (estado_validacion, validado_por) ~</t>
        </is>
      </c>
      <c r="U1668" s="18" t="inlineStr"/>
      <c r="V1668" s="19" t="inlineStr">
        <is>
          <t>Pendiente</t>
        </is>
      </c>
      <c r="W1668" s="19" t="inlineStr"/>
      <c r="X1668" s="19" t="inlineStr"/>
      <c r="Y1668" s="20" t="n"/>
      <c r="Z1668" s="19" t="inlineStr"/>
      <c r="AA1668" s="18">
        <f>IF(OR(V1668="Aprobada"),R1668,IF(AND(OR(V1668="Aprobada con ajuste",V1668="Rechazada"),W1668&lt;&gt;""),W1668,""))</f>
        <v/>
      </c>
    </row>
    <row r="1669">
      <c r="A1669" s="18" t="inlineStr">
        <is>
          <t>C1668</t>
        </is>
      </c>
      <c r="B1669" s="18" t="inlineStr">
        <is>
          <t>Control interno</t>
        </is>
      </c>
      <c r="C1669" s="18" t="inlineStr">
        <is>
          <t>control_interno</t>
        </is>
      </c>
      <c r="D1669" s="18" t="inlineStr">
        <is>
          <t>evidencia_documento</t>
        </is>
      </c>
      <c r="E1669" s="18" t="n">
        <v>48</v>
      </c>
      <c r="F1669" s="18" t="inlineStr">
        <is>
          <t>subido_por</t>
        </is>
      </c>
      <c r="G1669" s="18" t="inlineStr">
        <is>
          <t>character varying(255)</t>
        </is>
      </c>
      <c r="H1669" s="18" t="inlineStr">
        <is>
          <t>No</t>
        </is>
      </c>
      <c r="I1669" s="18" t="inlineStr"/>
      <c r="J1669" s="18" t="inlineStr"/>
      <c r="K1669" s="18" t="inlineStr"/>
      <c r="L1669" s="18" t="inlineStr">
        <is>
          <t>No</t>
        </is>
      </c>
      <c r="M1669" s="18" t="inlineStr">
        <is>
          <t>No</t>
        </is>
      </c>
      <c r="N1669" s="18" t="inlineStr"/>
      <c r="O1669" s="18" t="inlineStr"/>
      <c r="P1669" s="18" t="inlineStr">
        <is>
          <t>internal-institutional-control-service/src/esap/evidencias/entities/evidencia-documento.entity.ts:141: Metadatos | db/migrations/old/076_create_evidencias_documentos.sql:78: Metadatos adicionales | Validación: IsNotEmpty, IsString</t>
        </is>
      </c>
      <c r="Q1669" s="18" t="inlineStr">
        <is>
          <t>Código fuente</t>
        </is>
      </c>
      <c r="R1669" s="18" t="inlineStr">
        <is>
          <t>Nombre del usuario que cargó el documento.</t>
        </is>
      </c>
      <c r="S1669" s="18" t="inlineStr">
        <is>
          <t>Alta</t>
        </is>
      </c>
      <c r="T1669" s="18" t="inlineStr">
        <is>
          <t>nombre + tipo + columnas vecinas (subido_por_id guarda el identificador)</t>
        </is>
      </c>
      <c r="U1669" s="18" t="inlineStr"/>
      <c r="V1669" s="19" t="inlineStr">
        <is>
          <t>Pendiente</t>
        </is>
      </c>
      <c r="W1669" s="19" t="inlineStr"/>
      <c r="X1669" s="19" t="inlineStr"/>
      <c r="Y1669" s="20" t="n"/>
      <c r="Z1669" s="19" t="inlineStr"/>
      <c r="AA1669" s="18">
        <f>IF(OR(V1669="Aprobada"),R1669,IF(AND(OR(V1669="Aprobada con ajuste",V1669="Rechazada"),W1669&lt;&gt;""),W1669,""))</f>
        <v/>
      </c>
    </row>
    <row r="1670">
      <c r="A1670" s="18" t="inlineStr">
        <is>
          <t>C1669</t>
        </is>
      </c>
      <c r="B1670" s="18" t="inlineStr">
        <is>
          <t>Control interno</t>
        </is>
      </c>
      <c r="C1670" s="18" t="inlineStr">
        <is>
          <t>control_interno</t>
        </is>
      </c>
      <c r="D1670" s="18" t="inlineStr">
        <is>
          <t>evidencia_documento</t>
        </is>
      </c>
      <c r="E1670" s="18" t="n">
        <v>48</v>
      </c>
      <c r="F1670" s="18" t="inlineStr">
        <is>
          <t>subido_por_id</t>
        </is>
      </c>
      <c r="G1670" s="18" t="inlineStr">
        <is>
          <t>bigint</t>
        </is>
      </c>
      <c r="H1670" s="18" t="inlineStr">
        <is>
          <t>Sí</t>
        </is>
      </c>
      <c r="I1670" s="18" t="inlineStr"/>
      <c r="J1670" s="18" t="inlineStr"/>
      <c r="K1670" s="18" t="inlineStr"/>
      <c r="L1670" s="18" t="inlineStr">
        <is>
          <t>No</t>
        </is>
      </c>
      <c r="M1670" s="18" t="inlineStr">
        <is>
          <t>No</t>
        </is>
      </c>
      <c r="N1670" s="18" t="inlineStr"/>
      <c r="O1670" s="18" t="inlineStr">
        <is>
          <t>idx_evidencia_subido_por</t>
        </is>
      </c>
      <c r="P1670" s="18" t="inlineStr">
        <is>
          <t>db/migrations/old/076_create_evidencias_documentos.sql:79: FK a auth.personas (opcional)</t>
        </is>
      </c>
      <c r="Q1670" s="18" t="inlineStr">
        <is>
          <t>Código fuente</t>
        </is>
      </c>
      <c r="R1670" s="18" t="inlineStr">
        <is>
          <t>Identificador de la persona que cargó el documento; referencia opcional a auth.personas.</t>
        </is>
      </c>
      <c r="S1670" s="18" t="inlineStr">
        <is>
          <t>Alta</t>
        </is>
      </c>
      <c r="T1670" s="18" t="inlineStr">
        <is>
          <t>código: db/migrations/old/076_create_evidencias_documentos.sql:79</t>
        </is>
      </c>
      <c r="U1670" s="18" t="inlineStr"/>
      <c r="V1670" s="19" t="inlineStr">
        <is>
          <t>Pendiente</t>
        </is>
      </c>
      <c r="W1670" s="19" t="inlineStr"/>
      <c r="X1670" s="19" t="inlineStr"/>
      <c r="Y1670" s="20" t="n"/>
      <c r="Z1670" s="19" t="inlineStr"/>
      <c r="AA1670" s="18">
        <f>IF(OR(V1670="Aprobada"),R1670,IF(AND(OR(V1670="Aprobada con ajuste",V1670="Rechazada"),W1670&lt;&gt;""),W1670,""))</f>
        <v/>
      </c>
    </row>
    <row r="1671">
      <c r="A1671" s="18" t="inlineStr">
        <is>
          <t>C1670</t>
        </is>
      </c>
      <c r="B1671" s="18" t="inlineStr">
        <is>
          <t>Control interno</t>
        </is>
      </c>
      <c r="C1671" s="18" t="inlineStr">
        <is>
          <t>control_interno</t>
        </is>
      </c>
      <c r="D1671" s="18" t="inlineStr">
        <is>
          <t>evidencia_documento</t>
        </is>
      </c>
      <c r="E1671" s="18" t="n">
        <v>48</v>
      </c>
      <c r="F1671" s="18" t="inlineStr">
        <is>
          <t>fecha_subida</t>
        </is>
      </c>
      <c r="G1671" s="18" t="inlineStr">
        <is>
          <t>timestamp without time zone</t>
        </is>
      </c>
      <c r="H1671" s="18" t="inlineStr">
        <is>
          <t>Sí</t>
        </is>
      </c>
      <c r="I1671" s="18" t="inlineStr"/>
      <c r="J1671" s="18" t="inlineStr"/>
      <c r="K1671" s="18" t="inlineStr"/>
      <c r="L1671" s="18" t="inlineStr">
        <is>
          <t>No</t>
        </is>
      </c>
      <c r="M1671" s="18" t="inlineStr">
        <is>
          <t>No</t>
        </is>
      </c>
      <c r="N1671" s="18" t="inlineStr"/>
      <c r="O1671" s="18" t="inlineStr">
        <is>
          <t>idx_evidencia_fecha_subida</t>
        </is>
      </c>
      <c r="P1671" s="18" t="inlineStr">
        <is>
          <t>Mapeada en internal-institutional-control-service/src/esap/evidencias/entities/evidencia-documento.entity.ts:147 (EvidenciaDocumento.fechaSubida)</t>
        </is>
      </c>
      <c r="Q1671" s="18" t="inlineStr">
        <is>
          <t>Regla estructural</t>
        </is>
      </c>
      <c r="R1671" s="18" t="inlineStr">
        <is>
          <t>Fecha de la carga.</t>
        </is>
      </c>
      <c r="S1671" s="18" t="inlineStr">
        <is>
          <t>Media</t>
        </is>
      </c>
      <c r="T1671" s="18" t="inlineStr">
        <is>
          <t>Convención de nombre de la columna.</t>
        </is>
      </c>
      <c r="U1671" s="18" t="inlineStr"/>
      <c r="V1671" s="19" t="inlineStr">
        <is>
          <t>Pendiente</t>
        </is>
      </c>
      <c r="W1671" s="19" t="inlineStr"/>
      <c r="X1671" s="19" t="inlineStr"/>
      <c r="Y1671" s="20" t="n"/>
      <c r="Z1671" s="19" t="inlineStr"/>
      <c r="AA1671" s="18">
        <f>IF(OR(V1671="Aprobada"),R1671,IF(AND(OR(V1671="Aprobada con ajuste",V1671="Rechazada"),W1671&lt;&gt;""),W1671,""))</f>
        <v/>
      </c>
    </row>
    <row r="1672">
      <c r="A1672" s="18" t="inlineStr">
        <is>
          <t>C1671</t>
        </is>
      </c>
      <c r="B1672" s="18" t="inlineStr">
        <is>
          <t>Control interno</t>
        </is>
      </c>
      <c r="C1672" s="18" t="inlineStr">
        <is>
          <t>control_interno</t>
        </is>
      </c>
      <c r="D1672" s="18" t="inlineStr">
        <is>
          <t>evidencia_documento</t>
        </is>
      </c>
      <c r="E1672" s="18" t="n">
        <v>48</v>
      </c>
      <c r="F1672" s="18" t="inlineStr">
        <is>
          <t>ruta_servidor_g</t>
        </is>
      </c>
      <c r="G1672" s="18" t="inlineStr">
        <is>
          <t>character varying(500)</t>
        </is>
      </c>
      <c r="H1672" s="18" t="inlineStr">
        <is>
          <t>Sí</t>
        </is>
      </c>
      <c r="I1672" s="18" t="inlineStr"/>
      <c r="J1672" s="18" t="inlineStr"/>
      <c r="K1672" s="18" t="inlineStr"/>
      <c r="L1672" s="18" t="inlineStr">
        <is>
          <t>No</t>
        </is>
      </c>
      <c r="M1672" s="18" t="inlineStr">
        <is>
          <t>No</t>
        </is>
      </c>
      <c r="N1672" s="18" t="inlineStr"/>
      <c r="O1672" s="18" t="inlineStr"/>
      <c r="P1672" s="18" t="inlineStr">
        <is>
          <t>internal-institutional-control-service/src/esap/evidencias/entities/evidencia-documento.entity.ts:151: Sincronización | db/migrations/old/076_create_evidencias_documentos.sql:83: Sincronización con servidor G:</t>
        </is>
      </c>
      <c r="Q1672" s="18" t="inlineStr">
        <is>
          <t>Código fuente</t>
        </is>
      </c>
      <c r="R1672" s="18" t="inlineStr">
        <is>
          <t>Ruta del documento en el servidor G: con el que se sincroniza.</t>
        </is>
      </c>
      <c r="S1672" s="18" t="inlineStr">
        <is>
          <t>Alta</t>
        </is>
      </c>
      <c r="T1672" s="18" t="inlineStr">
        <is>
          <t>código: db/migrations/old/076_create_evidencias_documentos.sql:83</t>
        </is>
      </c>
      <c r="U1672" s="18" t="inlineStr"/>
      <c r="V1672" s="19" t="inlineStr">
        <is>
          <t>Pendiente</t>
        </is>
      </c>
      <c r="W1672" s="19" t="inlineStr"/>
      <c r="X1672" s="19" t="inlineStr"/>
      <c r="Y1672" s="20" t="n"/>
      <c r="Z1672" s="19" t="inlineStr"/>
      <c r="AA1672" s="18">
        <f>IF(OR(V1672="Aprobada"),R1672,IF(AND(OR(V1672="Aprobada con ajuste",V1672="Rechazada"),W1672&lt;&gt;""),W1672,""))</f>
        <v/>
      </c>
    </row>
    <row r="1673">
      <c r="A1673" s="18" t="inlineStr">
        <is>
          <t>C1672</t>
        </is>
      </c>
      <c r="B1673" s="18" t="inlineStr">
        <is>
          <t>Control interno</t>
        </is>
      </c>
      <c r="C1673" s="18" t="inlineStr">
        <is>
          <t>control_interno</t>
        </is>
      </c>
      <c r="D1673" s="18" t="inlineStr">
        <is>
          <t>evidencia_documento</t>
        </is>
      </c>
      <c r="E1673" s="18" t="n">
        <v>48</v>
      </c>
      <c r="F1673" s="18" t="inlineStr">
        <is>
          <t>sincronizado_servidor_g</t>
        </is>
      </c>
      <c r="G1673" s="18" t="inlineStr">
        <is>
          <t>boolean</t>
        </is>
      </c>
      <c r="H1673" s="18" t="inlineStr">
        <is>
          <t>Sí</t>
        </is>
      </c>
      <c r="I1673" s="18" t="inlineStr"/>
      <c r="J1673" s="18" t="inlineStr"/>
      <c r="K1673" s="18" t="inlineStr"/>
      <c r="L1673" s="18" t="inlineStr">
        <is>
          <t>No</t>
        </is>
      </c>
      <c r="M1673" s="18" t="inlineStr">
        <is>
          <t>No</t>
        </is>
      </c>
      <c r="N1673" s="18" t="inlineStr"/>
      <c r="O1673" s="18" t="inlineStr"/>
      <c r="P1673" s="18" t="inlineStr">
        <is>
          <t>Mapeada en internal-institutional-control-service/src/esap/evidencias/entities/evidencia-documento.entity.ts:154 (EvidenciaDocumento.sincronizadoServidorG)</t>
        </is>
      </c>
      <c r="Q1673" s="18" t="inlineStr">
        <is>
          <t>Regla estructural</t>
        </is>
      </c>
      <c r="R1673" s="18" t="inlineStr">
        <is>
          <t>Indica si aplica: sincronizado servidor g.</t>
        </is>
      </c>
      <c r="S1673" s="18" t="inlineStr">
        <is>
          <t>Media</t>
        </is>
      </c>
      <c r="T1673" s="18" t="inlineStr">
        <is>
          <t>Convención de nombre de la columna.</t>
        </is>
      </c>
      <c r="U1673" s="18" t="inlineStr"/>
      <c r="V1673" s="19" t="inlineStr">
        <is>
          <t>Pendiente</t>
        </is>
      </c>
      <c r="W1673" s="19" t="inlineStr"/>
      <c r="X1673" s="19" t="inlineStr"/>
      <c r="Y1673" s="20" t="n"/>
      <c r="Z1673" s="19" t="inlineStr"/>
      <c r="AA1673" s="18">
        <f>IF(OR(V1673="Aprobada"),R1673,IF(AND(OR(V1673="Aprobada con ajuste",V1673="Rechazada"),W1673&lt;&gt;""),W1673,""))</f>
        <v/>
      </c>
    </row>
    <row r="1674">
      <c r="A1674" s="18" t="inlineStr">
        <is>
          <t>C1673</t>
        </is>
      </c>
      <c r="B1674" s="18" t="inlineStr">
        <is>
          <t>Control interno</t>
        </is>
      </c>
      <c r="C1674" s="18" t="inlineStr">
        <is>
          <t>control_interno</t>
        </is>
      </c>
      <c r="D1674" s="18" t="inlineStr">
        <is>
          <t>evidencia_documento</t>
        </is>
      </c>
      <c r="E1674" s="18" t="n">
        <v>48</v>
      </c>
      <c r="F1674" s="18" t="inlineStr">
        <is>
          <t>fecha_sincronizacion</t>
        </is>
      </c>
      <c r="G1674" s="18" t="inlineStr">
        <is>
          <t>timestamp without time zone</t>
        </is>
      </c>
      <c r="H1674" s="18" t="inlineStr">
        <is>
          <t>Sí</t>
        </is>
      </c>
      <c r="I1674" s="18" t="inlineStr"/>
      <c r="J1674" s="18" t="inlineStr"/>
      <c r="K1674" s="18" t="inlineStr"/>
      <c r="L1674" s="18" t="inlineStr">
        <is>
          <t>No</t>
        </is>
      </c>
      <c r="M1674" s="18" t="inlineStr">
        <is>
          <t>No</t>
        </is>
      </c>
      <c r="N1674" s="18" t="inlineStr"/>
      <c r="O1674" s="18" t="inlineStr"/>
      <c r="P1674" s="18" t="inlineStr">
        <is>
          <t>Mapeada en internal-institutional-control-service/src/esap/evidencias/entities/evidencia-documento.entity.ts:157 (EvidenciaDocumento.fechaSincronizacion)</t>
        </is>
      </c>
      <c r="Q1674" s="18" t="inlineStr">
        <is>
          <t>Regla estructural</t>
        </is>
      </c>
      <c r="R1674" s="18" t="inlineStr">
        <is>
          <t>Fecha de sincronización.</t>
        </is>
      </c>
      <c r="S1674" s="18" t="inlineStr">
        <is>
          <t>Media</t>
        </is>
      </c>
      <c r="T1674" s="18" t="inlineStr">
        <is>
          <t>Convención de nombre de la columna.</t>
        </is>
      </c>
      <c r="U1674" s="18" t="inlineStr"/>
      <c r="V1674" s="19" t="inlineStr">
        <is>
          <t>Pendiente</t>
        </is>
      </c>
      <c r="W1674" s="19" t="inlineStr"/>
      <c r="X1674" s="19" t="inlineStr"/>
      <c r="Y1674" s="20" t="n"/>
      <c r="Z1674" s="19" t="inlineStr"/>
      <c r="AA1674" s="18">
        <f>IF(OR(V1674="Aprobada"),R1674,IF(AND(OR(V1674="Aprobada con ajuste",V1674="Rechazada"),W1674&lt;&gt;""),W1674,""))</f>
        <v/>
      </c>
    </row>
    <row r="1675">
      <c r="A1675" s="18" t="inlineStr">
        <is>
          <t>C1674</t>
        </is>
      </c>
      <c r="B1675" s="18" t="inlineStr">
        <is>
          <t>Control interno</t>
        </is>
      </c>
      <c r="C1675" s="18" t="inlineStr">
        <is>
          <t>control_interno</t>
        </is>
      </c>
      <c r="D1675" s="18" t="inlineStr">
        <is>
          <t>hallazgo</t>
        </is>
      </c>
      <c r="E1675" s="18" t="n">
        <v>34</v>
      </c>
      <c r="F1675" s="18" t="inlineStr">
        <is>
          <t>codigo</t>
        </is>
      </c>
      <c r="G1675" s="18" t="inlineStr">
        <is>
          <t>character varying(255)</t>
        </is>
      </c>
      <c r="H1675" s="18" t="inlineStr">
        <is>
          <t>No</t>
        </is>
      </c>
      <c r="I1675" s="18" t="inlineStr">
        <is>
          <t>Única</t>
        </is>
      </c>
      <c r="J1675" s="18" t="inlineStr"/>
      <c r="K1675" s="18" t="inlineStr"/>
      <c r="L1675" s="18" t="inlineStr">
        <is>
          <t>No</t>
        </is>
      </c>
      <c r="M1675" s="18" t="inlineStr">
        <is>
          <t>No</t>
        </is>
      </c>
      <c r="N1675" s="18" t="inlineStr"/>
      <c r="O1675" s="18" t="inlineStr">
        <is>
          <t>hallazgo_codigo_key</t>
        </is>
      </c>
      <c r="P1675" s="18" t="inlineStr">
        <is>
          <t>Mapeada en internal-institutional-control-service/src/esap/hallazgos/entities/hallazgo.entity.ts:37 (Hallazgo.codigo) | Validación: IsNotEmpty, IsOptional, IsString, Length(1, 50), MaxLength(80)</t>
        </is>
      </c>
      <c r="Q1675" s="18" t="inlineStr">
        <is>
          <t>Regla estructural</t>
        </is>
      </c>
      <c r="R1675" s="18" t="inlineStr">
        <is>
          <t>Código del registro de hallazgo. Único en la tabla.</t>
        </is>
      </c>
      <c r="S1675" s="18" t="inlineStr">
        <is>
          <t>Media</t>
        </is>
      </c>
      <c r="T1675" s="18" t="inlineStr">
        <is>
          <t>Convención de nombre de la columna.</t>
        </is>
      </c>
      <c r="U1675" s="18" t="inlineStr"/>
      <c r="V1675" s="19" t="inlineStr">
        <is>
          <t>Pendiente</t>
        </is>
      </c>
      <c r="W1675" s="19" t="inlineStr"/>
      <c r="X1675" s="19" t="inlineStr"/>
      <c r="Y1675" s="20" t="n"/>
      <c r="Z1675" s="19" t="inlineStr"/>
      <c r="AA1675" s="18">
        <f>IF(OR(V1675="Aprobada"),R1675,IF(AND(OR(V1675="Aprobada con ajuste",V1675="Rechazada"),W1675&lt;&gt;""),W1675,""))</f>
        <v/>
      </c>
    </row>
    <row r="1676">
      <c r="A1676" s="18" t="inlineStr">
        <is>
          <t>C1675</t>
        </is>
      </c>
      <c r="B1676" s="18" t="inlineStr">
        <is>
          <t>Control interno</t>
        </is>
      </c>
      <c r="C1676" s="18" t="inlineStr">
        <is>
          <t>control_interno</t>
        </is>
      </c>
      <c r="D1676" s="18" t="inlineStr">
        <is>
          <t>hallazgo</t>
        </is>
      </c>
      <c r="E1676" s="18" t="n">
        <v>34</v>
      </c>
      <c r="F1676" s="18" t="inlineStr">
        <is>
          <t>categoria</t>
        </is>
      </c>
      <c r="G1676" s="18" t="inlineStr">
        <is>
          <t>character varying(50)</t>
        </is>
      </c>
      <c r="H1676" s="18" t="inlineStr">
        <is>
          <t>No</t>
        </is>
      </c>
      <c r="I1676" s="18" t="inlineStr">
        <is>
          <t>CHECK</t>
        </is>
      </c>
      <c r="J1676" s="18" t="inlineStr">
        <is>
          <t>borrador, controversia, critico, grave, leve, moderado</t>
        </is>
      </c>
      <c r="K1676" s="18" t="inlineStr"/>
      <c r="L1676" s="18" t="inlineStr">
        <is>
          <t>Sí</t>
        </is>
      </c>
      <c r="M1676" s="18" t="inlineStr">
        <is>
          <t>No</t>
        </is>
      </c>
      <c r="N1676" s="18" t="inlineStr"/>
      <c r="O1676" s="18" t="inlineStr">
        <is>
          <t>idx_hallazgo_categoria</t>
        </is>
      </c>
      <c r="P1676" s="18" t="inlineStr">
        <is>
          <t>Mapeada en internal-institutional-control-service/src/esap/hallazgos/entities/hallazgo.entity.ts:43 (Hallazgo.categoria) | Validación: IsEnum(CategoriaNota), IsEnum(HallazgoCategoria), IsEnum(['financiero', 'administrativo', 'contractual', 'talento-humano', 'transparencia', 'control']), IsNotEmpty, IsOptional, IsString</t>
        </is>
      </c>
      <c r="Q1676" s="18" t="inlineStr">
        <is>
          <t>Propuesta semántica</t>
        </is>
      </c>
      <c r="R1676" s="18" t="inlineStr">
        <is>
          <t>Categoría del hallazgo. Valores permitidos: borrador, controversia, leve, moderado, grave, critico.</t>
        </is>
      </c>
      <c r="S1676" s="18" t="inlineStr">
        <is>
          <t>Media</t>
        </is>
      </c>
      <c r="T1676" s="18" t="inlineStr">
        <is>
          <t>valores permitidos del CHECK</t>
        </is>
      </c>
      <c r="U1676" s="18" t="inlineStr">
        <is>
          <t>Las validaciones del código admiten también financiero, administrativo, contractual, talento-humano, transparencia y control; ¿cuál es la lista vigente para categoria?</t>
        </is>
      </c>
      <c r="V1676" s="19" t="inlineStr">
        <is>
          <t>Pendiente</t>
        </is>
      </c>
      <c r="W1676" s="19" t="inlineStr"/>
      <c r="X1676" s="19" t="inlineStr"/>
      <c r="Y1676" s="20" t="n"/>
      <c r="Z1676" s="19" t="inlineStr"/>
      <c r="AA1676" s="18">
        <f>IF(OR(V1676="Aprobada"),R1676,IF(AND(OR(V1676="Aprobada con ajuste",V1676="Rechazada"),W1676&lt;&gt;""),W1676,""))</f>
        <v/>
      </c>
    </row>
    <row r="1677">
      <c r="A1677" s="18" t="inlineStr">
        <is>
          <t>C1676</t>
        </is>
      </c>
      <c r="B1677" s="18" t="inlineStr">
        <is>
          <t>Control interno</t>
        </is>
      </c>
      <c r="C1677" s="18" t="inlineStr">
        <is>
          <t>control_interno</t>
        </is>
      </c>
      <c r="D1677" s="18" t="inlineStr">
        <is>
          <t>hallazgo</t>
        </is>
      </c>
      <c r="E1677" s="18" t="n">
        <v>34</v>
      </c>
      <c r="F1677" s="18" t="inlineStr">
        <is>
          <t>estado</t>
        </is>
      </c>
      <c r="G1677" s="18" t="inlineStr">
        <is>
          <t>character varying(255)</t>
        </is>
      </c>
      <c r="H1677" s="18" t="inlineStr">
        <is>
          <t>No</t>
        </is>
      </c>
      <c r="I1677" s="18" t="inlineStr"/>
      <c r="J1677" s="18" t="inlineStr"/>
      <c r="K1677" s="18" t="inlineStr"/>
      <c r="L1677" s="18" t="inlineStr">
        <is>
          <t>No</t>
        </is>
      </c>
      <c r="M1677" s="18" t="inlineStr">
        <is>
          <t>No</t>
        </is>
      </c>
      <c r="N1677" s="18" t="inlineStr"/>
      <c r="O1677" s="18" t="inlineStr">
        <is>
          <t>idx_hallazgo_estado</t>
        </is>
      </c>
      <c r="P1677" s="18" t="inlineStr">
        <is>
          <t>Mapeada en internal-institutional-control-service/src/esap/hallazgos/entities/hallazgo.entity.ts:46 (Hallazgo.estado) | Validación: IsEnum(AccionCorrectivaEstado), IsEnum(EstadoEtapa), IsEnum(EstadoPlanIndividual), IsEnum(EstadoTarea), IsEnum(HallazgoEstado), IsEnum(PlanMejoramientoEstado)</t>
        </is>
      </c>
      <c r="Q1677" s="18" t="inlineStr">
        <is>
          <t>Regla estructural</t>
        </is>
      </c>
      <c r="R1677" s="18" t="inlineStr">
        <is>
          <t>Estado del registro de hallazgo.</t>
        </is>
      </c>
      <c r="S1677" s="18" t="inlineStr">
        <is>
          <t>Media</t>
        </is>
      </c>
      <c r="T1677" s="18" t="inlineStr">
        <is>
          <t>Convención de nombre de la columna.</t>
        </is>
      </c>
      <c r="U1677" s="18" t="inlineStr"/>
      <c r="V1677" s="19" t="inlineStr">
        <is>
          <t>Pendiente</t>
        </is>
      </c>
      <c r="W1677" s="19" t="inlineStr"/>
      <c r="X1677" s="19" t="inlineStr"/>
      <c r="Y1677" s="20" t="n"/>
      <c r="Z1677" s="19" t="inlineStr"/>
      <c r="AA1677" s="18">
        <f>IF(OR(V1677="Aprobada"),R1677,IF(AND(OR(V1677="Aprobada con ajuste",V1677="Rechazada"),W1677&lt;&gt;""),W1677,""))</f>
        <v/>
      </c>
    </row>
    <row r="1678">
      <c r="A1678" s="18" t="inlineStr">
        <is>
          <t>C1677</t>
        </is>
      </c>
      <c r="B1678" s="18" t="inlineStr">
        <is>
          <t>Control interno</t>
        </is>
      </c>
      <c r="C1678" s="18" t="inlineStr">
        <is>
          <t>control_interno</t>
        </is>
      </c>
      <c r="D1678" s="18" t="inlineStr">
        <is>
          <t>hallazgo</t>
        </is>
      </c>
      <c r="E1678" s="18" t="n">
        <v>34</v>
      </c>
      <c r="F1678" s="18" t="inlineStr">
        <is>
          <t>area</t>
        </is>
      </c>
      <c r="G1678" s="18" t="inlineStr">
        <is>
          <t>character varying(255)</t>
        </is>
      </c>
      <c r="H1678" s="18" t="inlineStr">
        <is>
          <t>No</t>
        </is>
      </c>
      <c r="I1678" s="18" t="inlineStr"/>
      <c r="J1678" s="18" t="inlineStr"/>
      <c r="K1678" s="18" t="inlineStr"/>
      <c r="L1678" s="18" t="inlineStr">
        <is>
          <t>No</t>
        </is>
      </c>
      <c r="M1678" s="18" t="inlineStr">
        <is>
          <t>No</t>
        </is>
      </c>
      <c r="N1678" s="18" t="inlineStr"/>
      <c r="O1678" s="18" t="inlineStr"/>
      <c r="P1678" s="18" t="inlineStr">
        <is>
          <t>Mapeada en internal-institutional-control-service/src/esap/hallazgos/entities/hallazgo.entity.ts:49 (Hallazgo.area) | Validación: IsNotEmpty, IsOptional, IsString, Length(1, 255), MaxLength(255)</t>
        </is>
      </c>
      <c r="Q1678" s="18" t="inlineStr">
        <is>
          <t>Propuesta semántica</t>
        </is>
      </c>
      <c r="R1678" s="18" t="inlineStr">
        <is>
          <t>Área o dependencia en la que se identificó el hallazgo.</t>
        </is>
      </c>
      <c r="S1678" s="18" t="inlineStr">
        <is>
          <t>Alta</t>
        </is>
      </c>
      <c r="T1678" s="18" t="inlineStr">
        <is>
          <t>nombre + tipo ~</t>
        </is>
      </c>
      <c r="U1678" s="18" t="inlineStr"/>
      <c r="V1678" s="19" t="inlineStr">
        <is>
          <t>Pendiente</t>
        </is>
      </c>
      <c r="W1678" s="19" t="inlineStr"/>
      <c r="X1678" s="19" t="inlineStr"/>
      <c r="Y1678" s="20" t="n"/>
      <c r="Z1678" s="19" t="inlineStr"/>
      <c r="AA1678" s="18">
        <f>IF(OR(V1678="Aprobada"),R1678,IF(AND(OR(V1678="Aprobada con ajuste",V1678="Rechazada"),W1678&lt;&gt;""),W1678,""))</f>
        <v/>
      </c>
    </row>
    <row r="1679">
      <c r="A1679" s="18" t="inlineStr">
        <is>
          <t>C1678</t>
        </is>
      </c>
      <c r="B1679" s="18" t="inlineStr">
        <is>
          <t>Control interno</t>
        </is>
      </c>
      <c r="C1679" s="18" t="inlineStr">
        <is>
          <t>control_interno</t>
        </is>
      </c>
      <c r="D1679" s="18" t="inlineStr">
        <is>
          <t>hallazgo</t>
        </is>
      </c>
      <c r="E1679" s="18" t="n">
        <v>34</v>
      </c>
      <c r="F1679" s="18" t="inlineStr">
        <is>
          <t>auditoria</t>
        </is>
      </c>
      <c r="G1679" s="18" t="inlineStr">
        <is>
          <t>character varying(255)</t>
        </is>
      </c>
      <c r="H1679" s="18" t="inlineStr">
        <is>
          <t>No</t>
        </is>
      </c>
      <c r="I1679" s="18" t="inlineStr"/>
      <c r="J1679" s="18" t="inlineStr"/>
      <c r="K1679" s="18" t="inlineStr"/>
      <c r="L1679" s="18" t="inlineStr">
        <is>
          <t>No</t>
        </is>
      </c>
      <c r="M1679" s="18" t="inlineStr">
        <is>
          <t>No</t>
        </is>
      </c>
      <c r="N1679" s="18" t="inlineStr"/>
      <c r="O1679" s="18" t="inlineStr"/>
      <c r="P1679" s="18" t="inlineStr">
        <is>
          <t>Mapeada en internal-institutional-control-service/src/esap/hallazgos/entities/hallazgo.entity.ts:52 (Hallazgo.auditoria) | Validación: IsNotEmpty, IsOptional, IsString, MaxLength(255)</t>
        </is>
      </c>
      <c r="Q1679" s="18" t="inlineStr">
        <is>
          <t>Propuesta semántica</t>
        </is>
      </c>
      <c r="R1679" s="18" t="inlineStr">
        <is>
          <t>Nombre o código de la auditoría en la que se identificó el hallazgo.</t>
        </is>
      </c>
      <c r="S1679" s="18" t="inlineStr">
        <is>
          <t>Media</t>
        </is>
      </c>
      <c r="T1679" s="18" t="inlineStr">
        <is>
          <t>nombre + columnas vecinas (auditoria_id)</t>
        </is>
      </c>
      <c r="U1679" s="18" t="inlineStr">
        <is>
          <t>¿auditoria guarda el nombre o el código de la auditoría?</t>
        </is>
      </c>
      <c r="V1679" s="19" t="inlineStr">
        <is>
          <t>Pendiente</t>
        </is>
      </c>
      <c r="W1679" s="19" t="inlineStr"/>
      <c r="X1679" s="19" t="inlineStr"/>
      <c r="Y1679" s="20" t="n"/>
      <c r="Z1679" s="19" t="inlineStr"/>
      <c r="AA1679" s="18">
        <f>IF(OR(V1679="Aprobada"),R1679,IF(AND(OR(V1679="Aprobada con ajuste",V1679="Rechazada"),W1679&lt;&gt;""),W1679,""))</f>
        <v/>
      </c>
    </row>
    <row r="1680">
      <c r="A1680" s="18" t="inlineStr">
        <is>
          <t>C1679</t>
        </is>
      </c>
      <c r="B1680" s="18" t="inlineStr">
        <is>
          <t>Control interno</t>
        </is>
      </c>
      <c r="C1680" s="18" t="inlineStr">
        <is>
          <t>control_interno</t>
        </is>
      </c>
      <c r="D1680" s="18" t="inlineStr">
        <is>
          <t>hallazgo</t>
        </is>
      </c>
      <c r="E1680" s="18" t="n">
        <v>34</v>
      </c>
      <c r="F1680" s="18" t="inlineStr">
        <is>
          <t>descripcion</t>
        </is>
      </c>
      <c r="G1680" s="18" t="inlineStr">
        <is>
          <t>text</t>
        </is>
      </c>
      <c r="H1680" s="18" t="inlineStr">
        <is>
          <t>No</t>
        </is>
      </c>
      <c r="I1680" s="18" t="inlineStr"/>
      <c r="J1680" s="18" t="inlineStr"/>
      <c r="K1680" s="18" t="inlineStr"/>
      <c r="L1680" s="18" t="inlineStr">
        <is>
          <t>No</t>
        </is>
      </c>
      <c r="M1680" s="18" t="inlineStr">
        <is>
          <t>No</t>
        </is>
      </c>
      <c r="N1680" s="18" t="inlineStr"/>
      <c r="O1680" s="18" t="inlineStr"/>
      <c r="P1680" s="18" t="inlineStr">
        <is>
          <t>Mapeada en internal-institutional-control-service/src/esap/hallazgos/entities/hallazgo.entity.ts:62 (Hallazgo.descripcion) | Validación: IsNotEmpty, IsOptional, IsString</t>
        </is>
      </c>
      <c r="Q1680" s="18" t="inlineStr">
        <is>
          <t>Regla estructural</t>
        </is>
      </c>
      <c r="R1680" s="18" t="inlineStr">
        <is>
          <t>Descripción del registro de hallazgo.</t>
        </is>
      </c>
      <c r="S1680" s="18" t="inlineStr">
        <is>
          <t>Media</t>
        </is>
      </c>
      <c r="T1680" s="18" t="inlineStr">
        <is>
          <t>Convención de nombre de la columna.</t>
        </is>
      </c>
      <c r="U1680" s="18" t="inlineStr"/>
      <c r="V1680" s="19" t="inlineStr">
        <is>
          <t>Pendiente</t>
        </is>
      </c>
      <c r="W1680" s="19" t="inlineStr"/>
      <c r="X1680" s="19" t="inlineStr"/>
      <c r="Y1680" s="20" t="n"/>
      <c r="Z1680" s="19" t="inlineStr"/>
      <c r="AA1680" s="18">
        <f>IF(OR(V1680="Aprobada"),R1680,IF(AND(OR(V1680="Aprobada con ajuste",V1680="Rechazada"),W1680&lt;&gt;""),W1680,""))</f>
        <v/>
      </c>
    </row>
    <row r="1681">
      <c r="A1681" s="18" t="inlineStr">
        <is>
          <t>C1680</t>
        </is>
      </c>
      <c r="B1681" s="18" t="inlineStr">
        <is>
          <t>Control interno</t>
        </is>
      </c>
      <c r="C1681" s="18" t="inlineStr">
        <is>
          <t>control_interno</t>
        </is>
      </c>
      <c r="D1681" s="18" t="inlineStr">
        <is>
          <t>hallazgo</t>
        </is>
      </c>
      <c r="E1681" s="18" t="n">
        <v>34</v>
      </c>
      <c r="F1681" s="18" t="inlineStr">
        <is>
          <t>criterio_incumplido</t>
        </is>
      </c>
      <c r="G1681" s="18" t="inlineStr">
        <is>
          <t>text</t>
        </is>
      </c>
      <c r="H1681" s="18" t="inlineStr">
        <is>
          <t>No</t>
        </is>
      </c>
      <c r="I1681" s="18" t="inlineStr"/>
      <c r="J1681" s="18" t="inlineStr"/>
      <c r="K1681" s="18" t="inlineStr"/>
      <c r="L1681" s="18" t="inlineStr">
        <is>
          <t>No</t>
        </is>
      </c>
      <c r="M1681" s="18" t="inlineStr">
        <is>
          <t>No</t>
        </is>
      </c>
      <c r="N1681" s="18" t="inlineStr"/>
      <c r="O1681" s="18" t="inlineStr"/>
      <c r="P1681" s="18" t="inlineStr">
        <is>
          <t>Mapeada en internal-institutional-control-service/src/esap/hallazgos/entities/hallazgo.entity.ts:65 (Hallazgo.criterioIncumplido) | Validación: IsNotEmpty, IsOptional, IsString</t>
        </is>
      </c>
      <c r="Q1681" s="18" t="inlineStr">
        <is>
          <t>Propuesta semántica</t>
        </is>
      </c>
      <c r="R1681" s="18" t="inlineStr">
        <is>
          <t>Criterio (norma, política o estándar) que se incumple en el hallazgo.</t>
        </is>
      </c>
      <c r="S1681" s="18" t="inlineStr">
        <is>
          <t>Alta</t>
        </is>
      </c>
      <c r="T1681" s="18" t="inlineStr">
        <is>
          <t>nombre + tipo ~</t>
        </is>
      </c>
      <c r="U1681" s="18" t="inlineStr"/>
      <c r="V1681" s="19" t="inlineStr">
        <is>
          <t>Pendiente</t>
        </is>
      </c>
      <c r="W1681" s="19" t="inlineStr"/>
      <c r="X1681" s="19" t="inlineStr"/>
      <c r="Y1681" s="20" t="n"/>
      <c r="Z1681" s="19" t="inlineStr"/>
      <c r="AA1681" s="18">
        <f>IF(OR(V1681="Aprobada"),R1681,IF(AND(OR(V1681="Aprobada con ajuste",V1681="Rechazada"),W1681&lt;&gt;""),W1681,""))</f>
        <v/>
      </c>
    </row>
    <row r="1682">
      <c r="A1682" s="18" t="inlineStr">
        <is>
          <t>C1681</t>
        </is>
      </c>
      <c r="B1682" s="18" t="inlineStr">
        <is>
          <t>Control interno</t>
        </is>
      </c>
      <c r="C1682" s="18" t="inlineStr">
        <is>
          <t>control_interno</t>
        </is>
      </c>
      <c r="D1682" s="18" t="inlineStr">
        <is>
          <t>hallazgo</t>
        </is>
      </c>
      <c r="E1682" s="18" t="n">
        <v>34</v>
      </c>
      <c r="F1682" s="18" t="inlineStr">
        <is>
          <t>normativa_relacionada</t>
        </is>
      </c>
      <c r="G1682" s="18" t="inlineStr">
        <is>
          <t>jsonb</t>
        </is>
      </c>
      <c r="H1682" s="18" t="inlineStr">
        <is>
          <t>No</t>
        </is>
      </c>
      <c r="I1682" s="18" t="inlineStr"/>
      <c r="J1682" s="18" t="inlineStr"/>
      <c r="K1682" s="18" t="inlineStr"/>
      <c r="L1682" s="18" t="inlineStr">
        <is>
          <t>No</t>
        </is>
      </c>
      <c r="M1682" s="18" t="inlineStr">
        <is>
          <t>No</t>
        </is>
      </c>
      <c r="N1682" s="18" t="inlineStr"/>
      <c r="O1682" s="18" t="inlineStr"/>
      <c r="P1682" s="18" t="inlineStr">
        <is>
          <t>Mapeada en internal-institutional-control-service/src/esap/hallazgos/entities/hallazgo.entity.ts:74 (Hallazgo.normativaRelacionada) | Validación: IsArray, IsOptional</t>
        </is>
      </c>
      <c r="Q1682" s="18" t="inlineStr">
        <is>
          <t>Propuesta semántica</t>
        </is>
      </c>
      <c r="R1682" s="18" t="inlineStr">
        <is>
          <t>Normas relacionadas con el hallazgo, en formato JSON (arreglo).</t>
        </is>
      </c>
      <c r="S1682" s="18" t="inlineStr">
        <is>
          <t>Alta</t>
        </is>
      </c>
      <c r="T1682" s="18" t="inlineStr">
        <is>
          <t>nombre + validación IsArray ~</t>
        </is>
      </c>
      <c r="U1682" s="18" t="inlineStr"/>
      <c r="V1682" s="19" t="inlineStr">
        <is>
          <t>Pendiente</t>
        </is>
      </c>
      <c r="W1682" s="19" t="inlineStr"/>
      <c r="X1682" s="19" t="inlineStr"/>
      <c r="Y1682" s="20" t="n"/>
      <c r="Z1682" s="19" t="inlineStr"/>
      <c r="AA1682" s="18">
        <f>IF(OR(V1682="Aprobada"),R1682,IF(AND(OR(V1682="Aprobada con ajuste",V1682="Rechazada"),W1682&lt;&gt;""),W1682,""))</f>
        <v/>
      </c>
    </row>
    <row r="1683">
      <c r="A1683" s="18" t="inlineStr">
        <is>
          <t>C1682</t>
        </is>
      </c>
      <c r="B1683" s="18" t="inlineStr">
        <is>
          <t>Control interno</t>
        </is>
      </c>
      <c r="C1683" s="18" t="inlineStr">
        <is>
          <t>control_interno</t>
        </is>
      </c>
      <c r="D1683" s="18" t="inlineStr">
        <is>
          <t>hallazgo</t>
        </is>
      </c>
      <c r="E1683" s="18" t="n">
        <v>34</v>
      </c>
      <c r="F1683" s="18" t="inlineStr">
        <is>
          <t>evidencias</t>
        </is>
      </c>
      <c r="G1683" s="18" t="inlineStr">
        <is>
          <t>jsonb</t>
        </is>
      </c>
      <c r="H1683" s="18" t="inlineStr">
        <is>
          <t>No</t>
        </is>
      </c>
      <c r="I1683" s="18" t="inlineStr"/>
      <c r="J1683" s="18" t="inlineStr"/>
      <c r="K1683" s="18" t="inlineStr"/>
      <c r="L1683" s="18" t="inlineStr">
        <is>
          <t>No</t>
        </is>
      </c>
      <c r="M1683" s="18" t="inlineStr">
        <is>
          <t>No</t>
        </is>
      </c>
      <c r="N1683" s="18" t="inlineStr"/>
      <c r="O1683" s="18" t="inlineStr"/>
      <c r="P1683" s="18" t="inlineStr">
        <is>
          <t>Mapeada en internal-institutional-control-service/src/esap/hallazgos/entities/hallazgo.entity.ts:81 (Hallazgo.evidencias) | Validación: IsArray, IsOptional, IsString({ each: true })</t>
        </is>
      </c>
      <c r="Q1683" s="18" t="inlineStr">
        <is>
          <t>Propuesta semántica</t>
        </is>
      </c>
      <c r="R1683" s="18" t="inlineStr">
        <is>
          <t>Evidencias del hallazgo, en formato JSON (arreglo de textos).</t>
        </is>
      </c>
      <c r="S1683" s="18" t="inlineStr">
        <is>
          <t>Media</t>
        </is>
      </c>
      <c r="T1683" s="18" t="inlineStr">
        <is>
          <t>nombre + validaciones IsArray, IsString each</t>
        </is>
      </c>
      <c r="U1683" s="18" t="inlineStr">
        <is>
          <t>¿Cada elemento de evidencias es una ruta, una URL o una descripción?</t>
        </is>
      </c>
      <c r="V1683" s="19" t="inlineStr">
        <is>
          <t>Pendiente</t>
        </is>
      </c>
      <c r="W1683" s="19" t="inlineStr"/>
      <c r="X1683" s="19" t="inlineStr"/>
      <c r="Y1683" s="20" t="n"/>
      <c r="Z1683" s="19" t="inlineStr"/>
      <c r="AA1683" s="18">
        <f>IF(OR(V1683="Aprobada"),R1683,IF(AND(OR(V1683="Aprobada con ajuste",V1683="Rechazada"),W1683&lt;&gt;""),W1683,""))</f>
        <v/>
      </c>
    </row>
    <row r="1684">
      <c r="A1684" s="18" t="inlineStr">
        <is>
          <t>C1683</t>
        </is>
      </c>
      <c r="B1684" s="18" t="inlineStr">
        <is>
          <t>Control interno</t>
        </is>
      </c>
      <c r="C1684" s="18" t="inlineStr">
        <is>
          <t>control_interno</t>
        </is>
      </c>
      <c r="D1684" s="18" t="inlineStr">
        <is>
          <t>hallazgo</t>
        </is>
      </c>
      <c r="E1684" s="18" t="n">
        <v>34</v>
      </c>
      <c r="F1684" s="18" t="inlineStr">
        <is>
          <t>recomendaciones</t>
        </is>
      </c>
      <c r="G1684" s="18" t="inlineStr">
        <is>
          <t>jsonb</t>
        </is>
      </c>
      <c r="H1684" s="18" t="inlineStr">
        <is>
          <t>No</t>
        </is>
      </c>
      <c r="I1684" s="18" t="inlineStr"/>
      <c r="J1684" s="18" t="inlineStr"/>
      <c r="K1684" s="18" t="inlineStr"/>
      <c r="L1684" s="18" t="inlineStr">
        <is>
          <t>No</t>
        </is>
      </c>
      <c r="M1684" s="18" t="inlineStr">
        <is>
          <t>No</t>
        </is>
      </c>
      <c r="N1684" s="18" t="inlineStr"/>
      <c r="O1684" s="18" t="inlineStr"/>
      <c r="P1684" s="18" t="inlineStr">
        <is>
          <t>Mapeada en internal-institutional-control-service/src/esap/hallazgos/entities/hallazgo.entity.ts:92 (Hallazgo.recomendaciones) | Validación: IsArray, IsOptional</t>
        </is>
      </c>
      <c r="Q1684" s="18" t="inlineStr">
        <is>
          <t>Propuesta semántica</t>
        </is>
      </c>
      <c r="R1684" s="18" t="inlineStr">
        <is>
          <t>Recomendaciones del auditor sobre el hallazgo, en formato JSON (arreglo).</t>
        </is>
      </c>
      <c r="S1684" s="18" t="inlineStr">
        <is>
          <t>Alta</t>
        </is>
      </c>
      <c r="T1684" s="18" t="inlineStr">
        <is>
          <t>nombre + validación IsArray ~</t>
        </is>
      </c>
      <c r="U1684" s="18" t="inlineStr"/>
      <c r="V1684" s="19" t="inlineStr">
        <is>
          <t>Pendiente</t>
        </is>
      </c>
      <c r="W1684" s="19" t="inlineStr"/>
      <c r="X1684" s="19" t="inlineStr"/>
      <c r="Y1684" s="20" t="n"/>
      <c r="Z1684" s="19" t="inlineStr"/>
      <c r="AA1684" s="18">
        <f>IF(OR(V1684="Aprobada"),R1684,IF(AND(OR(V1684="Aprobada con ajuste",V1684="Rechazada"),W1684&lt;&gt;""),W1684,""))</f>
        <v/>
      </c>
    </row>
    <row r="1685">
      <c r="A1685" s="18" t="inlineStr">
        <is>
          <t>C1684</t>
        </is>
      </c>
      <c r="B1685" s="18" t="inlineStr">
        <is>
          <t>Control interno</t>
        </is>
      </c>
      <c r="C1685" s="18" t="inlineStr">
        <is>
          <t>control_interno</t>
        </is>
      </c>
      <c r="D1685" s="18" t="inlineStr">
        <is>
          <t>hallazgo</t>
        </is>
      </c>
      <c r="E1685" s="18" t="n">
        <v>34</v>
      </c>
      <c r="F1685" s="18" t="inlineStr">
        <is>
          <t>fecha_deteccion</t>
        </is>
      </c>
      <c r="G1685" s="18" t="inlineStr">
        <is>
          <t>date</t>
        </is>
      </c>
      <c r="H1685" s="18" t="inlineStr">
        <is>
          <t>No</t>
        </is>
      </c>
      <c r="I1685" s="18" t="inlineStr"/>
      <c r="J1685" s="18" t="inlineStr"/>
      <c r="K1685" s="18" t="inlineStr"/>
      <c r="L1685" s="18" t="inlineStr">
        <is>
          <t>No</t>
        </is>
      </c>
      <c r="M1685" s="18" t="inlineStr">
        <is>
          <t>No</t>
        </is>
      </c>
      <c r="N1685" s="18" t="inlineStr"/>
      <c r="O1685" s="18" t="inlineStr"/>
      <c r="P1685" s="18" t="inlineStr">
        <is>
          <t>Mapeada en internal-institutional-control-service/src/esap/hallazgos/entities/hallazgo.entity.ts:98 (Hallazgo.fechaDeteccion) | Validación: IsDateString, IsOptional</t>
        </is>
      </c>
      <c r="Q1685" s="18" t="inlineStr">
        <is>
          <t>Regla estructural</t>
        </is>
      </c>
      <c r="R1685" s="18" t="inlineStr">
        <is>
          <t>Fecha de detección.</t>
        </is>
      </c>
      <c r="S1685" s="18" t="inlineStr">
        <is>
          <t>Media</t>
        </is>
      </c>
      <c r="T1685" s="18" t="inlineStr">
        <is>
          <t>Convención de nombre de la columna.</t>
        </is>
      </c>
      <c r="U1685" s="18" t="inlineStr"/>
      <c r="V1685" s="19" t="inlineStr">
        <is>
          <t>Pendiente</t>
        </is>
      </c>
      <c r="W1685" s="19" t="inlineStr"/>
      <c r="X1685" s="19" t="inlineStr"/>
      <c r="Y1685" s="20" t="n"/>
      <c r="Z1685" s="19" t="inlineStr"/>
      <c r="AA1685" s="18">
        <f>IF(OR(V1685="Aprobada"),R1685,IF(AND(OR(V1685="Aprobada con ajuste",V1685="Rechazada"),W1685&lt;&gt;""),W1685,""))</f>
        <v/>
      </c>
    </row>
    <row r="1686">
      <c r="A1686" s="18" t="inlineStr">
        <is>
          <t>C1685</t>
        </is>
      </c>
      <c r="B1686" s="18" t="inlineStr">
        <is>
          <t>Control interno</t>
        </is>
      </c>
      <c r="C1686" s="18" t="inlineStr">
        <is>
          <t>control_interno</t>
        </is>
      </c>
      <c r="D1686" s="18" t="inlineStr">
        <is>
          <t>hallazgo</t>
        </is>
      </c>
      <c r="E1686" s="18" t="n">
        <v>34</v>
      </c>
      <c r="F1686" s="18" t="inlineStr">
        <is>
          <t>fecha_notificacion</t>
        </is>
      </c>
      <c r="G1686" s="18" t="inlineStr">
        <is>
          <t>date</t>
        </is>
      </c>
      <c r="H1686" s="18" t="inlineStr">
        <is>
          <t>Sí</t>
        </is>
      </c>
      <c r="I1686" s="18" t="inlineStr"/>
      <c r="J1686" s="18" t="inlineStr"/>
      <c r="K1686" s="18" t="inlineStr"/>
      <c r="L1686" s="18" t="inlineStr">
        <is>
          <t>No</t>
        </is>
      </c>
      <c r="M1686" s="18" t="inlineStr">
        <is>
          <t>No</t>
        </is>
      </c>
      <c r="N1686" s="18" t="inlineStr"/>
      <c r="O1686" s="18" t="inlineStr"/>
      <c r="P1686" s="18" t="inlineStr">
        <is>
          <t>Mapeada en internal-institutional-control-service/src/esap/hallazgos/entities/hallazgo.entity.ts:101 (Hallazgo.fechaNotificacion) | Validación: IsDateString, IsOptional</t>
        </is>
      </c>
      <c r="Q1686" s="18" t="inlineStr">
        <is>
          <t>Regla estructural</t>
        </is>
      </c>
      <c r="R1686" s="18" t="inlineStr">
        <is>
          <t>Fecha de notificación.</t>
        </is>
      </c>
      <c r="S1686" s="18" t="inlineStr">
        <is>
          <t>Media</t>
        </is>
      </c>
      <c r="T1686" s="18" t="inlineStr">
        <is>
          <t>Convención de nombre de la columna.</t>
        </is>
      </c>
      <c r="U1686" s="18" t="inlineStr"/>
      <c r="V1686" s="19" t="inlineStr">
        <is>
          <t>Pendiente</t>
        </is>
      </c>
      <c r="W1686" s="19" t="inlineStr"/>
      <c r="X1686" s="19" t="inlineStr"/>
      <c r="Y1686" s="20" t="n"/>
      <c r="Z1686" s="19" t="inlineStr"/>
      <c r="AA1686" s="18">
        <f>IF(OR(V1686="Aprobada"),R1686,IF(AND(OR(V1686="Aprobada con ajuste",V1686="Rechazada"),W1686&lt;&gt;""),W1686,""))</f>
        <v/>
      </c>
    </row>
    <row r="1687">
      <c r="A1687" s="18" t="inlineStr">
        <is>
          <t>C1686</t>
        </is>
      </c>
      <c r="B1687" s="18" t="inlineStr">
        <is>
          <t>Control interno</t>
        </is>
      </c>
      <c r="C1687" s="18" t="inlineStr">
        <is>
          <t>control_interno</t>
        </is>
      </c>
      <c r="D1687" s="18" t="inlineStr">
        <is>
          <t>hallazgo</t>
        </is>
      </c>
      <c r="E1687" s="18" t="n">
        <v>34</v>
      </c>
      <c r="F1687" s="18" t="inlineStr">
        <is>
          <t>responsable</t>
        </is>
      </c>
      <c r="G1687" s="18" t="inlineStr">
        <is>
          <t>character varying(255)</t>
        </is>
      </c>
      <c r="H1687" s="18" t="inlineStr">
        <is>
          <t>Sí</t>
        </is>
      </c>
      <c r="I1687" s="18" t="inlineStr"/>
      <c r="J1687" s="18" t="inlineStr"/>
      <c r="K1687" s="18" t="inlineStr"/>
      <c r="L1687" s="18" t="inlineStr">
        <is>
          <t>No</t>
        </is>
      </c>
      <c r="M1687" s="18" t="inlineStr">
        <is>
          <t>No</t>
        </is>
      </c>
      <c r="N1687" s="18" t="inlineStr"/>
      <c r="O1687" s="18" t="inlineStr"/>
      <c r="P1687" s="18" t="inlineStr">
        <is>
          <t>Mapeada en internal-institutional-control-service/src/esap/hallazgos/entities/hallazgo.entity.ts:104 (Hallazgo.responsable) | Validación: IsNotEmpty, IsOptional, IsString, Length(1, 255)</t>
        </is>
      </c>
      <c r="Q1687" s="18" t="inlineStr">
        <is>
          <t>Propuesta semántica</t>
        </is>
      </c>
      <c r="R1687" s="18" t="inlineStr">
        <is>
          <t>Nombre del responsable de atender el hallazgo.</t>
        </is>
      </c>
      <c r="S1687" s="18" t="inlineStr">
        <is>
          <t>Media</t>
        </is>
      </c>
      <c r="T1687" s="18" t="inlineStr">
        <is>
          <t>nombre + tipo</t>
        </is>
      </c>
      <c r="U1687" s="18" t="inlineStr">
        <is>
          <t>¿responsable guarda el nombre, el correo o el identificador del usuario?</t>
        </is>
      </c>
      <c r="V1687" s="19" t="inlineStr">
        <is>
          <t>Pendiente</t>
        </is>
      </c>
      <c r="W1687" s="19" t="inlineStr"/>
      <c r="X1687" s="19" t="inlineStr"/>
      <c r="Y1687" s="20" t="n"/>
      <c r="Z1687" s="19" t="inlineStr"/>
      <c r="AA1687" s="18">
        <f>IF(OR(V1687="Aprobada"),R1687,IF(AND(OR(V1687="Aprobada con ajuste",V1687="Rechazada"),W1687&lt;&gt;""),W1687,""))</f>
        <v/>
      </c>
    </row>
    <row r="1688">
      <c r="A1688" s="18" t="inlineStr">
        <is>
          <t>C1687</t>
        </is>
      </c>
      <c r="B1688" s="18" t="inlineStr">
        <is>
          <t>Control interno</t>
        </is>
      </c>
      <c r="C1688" s="18" t="inlineStr">
        <is>
          <t>control_interno</t>
        </is>
      </c>
      <c r="D1688" s="18" t="inlineStr">
        <is>
          <t>hallazgo</t>
        </is>
      </c>
      <c r="E1688" s="18" t="n">
        <v>34</v>
      </c>
      <c r="F1688" s="18" t="inlineStr">
        <is>
          <t>fecha_limite_correccion</t>
        </is>
      </c>
      <c r="G1688" s="18" t="inlineStr">
        <is>
          <t>date</t>
        </is>
      </c>
      <c r="H1688" s="18" t="inlineStr">
        <is>
          <t>Sí</t>
        </is>
      </c>
      <c r="I1688" s="18" t="inlineStr"/>
      <c r="J1688" s="18" t="inlineStr"/>
      <c r="K1688" s="18" t="inlineStr"/>
      <c r="L1688" s="18" t="inlineStr">
        <is>
          <t>No</t>
        </is>
      </c>
      <c r="M1688" s="18" t="inlineStr">
        <is>
          <t>No</t>
        </is>
      </c>
      <c r="N1688" s="18" t="inlineStr"/>
      <c r="O1688" s="18" t="inlineStr"/>
      <c r="P1688" s="18" t="inlineStr">
        <is>
          <t>Mapeada en internal-institutional-control-service/src/esap/hallazgos/entities/hallazgo.entity.ts:107 (Hallazgo.fechaLimiteCorreccion) | Validación: IsDateString, IsOptional</t>
        </is>
      </c>
      <c r="Q1688" s="18" t="inlineStr">
        <is>
          <t>Regla estructural</t>
        </is>
      </c>
      <c r="R1688" s="18" t="inlineStr">
        <is>
          <t>Fecha límite corrección.</t>
        </is>
      </c>
      <c r="S1688" s="18" t="inlineStr">
        <is>
          <t>Media</t>
        </is>
      </c>
      <c r="T1688" s="18" t="inlineStr">
        <is>
          <t>Convención de nombre de la columna.</t>
        </is>
      </c>
      <c r="U1688" s="18" t="inlineStr"/>
      <c r="V1688" s="19" t="inlineStr">
        <is>
          <t>Pendiente</t>
        </is>
      </c>
      <c r="W1688" s="19" t="inlineStr"/>
      <c r="X1688" s="19" t="inlineStr"/>
      <c r="Y1688" s="20" t="n"/>
      <c r="Z1688" s="19" t="inlineStr"/>
      <c r="AA1688" s="18">
        <f>IF(OR(V1688="Aprobada"),R1688,IF(AND(OR(V1688="Aprobada con ajuste",V1688="Rechazada"),W1688&lt;&gt;""),W1688,""))</f>
        <v/>
      </c>
    </row>
    <row r="1689">
      <c r="A1689" s="18" t="inlineStr">
        <is>
          <t>C1688</t>
        </is>
      </c>
      <c r="B1689" s="18" t="inlineStr">
        <is>
          <t>Control interno</t>
        </is>
      </c>
      <c r="C1689" s="18" t="inlineStr">
        <is>
          <t>control_interno</t>
        </is>
      </c>
      <c r="D1689" s="18" t="inlineStr">
        <is>
          <t>hallazgo</t>
        </is>
      </c>
      <c r="E1689" s="18" t="n">
        <v>34</v>
      </c>
      <c r="F1689" s="18" t="inlineStr">
        <is>
          <t>observaciones_controversia</t>
        </is>
      </c>
      <c r="G1689" s="18" t="inlineStr">
        <is>
          <t>text</t>
        </is>
      </c>
      <c r="H1689" s="18" t="inlineStr">
        <is>
          <t>Sí</t>
        </is>
      </c>
      <c r="I1689" s="18" t="inlineStr"/>
      <c r="J1689" s="18" t="inlineStr"/>
      <c r="K1689" s="18" t="inlineStr"/>
      <c r="L1689" s="18" t="inlineStr">
        <is>
          <t>No</t>
        </is>
      </c>
      <c r="M1689" s="18" t="inlineStr">
        <is>
          <t>No</t>
        </is>
      </c>
      <c r="N1689" s="18" t="inlineStr"/>
      <c r="O1689" s="18" t="inlineStr"/>
      <c r="P1689" s="18" t="inlineStr">
        <is>
          <t>Mapeada en internal-institutional-control-service/src/esap/hallazgos/entities/hallazgo.entity.ts:110 (Hallazgo.observacionesControversia) | Validación: IsOptional, IsString</t>
        </is>
      </c>
      <c r="Q1689" s="18" t="inlineStr">
        <is>
          <t>Propuesta semántica</t>
        </is>
      </c>
      <c r="R1689" s="18" t="inlineStr">
        <is>
          <t>Observaciones sobre la controversia presentada frente al hallazgo.</t>
        </is>
      </c>
      <c r="S1689" s="18" t="inlineStr">
        <is>
          <t>Alta</t>
        </is>
      </c>
      <c r="T1689" s="18" t="inlineStr">
        <is>
          <t>nombre + columnas vecinas (argumentos_controversia, controversia_turno) ~</t>
        </is>
      </c>
      <c r="U1689" s="18" t="inlineStr"/>
      <c r="V1689" s="19" t="inlineStr">
        <is>
          <t>Pendiente</t>
        </is>
      </c>
      <c r="W1689" s="19" t="inlineStr"/>
      <c r="X1689" s="19" t="inlineStr"/>
      <c r="Y1689" s="20" t="n"/>
      <c r="Z1689" s="19" t="inlineStr"/>
      <c r="AA1689" s="18">
        <f>IF(OR(V1689="Aprobada"),R1689,IF(AND(OR(V1689="Aprobada con ajuste",V1689="Rechazada"),W1689&lt;&gt;""),W1689,""))</f>
        <v/>
      </c>
    </row>
    <row r="1690">
      <c r="A1690" s="18" t="inlineStr">
        <is>
          <t>C1689</t>
        </is>
      </c>
      <c r="B1690" s="18" t="inlineStr">
        <is>
          <t>Control interno</t>
        </is>
      </c>
      <c r="C1690" s="18" t="inlineStr">
        <is>
          <t>control_interno</t>
        </is>
      </c>
      <c r="D1690" s="18" t="inlineStr">
        <is>
          <t>hallazgo</t>
        </is>
      </c>
      <c r="E1690" s="18" t="n">
        <v>34</v>
      </c>
      <c r="F1690" s="18" t="inlineStr">
        <is>
          <t>titulo</t>
        </is>
      </c>
      <c r="G1690" s="18" t="inlineStr">
        <is>
          <t>character varying(500)</t>
        </is>
      </c>
      <c r="H1690" s="18" t="inlineStr">
        <is>
          <t>Sí</t>
        </is>
      </c>
      <c r="I1690" s="18" t="inlineStr"/>
      <c r="J1690" s="18" t="inlineStr"/>
      <c r="K1690" s="18" t="inlineStr"/>
      <c r="L1690" s="18" t="inlineStr">
        <is>
          <t>No</t>
        </is>
      </c>
      <c r="M1690" s="18" t="inlineStr">
        <is>
          <t>No</t>
        </is>
      </c>
      <c r="N1690" s="18" t="inlineStr"/>
      <c r="O1690" s="18" t="inlineStr"/>
      <c r="P1690" s="18" t="inlineStr">
        <is>
          <t>Mapeada en internal-institutional-control-service/src/esap/hallazgos/entities/hallazgo.entity.ts:40 (Hallazgo.titulo) | Validación: IsNotEmpty, IsOptional, IsString, MaxLength(255), MaxLength(500)</t>
        </is>
      </c>
      <c r="Q1690" s="18" t="inlineStr">
        <is>
          <t>Propuesta semántica</t>
        </is>
      </c>
      <c r="R1690" s="18" t="inlineStr">
        <is>
          <t>Título del hallazgo.</t>
        </is>
      </c>
      <c r="S1690" s="18" t="inlineStr">
        <is>
          <t>Alta</t>
        </is>
      </c>
      <c r="T1690" s="18" t="inlineStr">
        <is>
          <t>nombre + tipo ~</t>
        </is>
      </c>
      <c r="U1690" s="18" t="inlineStr"/>
      <c r="V1690" s="19" t="inlineStr">
        <is>
          <t>Pendiente</t>
        </is>
      </c>
      <c r="W1690" s="19" t="inlineStr"/>
      <c r="X1690" s="19" t="inlineStr"/>
      <c r="Y1690" s="20" t="n"/>
      <c r="Z1690" s="19" t="inlineStr"/>
      <c r="AA1690" s="18">
        <f>IF(OR(V1690="Aprobada"),R1690,IF(AND(OR(V1690="Aprobada con ajuste",V1690="Rechazada"),W1690&lt;&gt;""),W1690,""))</f>
        <v/>
      </c>
    </row>
    <row r="1691">
      <c r="A1691" s="18" t="inlineStr">
        <is>
          <t>C1690</t>
        </is>
      </c>
      <c r="B1691" s="18" t="inlineStr">
        <is>
          <t>Control interno</t>
        </is>
      </c>
      <c r="C1691" s="18" t="inlineStr">
        <is>
          <t>control_interno</t>
        </is>
      </c>
      <c r="D1691" s="18" t="inlineStr">
        <is>
          <t>hallazgo</t>
        </is>
      </c>
      <c r="E1691" s="18" t="n">
        <v>34</v>
      </c>
      <c r="F1691" s="18" t="inlineStr">
        <is>
          <t>gravedad</t>
        </is>
      </c>
      <c r="G1691" s="18" t="inlineStr">
        <is>
          <t>character varying(20)</t>
        </is>
      </c>
      <c r="H1691" s="18" t="inlineStr">
        <is>
          <t>Sí</t>
        </is>
      </c>
      <c r="I1691" s="18" t="inlineStr">
        <is>
          <t>CHECK</t>
        </is>
      </c>
      <c r="J1691" s="18" t="inlineStr">
        <is>
          <t>Alta, Baja, Crítica, Media</t>
        </is>
      </c>
      <c r="K1691" s="18" t="inlineStr"/>
      <c r="L1691" s="18" t="inlineStr">
        <is>
          <t>Sí</t>
        </is>
      </c>
      <c r="M1691" s="18" t="inlineStr">
        <is>
          <t>No</t>
        </is>
      </c>
      <c r="N1691" s="18" t="inlineStr"/>
      <c r="O1691" s="18" t="inlineStr">
        <is>
          <t>idx_hallazgo_gravedad</t>
        </is>
      </c>
      <c r="P1691" s="18" t="inlineStr"/>
      <c r="Q1691" s="18" t="inlineStr">
        <is>
          <t>Propuesta semántica</t>
        </is>
      </c>
      <c r="R1691" s="18" t="inlineStr">
        <is>
          <t>Gravedad del hallazgo. Valores permitidos: Baja, Media, Alta, Crítica.</t>
        </is>
      </c>
      <c r="S1691" s="18" t="inlineStr">
        <is>
          <t>Alta</t>
        </is>
      </c>
      <c r="T1691" s="18" t="inlineStr">
        <is>
          <t>valores permitidos del CHECK ~</t>
        </is>
      </c>
      <c r="U1691" s="18" t="inlineStr"/>
      <c r="V1691" s="19" t="inlineStr">
        <is>
          <t>Pendiente</t>
        </is>
      </c>
      <c r="W1691" s="19" t="inlineStr"/>
      <c r="X1691" s="19" t="inlineStr"/>
      <c r="Y1691" s="20" t="n"/>
      <c r="Z1691" s="19" t="inlineStr"/>
      <c r="AA1691" s="18">
        <f>IF(OR(V1691="Aprobada"),R1691,IF(AND(OR(V1691="Aprobada con ajuste",V1691="Rechazada"),W1691&lt;&gt;""),W1691,""))</f>
        <v/>
      </c>
    </row>
    <row r="1692">
      <c r="A1692" s="18" t="inlineStr">
        <is>
          <t>C1691</t>
        </is>
      </c>
      <c r="B1692" s="18" t="inlineStr">
        <is>
          <t>Control interno</t>
        </is>
      </c>
      <c r="C1692" s="18" t="inlineStr">
        <is>
          <t>control_interno</t>
        </is>
      </c>
      <c r="D1692" s="18" t="inlineStr">
        <is>
          <t>hallazgo</t>
        </is>
      </c>
      <c r="E1692" s="18" t="n">
        <v>34</v>
      </c>
      <c r="F1692" s="18" t="inlineStr">
        <is>
          <t>fecha_compromiso</t>
        </is>
      </c>
      <c r="G1692" s="18" t="inlineStr">
        <is>
          <t>date</t>
        </is>
      </c>
      <c r="H1692" s="18" t="inlineStr">
        <is>
          <t>Sí</t>
        </is>
      </c>
      <c r="I1692" s="18" t="inlineStr"/>
      <c r="J1692" s="18" t="inlineStr"/>
      <c r="K1692" s="18" t="inlineStr"/>
      <c r="L1692" s="18" t="inlineStr">
        <is>
          <t>No</t>
        </is>
      </c>
      <c r="M1692" s="18" t="inlineStr">
        <is>
          <t>No</t>
        </is>
      </c>
      <c r="N1692" s="18" t="inlineStr"/>
      <c r="O1692" s="18" t="inlineStr"/>
      <c r="P1692" s="18" t="inlineStr"/>
      <c r="Q1692" s="18" t="inlineStr">
        <is>
          <t>Regla estructural</t>
        </is>
      </c>
      <c r="R1692" s="18" t="inlineStr">
        <is>
          <t>Fecha de compromiso.</t>
        </is>
      </c>
      <c r="S1692" s="18" t="inlineStr">
        <is>
          <t>Media</t>
        </is>
      </c>
      <c r="T1692" s="18" t="inlineStr">
        <is>
          <t>Convención de nombre de la columna.</t>
        </is>
      </c>
      <c r="U1692" s="18" t="inlineStr"/>
      <c r="V1692" s="19" t="inlineStr">
        <is>
          <t>Pendiente</t>
        </is>
      </c>
      <c r="W1692" s="19" t="inlineStr"/>
      <c r="X1692" s="19" t="inlineStr"/>
      <c r="Y1692" s="20" t="n"/>
      <c r="Z1692" s="19" t="inlineStr"/>
      <c r="AA1692" s="18">
        <f>IF(OR(V1692="Aprobada"),R1692,IF(AND(OR(V1692="Aprobada con ajuste",V1692="Rechazada"),W1692&lt;&gt;""),W1692,""))</f>
        <v/>
      </c>
    </row>
    <row r="1693">
      <c r="A1693" s="18" t="inlineStr">
        <is>
          <t>C1692</t>
        </is>
      </c>
      <c r="B1693" s="18" t="inlineStr">
        <is>
          <t>Control interno</t>
        </is>
      </c>
      <c r="C1693" s="18" t="inlineStr">
        <is>
          <t>control_interno</t>
        </is>
      </c>
      <c r="D1693" s="18" t="inlineStr">
        <is>
          <t>hallazgo</t>
        </is>
      </c>
      <c r="E1693" s="18" t="n">
        <v>34</v>
      </c>
      <c r="F1693" s="18" t="inlineStr">
        <is>
          <t>progreso_cumplimiento</t>
        </is>
      </c>
      <c r="G1693" s="18" t="inlineStr">
        <is>
          <t>integer</t>
        </is>
      </c>
      <c r="H1693" s="18" t="inlineStr">
        <is>
          <t>Sí</t>
        </is>
      </c>
      <c r="I1693" s="18" t="inlineStr">
        <is>
          <t>CHECK</t>
        </is>
      </c>
      <c r="J1693" s="18" t="inlineStr"/>
      <c r="K1693" s="18" t="inlineStr"/>
      <c r="L1693" s="18" t="inlineStr">
        <is>
          <t>No</t>
        </is>
      </c>
      <c r="M1693" s="18" t="inlineStr">
        <is>
          <t>No</t>
        </is>
      </c>
      <c r="N1693" s="18" t="inlineStr"/>
      <c r="O1693" s="18" t="inlineStr"/>
      <c r="P1693" s="18" t="inlineStr"/>
      <c r="Q1693" s="18" t="inlineStr">
        <is>
          <t>Propuesta semántica</t>
        </is>
      </c>
      <c r="R1693" s="18" t="inlineStr">
        <is>
          <t>Porcentaje de cumplimiento de las acciones asociadas al hallazgo.</t>
        </is>
      </c>
      <c r="S1693" s="18" t="inlineStr">
        <is>
          <t>Media</t>
        </is>
      </c>
      <c r="T1693" s="18" t="inlineStr">
        <is>
          <t>nombre + tipo + defecto 0</t>
        </is>
      </c>
      <c r="U1693" s="18" t="inlineStr">
        <is>
          <t>¿progreso_cumplimiento se expresa de 0 a 100 y cómo se calcula?</t>
        </is>
      </c>
      <c r="V1693" s="19" t="inlineStr">
        <is>
          <t>Pendiente</t>
        </is>
      </c>
      <c r="W1693" s="19" t="inlineStr"/>
      <c r="X1693" s="19" t="inlineStr"/>
      <c r="Y1693" s="20" t="n"/>
      <c r="Z1693" s="19" t="inlineStr"/>
      <c r="AA1693" s="18">
        <f>IF(OR(V1693="Aprobada"),R1693,IF(AND(OR(V1693="Aprobada con ajuste",V1693="Rechazada"),W1693&lt;&gt;""),W1693,""))</f>
        <v/>
      </c>
    </row>
    <row r="1694">
      <c r="A1694" s="18" t="inlineStr">
        <is>
          <t>C1693</t>
        </is>
      </c>
      <c r="B1694" s="18" t="inlineStr">
        <is>
          <t>Control interno</t>
        </is>
      </c>
      <c r="C1694" s="18" t="inlineStr">
        <is>
          <t>control_interno</t>
        </is>
      </c>
      <c r="D1694" s="18" t="inlineStr">
        <is>
          <t>hallazgo</t>
        </is>
      </c>
      <c r="E1694" s="18" t="n">
        <v>34</v>
      </c>
      <c r="F1694" s="18" t="inlineStr">
        <is>
          <t>controversia_turno</t>
        </is>
      </c>
      <c r="G1694" s="18" t="inlineStr">
        <is>
          <t>character varying(50)</t>
        </is>
      </c>
      <c r="H1694" s="18" t="inlineStr">
        <is>
          <t>Sí</t>
        </is>
      </c>
      <c r="I1694" s="18" t="inlineStr"/>
      <c r="J1694" s="18" t="inlineStr"/>
      <c r="K1694" s="18" t="inlineStr"/>
      <c r="L1694" s="18" t="inlineStr">
        <is>
          <t>No</t>
        </is>
      </c>
      <c r="M1694" s="18" t="inlineStr">
        <is>
          <t>No</t>
        </is>
      </c>
      <c r="N1694" s="18" t="inlineStr"/>
      <c r="O1694" s="18" t="inlineStr"/>
      <c r="P1694" s="18" t="inlineStr">
        <is>
          <t>internal-institutional-control-service/src/esap/hallazgos/entities/hallazgo.entity.ts:126: Turno de respuesta de la controversia: auditor | auditado</t>
        </is>
      </c>
      <c r="Q1694" s="18" t="inlineStr">
        <is>
          <t>Código fuente</t>
        </is>
      </c>
      <c r="R1694" s="18" t="inlineStr">
        <is>
          <t>Turno de respuesta en la controversia del hallazgo. Valores previstos: auditor, auditado.</t>
        </is>
      </c>
      <c r="S1694" s="18" t="inlineStr">
        <is>
          <t>Alta</t>
        </is>
      </c>
      <c r="T1694" s="18" t="inlineStr">
        <is>
          <t>código: internal-institutional-control-service/src/esap/hallazgos/entities/hallazgo.entity.ts:126</t>
        </is>
      </c>
      <c r="U1694" s="18" t="inlineStr"/>
      <c r="V1694" s="19" t="inlineStr">
        <is>
          <t>Pendiente</t>
        </is>
      </c>
      <c r="W1694" s="19" t="inlineStr"/>
      <c r="X1694" s="19" t="inlineStr"/>
      <c r="Y1694" s="20" t="n"/>
      <c r="Z1694" s="19" t="inlineStr"/>
      <c r="AA1694" s="18">
        <f>IF(OR(V1694="Aprobada"),R1694,IF(AND(OR(V1694="Aprobada con ajuste",V1694="Rechazada"),W1694&lt;&gt;""),W1694,""))</f>
        <v/>
      </c>
    </row>
    <row r="1695">
      <c r="A1695" s="18" t="inlineStr">
        <is>
          <t>C1694</t>
        </is>
      </c>
      <c r="B1695" s="18" t="inlineStr">
        <is>
          <t>Control interno</t>
        </is>
      </c>
      <c r="C1695" s="18" t="inlineStr">
        <is>
          <t>control_interno</t>
        </is>
      </c>
      <c r="D1695" s="18" t="inlineStr">
        <is>
          <t>historial_auditoria</t>
        </is>
      </c>
      <c r="E1695" s="18" t="n">
        <v>480</v>
      </c>
      <c r="F1695" s="18" t="inlineStr">
        <is>
          <t>tipo_evento</t>
        </is>
      </c>
      <c r="G1695" s="18" t="inlineStr">
        <is>
          <t>character varying(50)</t>
        </is>
      </c>
      <c r="H1695" s="18" t="inlineStr">
        <is>
          <t>No</t>
        </is>
      </c>
      <c r="I1695" s="18" t="inlineStr">
        <is>
          <t>CHECK</t>
        </is>
      </c>
      <c r="J1695" s="18" t="inlineStr">
        <is>
          <t>actualizacion, ampliacion_plazo, aprobacion, archivo, asignacion, cambio_estado, creacion, documento, eliminacion, finalizacion, hallazgo, nota</t>
        </is>
      </c>
      <c r="K1695" s="18" t="inlineStr"/>
      <c r="L1695" s="18" t="inlineStr">
        <is>
          <t>Sí</t>
        </is>
      </c>
      <c r="M1695" s="18" t="inlineStr">
        <is>
          <t>Sí</t>
        </is>
      </c>
      <c r="N1695" s="18" t="inlineStr">
        <is>
          <t>Función control_interno.fn_registrar_cambio_estado_auditoria — control_interno.fn_registrar_cambio_estado_auditoria: tipo_evento,</t>
        </is>
      </c>
      <c r="O1695" s="18" t="inlineStr">
        <is>
          <t>idx_historial_tipo</t>
        </is>
      </c>
      <c r="P1695" s="18" t="inlineStr">
        <is>
          <t>Mapeada en internal-institutional-control-service/src/esap/auditorias/entities/historial-auditoria.entity.ts:43 (HistorialAuditoria.tipoEvento)</t>
        </is>
      </c>
      <c r="Q1695" s="18" t="inlineStr">
        <is>
          <t>Propuesta semántica</t>
        </is>
      </c>
      <c r="R1695" s="18" t="inlineStr">
        <is>
          <t>Tipo de evento registrado en el historial de la auditoría. Valores permitidos: creacion, actualizacion, cambio_estado, asignacion, aprobacion, ampliacion_plazo, documento, hallazgo, nota, archivo, finalizacion, eliminacion.</t>
        </is>
      </c>
      <c r="S1695" s="18" t="inlineStr">
        <is>
          <t>Alta</t>
        </is>
      </c>
      <c r="T1695" s="18" t="inlineStr">
        <is>
          <t>valores permitidos del CHECK + uso en la función fn_registrar_cambio_estado_auditoria ~</t>
        </is>
      </c>
      <c r="U1695" s="18" t="inlineStr"/>
      <c r="V1695" s="19" t="inlineStr">
        <is>
          <t>Pendiente</t>
        </is>
      </c>
      <c r="W1695" s="19" t="inlineStr"/>
      <c r="X1695" s="19" t="inlineStr"/>
      <c r="Y1695" s="20" t="n"/>
      <c r="Z1695" s="19" t="inlineStr"/>
      <c r="AA1695" s="18">
        <f>IF(OR(V1695="Aprobada"),R1695,IF(AND(OR(V1695="Aprobada con ajuste",V1695="Rechazada"),W1695&lt;&gt;""),W1695,""))</f>
        <v/>
      </c>
    </row>
    <row r="1696">
      <c r="A1696" s="18" t="inlineStr">
        <is>
          <t>C1695</t>
        </is>
      </c>
      <c r="B1696" s="18" t="inlineStr">
        <is>
          <t>Control interno</t>
        </is>
      </c>
      <c r="C1696" s="18" t="inlineStr">
        <is>
          <t>control_interno</t>
        </is>
      </c>
      <c r="D1696" s="18" t="inlineStr">
        <is>
          <t>historial_auditoria</t>
        </is>
      </c>
      <c r="E1696" s="18" t="n">
        <v>480</v>
      </c>
      <c r="F1696" s="18" t="inlineStr">
        <is>
          <t>fecha</t>
        </is>
      </c>
      <c r="G1696" s="18" t="inlineStr">
        <is>
          <t>date</t>
        </is>
      </c>
      <c r="H1696" s="18" t="inlineStr">
        <is>
          <t>No</t>
        </is>
      </c>
      <c r="I1696" s="18" t="inlineStr"/>
      <c r="J1696" s="18" t="inlineStr"/>
      <c r="K1696" s="18" t="inlineStr"/>
      <c r="L1696" s="18" t="inlineStr">
        <is>
          <t>No</t>
        </is>
      </c>
      <c r="M1696" s="18" t="inlineStr">
        <is>
          <t>Sí</t>
        </is>
      </c>
      <c r="N1696" s="18" t="inlineStr">
        <is>
          <t>Función control_interno.fn_registrar_cambio_estado_auditoria — control_interno.fn_registrar_cambio_estado_auditoria: fecha,</t>
        </is>
      </c>
      <c r="O1696" s="18" t="inlineStr">
        <is>
          <t>idx_historial_fecha</t>
        </is>
      </c>
      <c r="P1696" s="18" t="inlineStr">
        <is>
          <t>Mapeada en internal-institutional-control-service/src/esap/auditorias/entities/historial-auditoria.entity.ts:51 (HistorialAuditoria.fecha) | Validación: IsDateString, IsString</t>
        </is>
      </c>
      <c r="Q1696" s="18" t="inlineStr">
        <is>
          <t>Propuesta semántica</t>
        </is>
      </c>
      <c r="R1696" s="18" t="inlineStr">
        <is>
          <t>Fecha del evento.</t>
        </is>
      </c>
      <c r="S1696" s="18" t="inlineStr">
        <is>
          <t>Alta</t>
        </is>
      </c>
      <c r="T1696" s="18" t="inlineStr">
        <is>
          <t>nombre + tipo + uso en la función fn_registrar_cambio_estado_auditoria ~</t>
        </is>
      </c>
      <c r="U1696" s="18" t="inlineStr"/>
      <c r="V1696" s="19" t="inlineStr">
        <is>
          <t>Pendiente</t>
        </is>
      </c>
      <c r="W1696" s="19" t="inlineStr"/>
      <c r="X1696" s="19" t="inlineStr"/>
      <c r="Y1696" s="20" t="n"/>
      <c r="Z1696" s="19" t="inlineStr"/>
      <c r="AA1696" s="18">
        <f>IF(OR(V1696="Aprobada"),R1696,IF(AND(OR(V1696="Aprobada con ajuste",V1696="Rechazada"),W1696&lt;&gt;""),W1696,""))</f>
        <v/>
      </c>
    </row>
    <row r="1697">
      <c r="A1697" s="18" t="inlineStr">
        <is>
          <t>C1696</t>
        </is>
      </c>
      <c r="B1697" s="18" t="inlineStr">
        <is>
          <t>Control interno</t>
        </is>
      </c>
      <c r="C1697" s="18" t="inlineStr">
        <is>
          <t>control_interno</t>
        </is>
      </c>
      <c r="D1697" s="18" t="inlineStr">
        <is>
          <t>historial_auditoria</t>
        </is>
      </c>
      <c r="E1697" s="18" t="n">
        <v>480</v>
      </c>
      <c r="F1697" s="18" t="inlineStr">
        <is>
          <t>hora</t>
        </is>
      </c>
      <c r="G1697" s="18" t="inlineStr">
        <is>
          <t>time without time zone</t>
        </is>
      </c>
      <c r="H1697" s="18" t="inlineStr">
        <is>
          <t>No</t>
        </is>
      </c>
      <c r="I1697" s="18" t="inlineStr"/>
      <c r="J1697" s="18" t="inlineStr"/>
      <c r="K1697" s="18" t="inlineStr"/>
      <c r="L1697" s="18" t="inlineStr">
        <is>
          <t>No</t>
        </is>
      </c>
      <c r="M1697" s="18" t="inlineStr">
        <is>
          <t>Sí</t>
        </is>
      </c>
      <c r="N1697" s="18" t="inlineStr">
        <is>
          <t>Función control_interno.fn_registrar_cambio_estado_auditoria — control_interno.fn_registrar_cambio_estado_auditoria: hora,</t>
        </is>
      </c>
      <c r="O1697" s="18" t="inlineStr">
        <is>
          <t>idx_historial_fecha</t>
        </is>
      </c>
      <c r="P1697" s="18" t="inlineStr">
        <is>
          <t>Mapeada en internal-institutional-control-service/src/esap/auditorias/entities/historial-auditoria.entity.ts:54 (HistorialAuditoria.hora) | Validación: IsString</t>
        </is>
      </c>
      <c r="Q1697" s="18" t="inlineStr">
        <is>
          <t>Propuesta semántica</t>
        </is>
      </c>
      <c r="R1697" s="18" t="inlineStr">
        <is>
          <t>Hora del evento.</t>
        </is>
      </c>
      <c r="S1697" s="18" t="inlineStr">
        <is>
          <t>Alta</t>
        </is>
      </c>
      <c r="T1697" s="18" t="inlineStr">
        <is>
          <t>nombre + tipo + uso en la función fn_registrar_cambio_estado_auditoria ~</t>
        </is>
      </c>
      <c r="U1697" s="18" t="inlineStr"/>
      <c r="V1697" s="19" t="inlineStr">
        <is>
          <t>Pendiente</t>
        </is>
      </c>
      <c r="W1697" s="19" t="inlineStr"/>
      <c r="X1697" s="19" t="inlineStr"/>
      <c r="Y1697" s="20" t="n"/>
      <c r="Z1697" s="19" t="inlineStr"/>
      <c r="AA1697" s="18">
        <f>IF(OR(V1697="Aprobada"),R1697,IF(AND(OR(V1697="Aprobada con ajuste",V1697="Rechazada"),W1697&lt;&gt;""),W1697,""))</f>
        <v/>
      </c>
    </row>
    <row r="1698">
      <c r="A1698" s="18" t="inlineStr">
        <is>
          <t>C1697</t>
        </is>
      </c>
      <c r="B1698" s="18" t="inlineStr">
        <is>
          <t>Control interno</t>
        </is>
      </c>
      <c r="C1698" s="18" t="inlineStr">
        <is>
          <t>control_interno</t>
        </is>
      </c>
      <c r="D1698" s="18" t="inlineStr">
        <is>
          <t>historial_auditoria</t>
        </is>
      </c>
      <c r="E1698" s="18" t="n">
        <v>480</v>
      </c>
      <c r="F1698" s="18" t="inlineStr">
        <is>
          <t>accion</t>
        </is>
      </c>
      <c r="G1698" s="18" t="inlineStr">
        <is>
          <t>character varying(255)</t>
        </is>
      </c>
      <c r="H1698" s="18" t="inlineStr">
        <is>
          <t>No</t>
        </is>
      </c>
      <c r="I1698" s="18" t="inlineStr"/>
      <c r="J1698" s="18" t="inlineStr"/>
      <c r="K1698" s="18" t="inlineStr"/>
      <c r="L1698" s="18" t="inlineStr">
        <is>
          <t>No</t>
        </is>
      </c>
      <c r="M1698" s="18" t="inlineStr">
        <is>
          <t>Sí</t>
        </is>
      </c>
      <c r="N1698" s="18" t="inlineStr">
        <is>
          <t>Función control_interno.fn_registrar_cambio_estado_auditoria — control_interno.fn_registrar_cambio_estado_auditoria: accion,</t>
        </is>
      </c>
      <c r="O1698" s="18" t="inlineStr"/>
      <c r="P1698" s="18" t="inlineStr">
        <is>
          <t>Mapeada en internal-institutional-control-service/src/esap/auditorias/entities/historial-auditoria.entity.ts:66 (HistorialAuditoria.accion)</t>
        </is>
      </c>
      <c r="Q1698" s="18" t="inlineStr">
        <is>
          <t>Propuesta semántica</t>
        </is>
      </c>
      <c r="R1698" s="18" t="inlineStr">
        <is>
          <t>Acción registrada en el historial de la auditoría; la función fn_registrar_cambio_estado_auditoria la registra en los cambios de estado.</t>
        </is>
      </c>
      <c r="S1698" s="18" t="inlineStr">
        <is>
          <t>Media</t>
        </is>
      </c>
      <c r="T1698" s="18" t="inlineStr">
        <is>
          <t>uso en la función control_interno.fn_registrar_cambio_estado_auditoria</t>
        </is>
      </c>
      <c r="U1698" s="18" t="inlineStr">
        <is>
          <t>¿Qué valores toma la acción: texto libre o una lista cerrada?</t>
        </is>
      </c>
      <c r="V1698" s="19" t="inlineStr">
        <is>
          <t>Pendiente</t>
        </is>
      </c>
      <c r="W1698" s="19" t="inlineStr"/>
      <c r="X1698" s="19" t="inlineStr"/>
      <c r="Y1698" s="20" t="n"/>
      <c r="Z1698" s="19" t="inlineStr"/>
      <c r="AA1698" s="18">
        <f>IF(OR(V1698="Aprobada"),R1698,IF(AND(OR(V1698="Aprobada con ajuste",V1698="Rechazada"),W1698&lt;&gt;""),W1698,""))</f>
        <v/>
      </c>
    </row>
    <row r="1699">
      <c r="A1699" s="18" t="inlineStr">
        <is>
          <t>C1698</t>
        </is>
      </c>
      <c r="B1699" s="18" t="inlineStr">
        <is>
          <t>Control interno</t>
        </is>
      </c>
      <c r="C1699" s="18" t="inlineStr">
        <is>
          <t>control_interno</t>
        </is>
      </c>
      <c r="D1699" s="18" t="inlineStr">
        <is>
          <t>historial_auditoria</t>
        </is>
      </c>
      <c r="E1699" s="18" t="n">
        <v>480</v>
      </c>
      <c r="F1699" s="18" t="inlineStr">
        <is>
          <t>descripcion</t>
        </is>
      </c>
      <c r="G1699" s="18" t="inlineStr">
        <is>
          <t>text</t>
        </is>
      </c>
      <c r="H1699" s="18" t="inlineStr">
        <is>
          <t>Sí</t>
        </is>
      </c>
      <c r="I1699" s="18" t="inlineStr"/>
      <c r="J1699" s="18" t="inlineStr"/>
      <c r="K1699" s="18" t="inlineStr"/>
      <c r="L1699" s="18" t="inlineStr">
        <is>
          <t>No</t>
        </is>
      </c>
      <c r="M1699" s="18" t="inlineStr">
        <is>
          <t>Sí</t>
        </is>
      </c>
      <c r="N1699" s="18" t="inlineStr">
        <is>
          <t>Función control_interno.fn_registrar_cambio_estado_auditoria — control_interno.fn_registrar_cambio_estado_auditoria: descripcion,</t>
        </is>
      </c>
      <c r="O1699" s="18" t="inlineStr"/>
      <c r="P1699" s="18" t="inlineStr">
        <is>
          <t>Mapeada en internal-institutional-control-service/src/esap/auditorias/entities/historial-auditoria.entity.ts:69 (HistorialAuditoria.descripcion) | Validación: IsNotEmpty, IsOptional, IsString</t>
        </is>
      </c>
      <c r="Q1699" s="18" t="inlineStr">
        <is>
          <t>Regla estructural</t>
        </is>
      </c>
      <c r="R1699" s="18" t="inlineStr">
        <is>
          <t>Descripción del registro de historial_auditoria.</t>
        </is>
      </c>
      <c r="S1699" s="18" t="inlineStr">
        <is>
          <t>Media</t>
        </is>
      </c>
      <c r="T1699" s="18" t="inlineStr">
        <is>
          <t>Convención de nombre de la columna.</t>
        </is>
      </c>
      <c r="U1699" s="18" t="inlineStr"/>
      <c r="V1699" s="19" t="inlineStr">
        <is>
          <t>Pendiente</t>
        </is>
      </c>
      <c r="W1699" s="19" t="inlineStr"/>
      <c r="X1699" s="19" t="inlineStr"/>
      <c r="Y1699" s="20" t="n"/>
      <c r="Z1699" s="19" t="inlineStr"/>
      <c r="AA1699" s="18">
        <f>IF(OR(V1699="Aprobada"),R1699,IF(AND(OR(V1699="Aprobada con ajuste",V1699="Rechazada"),W1699&lt;&gt;""),W1699,""))</f>
        <v/>
      </c>
    </row>
    <row r="1700">
      <c r="A1700" s="18" t="inlineStr">
        <is>
          <t>C1699</t>
        </is>
      </c>
      <c r="B1700" s="18" t="inlineStr">
        <is>
          <t>Control interno</t>
        </is>
      </c>
      <c r="C1700" s="18" t="inlineStr">
        <is>
          <t>control_interno</t>
        </is>
      </c>
      <c r="D1700" s="18" t="inlineStr">
        <is>
          <t>historial_auditoria</t>
        </is>
      </c>
      <c r="E1700" s="18" t="n">
        <v>480</v>
      </c>
      <c r="F1700" s="18" t="inlineStr">
        <is>
          <t>observaciones</t>
        </is>
      </c>
      <c r="G1700" s="18" t="inlineStr">
        <is>
          <t>text</t>
        </is>
      </c>
      <c r="H1700" s="18" t="inlineStr">
        <is>
          <t>Sí</t>
        </is>
      </c>
      <c r="I1700" s="18" t="inlineStr"/>
      <c r="J1700" s="18" t="inlineStr"/>
      <c r="K1700" s="18" t="inlineStr"/>
      <c r="L1700" s="18" t="inlineStr">
        <is>
          <t>No</t>
        </is>
      </c>
      <c r="M1700" s="18" t="inlineStr">
        <is>
          <t>No</t>
        </is>
      </c>
      <c r="N1700" s="18" t="inlineStr"/>
      <c r="O1700" s="18" t="inlineStr"/>
      <c r="P1700" s="18" t="inlineStr">
        <is>
          <t>Mapeada en internal-institutional-control-service/src/esap/auditorias/entities/historial-auditoria.entity.ts:72 (HistorialAuditoria.observaciones) | Validación: IsOptional, IsString</t>
        </is>
      </c>
      <c r="Q1700" s="18" t="inlineStr">
        <is>
          <t>Regla estructural</t>
        </is>
      </c>
      <c r="R1700" s="18" t="inlineStr">
        <is>
          <t>Observaciones registradas sobre el registro.</t>
        </is>
      </c>
      <c r="S1700" s="18" t="inlineStr">
        <is>
          <t>Media</t>
        </is>
      </c>
      <c r="T1700" s="18" t="inlineStr">
        <is>
          <t>Convención de nombre de la columna.</t>
        </is>
      </c>
      <c r="U1700" s="18" t="inlineStr"/>
      <c r="V1700" s="19" t="inlineStr">
        <is>
          <t>Pendiente</t>
        </is>
      </c>
      <c r="W1700" s="19" t="inlineStr"/>
      <c r="X1700" s="19" t="inlineStr"/>
      <c r="Y1700" s="20" t="n"/>
      <c r="Z1700" s="19" t="inlineStr"/>
      <c r="AA1700" s="18">
        <f>IF(OR(V1700="Aprobada"),R1700,IF(AND(OR(V1700="Aprobada con ajuste",V1700="Rechazada"),W1700&lt;&gt;""),W1700,""))</f>
        <v/>
      </c>
    </row>
    <row r="1701">
      <c r="A1701" s="18" t="inlineStr">
        <is>
          <t>C1700</t>
        </is>
      </c>
      <c r="B1701" s="18" t="inlineStr">
        <is>
          <t>Control interno</t>
        </is>
      </c>
      <c r="C1701" s="18" t="inlineStr">
        <is>
          <t>control_interno</t>
        </is>
      </c>
      <c r="D1701" s="18" t="inlineStr">
        <is>
          <t>historial_auditoria</t>
        </is>
      </c>
      <c r="E1701" s="18" t="n">
        <v>480</v>
      </c>
      <c r="F1701" s="18" t="inlineStr">
        <is>
          <t>documento_adjunto</t>
        </is>
      </c>
      <c r="G1701" s="18" t="inlineStr">
        <is>
          <t>character varying(500)</t>
        </is>
      </c>
      <c r="H1701" s="18" t="inlineStr">
        <is>
          <t>Sí</t>
        </is>
      </c>
      <c r="I1701" s="18" t="inlineStr"/>
      <c r="J1701" s="18" t="inlineStr"/>
      <c r="K1701" s="18" t="inlineStr"/>
      <c r="L1701" s="18" t="inlineStr">
        <is>
          <t>No</t>
        </is>
      </c>
      <c r="M1701" s="18" t="inlineStr">
        <is>
          <t>No</t>
        </is>
      </c>
      <c r="N1701" s="18" t="inlineStr"/>
      <c r="O1701" s="18" t="inlineStr"/>
      <c r="P1701" s="18" t="inlineStr">
        <is>
          <t>Mapeada en internal-institutional-control-service/src/esap/auditorias/entities/historial-auditoria.entity.ts:75 (HistorialAuditoria.documentoAdjunto)</t>
        </is>
      </c>
      <c r="Q1701" s="18" t="inlineStr">
        <is>
          <t>Propuesta semántica</t>
        </is>
      </c>
      <c r="R1701" s="18" t="inlineStr">
        <is>
          <t>Ruta o nombre del documento adjunto al evento.</t>
        </is>
      </c>
      <c r="S1701" s="18" t="inlineStr">
        <is>
          <t>Media</t>
        </is>
      </c>
      <c r="T1701" s="18" t="inlineStr">
        <is>
          <t>nombre + tipo</t>
        </is>
      </c>
      <c r="U1701" s="18" t="inlineStr">
        <is>
          <t>¿documento_adjunto guarda una ruta, una URL o un identificador de documento?</t>
        </is>
      </c>
      <c r="V1701" s="19" t="inlineStr">
        <is>
          <t>Pendiente</t>
        </is>
      </c>
      <c r="W1701" s="19" t="inlineStr"/>
      <c r="X1701" s="19" t="inlineStr"/>
      <c r="Y1701" s="20" t="n"/>
      <c r="Z1701" s="19" t="inlineStr"/>
      <c r="AA1701" s="18">
        <f>IF(OR(V1701="Aprobada"),R1701,IF(AND(OR(V1701="Aprobada con ajuste",V1701="Rechazada"),W1701&lt;&gt;""),W1701,""))</f>
        <v/>
      </c>
    </row>
    <row r="1702">
      <c r="A1702" s="18" t="inlineStr">
        <is>
          <t>C1701</t>
        </is>
      </c>
      <c r="B1702" s="18" t="inlineStr">
        <is>
          <t>Control interno</t>
        </is>
      </c>
      <c r="C1702" s="18" t="inlineStr">
        <is>
          <t>control_interno</t>
        </is>
      </c>
      <c r="D1702" s="18" t="inlineStr">
        <is>
          <t>historial_auditoria</t>
        </is>
      </c>
      <c r="E1702" s="18" t="n">
        <v>480</v>
      </c>
      <c r="F1702" s="18" t="inlineStr">
        <is>
          <t>ip_address</t>
        </is>
      </c>
      <c r="G1702" s="18" t="inlineStr">
        <is>
          <t>character varying(45)</t>
        </is>
      </c>
      <c r="H1702" s="18" t="inlineStr">
        <is>
          <t>Sí</t>
        </is>
      </c>
      <c r="I1702" s="18" t="inlineStr"/>
      <c r="J1702" s="18" t="inlineStr"/>
      <c r="K1702" s="18" t="inlineStr"/>
      <c r="L1702" s="18" t="inlineStr">
        <is>
          <t>No</t>
        </is>
      </c>
      <c r="M1702" s="18" t="inlineStr">
        <is>
          <t>No</t>
        </is>
      </c>
      <c r="N1702" s="18" t="inlineStr"/>
      <c r="O1702" s="18" t="inlineStr"/>
      <c r="P1702" s="18" t="inlineStr">
        <is>
          <t>Mapeada en internal-institutional-control-service/src/esap/auditorias/entities/historial-auditoria.entity.ts:78 (HistorialAuditoria.ipAddress)</t>
        </is>
      </c>
      <c r="Q1702" s="18" t="inlineStr">
        <is>
          <t>Propuesta semántica</t>
        </is>
      </c>
      <c r="R1702" s="18" t="inlineStr">
        <is>
          <t>Dirección IP desde la que se originó el evento.</t>
        </is>
      </c>
      <c r="S1702" s="18" t="inlineStr">
        <is>
          <t>Alta</t>
        </is>
      </c>
      <c r="T1702" s="18" t="inlineStr">
        <is>
          <t>nombre + tipo + columnas vecinas (user_agent) ~</t>
        </is>
      </c>
      <c r="U1702" s="18" t="inlineStr"/>
      <c r="V1702" s="19" t="inlineStr">
        <is>
          <t>Pendiente</t>
        </is>
      </c>
      <c r="W1702" s="19" t="inlineStr"/>
      <c r="X1702" s="19" t="inlineStr"/>
      <c r="Y1702" s="20" t="n"/>
      <c r="Z1702" s="19" t="inlineStr"/>
      <c r="AA1702" s="18">
        <f>IF(OR(V1702="Aprobada"),R1702,IF(AND(OR(V1702="Aprobada con ajuste",V1702="Rechazada"),W1702&lt;&gt;""),W1702,""))</f>
        <v/>
      </c>
    </row>
    <row r="1703">
      <c r="A1703" s="18" t="inlineStr">
        <is>
          <t>C1702</t>
        </is>
      </c>
      <c r="B1703" s="18" t="inlineStr">
        <is>
          <t>Control interno</t>
        </is>
      </c>
      <c r="C1703" s="18" t="inlineStr">
        <is>
          <t>control_interno</t>
        </is>
      </c>
      <c r="D1703" s="18" t="inlineStr">
        <is>
          <t>historial_auditoria</t>
        </is>
      </c>
      <c r="E1703" s="18" t="n">
        <v>480</v>
      </c>
      <c r="F1703" s="18" t="inlineStr">
        <is>
          <t>user_agent</t>
        </is>
      </c>
      <c r="G1703" s="18" t="inlineStr">
        <is>
          <t>text</t>
        </is>
      </c>
      <c r="H1703" s="18" t="inlineStr">
        <is>
          <t>Sí</t>
        </is>
      </c>
      <c r="I1703" s="18" t="inlineStr"/>
      <c r="J1703" s="18" t="inlineStr"/>
      <c r="K1703" s="18" t="inlineStr"/>
      <c r="L1703" s="18" t="inlineStr">
        <is>
          <t>No</t>
        </is>
      </c>
      <c r="M1703" s="18" t="inlineStr">
        <is>
          <t>No</t>
        </is>
      </c>
      <c r="N1703" s="18" t="inlineStr"/>
      <c r="O1703" s="18" t="inlineStr"/>
      <c r="P1703" s="18" t="inlineStr">
        <is>
          <t>Mapeada en internal-institutional-control-service/src/esap/auditorias/entities/historial-auditoria.entity.ts:81 (HistorialAuditoria.userAgent)</t>
        </is>
      </c>
      <c r="Q1703" s="18" t="inlineStr">
        <is>
          <t>Regla estructural</t>
        </is>
      </c>
      <c r="R1703" s="18" t="inlineStr">
        <is>
          <t>Agente de usuario (navegador) registrado.</t>
        </is>
      </c>
      <c r="S1703" s="18" t="inlineStr">
        <is>
          <t>Media</t>
        </is>
      </c>
      <c r="T1703" s="18" t="inlineStr">
        <is>
          <t>Convención de nombre de la columna.</t>
        </is>
      </c>
      <c r="U1703" s="18" t="inlineStr"/>
      <c r="V1703" s="19" t="inlineStr">
        <is>
          <t>Pendiente</t>
        </is>
      </c>
      <c r="W1703" s="19" t="inlineStr"/>
      <c r="X1703" s="19" t="inlineStr"/>
      <c r="Y1703" s="20" t="n"/>
      <c r="Z1703" s="19" t="inlineStr"/>
      <c r="AA1703" s="18">
        <f>IF(OR(V1703="Aprobada"),R1703,IF(AND(OR(V1703="Aprobada con ajuste",V1703="Rechazada"),W1703&lt;&gt;""),W1703,""))</f>
        <v/>
      </c>
    </row>
    <row r="1704">
      <c r="A1704" s="18" t="inlineStr">
        <is>
          <t>C1703</t>
        </is>
      </c>
      <c r="B1704" s="18" t="inlineStr">
        <is>
          <t>Control interno</t>
        </is>
      </c>
      <c r="C1704" s="18" t="inlineStr">
        <is>
          <t>control_interno</t>
        </is>
      </c>
      <c r="D1704" s="18" t="inlineStr">
        <is>
          <t>historial_auditoria</t>
        </is>
      </c>
      <c r="E1704" s="18" t="n">
        <v>480</v>
      </c>
      <c r="F1704" s="18" t="inlineStr">
        <is>
          <t>estado_anterior</t>
        </is>
      </c>
      <c r="G1704" s="18" t="inlineStr">
        <is>
          <t>character varying(50)</t>
        </is>
      </c>
      <c r="H1704" s="18" t="inlineStr">
        <is>
          <t>Sí</t>
        </is>
      </c>
      <c r="I1704" s="18" t="inlineStr"/>
      <c r="J1704" s="18" t="inlineStr"/>
      <c r="K1704" s="18" t="inlineStr"/>
      <c r="L1704" s="18" t="inlineStr">
        <is>
          <t>No</t>
        </is>
      </c>
      <c r="M1704" s="18" t="inlineStr">
        <is>
          <t>Sí</t>
        </is>
      </c>
      <c r="N1704" s="18" t="inlineStr">
        <is>
          <t>Función control_interno.fn_registrar_cambio_estado_auditoria — control_interno.fn_registrar_cambio_estado_auditoria: -- Manejar NULL: si estado_anterior es NULL, mostrar "Planeación" (estado inicial por defecto)</t>
        </is>
      </c>
      <c r="O1704" s="18" t="inlineStr"/>
      <c r="P1704" s="18" t="inlineStr">
        <is>
          <t>Mapeada en internal-institutional-control-service/src/esap/auditorias/entities/historial-auditoria.entity.ts:94 (HistorialAuditoria.estadoAnterior)</t>
        </is>
      </c>
      <c r="Q1704" s="18" t="inlineStr">
        <is>
          <t>Propuesta semántica</t>
        </is>
      </c>
      <c r="R1704" s="18" t="inlineStr">
        <is>
          <t>Estado de la auditoría antes del cambio; si es nulo se muestra Planeación, el estado inicial.</t>
        </is>
      </c>
      <c r="S1704" s="18" t="inlineStr">
        <is>
          <t>Alta</t>
        </is>
      </c>
      <c r="T1704" s="18" t="inlineStr">
        <is>
          <t>uso en la función fn_registrar_cambio_estado_auditoria ~</t>
        </is>
      </c>
      <c r="U1704" s="18" t="inlineStr"/>
      <c r="V1704" s="19" t="inlineStr">
        <is>
          <t>Pendiente</t>
        </is>
      </c>
      <c r="W1704" s="19" t="inlineStr"/>
      <c r="X1704" s="19" t="inlineStr"/>
      <c r="Y1704" s="20" t="n"/>
      <c r="Z1704" s="19" t="inlineStr"/>
      <c r="AA1704" s="18">
        <f>IF(OR(V1704="Aprobada"),R1704,IF(AND(OR(V1704="Aprobada con ajuste",V1704="Rechazada"),W1704&lt;&gt;""),W1704,""))</f>
        <v/>
      </c>
    </row>
    <row r="1705">
      <c r="A1705" s="18" t="inlineStr">
        <is>
          <t>C1704</t>
        </is>
      </c>
      <c r="B1705" s="18" t="inlineStr">
        <is>
          <t>Control interno</t>
        </is>
      </c>
      <c r="C1705" s="18" t="inlineStr">
        <is>
          <t>control_interno</t>
        </is>
      </c>
      <c r="D1705" s="18" t="inlineStr">
        <is>
          <t>historial_auditoria</t>
        </is>
      </c>
      <c r="E1705" s="18" t="n">
        <v>480</v>
      </c>
      <c r="F1705" s="18" t="inlineStr">
        <is>
          <t>estado_nuevo</t>
        </is>
      </c>
      <c r="G1705" s="18" t="inlineStr">
        <is>
          <t>character varying(50)</t>
        </is>
      </c>
      <c r="H1705" s="18" t="inlineStr">
        <is>
          <t>Sí</t>
        </is>
      </c>
      <c r="I1705" s="18" t="inlineStr"/>
      <c r="J1705" s="18" t="inlineStr"/>
      <c r="K1705" s="18" t="inlineStr"/>
      <c r="L1705" s="18" t="inlineStr">
        <is>
          <t>No</t>
        </is>
      </c>
      <c r="M1705" s="18" t="inlineStr">
        <is>
          <t>Sí</t>
        </is>
      </c>
      <c r="N1705" s="18" t="inlineStr">
        <is>
          <t>Función control_interno.fn_registrar_cambio_estado_auditoria — control_interno.fn_registrar_cambio_estado_auditoria: estado_nuevo,</t>
        </is>
      </c>
      <c r="O1705" s="18" t="inlineStr"/>
      <c r="P1705" s="18" t="inlineStr">
        <is>
          <t>Mapeada en internal-institutional-control-service/src/esap/auditorias/entities/historial-auditoria.entity.ts:97 (HistorialAuditoria.estadoNuevo)</t>
        </is>
      </c>
      <c r="Q1705" s="18" t="inlineStr">
        <is>
          <t>Propuesta semántica</t>
        </is>
      </c>
      <c r="R1705" s="18" t="inlineStr">
        <is>
          <t>Estado de la auditoría después del cambio.</t>
        </is>
      </c>
      <c r="S1705" s="18" t="inlineStr">
        <is>
          <t>Alta</t>
        </is>
      </c>
      <c r="T1705" s="18" t="inlineStr">
        <is>
          <t>uso en la función fn_registrar_cambio_estado_auditoria ~</t>
        </is>
      </c>
      <c r="U1705" s="18" t="inlineStr"/>
      <c r="V1705" s="19" t="inlineStr">
        <is>
          <t>Pendiente</t>
        </is>
      </c>
      <c r="W1705" s="19" t="inlineStr"/>
      <c r="X1705" s="19" t="inlineStr"/>
      <c r="Y1705" s="20" t="n"/>
      <c r="Z1705" s="19" t="inlineStr"/>
      <c r="AA1705" s="18">
        <f>IF(OR(V1705="Aprobada"),R1705,IF(AND(OR(V1705="Aprobada con ajuste",V1705="Rechazada"),W1705&lt;&gt;""),W1705,""))</f>
        <v/>
      </c>
    </row>
    <row r="1706">
      <c r="A1706" s="18" t="inlineStr">
        <is>
          <t>C1705</t>
        </is>
      </c>
      <c r="B1706" s="18" t="inlineStr">
        <is>
          <t>Control interno</t>
        </is>
      </c>
      <c r="C1706" s="18" t="inlineStr">
        <is>
          <t>control_interno</t>
        </is>
      </c>
      <c r="D1706" s="18" t="inlineStr">
        <is>
          <t>historial_auditoria</t>
        </is>
      </c>
      <c r="E1706" s="18" t="n">
        <v>480</v>
      </c>
      <c r="F1706" s="18" t="inlineStr">
        <is>
          <t>usuario_id</t>
        </is>
      </c>
      <c r="G1706" s="18" t="inlineStr">
        <is>
          <t>uuid</t>
        </is>
      </c>
      <c r="H1706" s="18" t="inlineStr">
        <is>
          <t>Sí</t>
        </is>
      </c>
      <c r="I1706" s="18" t="inlineStr"/>
      <c r="J1706" s="18" t="inlineStr"/>
      <c r="K1706" s="18" t="inlineStr"/>
      <c r="L1706" s="18" t="inlineStr">
        <is>
          <t>No</t>
        </is>
      </c>
      <c r="M1706" s="18" t="inlineStr">
        <is>
          <t>Sí</t>
        </is>
      </c>
      <c r="N1706" s="18" t="inlineStr">
        <is>
          <t>Función control_interno.fn_registrar_cambio_estado_auditoria — control_interno.fn_registrar_cambio_estado_auditoria: usuario_id,</t>
        </is>
      </c>
      <c r="O1706" s="18" t="inlineStr"/>
      <c r="P1706" s="18" t="inlineStr">
        <is>
          <t>internal-institutional-control-service/src/esap/auditorias/entities/historial-auditoria.entity.ts:57: FK a auth.user.id_user (UUID) - puede ser null | db/migrations/old/036_add_auditorias_kanban_completo.sql:635: FK a auth.personas | db/migrations/old/072_setup_auditoria_complete.sql:661: ID del usuario que realizó la acción (FK a auth.personas.id_tercero) | db/init/005_control_interno_ddl_20260129_215540.sql:1936: ID del usuario que realizó la acción (FK a auth.personas.id_tercero) | Validación: IsNotEmpty, IsOptional, IsString, IsUUID</t>
        </is>
      </c>
      <c r="Q1706" s="18" t="inlineStr">
        <is>
          <t>Código fuente</t>
        </is>
      </c>
      <c r="R1706" s="18" t="inlineStr">
        <is>
          <t>Identificador del usuario que realizó la acción; puede ser nulo.</t>
        </is>
      </c>
      <c r="S1706" s="18" t="inlineStr">
        <is>
          <t>Media</t>
        </is>
      </c>
      <c r="T1706" s="18" t="inlineStr">
        <is>
          <t>código: internal-institutional-control-service/src/esap/auditorias/entities/historial-auditoria.entity.ts:57; db/migrations/old/072_setup_auditoria_complete.sql:661</t>
        </is>
      </c>
      <c r="U1706" s="18" t="inlineStr">
        <is>
          <t>¿El identificador corresponde a auth."user".id_user o a auth.personas? Los comentarios del código citan ambas tablas.</t>
        </is>
      </c>
      <c r="V1706" s="19" t="inlineStr">
        <is>
          <t>Pendiente</t>
        </is>
      </c>
      <c r="W1706" s="19" t="inlineStr"/>
      <c r="X1706" s="19" t="inlineStr"/>
      <c r="Y1706" s="20" t="n"/>
      <c r="Z1706" s="19" t="inlineStr"/>
      <c r="AA1706" s="18">
        <f>IF(OR(V1706="Aprobada"),R1706,IF(AND(OR(V1706="Aprobada con ajuste",V1706="Rechazada"),W1706&lt;&gt;""),W1706,""))</f>
        <v/>
      </c>
    </row>
    <row r="1707">
      <c r="A1707" s="18" t="inlineStr">
        <is>
          <t>C1706</t>
        </is>
      </c>
      <c r="B1707" s="18" t="inlineStr">
        <is>
          <t>Control interno</t>
        </is>
      </c>
      <c r="C1707" s="18" t="inlineStr">
        <is>
          <t>control_interno</t>
        </is>
      </c>
      <c r="D1707" s="18" t="inlineStr">
        <is>
          <t>historial_generacion_informe</t>
        </is>
      </c>
      <c r="E1707" s="18" t="n">
        <v>0</v>
      </c>
      <c r="F1707" s="18" t="inlineStr">
        <is>
          <t>accion</t>
        </is>
      </c>
      <c r="G1707" s="18" t="inlineStr">
        <is>
          <t>character varying(100)</t>
        </is>
      </c>
      <c r="H1707" s="18" t="inlineStr">
        <is>
          <t>No</t>
        </is>
      </c>
      <c r="I1707" s="18" t="inlineStr"/>
      <c r="J1707" s="18" t="inlineStr"/>
      <c r="K1707" s="18" t="inlineStr"/>
      <c r="L1707" s="18" t="inlineStr">
        <is>
          <t>No</t>
        </is>
      </c>
      <c r="M1707" s="18" t="inlineStr">
        <is>
          <t>No</t>
        </is>
      </c>
      <c r="N1707" s="18" t="inlineStr"/>
      <c r="O1707" s="18" t="inlineStr">
        <is>
          <t>idx_historial_accion</t>
        </is>
      </c>
      <c r="P1707" s="18" t="inlineStr">
        <is>
          <t>internal-institutional-control-service/src/esap/informes-ley/entities/historial-generacion-informe.entity.ts:27: 'generado', 'actualizado', 'enviado_aprobacion', 'aprobado', 'rechazado' | db/migrations/old/080_create_informes_ley_plantillas_workflow.sql:118: 'generado', 'actualizado', 'enviado_aprobacion', 'aprobado', 'rechazado'</t>
        </is>
      </c>
      <c r="Q1707" s="18" t="inlineStr">
        <is>
          <t>Código fuente</t>
        </is>
      </c>
      <c r="R1707" s="18" t="inlineStr">
        <is>
          <t>Acción registrada en el historial de generación y aprobación del informe. Valores esperados: generado, actualizado, enviado_aprobacion, aprobado, rechazado.</t>
        </is>
      </c>
      <c r="S1707" s="18" t="inlineStr">
        <is>
          <t>Alta</t>
        </is>
      </c>
      <c r="T1707" s="18" t="inlineStr">
        <is>
          <t>código: internal-institutional-control-service/src/esap/informes-ley/entities/historial-generacion-informe.entity.ts:27</t>
        </is>
      </c>
      <c r="U1707" s="18" t="inlineStr"/>
      <c r="V1707" s="19" t="inlineStr">
        <is>
          <t>Pendiente</t>
        </is>
      </c>
      <c r="W1707" s="19" t="inlineStr"/>
      <c r="X1707" s="19" t="inlineStr"/>
      <c r="Y1707" s="20" t="n"/>
      <c r="Z1707" s="19" t="inlineStr"/>
      <c r="AA1707" s="18">
        <f>IF(OR(V1707="Aprobada"),R1707,IF(AND(OR(V1707="Aprobada con ajuste",V1707="Rechazada"),W1707&lt;&gt;""),W1707,""))</f>
        <v/>
      </c>
    </row>
    <row r="1708">
      <c r="A1708" s="18" t="inlineStr">
        <is>
          <t>C1707</t>
        </is>
      </c>
      <c r="B1708" s="18" t="inlineStr">
        <is>
          <t>Control interno</t>
        </is>
      </c>
      <c r="C1708" s="18" t="inlineStr">
        <is>
          <t>control_interno</t>
        </is>
      </c>
      <c r="D1708" s="18" t="inlineStr">
        <is>
          <t>historial_generacion_informe</t>
        </is>
      </c>
      <c r="E1708" s="18" t="n">
        <v>0</v>
      </c>
      <c r="F1708" s="18" t="inlineStr">
        <is>
          <t>usuario_id</t>
        </is>
      </c>
      <c r="G1708" s="18" t="inlineStr">
        <is>
          <t>character varying(255)</t>
        </is>
      </c>
      <c r="H1708" s="18" t="inlineStr">
        <is>
          <t>Sí</t>
        </is>
      </c>
      <c r="I1708" s="18" t="inlineStr"/>
      <c r="J1708" s="18" t="inlineStr"/>
      <c r="K1708" s="18" t="inlineStr"/>
      <c r="L1708" s="18" t="inlineStr">
        <is>
          <t>No</t>
        </is>
      </c>
      <c r="M1708" s="18" t="inlineStr">
        <is>
          <t>No</t>
        </is>
      </c>
      <c r="N1708" s="18" t="inlineStr"/>
      <c r="O1708" s="18" t="inlineStr"/>
      <c r="P1708" s="18" t="inlineStr">
        <is>
          <t>Mapeada en internal-institutional-control-service/src/esap/informes-ley/entities/historial-generacion-informe.entity.ts:30 (HistorialGeneracionInforme.usuarioId) | Validación: IsNotEmpty, IsOptional, IsString, IsUUID</t>
        </is>
      </c>
      <c r="Q1708" s="18" t="inlineStr">
        <is>
          <t>Propuesta semántica</t>
        </is>
      </c>
      <c r="R1708" s="18" t="inlineStr">
        <is>
          <t>Identificador (UUID) del usuario que realizó la acción sobre el informe.</t>
        </is>
      </c>
      <c r="S1708" s="18" t="inlineStr">
        <is>
          <t>Media</t>
        </is>
      </c>
      <c r="T1708" s="18" t="inlineStr">
        <is>
          <t>nombre + tipo + validación IsUUID</t>
        </is>
      </c>
      <c r="U1708" s="18" t="inlineStr">
        <is>
          <t>¿El UUID corresponde a auth."user".id_user o a auth.personas?</t>
        </is>
      </c>
      <c r="V1708" s="19" t="inlineStr">
        <is>
          <t>Pendiente</t>
        </is>
      </c>
      <c r="W1708" s="19" t="inlineStr"/>
      <c r="X1708" s="19" t="inlineStr"/>
      <c r="Y1708" s="20" t="n"/>
      <c r="Z1708" s="19" t="inlineStr"/>
      <c r="AA1708" s="18">
        <f>IF(OR(V1708="Aprobada"),R1708,IF(AND(OR(V1708="Aprobada con ajuste",V1708="Rechazada"),W1708&lt;&gt;""),W1708,""))</f>
        <v/>
      </c>
    </row>
    <row r="1709">
      <c r="A1709" s="18" t="inlineStr">
        <is>
          <t>C1708</t>
        </is>
      </c>
      <c r="B1709" s="18" t="inlineStr">
        <is>
          <t>Control interno</t>
        </is>
      </c>
      <c r="C1709" s="18" t="inlineStr">
        <is>
          <t>control_interno</t>
        </is>
      </c>
      <c r="D1709" s="18" t="inlineStr">
        <is>
          <t>historial_generacion_informe</t>
        </is>
      </c>
      <c r="E1709" s="18" t="n">
        <v>0</v>
      </c>
      <c r="F1709" s="18" t="inlineStr">
        <is>
          <t>usuario_nombre</t>
        </is>
      </c>
      <c r="G1709" s="18" t="inlineStr">
        <is>
          <t>character varying(255)</t>
        </is>
      </c>
      <c r="H1709" s="18" t="inlineStr">
        <is>
          <t>Sí</t>
        </is>
      </c>
      <c r="I1709" s="18" t="inlineStr"/>
      <c r="J1709" s="18" t="inlineStr"/>
      <c r="K1709" s="18" t="inlineStr"/>
      <c r="L1709" s="18" t="inlineStr">
        <is>
          <t>No</t>
        </is>
      </c>
      <c r="M1709" s="18" t="inlineStr">
        <is>
          <t>No</t>
        </is>
      </c>
      <c r="N1709" s="18" t="inlineStr"/>
      <c r="O1709" s="18" t="inlineStr"/>
      <c r="P1709" s="18" t="inlineStr">
        <is>
          <t>Mapeada en internal-institutional-control-service/src/esap/informes-ley/entities/historial-generacion-informe.entity.ts:33 (HistorialGeneracionInforme.usuarioNombre) | Validación: IsOptional, IsString</t>
        </is>
      </c>
      <c r="Q1709" s="18" t="inlineStr">
        <is>
          <t>Propuesta semántica</t>
        </is>
      </c>
      <c r="R1709" s="18" t="inlineStr">
        <is>
          <t>Nombre del usuario que realizó la acción sobre el informe.</t>
        </is>
      </c>
      <c r="S1709" s="18" t="inlineStr">
        <is>
          <t>Alta</t>
        </is>
      </c>
      <c r="T1709" s="18" t="inlineStr">
        <is>
          <t>nombre + columnas vecinas (usuario_id) ~</t>
        </is>
      </c>
      <c r="U1709" s="18" t="inlineStr"/>
      <c r="V1709" s="19" t="inlineStr">
        <is>
          <t>Pendiente</t>
        </is>
      </c>
      <c r="W1709" s="19" t="inlineStr"/>
      <c r="X1709" s="19" t="inlineStr"/>
      <c r="Y1709" s="20" t="n"/>
      <c r="Z1709" s="19" t="inlineStr"/>
      <c r="AA1709" s="18">
        <f>IF(OR(V1709="Aprobada"),R1709,IF(AND(OR(V1709="Aprobada con ajuste",V1709="Rechazada"),W1709&lt;&gt;""),W1709,""))</f>
        <v/>
      </c>
    </row>
    <row r="1710">
      <c r="A1710" s="18" t="inlineStr">
        <is>
          <t>C1709</t>
        </is>
      </c>
      <c r="B1710" s="18" t="inlineStr">
        <is>
          <t>Control interno</t>
        </is>
      </c>
      <c r="C1710" s="18" t="inlineStr">
        <is>
          <t>control_interno</t>
        </is>
      </c>
      <c r="D1710" s="18" t="inlineStr">
        <is>
          <t>historial_generacion_informe</t>
        </is>
      </c>
      <c r="E1710" s="18" t="n">
        <v>0</v>
      </c>
      <c r="F1710" s="18" t="inlineStr">
        <is>
          <t>observaciones</t>
        </is>
      </c>
      <c r="G1710" s="18" t="inlineStr">
        <is>
          <t>text</t>
        </is>
      </c>
      <c r="H1710" s="18" t="inlineStr">
        <is>
          <t>Sí</t>
        </is>
      </c>
      <c r="I1710" s="18" t="inlineStr"/>
      <c r="J1710" s="18" t="inlineStr"/>
      <c r="K1710" s="18" t="inlineStr"/>
      <c r="L1710" s="18" t="inlineStr">
        <is>
          <t>No</t>
        </is>
      </c>
      <c r="M1710" s="18" t="inlineStr">
        <is>
          <t>No</t>
        </is>
      </c>
      <c r="N1710" s="18" t="inlineStr"/>
      <c r="O1710" s="18" t="inlineStr"/>
      <c r="P1710" s="18" t="inlineStr">
        <is>
          <t>Mapeada en internal-institutional-control-service/src/esap/informes-ley/entities/historial-generacion-informe.entity.ts:36 (HistorialGeneracionInforme.observaciones) | Validación: IsOptional, IsString</t>
        </is>
      </c>
      <c r="Q1710" s="18" t="inlineStr">
        <is>
          <t>Regla estructural</t>
        </is>
      </c>
      <c r="R1710" s="18" t="inlineStr">
        <is>
          <t>Observaciones registradas sobre el registro.</t>
        </is>
      </c>
      <c r="S1710" s="18" t="inlineStr">
        <is>
          <t>Media</t>
        </is>
      </c>
      <c r="T1710" s="18" t="inlineStr">
        <is>
          <t>Convención de nombre de la columna.</t>
        </is>
      </c>
      <c r="U1710" s="18" t="inlineStr"/>
      <c r="V1710" s="19" t="inlineStr">
        <is>
          <t>Pendiente</t>
        </is>
      </c>
      <c r="W1710" s="19" t="inlineStr"/>
      <c r="X1710" s="19" t="inlineStr"/>
      <c r="Y1710" s="20" t="n"/>
      <c r="Z1710" s="19" t="inlineStr"/>
      <c r="AA1710" s="18">
        <f>IF(OR(V1710="Aprobada"),R1710,IF(AND(OR(V1710="Aprobada con ajuste",V1710="Rechazada"),W1710&lt;&gt;""),W1710,""))</f>
        <v/>
      </c>
    </row>
    <row r="1711">
      <c r="A1711" s="18" t="inlineStr">
        <is>
          <t>C1710</t>
        </is>
      </c>
      <c r="B1711" s="18" t="inlineStr">
        <is>
          <t>Control interno</t>
        </is>
      </c>
      <c r="C1711" s="18" t="inlineStr">
        <is>
          <t>control_interno</t>
        </is>
      </c>
      <c r="D1711" s="18" t="inlineStr">
        <is>
          <t>historial_generacion_informe</t>
        </is>
      </c>
      <c r="E1711" s="18" t="n">
        <v>0</v>
      </c>
      <c r="F1711" s="18" t="inlineStr">
        <is>
          <t>datos_anteriores</t>
        </is>
      </c>
      <c r="G1711" s="18" t="inlineStr">
        <is>
          <t>jsonb</t>
        </is>
      </c>
      <c r="H1711" s="18" t="inlineStr">
        <is>
          <t>Sí</t>
        </is>
      </c>
      <c r="I1711" s="18" t="inlineStr"/>
      <c r="J1711" s="18" t="inlineStr"/>
      <c r="K1711" s="18" t="inlineStr"/>
      <c r="L1711" s="18" t="inlineStr">
        <is>
          <t>No</t>
        </is>
      </c>
      <c r="M1711" s="18" t="inlineStr">
        <is>
          <t>No</t>
        </is>
      </c>
      <c r="N1711" s="18" t="inlineStr"/>
      <c r="O1711" s="18" t="inlineStr"/>
      <c r="P1711" s="18" t="inlineStr">
        <is>
          <t>Mapeada en internal-institutional-control-service/src/esap/informes-ley/entities/historial-generacion-informe.entity.ts:39 (HistorialGeneracionInforme.datosAnteriores)</t>
        </is>
      </c>
      <c r="Q1711" s="18" t="inlineStr">
        <is>
          <t>Propuesta semántica</t>
        </is>
      </c>
      <c r="R1711" s="18" t="inlineStr">
        <is>
          <t>Datos del informe antes de la acción, en formato JSON.</t>
        </is>
      </c>
      <c r="S1711" s="18" t="inlineStr">
        <is>
          <t>Alta</t>
        </is>
      </c>
      <c r="T1711" s="18" t="inlineStr">
        <is>
          <t>nombre + tipo jsonb + columnas vecinas (datos_nuevos) ~</t>
        </is>
      </c>
      <c r="U1711" s="18" t="inlineStr"/>
      <c r="V1711" s="19" t="inlineStr">
        <is>
          <t>Pendiente</t>
        </is>
      </c>
      <c r="W1711" s="19" t="inlineStr"/>
      <c r="X1711" s="19" t="inlineStr"/>
      <c r="Y1711" s="20" t="n"/>
      <c r="Z1711" s="19" t="inlineStr"/>
      <c r="AA1711" s="18">
        <f>IF(OR(V1711="Aprobada"),R1711,IF(AND(OR(V1711="Aprobada con ajuste",V1711="Rechazada"),W1711&lt;&gt;""),W1711,""))</f>
        <v/>
      </c>
    </row>
    <row r="1712">
      <c r="A1712" s="18" t="inlineStr">
        <is>
          <t>C1711</t>
        </is>
      </c>
      <c r="B1712" s="18" t="inlineStr">
        <is>
          <t>Control interno</t>
        </is>
      </c>
      <c r="C1712" s="18" t="inlineStr">
        <is>
          <t>control_interno</t>
        </is>
      </c>
      <c r="D1712" s="18" t="inlineStr">
        <is>
          <t>historial_generacion_informe</t>
        </is>
      </c>
      <c r="E1712" s="18" t="n">
        <v>0</v>
      </c>
      <c r="F1712" s="18" t="inlineStr">
        <is>
          <t>datos_nuevos</t>
        </is>
      </c>
      <c r="G1712" s="18" t="inlineStr">
        <is>
          <t>jsonb</t>
        </is>
      </c>
      <c r="H1712" s="18" t="inlineStr">
        <is>
          <t>Sí</t>
        </is>
      </c>
      <c r="I1712" s="18" t="inlineStr"/>
      <c r="J1712" s="18" t="inlineStr"/>
      <c r="K1712" s="18" t="inlineStr"/>
      <c r="L1712" s="18" t="inlineStr">
        <is>
          <t>No</t>
        </is>
      </c>
      <c r="M1712" s="18" t="inlineStr">
        <is>
          <t>No</t>
        </is>
      </c>
      <c r="N1712" s="18" t="inlineStr"/>
      <c r="O1712" s="18" t="inlineStr"/>
      <c r="P1712" s="18" t="inlineStr">
        <is>
          <t>Mapeada en internal-institutional-control-service/src/esap/informes-ley/entities/historial-generacion-informe.entity.ts:42 (HistorialGeneracionInforme.datosNuevos)</t>
        </is>
      </c>
      <c r="Q1712" s="18" t="inlineStr">
        <is>
          <t>Propuesta semántica</t>
        </is>
      </c>
      <c r="R1712" s="18" t="inlineStr">
        <is>
          <t>Datos del informe después de la acción, en formato JSON.</t>
        </is>
      </c>
      <c r="S1712" s="18" t="inlineStr">
        <is>
          <t>Alta</t>
        </is>
      </c>
      <c r="T1712" s="18" t="inlineStr">
        <is>
          <t>nombre + tipo jsonb + columnas vecinas ~</t>
        </is>
      </c>
      <c r="U1712" s="18" t="inlineStr"/>
      <c r="V1712" s="19" t="inlineStr">
        <is>
          <t>Pendiente</t>
        </is>
      </c>
      <c r="W1712" s="19" t="inlineStr"/>
      <c r="X1712" s="19" t="inlineStr"/>
      <c r="Y1712" s="20" t="n"/>
      <c r="Z1712" s="19" t="inlineStr"/>
      <c r="AA1712" s="18">
        <f>IF(OR(V1712="Aprobada"),R1712,IF(AND(OR(V1712="Aprobada con ajuste",V1712="Rechazada"),W1712&lt;&gt;""),W1712,""))</f>
        <v/>
      </c>
    </row>
    <row r="1713">
      <c r="A1713" s="18" t="inlineStr">
        <is>
          <t>C1712</t>
        </is>
      </c>
      <c r="B1713" s="18" t="inlineStr">
        <is>
          <t>Control interno</t>
        </is>
      </c>
      <c r="C1713" s="18" t="inlineStr">
        <is>
          <t>control_interno</t>
        </is>
      </c>
      <c r="D1713" s="18" t="inlineStr">
        <is>
          <t>historial_generacion_informe</t>
        </is>
      </c>
      <c r="E1713" s="18" t="n">
        <v>0</v>
      </c>
      <c r="F1713" s="18" t="inlineStr">
        <is>
          <t>ip_origen</t>
        </is>
      </c>
      <c r="G1713" s="18" t="inlineStr">
        <is>
          <t>character varying(50)</t>
        </is>
      </c>
      <c r="H1713" s="18" t="inlineStr">
        <is>
          <t>Sí</t>
        </is>
      </c>
      <c r="I1713" s="18" t="inlineStr"/>
      <c r="J1713" s="18" t="inlineStr"/>
      <c r="K1713" s="18" t="inlineStr"/>
      <c r="L1713" s="18" t="inlineStr">
        <is>
          <t>No</t>
        </is>
      </c>
      <c r="M1713" s="18" t="inlineStr">
        <is>
          <t>No</t>
        </is>
      </c>
      <c r="N1713" s="18" t="inlineStr"/>
      <c r="O1713" s="18" t="inlineStr"/>
      <c r="P1713" s="18" t="inlineStr">
        <is>
          <t>Mapeada en internal-institutional-control-service/src/esap/informes-ley/entities/historial-generacion-informe.entity.ts:45 (HistorialGeneracionInforme.ipOrigen)</t>
        </is>
      </c>
      <c r="Q1713" s="18" t="inlineStr">
        <is>
          <t>Propuesta semántica</t>
        </is>
      </c>
      <c r="R1713" s="18" t="inlineStr">
        <is>
          <t>Dirección IP desde la que se realizó la acción.</t>
        </is>
      </c>
      <c r="S1713" s="18" t="inlineStr">
        <is>
          <t>Alta</t>
        </is>
      </c>
      <c r="T1713" s="18" t="inlineStr">
        <is>
          <t>nombre + tipo + columnas vecinas (user_agent) ~</t>
        </is>
      </c>
      <c r="U1713" s="18" t="inlineStr"/>
      <c r="V1713" s="19" t="inlineStr">
        <is>
          <t>Pendiente</t>
        </is>
      </c>
      <c r="W1713" s="19" t="inlineStr"/>
      <c r="X1713" s="19" t="inlineStr"/>
      <c r="Y1713" s="20" t="n"/>
      <c r="Z1713" s="19" t="inlineStr"/>
      <c r="AA1713" s="18">
        <f>IF(OR(V1713="Aprobada"),R1713,IF(AND(OR(V1713="Aprobada con ajuste",V1713="Rechazada"),W1713&lt;&gt;""),W1713,""))</f>
        <v/>
      </c>
    </row>
    <row r="1714">
      <c r="A1714" s="18" t="inlineStr">
        <is>
          <t>C1713</t>
        </is>
      </c>
      <c r="B1714" s="18" t="inlineStr">
        <is>
          <t>Control interno</t>
        </is>
      </c>
      <c r="C1714" s="18" t="inlineStr">
        <is>
          <t>control_interno</t>
        </is>
      </c>
      <c r="D1714" s="18" t="inlineStr">
        <is>
          <t>historial_generacion_informe</t>
        </is>
      </c>
      <c r="E1714" s="18" t="n">
        <v>0</v>
      </c>
      <c r="F1714" s="18" t="inlineStr">
        <is>
          <t>user_agent</t>
        </is>
      </c>
      <c r="G1714" s="18" t="inlineStr">
        <is>
          <t>text</t>
        </is>
      </c>
      <c r="H1714" s="18" t="inlineStr">
        <is>
          <t>Sí</t>
        </is>
      </c>
      <c r="I1714" s="18" t="inlineStr"/>
      <c r="J1714" s="18" t="inlineStr"/>
      <c r="K1714" s="18" t="inlineStr"/>
      <c r="L1714" s="18" t="inlineStr">
        <is>
          <t>No</t>
        </is>
      </c>
      <c r="M1714" s="18" t="inlineStr">
        <is>
          <t>No</t>
        </is>
      </c>
      <c r="N1714" s="18" t="inlineStr"/>
      <c r="O1714" s="18" t="inlineStr"/>
      <c r="P1714" s="18" t="inlineStr">
        <is>
          <t>Mapeada en internal-institutional-control-service/src/esap/informes-ley/entities/historial-generacion-informe.entity.ts:48 (HistorialGeneracionInforme.userAgent)</t>
        </is>
      </c>
      <c r="Q1714" s="18" t="inlineStr">
        <is>
          <t>Regla estructural</t>
        </is>
      </c>
      <c r="R1714" s="18" t="inlineStr">
        <is>
          <t>Agente de usuario (navegador) registrado.</t>
        </is>
      </c>
      <c r="S1714" s="18" t="inlineStr">
        <is>
          <t>Media</t>
        </is>
      </c>
      <c r="T1714" s="18" t="inlineStr">
        <is>
          <t>Convención de nombre de la columna.</t>
        </is>
      </c>
      <c r="U1714" s="18" t="inlineStr"/>
      <c r="V1714" s="19" t="inlineStr">
        <is>
          <t>Pendiente</t>
        </is>
      </c>
      <c r="W1714" s="19" t="inlineStr"/>
      <c r="X1714" s="19" t="inlineStr"/>
      <c r="Y1714" s="20" t="n"/>
      <c r="Z1714" s="19" t="inlineStr"/>
      <c r="AA1714" s="18">
        <f>IF(OR(V1714="Aprobada"),R1714,IF(AND(OR(V1714="Aprobada con ajuste",V1714="Rechazada"),W1714&lt;&gt;""),W1714,""))</f>
        <v/>
      </c>
    </row>
    <row r="1715">
      <c r="A1715" s="18" t="inlineStr">
        <is>
          <t>C1714</t>
        </is>
      </c>
      <c r="B1715" s="18" t="inlineStr">
        <is>
          <t>Control interno</t>
        </is>
      </c>
      <c r="C1715" s="18" t="inlineStr">
        <is>
          <t>control_interno</t>
        </is>
      </c>
      <c r="D1715" s="18" t="inlineStr">
        <is>
          <t>historial_plan_anual</t>
        </is>
      </c>
      <c r="E1715" s="18" t="n">
        <v>29731</v>
      </c>
      <c r="F1715" s="18" t="inlineStr">
        <is>
          <t>fecha</t>
        </is>
      </c>
      <c r="G1715" s="18" t="inlineStr">
        <is>
          <t>date</t>
        </is>
      </c>
      <c r="H1715" s="18" t="inlineStr">
        <is>
          <t>No</t>
        </is>
      </c>
      <c r="I1715" s="18" t="inlineStr"/>
      <c r="J1715" s="18" t="inlineStr"/>
      <c r="K1715" s="18" t="inlineStr"/>
      <c r="L1715" s="18" t="inlineStr">
        <is>
          <t>No</t>
        </is>
      </c>
      <c r="M1715" s="18" t="inlineStr">
        <is>
          <t>Sí</t>
        </is>
      </c>
      <c r="N1715" s="18" t="inlineStr">
        <is>
          <t>Función control_interno.fn_registrar_cambio_estado_plan_anual — control_interno.fn_registrar_cambio_estado_plan_anual: fecha,</t>
        </is>
      </c>
      <c r="O1715" s="18" t="inlineStr">
        <is>
          <t>idx_historial_plan_anual_fecha</t>
        </is>
      </c>
      <c r="P1715" s="18" t="inlineStr">
        <is>
          <t>Mapeada en internal-institutional-control-service/src/esap/plan-anual-5-roles/entities/historial-plan-anual.entity.ts:46 (HistorialPlanAnual.fecha) | Validación: IsDateString, IsString</t>
        </is>
      </c>
      <c r="Q1715" s="18" t="inlineStr">
        <is>
          <t>Propuesta semántica</t>
        </is>
      </c>
      <c r="R1715" s="18" t="inlineStr">
        <is>
          <t>Fecha del evento registrado en el historial del plan anual.</t>
        </is>
      </c>
      <c r="S1715" s="18" t="inlineStr">
        <is>
          <t>Alta</t>
        </is>
      </c>
      <c r="T1715" s="18" t="inlineStr">
        <is>
          <t>nombre + tipo + uso en la función fn_registrar_cambio_estado_plan_anual ~</t>
        </is>
      </c>
      <c r="U1715" s="18" t="inlineStr"/>
      <c r="V1715" s="19" t="inlineStr">
        <is>
          <t>Pendiente</t>
        </is>
      </c>
      <c r="W1715" s="19" t="inlineStr"/>
      <c r="X1715" s="19" t="inlineStr"/>
      <c r="Y1715" s="20" t="n"/>
      <c r="Z1715" s="19" t="inlineStr"/>
      <c r="AA1715" s="18">
        <f>IF(OR(V1715="Aprobada"),R1715,IF(AND(OR(V1715="Aprobada con ajuste",V1715="Rechazada"),W1715&lt;&gt;""),W1715,""))</f>
        <v/>
      </c>
    </row>
    <row r="1716">
      <c r="A1716" s="18" t="inlineStr">
        <is>
          <t>C1715</t>
        </is>
      </c>
      <c r="B1716" s="18" t="inlineStr">
        <is>
          <t>Control interno</t>
        </is>
      </c>
      <c r="C1716" s="18" t="inlineStr">
        <is>
          <t>control_interno</t>
        </is>
      </c>
      <c r="D1716" s="18" t="inlineStr">
        <is>
          <t>historial_plan_anual</t>
        </is>
      </c>
      <c r="E1716" s="18" t="n">
        <v>29731</v>
      </c>
      <c r="F1716" s="18" t="inlineStr">
        <is>
          <t>hora</t>
        </is>
      </c>
      <c r="G1716" s="18" t="inlineStr">
        <is>
          <t>time without time zone</t>
        </is>
      </c>
      <c r="H1716" s="18" t="inlineStr">
        <is>
          <t>No</t>
        </is>
      </c>
      <c r="I1716" s="18" t="inlineStr"/>
      <c r="J1716" s="18" t="inlineStr"/>
      <c r="K1716" s="18" t="inlineStr"/>
      <c r="L1716" s="18" t="inlineStr">
        <is>
          <t>No</t>
        </is>
      </c>
      <c r="M1716" s="18" t="inlineStr">
        <is>
          <t>Sí</t>
        </is>
      </c>
      <c r="N1716" s="18" t="inlineStr">
        <is>
          <t>Función control_interno.fn_registrar_cambio_estado_plan_anual — control_interno.fn_registrar_cambio_estado_plan_anual: hora,</t>
        </is>
      </c>
      <c r="O1716" s="18" t="inlineStr">
        <is>
          <t>idx_historial_plan_anual_fecha</t>
        </is>
      </c>
      <c r="P1716" s="18" t="inlineStr">
        <is>
          <t>Mapeada en internal-institutional-control-service/src/esap/plan-anual-5-roles/entities/historial-plan-anual.entity.ts:49 (HistorialPlanAnual.hora) | Validación: IsString</t>
        </is>
      </c>
      <c r="Q1716" s="18" t="inlineStr">
        <is>
          <t>Propuesta semántica</t>
        </is>
      </c>
      <c r="R1716" s="18" t="inlineStr">
        <is>
          <t>Hora del evento registrado en el historial del plan anual.</t>
        </is>
      </c>
      <c r="S1716" s="18" t="inlineStr">
        <is>
          <t>Alta</t>
        </is>
      </c>
      <c r="T1716" s="18" t="inlineStr">
        <is>
          <t>nombre + tipo + uso en la función fn_registrar_cambio_estado_plan_anual ~</t>
        </is>
      </c>
      <c r="U1716" s="18" t="inlineStr"/>
      <c r="V1716" s="19" t="inlineStr">
        <is>
          <t>Pendiente</t>
        </is>
      </c>
      <c r="W1716" s="19" t="inlineStr"/>
      <c r="X1716" s="19" t="inlineStr"/>
      <c r="Y1716" s="20" t="n"/>
      <c r="Z1716" s="19" t="inlineStr"/>
      <c r="AA1716" s="18">
        <f>IF(OR(V1716="Aprobada"),R1716,IF(AND(OR(V1716="Aprobada con ajuste",V1716="Rechazada"),W1716&lt;&gt;""),W1716,""))</f>
        <v/>
      </c>
    </row>
    <row r="1717">
      <c r="A1717" s="18" t="inlineStr">
        <is>
          <t>C1716</t>
        </is>
      </c>
      <c r="B1717" s="18" t="inlineStr">
        <is>
          <t>Control interno</t>
        </is>
      </c>
      <c r="C1717" s="18" t="inlineStr">
        <is>
          <t>control_interno</t>
        </is>
      </c>
      <c r="D1717" s="18" t="inlineStr">
        <is>
          <t>historial_plan_anual</t>
        </is>
      </c>
      <c r="E1717" s="18" t="n">
        <v>29731</v>
      </c>
      <c r="F1717" s="18" t="inlineStr">
        <is>
          <t>accion</t>
        </is>
      </c>
      <c r="G1717" s="18" t="inlineStr">
        <is>
          <t>character varying(255)</t>
        </is>
      </c>
      <c r="H1717" s="18" t="inlineStr">
        <is>
          <t>No</t>
        </is>
      </c>
      <c r="I1717" s="18" t="inlineStr"/>
      <c r="J1717" s="18" t="inlineStr"/>
      <c r="K1717" s="18" t="inlineStr"/>
      <c r="L1717" s="18" t="inlineStr">
        <is>
          <t>No</t>
        </is>
      </c>
      <c r="M1717" s="18" t="inlineStr">
        <is>
          <t>Sí</t>
        </is>
      </c>
      <c r="N1717" s="18" t="inlineStr">
        <is>
          <t>Función control_interno.fn_registrar_cambio_estado_plan_anual — control_interno.fn_registrar_cambio_estado_plan_anual: accion,</t>
        </is>
      </c>
      <c r="O1717" s="18" t="inlineStr"/>
      <c r="P1717" s="18" t="inlineStr">
        <is>
          <t>Mapeada en internal-institutional-control-service/src/esap/plan-anual-5-roles/entities/historial-plan-anual.entity.ts:55 (HistorialPlanAnual.accion)</t>
        </is>
      </c>
      <c r="Q1717" s="18" t="inlineStr">
        <is>
          <t>Propuesta semántica</t>
        </is>
      </c>
      <c r="R1717" s="18" t="inlineStr">
        <is>
          <t>Acción registrada en el historial del Plan Anual 5 Roles; la función fn_registrar_cambio_estado_plan_anual la registra en los cambios de estado.</t>
        </is>
      </c>
      <c r="S1717" s="18" t="inlineStr">
        <is>
          <t>Media</t>
        </is>
      </c>
      <c r="T1717" s="18" t="inlineStr">
        <is>
          <t>uso en la función control_interno.fn_registrar_cambio_estado_plan_anual</t>
        </is>
      </c>
      <c r="U1717" s="18" t="inlineStr">
        <is>
          <t>¿Qué valores toma la acción: texto libre o una lista cerrada?</t>
        </is>
      </c>
      <c r="V1717" s="19" t="inlineStr">
        <is>
          <t>Pendiente</t>
        </is>
      </c>
      <c r="W1717" s="19" t="inlineStr"/>
      <c r="X1717" s="19" t="inlineStr"/>
      <c r="Y1717" s="20" t="n"/>
      <c r="Z1717" s="19" t="inlineStr"/>
      <c r="AA1717" s="18">
        <f>IF(OR(V1717="Aprobada"),R1717,IF(AND(OR(V1717="Aprobada con ajuste",V1717="Rechazada"),W1717&lt;&gt;""),W1717,""))</f>
        <v/>
      </c>
    </row>
    <row r="1718">
      <c r="A1718" s="18" t="inlineStr">
        <is>
          <t>C1717</t>
        </is>
      </c>
      <c r="B1718" s="18" t="inlineStr">
        <is>
          <t>Control interno</t>
        </is>
      </c>
      <c r="C1718" s="18" t="inlineStr">
        <is>
          <t>control_interno</t>
        </is>
      </c>
      <c r="D1718" s="18" t="inlineStr">
        <is>
          <t>historial_plan_anual</t>
        </is>
      </c>
      <c r="E1718" s="18" t="n">
        <v>29731</v>
      </c>
      <c r="F1718" s="18" t="inlineStr">
        <is>
          <t>descripcion</t>
        </is>
      </c>
      <c r="G1718" s="18" t="inlineStr">
        <is>
          <t>text</t>
        </is>
      </c>
      <c r="H1718" s="18" t="inlineStr">
        <is>
          <t>Sí</t>
        </is>
      </c>
      <c r="I1718" s="18" t="inlineStr"/>
      <c r="J1718" s="18" t="inlineStr"/>
      <c r="K1718" s="18" t="inlineStr"/>
      <c r="L1718" s="18" t="inlineStr">
        <is>
          <t>No</t>
        </is>
      </c>
      <c r="M1718" s="18" t="inlineStr">
        <is>
          <t>Sí</t>
        </is>
      </c>
      <c r="N1718" s="18" t="inlineStr">
        <is>
          <t>Función control_interno.fn_registrar_cambio_estado_plan_anual — control_interno.fn_registrar_cambio_estado_plan_anual: descripcion,</t>
        </is>
      </c>
      <c r="O1718" s="18" t="inlineStr"/>
      <c r="P1718" s="18" t="inlineStr">
        <is>
          <t>Mapeada en internal-institutional-control-service/src/esap/plan-anual-5-roles/entities/historial-plan-anual.entity.ts:58 (HistorialPlanAnual.descripcion) | Validación: IsNotEmpty, IsOptional, IsString</t>
        </is>
      </c>
      <c r="Q1718" s="18" t="inlineStr">
        <is>
          <t>Regla estructural</t>
        </is>
      </c>
      <c r="R1718" s="18" t="inlineStr">
        <is>
          <t>Descripción del registro de historial_plan_anual.</t>
        </is>
      </c>
      <c r="S1718" s="18" t="inlineStr">
        <is>
          <t>Media</t>
        </is>
      </c>
      <c r="T1718" s="18" t="inlineStr">
        <is>
          <t>Convención de nombre de la columna.</t>
        </is>
      </c>
      <c r="U1718" s="18" t="inlineStr"/>
      <c r="V1718" s="19" t="inlineStr">
        <is>
          <t>Pendiente</t>
        </is>
      </c>
      <c r="W1718" s="19" t="inlineStr"/>
      <c r="X1718" s="19" t="inlineStr"/>
      <c r="Y1718" s="20" t="n"/>
      <c r="Z1718" s="19" t="inlineStr"/>
      <c r="AA1718" s="18">
        <f>IF(OR(V1718="Aprobada"),R1718,IF(AND(OR(V1718="Aprobada con ajuste",V1718="Rechazada"),W1718&lt;&gt;""),W1718,""))</f>
        <v/>
      </c>
    </row>
    <row r="1719">
      <c r="A1719" s="18" t="inlineStr">
        <is>
          <t>C1718</t>
        </is>
      </c>
      <c r="B1719" s="18" t="inlineStr">
        <is>
          <t>Control interno</t>
        </is>
      </c>
      <c r="C1719" s="18" t="inlineStr">
        <is>
          <t>control_interno</t>
        </is>
      </c>
      <c r="D1719" s="18" t="inlineStr">
        <is>
          <t>historial_plan_anual</t>
        </is>
      </c>
      <c r="E1719" s="18" t="n">
        <v>29731</v>
      </c>
      <c r="F1719" s="18" t="inlineStr">
        <is>
          <t>observaciones</t>
        </is>
      </c>
      <c r="G1719" s="18" t="inlineStr">
        <is>
          <t>text</t>
        </is>
      </c>
      <c r="H1719" s="18" t="inlineStr">
        <is>
          <t>Sí</t>
        </is>
      </c>
      <c r="I1719" s="18" t="inlineStr"/>
      <c r="J1719" s="18" t="inlineStr"/>
      <c r="K1719" s="18" t="inlineStr"/>
      <c r="L1719" s="18" t="inlineStr">
        <is>
          <t>No</t>
        </is>
      </c>
      <c r="M1719" s="18" t="inlineStr">
        <is>
          <t>No</t>
        </is>
      </c>
      <c r="N1719" s="18" t="inlineStr"/>
      <c r="O1719" s="18" t="inlineStr"/>
      <c r="P1719" s="18" t="inlineStr">
        <is>
          <t>Mapeada en internal-institutional-control-service/src/esap/plan-anual-5-roles/entities/historial-plan-anual.entity.ts:61 (HistorialPlanAnual.observaciones) | Validación: IsOptional, IsString</t>
        </is>
      </c>
      <c r="Q1719" s="18" t="inlineStr">
        <is>
          <t>Regla estructural</t>
        </is>
      </c>
      <c r="R1719" s="18" t="inlineStr">
        <is>
          <t>Observaciones registradas sobre el registro.</t>
        </is>
      </c>
      <c r="S1719" s="18" t="inlineStr">
        <is>
          <t>Media</t>
        </is>
      </c>
      <c r="T1719" s="18" t="inlineStr">
        <is>
          <t>Convención de nombre de la columna.</t>
        </is>
      </c>
      <c r="U1719" s="18" t="inlineStr"/>
      <c r="V1719" s="19" t="inlineStr">
        <is>
          <t>Pendiente</t>
        </is>
      </c>
      <c r="W1719" s="19" t="inlineStr"/>
      <c r="X1719" s="19" t="inlineStr"/>
      <c r="Y1719" s="20" t="n"/>
      <c r="Z1719" s="19" t="inlineStr"/>
      <c r="AA1719" s="18">
        <f>IF(OR(V1719="Aprobada"),R1719,IF(AND(OR(V1719="Aprobada con ajuste",V1719="Rechazada"),W1719&lt;&gt;""),W1719,""))</f>
        <v/>
      </c>
    </row>
    <row r="1720">
      <c r="A1720" s="18" t="inlineStr">
        <is>
          <t>C1719</t>
        </is>
      </c>
      <c r="B1720" s="18" t="inlineStr">
        <is>
          <t>Control interno</t>
        </is>
      </c>
      <c r="C1720" s="18" t="inlineStr">
        <is>
          <t>control_interno</t>
        </is>
      </c>
      <c r="D1720" s="18" t="inlineStr">
        <is>
          <t>historial_plan_anual</t>
        </is>
      </c>
      <c r="E1720" s="18" t="n">
        <v>29731</v>
      </c>
      <c r="F1720" s="18" t="inlineStr">
        <is>
          <t>estado_anterior</t>
        </is>
      </c>
      <c r="G1720" s="18" t="inlineStr">
        <is>
          <t>character varying(50)</t>
        </is>
      </c>
      <c r="H1720" s="18" t="inlineStr">
        <is>
          <t>Sí</t>
        </is>
      </c>
      <c r="I1720" s="18" t="inlineStr"/>
      <c r="J1720" s="18" t="inlineStr"/>
      <c r="K1720" s="18" t="inlineStr"/>
      <c r="L1720" s="18" t="inlineStr">
        <is>
          <t>No</t>
        </is>
      </c>
      <c r="M1720" s="18" t="inlineStr">
        <is>
          <t>Sí</t>
        </is>
      </c>
      <c r="N1720" s="18" t="inlineStr">
        <is>
          <t>Función control_interno.fn_registrar_cambio_estado_plan_anual — control_interno.fn_registrar_cambio_estado_plan_anual: estado_anterior,</t>
        </is>
      </c>
      <c r="O1720" s="18" t="inlineStr"/>
      <c r="P1720" s="18" t="inlineStr">
        <is>
          <t>Mapeada en internal-institutional-control-service/src/esap/plan-anual-5-roles/entities/historial-plan-anual.entity.ts:80 (HistorialPlanAnual.estadoAnterior)</t>
        </is>
      </c>
      <c r="Q1720" s="18" t="inlineStr">
        <is>
          <t>Propuesta semántica</t>
        </is>
      </c>
      <c r="R1720" s="18" t="inlineStr">
        <is>
          <t>Estado del plan anual antes del cambio.</t>
        </is>
      </c>
      <c r="S1720" s="18" t="inlineStr">
        <is>
          <t>Alta</t>
        </is>
      </c>
      <c r="T1720" s="18" t="inlineStr">
        <is>
          <t>uso en la función fn_registrar_cambio_estado_plan_anual ~</t>
        </is>
      </c>
      <c r="U1720" s="18" t="inlineStr"/>
      <c r="V1720" s="19" t="inlineStr">
        <is>
          <t>Pendiente</t>
        </is>
      </c>
      <c r="W1720" s="19" t="inlineStr"/>
      <c r="X1720" s="19" t="inlineStr"/>
      <c r="Y1720" s="20" t="n"/>
      <c r="Z1720" s="19" t="inlineStr"/>
      <c r="AA1720" s="18">
        <f>IF(OR(V1720="Aprobada"),R1720,IF(AND(OR(V1720="Aprobada con ajuste",V1720="Rechazada"),W1720&lt;&gt;""),W1720,""))</f>
        <v/>
      </c>
    </row>
    <row r="1721">
      <c r="A1721" s="18" t="inlineStr">
        <is>
          <t>C1720</t>
        </is>
      </c>
      <c r="B1721" s="18" t="inlineStr">
        <is>
          <t>Control interno</t>
        </is>
      </c>
      <c r="C1721" s="18" t="inlineStr">
        <is>
          <t>control_interno</t>
        </is>
      </c>
      <c r="D1721" s="18" t="inlineStr">
        <is>
          <t>historial_plan_anual</t>
        </is>
      </c>
      <c r="E1721" s="18" t="n">
        <v>29731</v>
      </c>
      <c r="F1721" s="18" t="inlineStr">
        <is>
          <t>estado_nuevo</t>
        </is>
      </c>
      <c r="G1721" s="18" t="inlineStr">
        <is>
          <t>character varying(50)</t>
        </is>
      </c>
      <c r="H1721" s="18" t="inlineStr">
        <is>
          <t>Sí</t>
        </is>
      </c>
      <c r="I1721" s="18" t="inlineStr"/>
      <c r="J1721" s="18" t="inlineStr"/>
      <c r="K1721" s="18" t="inlineStr"/>
      <c r="L1721" s="18" t="inlineStr">
        <is>
          <t>No</t>
        </is>
      </c>
      <c r="M1721" s="18" t="inlineStr">
        <is>
          <t>Sí</t>
        </is>
      </c>
      <c r="N1721" s="18" t="inlineStr">
        <is>
          <t>Función control_interno.fn_registrar_cambio_estado_plan_anual — control_interno.fn_registrar_cambio_estado_plan_anual: estado_nuevo,</t>
        </is>
      </c>
      <c r="O1721" s="18" t="inlineStr"/>
      <c r="P1721" s="18" t="inlineStr">
        <is>
          <t>Mapeada en internal-institutional-control-service/src/esap/plan-anual-5-roles/entities/historial-plan-anual.entity.ts:83 (HistorialPlanAnual.estadoNuevo)</t>
        </is>
      </c>
      <c r="Q1721" s="18" t="inlineStr">
        <is>
          <t>Propuesta semántica</t>
        </is>
      </c>
      <c r="R1721" s="18" t="inlineStr">
        <is>
          <t>Estado del plan anual después del cambio.</t>
        </is>
      </c>
      <c r="S1721" s="18" t="inlineStr">
        <is>
          <t>Alta</t>
        </is>
      </c>
      <c r="T1721" s="18" t="inlineStr">
        <is>
          <t>uso en la función fn_registrar_cambio_estado_plan_anual ~</t>
        </is>
      </c>
      <c r="U1721" s="18" t="inlineStr"/>
      <c r="V1721" s="19" t="inlineStr">
        <is>
          <t>Pendiente</t>
        </is>
      </c>
      <c r="W1721" s="19" t="inlineStr"/>
      <c r="X1721" s="19" t="inlineStr"/>
      <c r="Y1721" s="20" t="n"/>
      <c r="Z1721" s="19" t="inlineStr"/>
      <c r="AA1721" s="18">
        <f>IF(OR(V1721="Aprobada"),R1721,IF(AND(OR(V1721="Aprobada con ajuste",V1721="Rechazada"),W1721&lt;&gt;""),W1721,""))</f>
        <v/>
      </c>
    </row>
    <row r="1722">
      <c r="A1722" s="18" t="inlineStr">
        <is>
          <t>C1721</t>
        </is>
      </c>
      <c r="B1722" s="18" t="inlineStr">
        <is>
          <t>Control interno</t>
        </is>
      </c>
      <c r="C1722" s="18" t="inlineStr">
        <is>
          <t>control_interno</t>
        </is>
      </c>
      <c r="D1722" s="18" t="inlineStr">
        <is>
          <t>informe_ley</t>
        </is>
      </c>
      <c r="E1722" s="18" t="n">
        <v>16</v>
      </c>
      <c r="F1722" s="18" t="inlineStr">
        <is>
          <t>codigo</t>
        </is>
      </c>
      <c r="G1722" s="18" t="inlineStr">
        <is>
          <t>character varying(255)</t>
        </is>
      </c>
      <c r="H1722" s="18" t="inlineStr">
        <is>
          <t>No</t>
        </is>
      </c>
      <c r="I1722" s="18" t="inlineStr">
        <is>
          <t>Única</t>
        </is>
      </c>
      <c r="J1722" s="18" t="inlineStr"/>
      <c r="K1722" s="18" t="inlineStr"/>
      <c r="L1722" s="18" t="inlineStr">
        <is>
          <t>No</t>
        </is>
      </c>
      <c r="M1722" s="18" t="inlineStr">
        <is>
          <t>No</t>
        </is>
      </c>
      <c r="N1722" s="18" t="inlineStr"/>
      <c r="O1722" s="18" t="inlineStr">
        <is>
          <t>idx_informe_ley_codigo, informe_ley_codigo_key</t>
        </is>
      </c>
      <c r="P1722" s="18" t="inlineStr">
        <is>
          <t>internal-institutional-control-service/src/esap/informes-ley/entities/informe-ley.entity.ts:21: INF-CHIP, INF-SECOP, etc. | Validación: IsNotEmpty, IsOptional, IsString, Length(1, 50), MaxLength(80)</t>
        </is>
      </c>
      <c r="Q1722" s="18" t="inlineStr">
        <is>
          <t>Código fuente</t>
        </is>
      </c>
      <c r="R1722" s="18" t="inlineStr">
        <is>
          <t>Código único del informe de ley, por ejemplo INF-CHIP o INF-SECOP.</t>
        </is>
      </c>
      <c r="S1722" s="18" t="inlineStr">
        <is>
          <t>Alta</t>
        </is>
      </c>
      <c r="T1722" s="18" t="inlineStr">
        <is>
          <t>código: internal-institutional-control-service/src/esap/informes-ley/entities/informe-ley.entity.ts:21</t>
        </is>
      </c>
      <c r="U1722" s="18" t="inlineStr"/>
      <c r="V1722" s="19" t="inlineStr">
        <is>
          <t>Pendiente</t>
        </is>
      </c>
      <c r="W1722" s="19" t="inlineStr"/>
      <c r="X1722" s="19" t="inlineStr"/>
      <c r="Y1722" s="20" t="n"/>
      <c r="Z1722" s="19" t="inlineStr"/>
      <c r="AA1722" s="18">
        <f>IF(OR(V1722="Aprobada"),R1722,IF(AND(OR(V1722="Aprobada con ajuste",V1722="Rechazada"),W1722&lt;&gt;""),W1722,""))</f>
        <v/>
      </c>
    </row>
    <row r="1723">
      <c r="A1723" s="18" t="inlineStr">
        <is>
          <t>C1722</t>
        </is>
      </c>
      <c r="B1723" s="18" t="inlineStr">
        <is>
          <t>Control interno</t>
        </is>
      </c>
      <c r="C1723" s="18" t="inlineStr">
        <is>
          <t>control_interno</t>
        </is>
      </c>
      <c r="D1723" s="18" t="inlineStr">
        <is>
          <t>informe_ley</t>
        </is>
      </c>
      <c r="E1723" s="18" t="n">
        <v>16</v>
      </c>
      <c r="F1723" s="18" t="inlineStr">
        <is>
          <t>nombre</t>
        </is>
      </c>
      <c r="G1723" s="18" t="inlineStr">
        <is>
          <t>character varying(255)</t>
        </is>
      </c>
      <c r="H1723" s="18" t="inlineStr">
        <is>
          <t>No</t>
        </is>
      </c>
      <c r="I1723" s="18" t="inlineStr"/>
      <c r="J1723" s="18" t="inlineStr"/>
      <c r="K1723" s="18" t="inlineStr"/>
      <c r="L1723" s="18" t="inlineStr">
        <is>
          <t>No</t>
        </is>
      </c>
      <c r="M1723" s="18" t="inlineStr">
        <is>
          <t>No</t>
        </is>
      </c>
      <c r="N1723" s="18" t="inlineStr"/>
      <c r="O1723" s="18" t="inlineStr"/>
      <c r="P1723" s="18" t="inlineStr">
        <is>
          <t>Mapeada en internal-institutional-control-service/src/esap/informes-ley/entities/informe-ley.entity.ts:27 (InformeLey.nombre) | Validación: IsNotEmpty, IsNotEmpty({ message: 'El nombre del documento es obligatorio' }), IsOptional, IsString, Length(1, 500), MaxLength(120)</t>
        </is>
      </c>
      <c r="Q1723" s="18" t="inlineStr">
        <is>
          <t>Regla estructural</t>
        </is>
      </c>
      <c r="R1723" s="18" t="inlineStr">
        <is>
          <t>Nombre del registro de informe_ley.</t>
        </is>
      </c>
      <c r="S1723" s="18" t="inlineStr">
        <is>
          <t>Media</t>
        </is>
      </c>
      <c r="T1723" s="18" t="inlineStr">
        <is>
          <t>Convención de nombre de la columna.</t>
        </is>
      </c>
      <c r="U1723" s="18" t="inlineStr"/>
      <c r="V1723" s="19" t="inlineStr">
        <is>
          <t>Pendiente</t>
        </is>
      </c>
      <c r="W1723" s="19" t="inlineStr"/>
      <c r="X1723" s="19" t="inlineStr"/>
      <c r="Y1723" s="20" t="n"/>
      <c r="Z1723" s="19" t="inlineStr"/>
      <c r="AA1723" s="18">
        <f>IF(OR(V1723="Aprobada"),R1723,IF(AND(OR(V1723="Aprobada con ajuste",V1723="Rechazada"),W1723&lt;&gt;""),W1723,""))</f>
        <v/>
      </c>
    </row>
    <row r="1724">
      <c r="A1724" s="18" t="inlineStr">
        <is>
          <t>C1723</t>
        </is>
      </c>
      <c r="B1724" s="18" t="inlineStr">
        <is>
          <t>Control interno</t>
        </is>
      </c>
      <c r="C1724" s="18" t="inlineStr">
        <is>
          <t>control_interno</t>
        </is>
      </c>
      <c r="D1724" s="18" t="inlineStr">
        <is>
          <t>informe_ley</t>
        </is>
      </c>
      <c r="E1724" s="18" t="n">
        <v>16</v>
      </c>
      <c r="F1724" s="18" t="inlineStr">
        <is>
          <t>descripcion</t>
        </is>
      </c>
      <c r="G1724" s="18" t="inlineStr">
        <is>
          <t>text</t>
        </is>
      </c>
      <c r="H1724" s="18" t="inlineStr">
        <is>
          <t>No</t>
        </is>
      </c>
      <c r="I1724" s="18" t="inlineStr"/>
      <c r="J1724" s="18" t="inlineStr"/>
      <c r="K1724" s="18" t="inlineStr"/>
      <c r="L1724" s="18" t="inlineStr">
        <is>
          <t>No</t>
        </is>
      </c>
      <c r="M1724" s="18" t="inlineStr">
        <is>
          <t>No</t>
        </is>
      </c>
      <c r="N1724" s="18" t="inlineStr"/>
      <c r="O1724" s="18" t="inlineStr"/>
      <c r="P1724" s="18" t="inlineStr">
        <is>
          <t>Mapeada en internal-institutional-control-service/src/esap/informes-ley/entities/informe-ley.entity.ts:30 (InformeLey.descripcion) | Validación: IsNotEmpty, IsOptional, IsString</t>
        </is>
      </c>
      <c r="Q1724" s="18" t="inlineStr">
        <is>
          <t>Regla estructural</t>
        </is>
      </c>
      <c r="R1724" s="18" t="inlineStr">
        <is>
          <t>Descripción del registro de informe_ley.</t>
        </is>
      </c>
      <c r="S1724" s="18" t="inlineStr">
        <is>
          <t>Media</t>
        </is>
      </c>
      <c r="T1724" s="18" t="inlineStr">
        <is>
          <t>Convención de nombre de la columna.</t>
        </is>
      </c>
      <c r="U1724" s="18" t="inlineStr"/>
      <c r="V1724" s="19" t="inlineStr">
        <is>
          <t>Pendiente</t>
        </is>
      </c>
      <c r="W1724" s="19" t="inlineStr"/>
      <c r="X1724" s="19" t="inlineStr"/>
      <c r="Y1724" s="20" t="n"/>
      <c r="Z1724" s="19" t="inlineStr"/>
      <c r="AA1724" s="18">
        <f>IF(OR(V1724="Aprobada"),R1724,IF(AND(OR(V1724="Aprobada con ajuste",V1724="Rechazada"),W1724&lt;&gt;""),W1724,""))</f>
        <v/>
      </c>
    </row>
    <row r="1725">
      <c r="A1725" s="18" t="inlineStr">
        <is>
          <t>C1724</t>
        </is>
      </c>
      <c r="B1725" s="18" t="inlineStr">
        <is>
          <t>Control interno</t>
        </is>
      </c>
      <c r="C1725" s="18" t="inlineStr">
        <is>
          <t>control_interno</t>
        </is>
      </c>
      <c r="D1725" s="18" t="inlineStr">
        <is>
          <t>informe_ley</t>
        </is>
      </c>
      <c r="E1725" s="18" t="n">
        <v>16</v>
      </c>
      <c r="F1725" s="18" t="inlineStr">
        <is>
          <t>tipo</t>
        </is>
      </c>
      <c r="G1725" s="18" t="inlineStr">
        <is>
          <t>character varying(50)</t>
        </is>
      </c>
      <c r="H1725" s="18" t="inlineStr">
        <is>
          <t>Sí</t>
        </is>
      </c>
      <c r="I1725" s="18" t="inlineStr">
        <is>
          <t>CHECK</t>
        </is>
      </c>
      <c r="J1725" s="18" t="inlineStr">
        <is>
          <t>interno, ley, normativo</t>
        </is>
      </c>
      <c r="K1725" s="18" t="inlineStr"/>
      <c r="L1725" s="18" t="inlineStr">
        <is>
          <t>Sí</t>
        </is>
      </c>
      <c r="M1725" s="18" t="inlineStr">
        <is>
          <t>No</t>
        </is>
      </c>
      <c r="N1725" s="18" t="inlineStr"/>
      <c r="O1725" s="18" t="inlineStr"/>
      <c r="P1725" s="18" t="inlineStr">
        <is>
          <t>Mapeada en internal-institutional-control-service/src/esap/informes-ley/entities/informe-ley.entity.ts:50 (InformeLey.tipo)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725" s="18" t="inlineStr">
        <is>
          <t>Regla estructural</t>
        </is>
      </c>
      <c r="R1725" s="18" t="inlineStr">
        <is>
          <t>Tipo del registro de informe_ley.</t>
        </is>
      </c>
      <c r="S1725" s="18" t="inlineStr">
        <is>
          <t>Media</t>
        </is>
      </c>
      <c r="T1725" s="18" t="inlineStr">
        <is>
          <t>Convención de nombre de la columna.</t>
        </is>
      </c>
      <c r="U1725" s="18" t="inlineStr"/>
      <c r="V1725" s="19" t="inlineStr">
        <is>
          <t>Pendiente</t>
        </is>
      </c>
      <c r="W1725" s="19" t="inlineStr"/>
      <c r="X1725" s="19" t="inlineStr"/>
      <c r="Y1725" s="20" t="n"/>
      <c r="Z1725" s="19" t="inlineStr"/>
      <c r="AA1725" s="18">
        <f>IF(OR(V1725="Aprobada"),R1725,IF(AND(OR(V1725="Aprobada con ajuste",V1725="Rechazada"),W1725&lt;&gt;""),W1725,""))</f>
        <v/>
      </c>
    </row>
    <row r="1726">
      <c r="A1726" s="18" t="inlineStr">
        <is>
          <t>C1725</t>
        </is>
      </c>
      <c r="B1726" s="18" t="inlineStr">
        <is>
          <t>Control interno</t>
        </is>
      </c>
      <c r="C1726" s="18" t="inlineStr">
        <is>
          <t>control_interno</t>
        </is>
      </c>
      <c r="D1726" s="18" t="inlineStr">
        <is>
          <t>informe_ley</t>
        </is>
      </c>
      <c r="E1726" s="18" t="n">
        <v>16</v>
      </c>
      <c r="F1726" s="18" t="inlineStr">
        <is>
          <t>periodicidad</t>
        </is>
      </c>
      <c r="G1726" s="18" t="inlineStr">
        <is>
          <t>character varying(50)</t>
        </is>
      </c>
      <c r="H1726" s="18" t="inlineStr">
        <is>
          <t>No</t>
        </is>
      </c>
      <c r="I1726" s="18" t="inlineStr">
        <is>
          <t>CHECK</t>
        </is>
      </c>
      <c r="J1726" s="18" t="inlineStr">
        <is>
          <t>anual, mensual, semestral, trimestral</t>
        </is>
      </c>
      <c r="K1726" s="18" t="inlineStr"/>
      <c r="L1726" s="18" t="inlineStr">
        <is>
          <t>Sí</t>
        </is>
      </c>
      <c r="M1726" s="18" t="inlineStr">
        <is>
          <t>No</t>
        </is>
      </c>
      <c r="N1726" s="18" t="inlineStr"/>
      <c r="O1726" s="18" t="inlineStr"/>
      <c r="P1726" s="18" t="inlineStr">
        <is>
          <t>Mapeada en internal-institutional-control-service/src/esap/informes-ley/entities/informe-ley.entity.ts:43 (InformeLey.periodicidad) | Validación: IsEnum(['mensual', 'bimestral', 'trimestral', 'cuatrimestral', 'semestral', 'anual']), IsNotEmpty, IsOptional</t>
        </is>
      </c>
      <c r="Q1726" s="18" t="inlineStr">
        <is>
          <t>Propuesta semántica</t>
        </is>
      </c>
      <c r="R1726" s="18" t="inlineStr">
        <is>
          <t>Periodicidad de presentación del informe de ley. Valores permitidos: mensual, trimestral, semestral, anual.</t>
        </is>
      </c>
      <c r="S1726" s="18" t="inlineStr">
        <is>
          <t>Media</t>
        </is>
      </c>
      <c r="T1726" s="18" t="inlineStr">
        <is>
          <t>valores permitidos del CHECK</t>
        </is>
      </c>
      <c r="U1726" s="18" t="inlineStr">
        <is>
          <t>Las validaciones del código admiten también bimestral y cuatrimestral; ¿se deben agregar al CHECK?</t>
        </is>
      </c>
      <c r="V1726" s="19" t="inlineStr">
        <is>
          <t>Pendiente</t>
        </is>
      </c>
      <c r="W1726" s="19" t="inlineStr"/>
      <c r="X1726" s="19" t="inlineStr"/>
      <c r="Y1726" s="20" t="n"/>
      <c r="Z1726" s="19" t="inlineStr"/>
      <c r="AA1726" s="18">
        <f>IF(OR(V1726="Aprobada"),R1726,IF(AND(OR(V1726="Aprobada con ajuste",V1726="Rechazada"),W1726&lt;&gt;""),W1726,""))</f>
        <v/>
      </c>
    </row>
    <row r="1727">
      <c r="A1727" s="18" t="inlineStr">
        <is>
          <t>C1726</t>
        </is>
      </c>
      <c r="B1727" s="18" t="inlineStr">
        <is>
          <t>Control interno</t>
        </is>
      </c>
      <c r="C1727" s="18" t="inlineStr">
        <is>
          <t>control_interno</t>
        </is>
      </c>
      <c r="D1727" s="18" t="inlineStr">
        <is>
          <t>informe_ley</t>
        </is>
      </c>
      <c r="E1727" s="18" t="n">
        <v>16</v>
      </c>
      <c r="F1727" s="18" t="inlineStr">
        <is>
          <t>fecha_vencimiento</t>
        </is>
      </c>
      <c r="G1727" s="18" t="inlineStr">
        <is>
          <t>date</t>
        </is>
      </c>
      <c r="H1727" s="18" t="inlineStr">
        <is>
          <t>Sí</t>
        </is>
      </c>
      <c r="I1727" s="18" t="inlineStr"/>
      <c r="J1727" s="18" t="inlineStr"/>
      <c r="K1727" s="18" t="inlineStr"/>
      <c r="L1727" s="18" t="inlineStr">
        <is>
          <t>No</t>
        </is>
      </c>
      <c r="M1727" s="18" t="inlineStr">
        <is>
          <t>No</t>
        </is>
      </c>
      <c r="N1727" s="18" t="inlineStr"/>
      <c r="O1727" s="18" t="inlineStr">
        <is>
          <t>idx_informe_ley_vencimiento</t>
        </is>
      </c>
      <c r="P1727" s="18" t="inlineStr">
        <is>
          <t>internal-institutional-control-service/src/esap/informes-ley/entities/informe-ley.entity.ts:86: Campos adicionales del schema original (opcionales) | Validación: IsDateString, IsNotEmpty, IsOptional</t>
        </is>
      </c>
      <c r="Q1727" s="18" t="inlineStr">
        <is>
          <t>Código fuente</t>
        </is>
      </c>
      <c r="R1727" s="18" t="inlineStr">
        <is>
          <t>Fecha de vencimiento del informe de ley.</t>
        </is>
      </c>
      <c r="S1727" s="18" t="inlineStr">
        <is>
          <t>Alta</t>
        </is>
      </c>
      <c r="T1727" s="18" t="inlineStr">
        <is>
          <t>nombre + tipo + columnas vecinas</t>
        </is>
      </c>
      <c r="U1727" s="18" t="inlineStr"/>
      <c r="V1727" s="19" t="inlineStr">
        <is>
          <t>Pendiente</t>
        </is>
      </c>
      <c r="W1727" s="19" t="inlineStr"/>
      <c r="X1727" s="19" t="inlineStr"/>
      <c r="Y1727" s="20" t="n"/>
      <c r="Z1727" s="19" t="inlineStr"/>
      <c r="AA1727" s="18">
        <f>IF(OR(V1727="Aprobada"),R1727,IF(AND(OR(V1727="Aprobada con ajuste",V1727="Rechazada"),W1727&lt;&gt;""),W1727,""))</f>
        <v/>
      </c>
    </row>
    <row r="1728">
      <c r="A1728" s="18" t="inlineStr">
        <is>
          <t>C1727</t>
        </is>
      </c>
      <c r="B1728" s="18" t="inlineStr">
        <is>
          <t>Control interno</t>
        </is>
      </c>
      <c r="C1728" s="18" t="inlineStr">
        <is>
          <t>control_interno</t>
        </is>
      </c>
      <c r="D1728" s="18" t="inlineStr">
        <is>
          <t>informe_ley</t>
        </is>
      </c>
      <c r="E1728" s="18" t="n">
        <v>16</v>
      </c>
      <c r="F1728" s="18" t="inlineStr">
        <is>
          <t>estado</t>
        </is>
      </c>
      <c r="G1728" s="18" t="inlineStr">
        <is>
          <t>character varying(50)</t>
        </is>
      </c>
      <c r="H1728" s="18" t="inlineStr">
        <is>
          <t>Sí</t>
        </is>
      </c>
      <c r="I1728" s="18" t="inlineStr">
        <is>
          <t>CHECK</t>
        </is>
      </c>
      <c r="J1728" s="18" t="inlineStr">
        <is>
          <t>aprobado, en_proceso, en_revision, pendiente, presentado, vencido</t>
        </is>
      </c>
      <c r="K1728" s="18" t="inlineStr"/>
      <c r="L1728" s="18" t="inlineStr">
        <is>
          <t>Sí</t>
        </is>
      </c>
      <c r="M1728" s="18" t="inlineStr">
        <is>
          <t>No</t>
        </is>
      </c>
      <c r="N1728" s="18" t="inlineStr"/>
      <c r="O1728" s="18" t="inlineStr">
        <is>
          <t>idx_informe_ley_estado</t>
        </is>
      </c>
      <c r="P1728" s="18" t="inlineStr">
        <is>
          <t>Mapeada en internal-institutional-control-service/src/esap/informes-ley/entities/informe-ley.entity.ts:89 (InformeLey.estado) | Validación: IsEnum(AccionCorrectivaEstado), IsEnum(EstadoEtapa), IsEnum(EstadoPlanIndividual), IsEnum(EstadoTarea), IsEnum(HallazgoEstado), IsEnum(PlanMejoramientoEstado)</t>
        </is>
      </c>
      <c r="Q1728" s="18" t="inlineStr">
        <is>
          <t>Regla estructural</t>
        </is>
      </c>
      <c r="R1728" s="18" t="inlineStr">
        <is>
          <t>Estado del registro de informe_ley.</t>
        </is>
      </c>
      <c r="S1728" s="18" t="inlineStr">
        <is>
          <t>Media</t>
        </is>
      </c>
      <c r="T1728" s="18" t="inlineStr">
        <is>
          <t>Convención de nombre de la columna.</t>
        </is>
      </c>
      <c r="U1728" s="18" t="inlineStr"/>
      <c r="V1728" s="19" t="inlineStr">
        <is>
          <t>Pendiente</t>
        </is>
      </c>
      <c r="W1728" s="19" t="inlineStr"/>
      <c r="X1728" s="19" t="inlineStr"/>
      <c r="Y1728" s="20" t="n"/>
      <c r="Z1728" s="19" t="inlineStr"/>
      <c r="AA1728" s="18">
        <f>IF(OR(V1728="Aprobada"),R1728,IF(AND(OR(V1728="Aprobada con ajuste",V1728="Rechazada"),W1728&lt;&gt;""),W1728,""))</f>
        <v/>
      </c>
    </row>
    <row r="1729">
      <c r="A1729" s="18" t="inlineStr">
        <is>
          <t>C1728</t>
        </is>
      </c>
      <c r="B1729" s="18" t="inlineStr">
        <is>
          <t>Control interno</t>
        </is>
      </c>
      <c r="C1729" s="18" t="inlineStr">
        <is>
          <t>control_interno</t>
        </is>
      </c>
      <c r="D1729" s="18" t="inlineStr">
        <is>
          <t>informe_ley</t>
        </is>
      </c>
      <c r="E1729" s="18" t="n">
        <v>16</v>
      </c>
      <c r="F1729" s="18" t="inlineStr">
        <is>
          <t>dias_restantes</t>
        </is>
      </c>
      <c r="G1729" s="18" t="inlineStr">
        <is>
          <t>integer</t>
        </is>
      </c>
      <c r="H1729" s="18" t="inlineStr">
        <is>
          <t>Sí</t>
        </is>
      </c>
      <c r="I1729" s="18" t="inlineStr"/>
      <c r="J1729" s="18" t="inlineStr"/>
      <c r="K1729" s="18" t="inlineStr"/>
      <c r="L1729" s="18" t="inlineStr">
        <is>
          <t>No</t>
        </is>
      </c>
      <c r="M1729" s="18" t="inlineStr">
        <is>
          <t>No</t>
        </is>
      </c>
      <c r="N1729" s="18" t="inlineStr"/>
      <c r="O1729" s="18" t="inlineStr"/>
      <c r="P1729" s="18" t="inlineStr">
        <is>
          <t>Mapeada en internal-institutional-control-service/src/esap/informes-ley/entities/informe-ley.entity.ts:92 (InformeLey.diasRestantes) | Validación: IsInt, IsOptional</t>
        </is>
      </c>
      <c r="Q1729" s="18" t="inlineStr">
        <is>
          <t>Propuesta semántica</t>
        </is>
      </c>
      <c r="R1729" s="18" t="inlineStr">
        <is>
          <t>Días que faltan para el vencimiento del informe.</t>
        </is>
      </c>
      <c r="S1729" s="18" t="inlineStr">
        <is>
          <t>Media</t>
        </is>
      </c>
      <c r="T1729" s="18" t="inlineStr">
        <is>
          <t>nombre + columnas vecinas (fecha_vencimiento)</t>
        </is>
      </c>
      <c r="U1729" s="18" t="inlineStr">
        <is>
          <t>¿dias_restantes se calcula automáticamente o se diligencia?</t>
        </is>
      </c>
      <c r="V1729" s="19" t="inlineStr">
        <is>
          <t>Pendiente</t>
        </is>
      </c>
      <c r="W1729" s="19" t="inlineStr"/>
      <c r="X1729" s="19" t="inlineStr"/>
      <c r="Y1729" s="20" t="n"/>
      <c r="Z1729" s="19" t="inlineStr"/>
      <c r="AA1729" s="18">
        <f>IF(OR(V1729="Aprobada"),R1729,IF(AND(OR(V1729="Aprobada con ajuste",V1729="Rechazada"),W1729&lt;&gt;""),W1729,""))</f>
        <v/>
      </c>
    </row>
    <row r="1730">
      <c r="A1730" s="18" t="inlineStr">
        <is>
          <t>C1729</t>
        </is>
      </c>
      <c r="B1730" s="18" t="inlineStr">
        <is>
          <t>Control interno</t>
        </is>
      </c>
      <c r="C1730" s="18" t="inlineStr">
        <is>
          <t>control_interno</t>
        </is>
      </c>
      <c r="D1730" s="18" t="inlineStr">
        <is>
          <t>informe_ley</t>
        </is>
      </c>
      <c r="E1730" s="18" t="n">
        <v>16</v>
      </c>
      <c r="F1730" s="18" t="inlineStr">
        <is>
          <t>alerta</t>
        </is>
      </c>
      <c r="G1730" s="18" t="inlineStr">
        <is>
          <t>character varying(50)</t>
        </is>
      </c>
      <c r="H1730" s="18" t="inlineStr">
        <is>
          <t>Sí</t>
        </is>
      </c>
      <c r="I1730" s="18" t="inlineStr">
        <is>
          <t>CHECK</t>
        </is>
      </c>
      <c r="J1730" s="18" t="inlineStr">
        <is>
          <t>amarillo, naranja, rojo, verde</t>
        </is>
      </c>
      <c r="K1730" s="18" t="inlineStr"/>
      <c r="L1730" s="18" t="inlineStr">
        <is>
          <t>Sí</t>
        </is>
      </c>
      <c r="M1730" s="18" t="inlineStr">
        <is>
          <t>No</t>
        </is>
      </c>
      <c r="N1730" s="18" t="inlineStr"/>
      <c r="O1730" s="18" t="inlineStr"/>
      <c r="P1730" s="18" t="inlineStr">
        <is>
          <t>Mapeada en internal-institutional-control-service/src/esap/informes-ley/entities/informe-ley.entity.ts:95 (InformeLey.alerta)</t>
        </is>
      </c>
      <c r="Q1730" s="18" t="inlineStr">
        <is>
          <t>Propuesta semántica</t>
        </is>
      </c>
      <c r="R1730" s="18" t="inlineStr">
        <is>
          <t>Color de alerta según la cercanía del vencimiento. Valores permitidos: verde, amarillo, naranja, rojo.</t>
        </is>
      </c>
      <c r="S1730" s="18" t="inlineStr">
        <is>
          <t>Media</t>
        </is>
      </c>
      <c r="T1730" s="18" t="inlineStr">
        <is>
          <t>valores permitidos del CHECK</t>
        </is>
      </c>
      <c r="U1730" s="18" t="inlineStr">
        <is>
          <t>¿Con qué umbrales de días se asigna cada color de alerta?</t>
        </is>
      </c>
      <c r="V1730" s="19" t="inlineStr">
        <is>
          <t>Pendiente</t>
        </is>
      </c>
      <c r="W1730" s="19" t="inlineStr"/>
      <c r="X1730" s="19" t="inlineStr"/>
      <c r="Y1730" s="20" t="n"/>
      <c r="Z1730" s="19" t="inlineStr"/>
      <c r="AA1730" s="18">
        <f>IF(OR(V1730="Aprobada"),R1730,IF(AND(OR(V1730="Aprobada con ajuste",V1730="Rechazada"),W1730&lt;&gt;""),W1730,""))</f>
        <v/>
      </c>
    </row>
    <row r="1731">
      <c r="A1731" s="18" t="inlineStr">
        <is>
          <t>C1730</t>
        </is>
      </c>
      <c r="B1731" s="18" t="inlineStr">
        <is>
          <t>Control interno</t>
        </is>
      </c>
      <c r="C1731" s="18" t="inlineStr">
        <is>
          <t>control_interno</t>
        </is>
      </c>
      <c r="D1731" s="18" t="inlineStr">
        <is>
          <t>informe_ley</t>
        </is>
      </c>
      <c r="E1731" s="18" t="n">
        <v>16</v>
      </c>
      <c r="F1731" s="18" t="inlineStr">
        <is>
          <t>area</t>
        </is>
      </c>
      <c r="G1731" s="18" t="inlineStr">
        <is>
          <t>character varying(255)</t>
        </is>
      </c>
      <c r="H1731" s="18" t="inlineStr">
        <is>
          <t>No</t>
        </is>
      </c>
      <c r="I1731" s="18" t="inlineStr"/>
      <c r="J1731" s="18" t="inlineStr"/>
      <c r="K1731" s="18" t="inlineStr"/>
      <c r="L1731" s="18" t="inlineStr">
        <is>
          <t>No</t>
        </is>
      </c>
      <c r="M1731" s="18" t="inlineStr">
        <is>
          <t>No</t>
        </is>
      </c>
      <c r="N1731" s="18" t="inlineStr"/>
      <c r="O1731" s="18" t="inlineStr"/>
      <c r="P1731" s="18" t="inlineStr">
        <is>
          <t>Mapeada en internal-institutional-control-service/src/esap/informes-ley/entities/informe-ley.entity.ts:62 (InformeLey.area) | Validación: IsNotEmpty, IsOptional, IsString, Length(1, 255), MaxLength(255)</t>
        </is>
      </c>
      <c r="Q1731" s="18" t="inlineStr">
        <is>
          <t>Propuesta semántica</t>
        </is>
      </c>
      <c r="R1731" s="18" t="inlineStr">
        <is>
          <t>Área a la que corresponde el informe de ley.</t>
        </is>
      </c>
      <c r="S1731" s="18" t="inlineStr">
        <is>
          <t>Media</t>
        </is>
      </c>
      <c r="T1731" s="18" t="inlineStr">
        <is>
          <t>nombre + columnas vecinas (area_responsable)</t>
        </is>
      </c>
      <c r="U1731" s="18" t="inlineStr">
        <is>
          <t>¿En qué se diferencia area de area_responsable?</t>
        </is>
      </c>
      <c r="V1731" s="19" t="inlineStr">
        <is>
          <t>Pendiente</t>
        </is>
      </c>
      <c r="W1731" s="19" t="inlineStr"/>
      <c r="X1731" s="19" t="inlineStr"/>
      <c r="Y1731" s="20" t="n"/>
      <c r="Z1731" s="19" t="inlineStr"/>
      <c r="AA1731" s="18">
        <f>IF(OR(V1731="Aprobada"),R1731,IF(AND(OR(V1731="Aprobada con ajuste",V1731="Rechazada"),W1731&lt;&gt;""),W1731,""))</f>
        <v/>
      </c>
    </row>
    <row r="1732">
      <c r="A1732" s="18" t="inlineStr">
        <is>
          <t>C1731</t>
        </is>
      </c>
      <c r="B1732" s="18" t="inlineStr">
        <is>
          <t>Control interno</t>
        </is>
      </c>
      <c r="C1732" s="18" t="inlineStr">
        <is>
          <t>control_interno</t>
        </is>
      </c>
      <c r="D1732" s="18" t="inlineStr">
        <is>
          <t>informe_ley</t>
        </is>
      </c>
      <c r="E1732" s="18" t="n">
        <v>16</v>
      </c>
      <c r="F1732" s="18" t="inlineStr">
        <is>
          <t>responsable</t>
        </is>
      </c>
      <c r="G1732" s="18" t="inlineStr">
        <is>
          <t>character varying(255)</t>
        </is>
      </c>
      <c r="H1732" s="18" t="inlineStr">
        <is>
          <t>No</t>
        </is>
      </c>
      <c r="I1732" s="18" t="inlineStr"/>
      <c r="J1732" s="18" t="inlineStr"/>
      <c r="K1732" s="18" t="inlineStr"/>
      <c r="L1732" s="18" t="inlineStr">
        <is>
          <t>No</t>
        </is>
      </c>
      <c r="M1732" s="18" t="inlineStr">
        <is>
          <t>No</t>
        </is>
      </c>
      <c r="N1732" s="18" t="inlineStr"/>
      <c r="O1732" s="18" t="inlineStr"/>
      <c r="P1732" s="18" t="inlineStr">
        <is>
          <t>Mapeada en internal-institutional-control-service/src/esap/informes-ley/entities/informe-ley.entity.ts:59 (InformeLey.responsable) | Validación: IsNotEmpty, IsOptional, IsString, Length(1, 255)</t>
        </is>
      </c>
      <c r="Q1732" s="18" t="inlineStr">
        <is>
          <t>Propuesta semántica</t>
        </is>
      </c>
      <c r="R1732" s="18" t="inlineStr">
        <is>
          <t>Nombre del responsable de elaborar el informe de ley.</t>
        </is>
      </c>
      <c r="S1732" s="18" t="inlineStr">
        <is>
          <t>Media</t>
        </is>
      </c>
      <c r="T1732" s="18" t="inlineStr">
        <is>
          <t>nombre + tipo</t>
        </is>
      </c>
      <c r="U1732" s="18" t="inlineStr">
        <is>
          <t>¿responsable guarda el nombre, el correo o el identificador del usuario?</t>
        </is>
      </c>
      <c r="V1732" s="19" t="inlineStr">
        <is>
          <t>Pendiente</t>
        </is>
      </c>
      <c r="W1732" s="19" t="inlineStr"/>
      <c r="X1732" s="19" t="inlineStr"/>
      <c r="Y1732" s="20" t="n"/>
      <c r="Z1732" s="19" t="inlineStr"/>
      <c r="AA1732" s="18">
        <f>IF(OR(V1732="Aprobada"),R1732,IF(AND(OR(V1732="Aprobada con ajuste",V1732="Rechazada"),W1732&lt;&gt;""),W1732,""))</f>
        <v/>
      </c>
    </row>
    <row r="1733">
      <c r="A1733" s="18" t="inlineStr">
        <is>
          <t>C1732</t>
        </is>
      </c>
      <c r="B1733" s="18" t="inlineStr">
        <is>
          <t>Control interno</t>
        </is>
      </c>
      <c r="C1733" s="18" t="inlineStr">
        <is>
          <t>control_interno</t>
        </is>
      </c>
      <c r="D1733" s="18" t="inlineStr">
        <is>
          <t>informe_ley</t>
        </is>
      </c>
      <c r="E1733" s="18" t="n">
        <v>16</v>
      </c>
      <c r="F1733" s="18" t="inlineStr">
        <is>
          <t>normativa</t>
        </is>
      </c>
      <c r="G1733" s="18" t="inlineStr">
        <is>
          <t>text</t>
        </is>
      </c>
      <c r="H1733" s="18" t="inlineStr">
        <is>
          <t>Sí</t>
        </is>
      </c>
      <c r="I1733" s="18" t="inlineStr"/>
      <c r="J1733" s="18" t="inlineStr"/>
      <c r="K1733" s="18" t="inlineStr"/>
      <c r="L1733" s="18" t="inlineStr">
        <is>
          <t>No</t>
        </is>
      </c>
      <c r="M1733" s="18" t="inlineStr">
        <is>
          <t>No</t>
        </is>
      </c>
      <c r="N1733" s="18" t="inlineStr"/>
      <c r="O1733" s="18" t="inlineStr"/>
      <c r="P1733" s="18" t="inlineStr">
        <is>
          <t>Mapeada en internal-institutional-control-service/src/esap/informes-ley/entities/informe-ley.entity.ts:33 (InformeLey.normativa) | Validación: IsNotEmpty, IsOptional, IsString</t>
        </is>
      </c>
      <c r="Q1733" s="18" t="inlineStr">
        <is>
          <t>Propuesta semántica</t>
        </is>
      </c>
      <c r="R1733" s="18" t="inlineStr">
        <is>
          <t>Norma que establece la obligación de presentar el informe.</t>
        </is>
      </c>
      <c r="S1733" s="18" t="inlineStr">
        <is>
          <t>Alta</t>
        </is>
      </c>
      <c r="T1733" s="18" t="inlineStr">
        <is>
          <t>nombre + descripción de la tabla ~</t>
        </is>
      </c>
      <c r="U1733" s="18" t="inlineStr"/>
      <c r="V1733" s="19" t="inlineStr">
        <is>
          <t>Pendiente</t>
        </is>
      </c>
      <c r="W1733" s="19" t="inlineStr"/>
      <c r="X1733" s="19" t="inlineStr"/>
      <c r="Y1733" s="20" t="n"/>
      <c r="Z1733" s="19" t="inlineStr"/>
      <c r="AA1733" s="18">
        <f>IF(OR(V1733="Aprobada"),R1733,IF(AND(OR(V1733="Aprobada con ajuste",V1733="Rechazada"),W1733&lt;&gt;""),W1733,""))</f>
        <v/>
      </c>
    </row>
    <row r="1734">
      <c r="A1734" s="18" t="inlineStr">
        <is>
          <t>C1733</t>
        </is>
      </c>
      <c r="B1734" s="18" t="inlineStr">
        <is>
          <t>Control interno</t>
        </is>
      </c>
      <c r="C1734" s="18" t="inlineStr">
        <is>
          <t>control_interno</t>
        </is>
      </c>
      <c r="D1734" s="18" t="inlineStr">
        <is>
          <t>informe_ley</t>
        </is>
      </c>
      <c r="E1734" s="18" t="n">
        <v>16</v>
      </c>
      <c r="F1734" s="18" t="inlineStr">
        <is>
          <t>acciones_sugeridas</t>
        </is>
      </c>
      <c r="G1734" s="18" t="inlineStr">
        <is>
          <t>jsonb</t>
        </is>
      </c>
      <c r="H1734" s="18" t="inlineStr">
        <is>
          <t>Sí</t>
        </is>
      </c>
      <c r="I1734" s="18" t="inlineStr"/>
      <c r="J1734" s="18" t="inlineStr"/>
      <c r="K1734" s="18" t="inlineStr"/>
      <c r="L1734" s="18" t="inlineStr">
        <is>
          <t>No</t>
        </is>
      </c>
      <c r="M1734" s="18" t="inlineStr">
        <is>
          <t>No</t>
        </is>
      </c>
      <c r="N1734" s="18" t="inlineStr"/>
      <c r="O1734" s="18" t="inlineStr"/>
      <c r="P1734" s="18" t="inlineStr">
        <is>
          <t>Mapeada en internal-institutional-control-service/src/esap/informes-ley/entities/informe-ley.entity.ts:98 (InformeLey.accionesSugeridas)</t>
        </is>
      </c>
      <c r="Q1734" s="18" t="inlineStr">
        <is>
          <t>Propuesta semántica</t>
        </is>
      </c>
      <c r="R1734" s="18" t="inlineStr">
        <is>
          <t>Acciones sugeridas para preparar el informe, en formato JSON.</t>
        </is>
      </c>
      <c r="S1734" s="18" t="inlineStr">
        <is>
          <t>Baja</t>
        </is>
      </c>
      <c r="T1734" s="18" t="inlineStr">
        <is>
          <t>nombre + tipo jsonb</t>
        </is>
      </c>
      <c r="U1734" s="18" t="inlineStr">
        <is>
          <t>¿Qué contiene acciones_sugeridas y quién lo diligencia?</t>
        </is>
      </c>
      <c r="V1734" s="19" t="inlineStr">
        <is>
          <t>Pendiente</t>
        </is>
      </c>
      <c r="W1734" s="19" t="inlineStr"/>
      <c r="X1734" s="19" t="inlineStr"/>
      <c r="Y1734" s="20" t="n"/>
      <c r="Z1734" s="19" t="inlineStr"/>
      <c r="AA1734" s="18">
        <f>IF(OR(V1734="Aprobada"),R1734,IF(AND(OR(V1734="Aprobada con ajuste",V1734="Rechazada"),W1734&lt;&gt;""),W1734,""))</f>
        <v/>
      </c>
    </row>
    <row r="1735">
      <c r="A1735" s="18" t="inlineStr">
        <is>
          <t>C1734</t>
        </is>
      </c>
      <c r="B1735" s="18" t="inlineStr">
        <is>
          <t>Control interno</t>
        </is>
      </c>
      <c r="C1735" s="18" t="inlineStr">
        <is>
          <t>control_interno</t>
        </is>
      </c>
      <c r="D1735" s="18" t="inlineStr">
        <is>
          <t>informe_ley</t>
        </is>
      </c>
      <c r="E1735" s="18" t="n">
        <v>16</v>
      </c>
      <c r="F1735" s="18" t="inlineStr">
        <is>
          <t>historial</t>
        </is>
      </c>
      <c r="G1735" s="18" t="inlineStr">
        <is>
          <t>jsonb</t>
        </is>
      </c>
      <c r="H1735" s="18" t="inlineStr">
        <is>
          <t>Sí</t>
        </is>
      </c>
      <c r="I1735" s="18" t="inlineStr"/>
      <c r="J1735" s="18" t="inlineStr"/>
      <c r="K1735" s="18" t="inlineStr"/>
      <c r="L1735" s="18" t="inlineStr">
        <is>
          <t>No</t>
        </is>
      </c>
      <c r="M1735" s="18" t="inlineStr">
        <is>
          <t>No</t>
        </is>
      </c>
      <c r="N1735" s="18" t="inlineStr"/>
      <c r="O1735" s="18" t="inlineStr"/>
      <c r="P1735" s="18" t="inlineStr">
        <is>
          <t>Mapeada en internal-institutional-control-service/src/esap/informes-ley/entities/informe-ley.entity.ts:101 (InformeLey.historial)</t>
        </is>
      </c>
      <c r="Q1735" s="18" t="inlineStr">
        <is>
          <t>Propuesta semántica</t>
        </is>
      </c>
      <c r="R1735" s="18" t="inlineStr">
        <is>
          <t>Historial de presentaciones o cambios del informe, en formato JSON.</t>
        </is>
      </c>
      <c r="S1735" s="18" t="inlineStr">
        <is>
          <t>Baja</t>
        </is>
      </c>
      <c r="T1735" s="18" t="inlineStr">
        <is>
          <t>nombre + tipo jsonb</t>
        </is>
      </c>
      <c r="U1735" s="18" t="inlineStr">
        <is>
          <t>¿Qué estructura tiene historial? ¿Duplica control_interno.entrega_informe_ley?</t>
        </is>
      </c>
      <c r="V1735" s="19" t="inlineStr">
        <is>
          <t>Pendiente</t>
        </is>
      </c>
      <c r="W1735" s="19" t="inlineStr"/>
      <c r="X1735" s="19" t="inlineStr"/>
      <c r="Y1735" s="20" t="n"/>
      <c r="Z1735" s="19" t="inlineStr"/>
      <c r="AA1735" s="18">
        <f>IF(OR(V1735="Aprobada"),R1735,IF(AND(OR(V1735="Aprobada con ajuste",V1735="Rechazada"),W1735&lt;&gt;""),W1735,""))</f>
        <v/>
      </c>
    </row>
    <row r="1736">
      <c r="A1736" s="18" t="inlineStr">
        <is>
          <t>C1735</t>
        </is>
      </c>
      <c r="B1736" s="18" t="inlineStr">
        <is>
          <t>Control interno</t>
        </is>
      </c>
      <c r="C1736" s="18" t="inlineStr">
        <is>
          <t>control_interno</t>
        </is>
      </c>
      <c r="D1736" s="18" t="inlineStr">
        <is>
          <t>informe_ley</t>
        </is>
      </c>
      <c r="E1736" s="18" t="n">
        <v>16</v>
      </c>
      <c r="F1736" s="18" t="inlineStr">
        <is>
          <t>proximo_recordatorio</t>
        </is>
      </c>
      <c r="G1736" s="18" t="inlineStr">
        <is>
          <t>timestamp without time zone</t>
        </is>
      </c>
      <c r="H1736" s="18" t="inlineStr">
        <is>
          <t>Sí</t>
        </is>
      </c>
      <c r="I1736" s="18" t="inlineStr"/>
      <c r="J1736" s="18" t="inlineStr"/>
      <c r="K1736" s="18" t="inlineStr"/>
      <c r="L1736" s="18" t="inlineStr">
        <is>
          <t>No</t>
        </is>
      </c>
      <c r="M1736" s="18" t="inlineStr">
        <is>
          <t>No</t>
        </is>
      </c>
      <c r="N1736" s="18" t="inlineStr"/>
      <c r="O1736" s="18" t="inlineStr"/>
      <c r="P1736" s="18" t="inlineStr">
        <is>
          <t>Mapeada en internal-institutional-control-service/src/esap/informes-ley/entities/informe-ley.entity.ts:104 (InformeLey.proximoRecordatorio)</t>
        </is>
      </c>
      <c r="Q1736" s="18" t="inlineStr">
        <is>
          <t>Propuesta semántica</t>
        </is>
      </c>
      <c r="R1736" s="18" t="inlineStr">
        <is>
          <t>Fecha y hora del próximo recordatorio programado del informe.</t>
        </is>
      </c>
      <c r="S1736" s="18" t="inlineStr">
        <is>
          <t>Alta</t>
        </is>
      </c>
      <c r="T1736" s="18" t="inlineStr">
        <is>
          <t>nombre + tipo + columnas vecinas (recordatorios_enviados) ~</t>
        </is>
      </c>
      <c r="U1736" s="18" t="inlineStr"/>
      <c r="V1736" s="19" t="inlineStr">
        <is>
          <t>Pendiente</t>
        </is>
      </c>
      <c r="W1736" s="19" t="inlineStr"/>
      <c r="X1736" s="19" t="inlineStr"/>
      <c r="Y1736" s="20" t="n"/>
      <c r="Z1736" s="19" t="inlineStr"/>
      <c r="AA1736" s="18">
        <f>IF(OR(V1736="Aprobada"),R1736,IF(AND(OR(V1736="Aprobada con ajuste",V1736="Rechazada"),W1736&lt;&gt;""),W1736,""))</f>
        <v/>
      </c>
    </row>
    <row r="1737">
      <c r="A1737" s="18" t="inlineStr">
        <is>
          <t>C1736</t>
        </is>
      </c>
      <c r="B1737" s="18" t="inlineStr">
        <is>
          <t>Control interno</t>
        </is>
      </c>
      <c r="C1737" s="18" t="inlineStr">
        <is>
          <t>control_interno</t>
        </is>
      </c>
      <c r="D1737" s="18" t="inlineStr">
        <is>
          <t>informe_ley</t>
        </is>
      </c>
      <c r="E1737" s="18" t="n">
        <v>16</v>
      </c>
      <c r="F1737" s="18" t="inlineStr">
        <is>
          <t>recordatorios_enviados</t>
        </is>
      </c>
      <c r="G1737" s="18" t="inlineStr">
        <is>
          <t>integer</t>
        </is>
      </c>
      <c r="H1737" s="18" t="inlineStr">
        <is>
          <t>Sí</t>
        </is>
      </c>
      <c r="I1737" s="18" t="inlineStr"/>
      <c r="J1737" s="18" t="inlineStr"/>
      <c r="K1737" s="18" t="inlineStr"/>
      <c r="L1737" s="18" t="inlineStr">
        <is>
          <t>No</t>
        </is>
      </c>
      <c r="M1737" s="18" t="inlineStr">
        <is>
          <t>No</t>
        </is>
      </c>
      <c r="N1737" s="18" t="inlineStr"/>
      <c r="O1737" s="18" t="inlineStr"/>
      <c r="P1737" s="18" t="inlineStr">
        <is>
          <t>Mapeada en internal-institutional-control-service/src/esap/informes-ley/entities/informe-ley.entity.ts:107 (InformeLey.recordatoriosEnviados)</t>
        </is>
      </c>
      <c r="Q1737" s="18" t="inlineStr">
        <is>
          <t>Propuesta semántica</t>
        </is>
      </c>
      <c r="R1737" s="18" t="inlineStr">
        <is>
          <t>Número de recordatorios enviados del informe.</t>
        </is>
      </c>
      <c r="S1737" s="18" t="inlineStr">
        <is>
          <t>Alta</t>
        </is>
      </c>
      <c r="T1737" s="18" t="inlineStr">
        <is>
          <t>nombre + tipo + defecto 0 ~</t>
        </is>
      </c>
      <c r="U1737" s="18" t="inlineStr"/>
      <c r="V1737" s="19" t="inlineStr">
        <is>
          <t>Pendiente</t>
        </is>
      </c>
      <c r="W1737" s="19" t="inlineStr"/>
      <c r="X1737" s="19" t="inlineStr"/>
      <c r="Y1737" s="20" t="n"/>
      <c r="Z1737" s="19" t="inlineStr"/>
      <c r="AA1737" s="18">
        <f>IF(OR(V1737="Aprobada"),R1737,IF(AND(OR(V1737="Aprobada con ajuste",V1737="Rechazada"),W1737&lt;&gt;""),W1737,""))</f>
        <v/>
      </c>
    </row>
    <row r="1738">
      <c r="A1738" s="18" t="inlineStr">
        <is>
          <t>C1737</t>
        </is>
      </c>
      <c r="B1738" s="18" t="inlineStr">
        <is>
          <t>Control interno</t>
        </is>
      </c>
      <c r="C1738" s="18" t="inlineStr">
        <is>
          <t>control_interno</t>
        </is>
      </c>
      <c r="D1738" s="18" t="inlineStr">
        <is>
          <t>informe_ley</t>
        </is>
      </c>
      <c r="E1738" s="18" t="n">
        <v>16</v>
      </c>
      <c r="F1738" s="18" t="inlineStr">
        <is>
          <t>formato_template</t>
        </is>
      </c>
      <c r="G1738" s="18" t="inlineStr">
        <is>
          <t>character varying(255)</t>
        </is>
      </c>
      <c r="H1738" s="18" t="inlineStr">
        <is>
          <t>Sí</t>
        </is>
      </c>
      <c r="I1738" s="18" t="inlineStr"/>
      <c r="J1738" s="18" t="inlineStr"/>
      <c r="K1738" s="18" t="inlineStr"/>
      <c r="L1738" s="18" t="inlineStr">
        <is>
          <t>No</t>
        </is>
      </c>
      <c r="M1738" s="18" t="inlineStr">
        <is>
          <t>No</t>
        </is>
      </c>
      <c r="N1738" s="18" t="inlineStr"/>
      <c r="O1738" s="18" t="inlineStr"/>
      <c r="P1738" s="18" t="inlineStr">
        <is>
          <t>Mapeada en internal-institutional-control-service/src/esap/informes-ley/entities/informe-ley.entity.ts:110 (InformeLey.formatoTemplate)</t>
        </is>
      </c>
      <c r="Q1738" s="18" t="inlineStr">
        <is>
          <t>Propuesta semántica</t>
        </is>
      </c>
      <c r="R1738" s="18" t="inlineStr">
        <is>
          <t>Formato o plantilla asociada al informe de ley.</t>
        </is>
      </c>
      <c r="S1738" s="18" t="inlineStr">
        <is>
          <t>Baja</t>
        </is>
      </c>
      <c r="T1738" s="18" t="inlineStr">
        <is>
          <t>nombre + columnas vecinas (url_plantilla, tiene_plantilla)</t>
        </is>
      </c>
      <c r="U1738" s="18" t="inlineStr">
        <is>
          <t>¿En qué se diferencia formato_template de url_plantilla?</t>
        </is>
      </c>
      <c r="V1738" s="19" t="inlineStr">
        <is>
          <t>Pendiente</t>
        </is>
      </c>
      <c r="W1738" s="19" t="inlineStr"/>
      <c r="X1738" s="19" t="inlineStr"/>
      <c r="Y1738" s="20" t="n"/>
      <c r="Z1738" s="19" t="inlineStr"/>
      <c r="AA1738" s="18">
        <f>IF(OR(V1738="Aprobada"),R1738,IF(AND(OR(V1738="Aprobada con ajuste",V1738="Rechazada"),W1738&lt;&gt;""),W1738,""))</f>
        <v/>
      </c>
    </row>
    <row r="1739">
      <c r="A1739" s="18" t="inlineStr">
        <is>
          <t>C1738</t>
        </is>
      </c>
      <c r="B1739" s="18" t="inlineStr">
        <is>
          <t>Control interno</t>
        </is>
      </c>
      <c r="C1739" s="18" t="inlineStr">
        <is>
          <t>control_interno</t>
        </is>
      </c>
      <c r="D1739" s="18" t="inlineStr">
        <is>
          <t>informe_ley</t>
        </is>
      </c>
      <c r="E1739" s="18" t="n">
        <v>16</v>
      </c>
      <c r="F1739" s="18" t="inlineStr">
        <is>
          <t>datos_integrados</t>
        </is>
      </c>
      <c r="G1739" s="18" t="inlineStr">
        <is>
          <t>jsonb</t>
        </is>
      </c>
      <c r="H1739" s="18" t="inlineStr">
        <is>
          <t>Sí</t>
        </is>
      </c>
      <c r="I1739" s="18" t="inlineStr"/>
      <c r="J1739" s="18" t="inlineStr"/>
      <c r="K1739" s="18" t="inlineStr"/>
      <c r="L1739" s="18" t="inlineStr">
        <is>
          <t>No</t>
        </is>
      </c>
      <c r="M1739" s="18" t="inlineStr">
        <is>
          <t>No</t>
        </is>
      </c>
      <c r="N1739" s="18" t="inlineStr"/>
      <c r="O1739" s="18" t="inlineStr"/>
      <c r="P1739" s="18" t="inlineStr">
        <is>
          <t>Mapeada en internal-institutional-control-service/src/esap/informes-ley/entities/informe-ley.entity.ts:113 (InformeLey.datosIntegrados)</t>
        </is>
      </c>
      <c r="Q1739" s="18" t="inlineStr">
        <is>
          <t>Propuesta semántica</t>
        </is>
      </c>
      <c r="R1739" s="18" t="inlineStr">
        <is>
          <t>Datos integrados de otros módulos para generar el informe, en formato JSON.</t>
        </is>
      </c>
      <c r="S1739" s="18" t="inlineStr">
        <is>
          <t>Baja</t>
        </is>
      </c>
      <c r="T1739" s="18" t="inlineStr">
        <is>
          <t>nombre + tipo jsonb</t>
        </is>
      </c>
      <c r="U1739" s="18" t="inlineStr">
        <is>
          <t>¿Qué datos se integran en datos_integrados y desde qué fuentes?</t>
        </is>
      </c>
      <c r="V1739" s="19" t="inlineStr">
        <is>
          <t>Pendiente</t>
        </is>
      </c>
      <c r="W1739" s="19" t="inlineStr"/>
      <c r="X1739" s="19" t="inlineStr"/>
      <c r="Y1739" s="20" t="n"/>
      <c r="Z1739" s="19" t="inlineStr"/>
      <c r="AA1739" s="18">
        <f>IF(OR(V1739="Aprobada"),R1739,IF(AND(OR(V1739="Aprobada con ajuste",V1739="Rechazada"),W1739&lt;&gt;""),W1739,""))</f>
        <v/>
      </c>
    </row>
    <row r="1740">
      <c r="A1740" s="18" t="inlineStr">
        <is>
          <t>C1739</t>
        </is>
      </c>
      <c r="B1740" s="18" t="inlineStr">
        <is>
          <t>Control interno</t>
        </is>
      </c>
      <c r="C1740" s="18" t="inlineStr">
        <is>
          <t>control_interno</t>
        </is>
      </c>
      <c r="D1740" s="18" t="inlineStr">
        <is>
          <t>informe_ley</t>
        </is>
      </c>
      <c r="E1740" s="18" t="n">
        <v>16</v>
      </c>
      <c r="F1740" s="18" t="inlineStr">
        <is>
          <t>codigo_corto</t>
        </is>
      </c>
      <c r="G1740" s="18" t="inlineStr">
        <is>
          <t>character varying(50)</t>
        </is>
      </c>
      <c r="H1740" s="18" t="inlineStr">
        <is>
          <t>Sí</t>
        </is>
      </c>
      <c r="I1740" s="18" t="inlineStr">
        <is>
          <t>Única</t>
        </is>
      </c>
      <c r="J1740" s="18" t="inlineStr"/>
      <c r="K1740" s="18" t="inlineStr"/>
      <c r="L1740" s="18" t="inlineStr">
        <is>
          <t>No</t>
        </is>
      </c>
      <c r="M1740" s="18" t="inlineStr">
        <is>
          <t>No</t>
        </is>
      </c>
      <c r="N1740" s="18" t="inlineStr"/>
      <c r="O1740" s="18" t="inlineStr">
        <is>
          <t>informe_ley_codigo_corto_key</t>
        </is>
      </c>
      <c r="P1740" s="18" t="inlineStr">
        <is>
          <t>Mapeada en internal-institutional-control-service/src/esap/informes-ley/entities/informe-ley.entity.ts:24 (InformeLey.codigoCorto)</t>
        </is>
      </c>
      <c r="Q1740" s="18" t="inlineStr">
        <is>
          <t>Propuesta semántica</t>
        </is>
      </c>
      <c r="R1740" s="18" t="inlineStr">
        <is>
          <t>Código corto del informe de ley. Único en la tabla.</t>
        </is>
      </c>
      <c r="S1740" s="18" t="inlineStr">
        <is>
          <t>Media</t>
        </is>
      </c>
      <c r="T1740" s="18" t="inlineStr">
        <is>
          <t>nombre + tipo + restricción única</t>
        </is>
      </c>
      <c r="U1740" s="18" t="inlineStr">
        <is>
          <t>¿Qué formato tiene el código corto y para qué se usa frente a codigo?</t>
        </is>
      </c>
      <c r="V1740" s="19" t="inlineStr">
        <is>
          <t>Pendiente</t>
        </is>
      </c>
      <c r="W1740" s="19" t="inlineStr"/>
      <c r="X1740" s="19" t="inlineStr"/>
      <c r="Y1740" s="20" t="n"/>
      <c r="Z1740" s="19" t="inlineStr"/>
      <c r="AA1740" s="18">
        <f>IF(OR(V1740="Aprobada"),R1740,IF(AND(OR(V1740="Aprobada con ajuste",V1740="Rechazada"),W1740&lt;&gt;""),W1740,""))</f>
        <v/>
      </c>
    </row>
    <row r="1741">
      <c r="A1741" s="18" t="inlineStr">
        <is>
          <t>C1740</t>
        </is>
      </c>
      <c r="B1741" s="18" t="inlineStr">
        <is>
          <t>Control interno</t>
        </is>
      </c>
      <c r="C1741" s="18" t="inlineStr">
        <is>
          <t>control_interno</t>
        </is>
      </c>
      <c r="D1741" s="18" t="inlineStr">
        <is>
          <t>informe_ley</t>
        </is>
      </c>
      <c r="E1741" s="18" t="n">
        <v>16</v>
      </c>
      <c r="F1741" s="18" t="inlineStr">
        <is>
          <t>categoria</t>
        </is>
      </c>
      <c r="G1741" s="18" t="inlineStr">
        <is>
          <t>character varying(100)</t>
        </is>
      </c>
      <c r="H1741" s="18" t="inlineStr">
        <is>
          <t>Sí</t>
        </is>
      </c>
      <c r="I1741" s="18" t="inlineStr">
        <is>
          <t>CHECK</t>
        </is>
      </c>
      <c r="J1741" s="18" t="inlineStr">
        <is>
          <t>administrativo, contractual, control, financiero, talento-humano, transparencia</t>
        </is>
      </c>
      <c r="K1741" s="18" t="inlineStr"/>
      <c r="L1741" s="18" t="inlineStr">
        <is>
          <t>Sí</t>
        </is>
      </c>
      <c r="M1741" s="18" t="inlineStr">
        <is>
          <t>No</t>
        </is>
      </c>
      <c r="N1741" s="18" t="inlineStr"/>
      <c r="O1741" s="18" t="inlineStr"/>
      <c r="P1741" s="18" t="inlineStr">
        <is>
          <t>Mapeada en internal-institutional-control-service/src/esap/informes-ley/entities/informe-ley.entity.ts:36 (InformeLey.categoria) | Validación: IsEnum(CategoriaNota), IsEnum(HallazgoCategoria), IsEnum(['financiero', 'administrativo', 'contractual', 'talento-humano', 'transparencia', 'control']), IsNotEmpty, IsOptional, IsString</t>
        </is>
      </c>
      <c r="Q1741" s="18" t="inlineStr">
        <is>
          <t>Propuesta semántica</t>
        </is>
      </c>
      <c r="R1741" s="18" t="inlineStr">
        <is>
          <t>Categoría del informe de ley. Valores permitidos: financiero, administrativo, contractual, talento-humano, transparencia, control.</t>
        </is>
      </c>
      <c r="S1741" s="18" t="inlineStr">
        <is>
          <t>Alta</t>
        </is>
      </c>
      <c r="T1741" s="18" t="inlineStr">
        <is>
          <t>valores permitidos del CHECK ~</t>
        </is>
      </c>
      <c r="U1741" s="18" t="inlineStr"/>
      <c r="V1741" s="19" t="inlineStr">
        <is>
          <t>Pendiente</t>
        </is>
      </c>
      <c r="W1741" s="19" t="inlineStr"/>
      <c r="X1741" s="19" t="inlineStr"/>
      <c r="Y1741" s="20" t="n"/>
      <c r="Z1741" s="19" t="inlineStr"/>
      <c r="AA1741" s="18">
        <f>IF(OR(V1741="Aprobada"),R1741,IF(AND(OR(V1741="Aprobada con ajuste",V1741="Rechazada"),W1741&lt;&gt;""),W1741,""))</f>
        <v/>
      </c>
    </row>
    <row r="1742">
      <c r="A1742" s="18" t="inlineStr">
        <is>
          <t>C1741</t>
        </is>
      </c>
      <c r="B1742" s="18" t="inlineStr">
        <is>
          <t>Control interno</t>
        </is>
      </c>
      <c r="C1742" s="18" t="inlineStr">
        <is>
          <t>control_interno</t>
        </is>
      </c>
      <c r="D1742" s="18" t="inlineStr">
        <is>
          <t>informe_ley</t>
        </is>
      </c>
      <c r="E1742" s="18" t="n">
        <v>16</v>
      </c>
      <c r="F1742" s="18" t="inlineStr">
        <is>
          <t>dia_presentacion</t>
        </is>
      </c>
      <c r="G1742" s="18" t="inlineStr">
        <is>
          <t>integer</t>
        </is>
      </c>
      <c r="H1742" s="18" t="inlineStr">
        <is>
          <t>Sí</t>
        </is>
      </c>
      <c r="I1742" s="18" t="inlineStr">
        <is>
          <t>CHECK</t>
        </is>
      </c>
      <c r="J1742" s="18" t="inlineStr"/>
      <c r="K1742" s="18" t="inlineStr"/>
      <c r="L1742" s="18" t="inlineStr">
        <is>
          <t>No</t>
        </is>
      </c>
      <c r="M1742" s="18" t="inlineStr">
        <is>
          <t>No</t>
        </is>
      </c>
      <c r="N1742" s="18" t="inlineStr"/>
      <c r="O1742" s="18" t="inlineStr"/>
      <c r="P1742" s="18" t="inlineStr">
        <is>
          <t>internal-institutional-control-service/src/esap/informes-ley/entities/informe-ley.entity.ts:53: Día del mes/periodo para presentar | Validación: IsInt, IsNotEmpty, IsOptional, Max(31), Min(1)</t>
        </is>
      </c>
      <c r="Q1742" s="18" t="inlineStr">
        <is>
          <t>Código fuente</t>
        </is>
      </c>
      <c r="R1742" s="18" t="inlineStr">
        <is>
          <t>Día del mes o del periodo en que se presenta el informe, de 1 a 31.</t>
        </is>
      </c>
      <c r="S1742" s="18" t="inlineStr">
        <is>
          <t>Alta</t>
        </is>
      </c>
      <c r="T1742" s="18" t="inlineStr">
        <is>
          <t>código: internal-institutional-control-service/src/esap/informes-ley/entities/informe-ley.entity.ts:53</t>
        </is>
      </c>
      <c r="U1742" s="18" t="inlineStr"/>
      <c r="V1742" s="19" t="inlineStr">
        <is>
          <t>Pendiente</t>
        </is>
      </c>
      <c r="W1742" s="19" t="inlineStr"/>
      <c r="X1742" s="19" t="inlineStr"/>
      <c r="Y1742" s="20" t="n"/>
      <c r="Z1742" s="19" t="inlineStr"/>
      <c r="AA1742" s="18">
        <f>IF(OR(V1742="Aprobada"),R1742,IF(AND(OR(V1742="Aprobada con ajuste",V1742="Rechazada"),W1742&lt;&gt;""),W1742,""))</f>
        <v/>
      </c>
    </row>
    <row r="1743">
      <c r="A1743" s="18" t="inlineStr">
        <is>
          <t>C1742</t>
        </is>
      </c>
      <c r="B1743" s="18" t="inlineStr">
        <is>
          <t>Control interno</t>
        </is>
      </c>
      <c r="C1743" s="18" t="inlineStr">
        <is>
          <t>control_interno</t>
        </is>
      </c>
      <c r="D1743" s="18" t="inlineStr">
        <is>
          <t>informe_ley</t>
        </is>
      </c>
      <c r="E1743" s="18" t="n">
        <v>16</v>
      </c>
      <c r="F1743" s="18" t="inlineStr">
        <is>
          <t>entidad_destino</t>
        </is>
      </c>
      <c r="G1743" s="18" t="inlineStr">
        <is>
          <t>character varying(500)</t>
        </is>
      </c>
      <c r="H1743" s="18" t="inlineStr">
        <is>
          <t>Sí</t>
        </is>
      </c>
      <c r="I1743" s="18" t="inlineStr"/>
      <c r="J1743" s="18" t="inlineStr"/>
      <c r="K1743" s="18" t="inlineStr"/>
      <c r="L1743" s="18" t="inlineStr">
        <is>
          <t>No</t>
        </is>
      </c>
      <c r="M1743" s="18" t="inlineStr">
        <is>
          <t>No</t>
        </is>
      </c>
      <c r="N1743" s="18" t="inlineStr"/>
      <c r="O1743" s="18" t="inlineStr"/>
      <c r="P1743" s="18" t="inlineStr">
        <is>
          <t>Mapeada en internal-institutional-control-service/src/esap/informes-ley/entities/informe-ley.entity.ts:56 (InformeLey.entidadDestino) | Validación: IsOptional, IsString, Length(1, 500)</t>
        </is>
      </c>
      <c r="Q1743" s="18" t="inlineStr">
        <is>
          <t>Propuesta semántica</t>
        </is>
      </c>
      <c r="R1743" s="18" t="inlineStr">
        <is>
          <t>Entidad a la que se presenta el informe de ley.</t>
        </is>
      </c>
      <c r="S1743" s="18" t="inlineStr">
        <is>
          <t>Alta</t>
        </is>
      </c>
      <c r="T1743" s="18" t="inlineStr">
        <is>
          <t>nombre + tipo</t>
        </is>
      </c>
      <c r="U1743" s="18" t="inlineStr"/>
      <c r="V1743" s="19" t="inlineStr">
        <is>
          <t>Pendiente</t>
        </is>
      </c>
      <c r="W1743" s="19" t="inlineStr"/>
      <c r="X1743" s="19" t="inlineStr"/>
      <c r="Y1743" s="20" t="n"/>
      <c r="Z1743" s="19" t="inlineStr"/>
      <c r="AA1743" s="18">
        <f>IF(OR(V1743="Aprobada"),R1743,IF(AND(OR(V1743="Aprobada con ajuste",V1743="Rechazada"),W1743&lt;&gt;""),W1743,""))</f>
        <v/>
      </c>
    </row>
    <row r="1744">
      <c r="A1744" s="18" t="inlineStr">
        <is>
          <t>C1743</t>
        </is>
      </c>
      <c r="B1744" s="18" t="inlineStr">
        <is>
          <t>Control interno</t>
        </is>
      </c>
      <c r="C1744" s="18" t="inlineStr">
        <is>
          <t>control_interno</t>
        </is>
      </c>
      <c r="D1744" s="18" t="inlineStr">
        <is>
          <t>informe_ley</t>
        </is>
      </c>
      <c r="E1744" s="18" t="n">
        <v>16</v>
      </c>
      <c r="F1744" s="18" t="inlineStr">
        <is>
          <t>area_responsable</t>
        </is>
      </c>
      <c r="G1744" s="18" t="inlineStr">
        <is>
          <t>character varying(255)</t>
        </is>
      </c>
      <c r="H1744" s="18" t="inlineStr">
        <is>
          <t>Sí</t>
        </is>
      </c>
      <c r="I1744" s="18" t="inlineStr"/>
      <c r="J1744" s="18" t="inlineStr"/>
      <c r="K1744" s="18" t="inlineStr"/>
      <c r="L1744" s="18" t="inlineStr">
        <is>
          <t>No</t>
        </is>
      </c>
      <c r="M1744" s="18" t="inlineStr">
        <is>
          <t>No</t>
        </is>
      </c>
      <c r="N1744" s="18" t="inlineStr"/>
      <c r="O1744" s="18" t="inlineStr"/>
      <c r="P1744" s="18" t="inlineStr">
        <is>
          <t>Mapeada en internal-institutional-control-service/src/esap/informes-ley/entities/informe-ley.entity.ts:65 (InformeLey.areaResponsable) | Validación: IsNotEmpty, IsOptional, IsString, Length(1, 255), MaxLength(255)</t>
        </is>
      </c>
      <c r="Q1744" s="18" t="inlineStr">
        <is>
          <t>Propuesta semántica</t>
        </is>
      </c>
      <c r="R1744" s="18" t="inlineStr">
        <is>
          <t>Área responsable de elaborar y presentar el informe.</t>
        </is>
      </c>
      <c r="S1744" s="18" t="inlineStr">
        <is>
          <t>Media</t>
        </is>
      </c>
      <c r="T1744" s="18" t="inlineStr">
        <is>
          <t>nombre + columnas vecinas (area)</t>
        </is>
      </c>
      <c r="U1744" s="18" t="inlineStr">
        <is>
          <t>¿En qué se diferencia area_responsable de area?</t>
        </is>
      </c>
      <c r="V1744" s="19" t="inlineStr">
        <is>
          <t>Pendiente</t>
        </is>
      </c>
      <c r="W1744" s="19" t="inlineStr"/>
      <c r="X1744" s="19" t="inlineStr"/>
      <c r="Y1744" s="20" t="n"/>
      <c r="Z1744" s="19" t="inlineStr"/>
      <c r="AA1744" s="18">
        <f>IF(OR(V1744="Aprobada"),R1744,IF(AND(OR(V1744="Aprobada con ajuste",V1744="Rechazada"),W1744&lt;&gt;""),W1744,""))</f>
        <v/>
      </c>
    </row>
    <row r="1745">
      <c r="A1745" s="18" t="inlineStr">
        <is>
          <t>C1744</t>
        </is>
      </c>
      <c r="B1745" s="18" t="inlineStr">
        <is>
          <t>Control interno</t>
        </is>
      </c>
      <c r="C1745" s="18" t="inlineStr">
        <is>
          <t>control_interno</t>
        </is>
      </c>
      <c r="D1745" s="18" t="inlineStr">
        <is>
          <t>informe_ley</t>
        </is>
      </c>
      <c r="E1745" s="18" t="n">
        <v>16</v>
      </c>
      <c r="F1745" s="18" t="inlineStr">
        <is>
          <t>tiene_plantilla</t>
        </is>
      </c>
      <c r="G1745" s="18" t="inlineStr">
        <is>
          <t>boolean</t>
        </is>
      </c>
      <c r="H1745" s="18" t="inlineStr">
        <is>
          <t>Sí</t>
        </is>
      </c>
      <c r="I1745" s="18" t="inlineStr"/>
      <c r="J1745" s="18" t="inlineStr"/>
      <c r="K1745" s="18" t="inlineStr"/>
      <c r="L1745" s="18" t="inlineStr">
        <is>
          <t>No</t>
        </is>
      </c>
      <c r="M1745" s="18" t="inlineStr">
        <is>
          <t>No</t>
        </is>
      </c>
      <c r="N1745" s="18" t="inlineStr"/>
      <c r="O1745" s="18" t="inlineStr"/>
      <c r="P1745" s="18" t="inlineStr">
        <is>
          <t>internal-institutional-control-service/src/esap/informes-ley/entities/informe-ley.entity.ts:69: Plantilla | Validación: IsBoolean, IsOptional</t>
        </is>
      </c>
      <c r="Q1745" s="18" t="inlineStr">
        <is>
          <t>Código fuente</t>
        </is>
      </c>
      <c r="R1745" s="18" t="inlineStr">
        <is>
          <t>Indica si el informe tiene plantilla; por defecto falso.</t>
        </is>
      </c>
      <c r="S1745" s="18" t="inlineStr">
        <is>
          <t>Alta</t>
        </is>
      </c>
      <c r="T1745" s="18" t="inlineStr">
        <is>
          <t>código: internal-institutional-control-service/src/esap/informes-ley/entities/informe-ley.entity.ts:69</t>
        </is>
      </c>
      <c r="U1745" s="18" t="inlineStr"/>
      <c r="V1745" s="19" t="inlineStr">
        <is>
          <t>Pendiente</t>
        </is>
      </c>
      <c r="W1745" s="19" t="inlineStr"/>
      <c r="X1745" s="19" t="inlineStr"/>
      <c r="Y1745" s="20" t="n"/>
      <c r="Z1745" s="19" t="inlineStr"/>
      <c r="AA1745" s="18">
        <f>IF(OR(V1745="Aprobada"),R1745,IF(AND(OR(V1745="Aprobada con ajuste",V1745="Rechazada"),W1745&lt;&gt;""),W1745,""))</f>
        <v/>
      </c>
    </row>
    <row r="1746">
      <c r="A1746" s="18" t="inlineStr">
        <is>
          <t>C1745</t>
        </is>
      </c>
      <c r="B1746" s="18" t="inlineStr">
        <is>
          <t>Control interno</t>
        </is>
      </c>
      <c r="C1746" s="18" t="inlineStr">
        <is>
          <t>control_interno</t>
        </is>
      </c>
      <c r="D1746" s="18" t="inlineStr">
        <is>
          <t>informe_ley</t>
        </is>
      </c>
      <c r="E1746" s="18" t="n">
        <v>16</v>
      </c>
      <c r="F1746" s="18" t="inlineStr">
        <is>
          <t>url_plantilla</t>
        </is>
      </c>
      <c r="G1746" s="18" t="inlineStr">
        <is>
          <t>character varying(500)</t>
        </is>
      </c>
      <c r="H1746" s="18" t="inlineStr">
        <is>
          <t>Sí</t>
        </is>
      </c>
      <c r="I1746" s="18" t="inlineStr"/>
      <c r="J1746" s="18" t="inlineStr"/>
      <c r="K1746" s="18" t="inlineStr"/>
      <c r="L1746" s="18" t="inlineStr">
        <is>
          <t>No</t>
        </is>
      </c>
      <c r="M1746" s="18" t="inlineStr">
        <is>
          <t>No</t>
        </is>
      </c>
      <c r="N1746" s="18" t="inlineStr"/>
      <c r="O1746" s="18" t="inlineStr"/>
      <c r="P1746" s="18" t="inlineStr">
        <is>
          <t>Mapeada en internal-institutional-control-service/src/esap/informes-ley/entities/informe-ley.entity.ts:72 (InformeLey.urlPlantilla) | Validación: IsOptional, IsString, Length(0, 500)</t>
        </is>
      </c>
      <c r="Q1746" s="18" t="inlineStr">
        <is>
          <t>Propuesta semántica</t>
        </is>
      </c>
      <c r="R1746" s="18" t="inlineStr">
        <is>
          <t>URL de la plantilla del informe.</t>
        </is>
      </c>
      <c r="S1746" s="18" t="inlineStr">
        <is>
          <t>Alta</t>
        </is>
      </c>
      <c r="T1746" s="18" t="inlineStr">
        <is>
          <t>nombre + columnas vecinas (tiene_plantilla) ~</t>
        </is>
      </c>
      <c r="U1746" s="18" t="inlineStr"/>
      <c r="V1746" s="19" t="inlineStr">
        <is>
          <t>Pendiente</t>
        </is>
      </c>
      <c r="W1746" s="19" t="inlineStr"/>
      <c r="X1746" s="19" t="inlineStr"/>
      <c r="Y1746" s="20" t="n"/>
      <c r="Z1746" s="19" t="inlineStr"/>
      <c r="AA1746" s="18">
        <f>IF(OR(V1746="Aprobada"),R1746,IF(AND(OR(V1746="Aprobada con ajuste",V1746="Rechazada"),W1746&lt;&gt;""),W1746,""))</f>
        <v/>
      </c>
    </row>
    <row r="1747">
      <c r="A1747" s="18" t="inlineStr">
        <is>
          <t>C1746</t>
        </is>
      </c>
      <c r="B1747" s="18" t="inlineStr">
        <is>
          <t>Control interno</t>
        </is>
      </c>
      <c r="C1747" s="18" t="inlineStr">
        <is>
          <t>control_interno</t>
        </is>
      </c>
      <c r="D1747" s="18" t="inlineStr">
        <is>
          <t>informe_ley</t>
        </is>
      </c>
      <c r="E1747" s="18" t="n">
        <v>16</v>
      </c>
      <c r="F1747" s="18" t="inlineStr">
        <is>
          <t>requiere_aprobacion</t>
        </is>
      </c>
      <c r="G1747" s="18" t="inlineStr">
        <is>
          <t>boolean</t>
        </is>
      </c>
      <c r="H1747" s="18" t="inlineStr">
        <is>
          <t>Sí</t>
        </is>
      </c>
      <c r="I1747" s="18" t="inlineStr"/>
      <c r="J1747" s="18" t="inlineStr"/>
      <c r="K1747" s="18" t="inlineStr"/>
      <c r="L1747" s="18" t="inlineStr">
        <is>
          <t>No</t>
        </is>
      </c>
      <c r="M1747" s="18" t="inlineStr">
        <is>
          <t>No</t>
        </is>
      </c>
      <c r="N1747" s="18" t="inlineStr"/>
      <c r="O1747" s="18" t="inlineStr"/>
      <c r="P1747" s="18" t="inlineStr">
        <is>
          <t>internal-institutional-control-service/src/esap/informes-ley/entities/informe-ley.entity.ts:76: Configuración | Validación: IsBoolean, IsOptional</t>
        </is>
      </c>
      <c r="Q1747" s="18" t="inlineStr">
        <is>
          <t>Código fuente</t>
        </is>
      </c>
      <c r="R1747" s="18" t="inlineStr">
        <is>
          <t>Indica si el informe requiere aprobación; por defecto verdadero.</t>
        </is>
      </c>
      <c r="S1747" s="18" t="inlineStr">
        <is>
          <t>Alta</t>
        </is>
      </c>
      <c r="T1747" s="18" t="inlineStr">
        <is>
          <t>nombre + tipo + columnas vecinas</t>
        </is>
      </c>
      <c r="U1747" s="18" t="inlineStr"/>
      <c r="V1747" s="19" t="inlineStr">
        <is>
          <t>Pendiente</t>
        </is>
      </c>
      <c r="W1747" s="19" t="inlineStr"/>
      <c r="X1747" s="19" t="inlineStr"/>
      <c r="Y1747" s="20" t="n"/>
      <c r="Z1747" s="19" t="inlineStr"/>
      <c r="AA1747" s="18">
        <f>IF(OR(V1747="Aprobada"),R1747,IF(AND(OR(V1747="Aprobada con ajuste",V1747="Rechazada"),W1747&lt;&gt;""),W1747,""))</f>
        <v/>
      </c>
    </row>
    <row r="1748">
      <c r="A1748" s="18" t="inlineStr">
        <is>
          <t>C1747</t>
        </is>
      </c>
      <c r="B1748" s="18" t="inlineStr">
        <is>
          <t>Control interno</t>
        </is>
      </c>
      <c r="C1748" s="18" t="inlineStr">
        <is>
          <t>control_interno</t>
        </is>
      </c>
      <c r="D1748" s="18" t="inlineStr">
        <is>
          <t>informe_ley</t>
        </is>
      </c>
      <c r="E1748" s="18" t="n">
        <v>16</v>
      </c>
      <c r="F1748" s="18" t="inlineStr">
        <is>
          <t>dias_anticipacion_alerta</t>
        </is>
      </c>
      <c r="G1748" s="18" t="inlineStr">
        <is>
          <t>integer</t>
        </is>
      </c>
      <c r="H1748" s="18" t="inlineStr">
        <is>
          <t>Sí</t>
        </is>
      </c>
      <c r="I1748" s="18" t="inlineStr"/>
      <c r="J1748" s="18" t="inlineStr"/>
      <c r="K1748" s="18" t="inlineStr"/>
      <c r="L1748" s="18" t="inlineStr">
        <is>
          <t>No</t>
        </is>
      </c>
      <c r="M1748" s="18" t="inlineStr">
        <is>
          <t>No</t>
        </is>
      </c>
      <c r="N1748" s="18" t="inlineStr"/>
      <c r="O1748" s="18" t="inlineStr"/>
      <c r="P1748" s="18" t="inlineStr">
        <is>
          <t>Mapeada en internal-institutional-control-service/src/esap/informes-ley/entities/informe-ley.entity.ts:79 (InformeLey.diasAnticipacionAlerta) | Validación: IsInt, IsOptional, Max(90), Min(0), Min(1)</t>
        </is>
      </c>
      <c r="Q1748" s="18" t="inlineStr">
        <is>
          <t>Propuesta semántica</t>
        </is>
      </c>
      <c r="R1748" s="18" t="inlineStr">
        <is>
          <t>Días de anticipación con que se alerta el vencimiento del informe; 7 por defecto.</t>
        </is>
      </c>
      <c r="S1748" s="18" t="inlineStr">
        <is>
          <t>Media</t>
        </is>
      </c>
      <c r="T1748" s="18" t="inlineStr">
        <is>
          <t>nombre + defecto 7 + validación Max(90)</t>
        </is>
      </c>
      <c r="U1748" s="18" t="inlineStr">
        <is>
          <t>¿El mínimo es 0 o 1? Las validaciones declaran Min(0) y Min(1).</t>
        </is>
      </c>
      <c r="V1748" s="19" t="inlineStr">
        <is>
          <t>Pendiente</t>
        </is>
      </c>
      <c r="W1748" s="19" t="inlineStr"/>
      <c r="X1748" s="19" t="inlineStr"/>
      <c r="Y1748" s="20" t="n"/>
      <c r="Z1748" s="19" t="inlineStr"/>
      <c r="AA1748" s="18">
        <f>IF(OR(V1748="Aprobada"),R1748,IF(AND(OR(V1748="Aprobada con ajuste",V1748="Rechazada"),W1748&lt;&gt;""),W1748,""))</f>
        <v/>
      </c>
    </row>
    <row r="1749">
      <c r="A1749" s="18" t="inlineStr">
        <is>
          <t>C1748</t>
        </is>
      </c>
      <c r="B1749" s="18" t="inlineStr">
        <is>
          <t>Control interno</t>
        </is>
      </c>
      <c r="C1749" s="18" t="inlineStr">
        <is>
          <t>control_interno</t>
        </is>
      </c>
      <c r="D1749" s="18" t="inlineStr">
        <is>
          <t>informe_ley</t>
        </is>
      </c>
      <c r="E1749" s="18" t="n">
        <v>16</v>
      </c>
      <c r="F1749" s="18" t="inlineStr">
        <is>
          <t>activo</t>
        </is>
      </c>
      <c r="G1749" s="18" t="inlineStr">
        <is>
          <t>boolean</t>
        </is>
      </c>
      <c r="H1749" s="18" t="inlineStr">
        <is>
          <t>Sí</t>
        </is>
      </c>
      <c r="I1749" s="18" t="inlineStr"/>
      <c r="J1749" s="18" t="inlineStr"/>
      <c r="K1749" s="18" t="inlineStr"/>
      <c r="L1749" s="18" t="inlineStr">
        <is>
          <t>No</t>
        </is>
      </c>
      <c r="M1749" s="18" t="inlineStr">
        <is>
          <t>No</t>
        </is>
      </c>
      <c r="N1749" s="18" t="inlineStr"/>
      <c r="O1749" s="18" t="inlineStr"/>
      <c r="P1749" s="18" t="inlineStr">
        <is>
          <t>Mapeada en internal-institutional-control-service/src/esap/informes-ley/entities/informe-ley.entity.ts:82 (InformeLey.activo) | Validación: IsBoolean, IsOptional</t>
        </is>
      </c>
      <c r="Q1749" s="18" t="inlineStr">
        <is>
          <t>Regla estructural</t>
        </is>
      </c>
      <c r="R1749" s="18" t="inlineStr">
        <is>
          <t>Indica si el registro está activo.</t>
        </is>
      </c>
      <c r="S1749" s="18" t="inlineStr">
        <is>
          <t>Media</t>
        </is>
      </c>
      <c r="T1749" s="18" t="inlineStr">
        <is>
          <t>Convención de nombre de la columna.</t>
        </is>
      </c>
      <c r="U1749" s="18" t="inlineStr"/>
      <c r="V1749" s="19" t="inlineStr">
        <is>
          <t>Pendiente</t>
        </is>
      </c>
      <c r="W1749" s="19" t="inlineStr"/>
      <c r="X1749" s="19" t="inlineStr"/>
      <c r="Y1749" s="20" t="n"/>
      <c r="Z1749" s="19" t="inlineStr"/>
      <c r="AA1749" s="18">
        <f>IF(OR(V1749="Aprobada"),R1749,IF(AND(OR(V1749="Aprobada con ajuste",V1749="Rechazada"),W1749&lt;&gt;""),W1749,""))</f>
        <v/>
      </c>
    </row>
    <row r="1750">
      <c r="A1750" s="18" t="inlineStr">
        <is>
          <t>C1749</t>
        </is>
      </c>
      <c r="B1750" s="18" t="inlineStr">
        <is>
          <t>Control interno</t>
        </is>
      </c>
      <c r="C1750" s="18" t="inlineStr">
        <is>
          <t>control_interno</t>
        </is>
      </c>
      <c r="D1750" s="18" t="inlineStr">
        <is>
          <t>integraciones_esap</t>
        </is>
      </c>
      <c r="E1750" s="18" t="n">
        <v>0</v>
      </c>
      <c r="F1750" s="18" t="inlineStr">
        <is>
          <t>nombre</t>
        </is>
      </c>
      <c r="G1750" s="18" t="inlineStr">
        <is>
          <t>character varying(255)</t>
        </is>
      </c>
      <c r="H1750" s="18" t="inlineStr">
        <is>
          <t>No</t>
        </is>
      </c>
      <c r="I1750" s="18" t="inlineStr"/>
      <c r="J1750" s="18" t="inlineStr"/>
      <c r="K1750" s="18" t="inlineStr"/>
      <c r="L1750" s="18" t="inlineStr">
        <is>
          <t>No</t>
        </is>
      </c>
      <c r="M1750" s="18" t="inlineStr">
        <is>
          <t>No</t>
        </is>
      </c>
      <c r="N1750" s="18" t="inlineStr"/>
      <c r="O1750" s="18" t="inlineStr"/>
      <c r="P1750" s="18" t="inlineStr"/>
      <c r="Q1750" s="18" t="inlineStr">
        <is>
          <t>Regla estructural</t>
        </is>
      </c>
      <c r="R1750" s="18" t="inlineStr">
        <is>
          <t>Nombre del registro de integraciones_esap.</t>
        </is>
      </c>
      <c r="S1750" s="18" t="inlineStr">
        <is>
          <t>Media</t>
        </is>
      </c>
      <c r="T1750" s="18" t="inlineStr">
        <is>
          <t>Convención de nombre de la columna.</t>
        </is>
      </c>
      <c r="U1750" s="18" t="inlineStr"/>
      <c r="V1750" s="19" t="inlineStr">
        <is>
          <t>Pendiente</t>
        </is>
      </c>
      <c r="W1750" s="19" t="inlineStr"/>
      <c r="X1750" s="19" t="inlineStr"/>
      <c r="Y1750" s="20" t="n"/>
      <c r="Z1750" s="19" t="inlineStr"/>
      <c r="AA1750" s="18">
        <f>IF(OR(V1750="Aprobada"),R1750,IF(AND(OR(V1750="Aprobada con ajuste",V1750="Rechazada"),W1750&lt;&gt;""),W1750,""))</f>
        <v/>
      </c>
    </row>
    <row r="1751">
      <c r="A1751" s="18" t="inlineStr">
        <is>
          <t>C1750</t>
        </is>
      </c>
      <c r="B1751" s="18" t="inlineStr">
        <is>
          <t>Control interno</t>
        </is>
      </c>
      <c r="C1751" s="18" t="inlineStr">
        <is>
          <t>control_interno</t>
        </is>
      </c>
      <c r="D1751" s="18" t="inlineStr">
        <is>
          <t>integraciones_esap</t>
        </is>
      </c>
      <c r="E1751" s="18" t="n">
        <v>0</v>
      </c>
      <c r="F1751" s="18" t="inlineStr">
        <is>
          <t>tipo</t>
        </is>
      </c>
      <c r="G1751" s="18" t="inlineStr">
        <is>
          <t>character varying(100)</t>
        </is>
      </c>
      <c r="H1751" s="18" t="inlineStr">
        <is>
          <t>No</t>
        </is>
      </c>
      <c r="I1751" s="18" t="inlineStr">
        <is>
          <t>CHECK</t>
        </is>
      </c>
      <c r="J1751" s="18" t="inlineStr">
        <is>
          <t>api, email, otro, sftp, webhook</t>
        </is>
      </c>
      <c r="K1751" s="18" t="inlineStr"/>
      <c r="L1751" s="18" t="inlineStr">
        <is>
          <t>Sí</t>
        </is>
      </c>
      <c r="M1751" s="18" t="inlineStr">
        <is>
          <t>No</t>
        </is>
      </c>
      <c r="N1751" s="18" t="inlineStr"/>
      <c r="O1751" s="18" t="inlineStr">
        <is>
          <t>idx_integraciones_tipo</t>
        </is>
      </c>
      <c r="P1751" s="18" t="inlineStr"/>
      <c r="Q1751" s="18" t="inlineStr">
        <is>
          <t>Regla estructural</t>
        </is>
      </c>
      <c r="R1751" s="18" t="inlineStr">
        <is>
          <t>Tipo del registro de integraciones_esap.</t>
        </is>
      </c>
      <c r="S1751" s="18" t="inlineStr">
        <is>
          <t>Media</t>
        </is>
      </c>
      <c r="T1751" s="18" t="inlineStr">
        <is>
          <t>Convención de nombre de la columna.</t>
        </is>
      </c>
      <c r="U1751" s="18" t="inlineStr"/>
      <c r="V1751" s="19" t="inlineStr">
        <is>
          <t>Pendiente</t>
        </is>
      </c>
      <c r="W1751" s="19" t="inlineStr"/>
      <c r="X1751" s="19" t="inlineStr"/>
      <c r="Y1751" s="20" t="n"/>
      <c r="Z1751" s="19" t="inlineStr"/>
      <c r="AA1751" s="18">
        <f>IF(OR(V1751="Aprobada"),R1751,IF(AND(OR(V1751="Aprobada con ajuste",V1751="Rechazada"),W1751&lt;&gt;""),W1751,""))</f>
        <v/>
      </c>
    </row>
    <row r="1752">
      <c r="A1752" s="18" t="inlineStr">
        <is>
          <t>C1751</t>
        </is>
      </c>
      <c r="B1752" s="18" t="inlineStr">
        <is>
          <t>Control interno</t>
        </is>
      </c>
      <c r="C1752" s="18" t="inlineStr">
        <is>
          <t>control_interno</t>
        </is>
      </c>
      <c r="D1752" s="18" t="inlineStr">
        <is>
          <t>integraciones_esap</t>
        </is>
      </c>
      <c r="E1752" s="18" t="n">
        <v>0</v>
      </c>
      <c r="F1752" s="18" t="inlineStr">
        <is>
          <t>configuracion</t>
        </is>
      </c>
      <c r="G1752" s="18" t="inlineStr">
        <is>
          <t>jsonb</t>
        </is>
      </c>
      <c r="H1752" s="18" t="inlineStr">
        <is>
          <t>No</t>
        </is>
      </c>
      <c r="I1752" s="18" t="inlineStr"/>
      <c r="J1752" s="18" t="inlineStr"/>
      <c r="K1752" s="18" t="inlineStr"/>
      <c r="L1752" s="18" t="inlineStr">
        <is>
          <t>No</t>
        </is>
      </c>
      <c r="M1752" s="18" t="inlineStr">
        <is>
          <t>No</t>
        </is>
      </c>
      <c r="N1752" s="18" t="inlineStr"/>
      <c r="O1752" s="18" t="inlineStr"/>
      <c r="P1752" s="18" t="inlineStr"/>
      <c r="Q1752" s="18" t="inlineStr">
        <is>
          <t>Propuesta semántica</t>
        </is>
      </c>
      <c r="R1752" s="18" t="inlineStr">
        <is>
          <t>Parámetros de configuración de la integración externa (conexión, credenciales o ajustes), en formato JSON.</t>
        </is>
      </c>
      <c r="S1752" s="18" t="inlineStr">
        <is>
          <t>Media</t>
        </is>
      </c>
      <c r="T1752" s="18" t="inlineStr">
        <is>
          <t>nombre + tipo + columnas vecinas</t>
        </is>
      </c>
      <c r="U1752" s="18" t="inlineStr">
        <is>
          <t>¿Qué estructura tiene el JSON de configuración y si guarda credenciales o secretos?</t>
        </is>
      </c>
      <c r="V1752" s="19" t="inlineStr">
        <is>
          <t>Pendiente</t>
        </is>
      </c>
      <c r="W1752" s="19" t="inlineStr"/>
      <c r="X1752" s="19" t="inlineStr"/>
      <c r="Y1752" s="20" t="n"/>
      <c r="Z1752" s="19" t="inlineStr"/>
      <c r="AA1752" s="18">
        <f>IF(OR(V1752="Aprobada"),R1752,IF(AND(OR(V1752="Aprobada con ajuste",V1752="Rechazada"),W1752&lt;&gt;""),W1752,""))</f>
        <v/>
      </c>
    </row>
    <row r="1753">
      <c r="A1753" s="18" t="inlineStr">
        <is>
          <t>C1752</t>
        </is>
      </c>
      <c r="B1753" s="18" t="inlineStr">
        <is>
          <t>Control interno</t>
        </is>
      </c>
      <c r="C1753" s="18" t="inlineStr">
        <is>
          <t>control_interno</t>
        </is>
      </c>
      <c r="D1753" s="18" t="inlineStr">
        <is>
          <t>integraciones_esap</t>
        </is>
      </c>
      <c r="E1753" s="18" t="n">
        <v>0</v>
      </c>
      <c r="F1753" s="18" t="inlineStr">
        <is>
          <t>activa</t>
        </is>
      </c>
      <c r="G1753" s="18" t="inlineStr">
        <is>
          <t>boolean</t>
        </is>
      </c>
      <c r="H1753" s="18" t="inlineStr">
        <is>
          <t>Sí</t>
        </is>
      </c>
      <c r="I1753" s="18" t="inlineStr"/>
      <c r="J1753" s="18" t="inlineStr"/>
      <c r="K1753" s="18" t="inlineStr"/>
      <c r="L1753" s="18" t="inlineStr">
        <is>
          <t>No</t>
        </is>
      </c>
      <c r="M1753" s="18" t="inlineStr">
        <is>
          <t>No</t>
        </is>
      </c>
      <c r="N1753" s="18" t="inlineStr"/>
      <c r="O1753" s="18" t="inlineStr">
        <is>
          <t>idx_integraciones_activa</t>
        </is>
      </c>
      <c r="P1753" s="18" t="inlineStr"/>
      <c r="Q1753" s="18" t="inlineStr">
        <is>
          <t>Regla estructural</t>
        </is>
      </c>
      <c r="R1753" s="18" t="inlineStr">
        <is>
          <t>Indica si el registro está activo.</t>
        </is>
      </c>
      <c r="S1753" s="18" t="inlineStr">
        <is>
          <t>Media</t>
        </is>
      </c>
      <c r="T1753" s="18" t="inlineStr">
        <is>
          <t>Convención de nombre de la columna.</t>
        </is>
      </c>
      <c r="U1753" s="18" t="inlineStr"/>
      <c r="V1753" s="19" t="inlineStr">
        <is>
          <t>Pendiente</t>
        </is>
      </c>
      <c r="W1753" s="19" t="inlineStr"/>
      <c r="X1753" s="19" t="inlineStr"/>
      <c r="Y1753" s="20" t="n"/>
      <c r="Z1753" s="19" t="inlineStr"/>
      <c r="AA1753" s="18">
        <f>IF(OR(V1753="Aprobada"),R1753,IF(AND(OR(V1753="Aprobada con ajuste",V1753="Rechazada"),W1753&lt;&gt;""),W1753,""))</f>
        <v/>
      </c>
    </row>
    <row r="1754">
      <c r="A1754" s="18" t="inlineStr">
        <is>
          <t>C1753</t>
        </is>
      </c>
      <c r="B1754" s="18" t="inlineStr">
        <is>
          <t>Control interno</t>
        </is>
      </c>
      <c r="C1754" s="18" t="inlineStr">
        <is>
          <t>control_interno</t>
        </is>
      </c>
      <c r="D1754" s="18" t="inlineStr">
        <is>
          <t>integraciones_esap</t>
        </is>
      </c>
      <c r="E1754" s="18" t="n">
        <v>0</v>
      </c>
      <c r="F1754" s="18" t="inlineStr">
        <is>
          <t>ultima_sincronizacion</t>
        </is>
      </c>
      <c r="G1754" s="18" t="inlineStr">
        <is>
          <t>timestamp without time zone</t>
        </is>
      </c>
      <c r="H1754" s="18" t="inlineStr">
        <is>
          <t>Sí</t>
        </is>
      </c>
      <c r="I1754" s="18" t="inlineStr"/>
      <c r="J1754" s="18" t="inlineStr"/>
      <c r="K1754" s="18" t="inlineStr"/>
      <c r="L1754" s="18" t="inlineStr">
        <is>
          <t>No</t>
        </is>
      </c>
      <c r="M1754" s="18" t="inlineStr">
        <is>
          <t>No</t>
        </is>
      </c>
      <c r="N1754" s="18" t="inlineStr"/>
      <c r="O1754" s="18" t="inlineStr"/>
      <c r="P1754" s="18" t="inlineStr"/>
      <c r="Q1754" s="18" t="inlineStr">
        <is>
          <t>Propuesta semántica</t>
        </is>
      </c>
      <c r="R1754" s="18" t="inlineStr">
        <is>
          <t>Fecha y hora de la última sincronización ejecutada con la integración externa.</t>
        </is>
      </c>
      <c r="S1754" s="18" t="inlineStr">
        <is>
          <t>Alta</t>
        </is>
      </c>
      <c r="T1754" s="18" t="inlineStr">
        <is>
          <t>nombre + tipo + columnas vecinas</t>
        </is>
      </c>
      <c r="U1754" s="18" t="inlineStr"/>
      <c r="V1754" s="19" t="inlineStr">
        <is>
          <t>Pendiente</t>
        </is>
      </c>
      <c r="W1754" s="19" t="inlineStr"/>
      <c r="X1754" s="19" t="inlineStr"/>
      <c r="Y1754" s="20" t="n"/>
      <c r="Z1754" s="19" t="inlineStr"/>
      <c r="AA1754" s="18">
        <f>IF(OR(V1754="Aprobada"),R1754,IF(AND(OR(V1754="Aprobada con ajuste",V1754="Rechazada"),W1754&lt;&gt;""),W1754,""))</f>
        <v/>
      </c>
    </row>
    <row r="1755">
      <c r="A1755" s="18" t="inlineStr">
        <is>
          <t>C1754</t>
        </is>
      </c>
      <c r="B1755" s="18" t="inlineStr">
        <is>
          <t>Control interno</t>
        </is>
      </c>
      <c r="C1755" s="18" t="inlineStr">
        <is>
          <t>control_interno</t>
        </is>
      </c>
      <c r="D1755" s="18" t="inlineStr">
        <is>
          <t>lista_aplicada</t>
        </is>
      </c>
      <c r="E1755" s="18" t="n">
        <v>0</v>
      </c>
      <c r="F1755" s="18" t="inlineStr">
        <is>
          <t>lista_chequeo_id</t>
        </is>
      </c>
      <c r="G1755" s="18" t="inlineStr">
        <is>
          <t>uuid</t>
        </is>
      </c>
      <c r="H1755" s="18" t="inlineStr">
        <is>
          <t>No</t>
        </is>
      </c>
      <c r="I1755" s="18" t="inlineStr"/>
      <c r="J1755" s="18" t="inlineStr"/>
      <c r="K1755" s="18" t="inlineStr"/>
      <c r="L1755" s="18" t="inlineStr">
        <is>
          <t>No</t>
        </is>
      </c>
      <c r="M1755" s="18" t="inlineStr">
        <is>
          <t>No</t>
        </is>
      </c>
      <c r="N1755" s="18" t="inlineStr"/>
      <c r="O1755" s="18" t="inlineStr"/>
      <c r="P1755" s="18" t="inlineStr"/>
      <c r="Q1755" s="18" t="inlineStr">
        <is>
          <t>Propuesta semántica</t>
        </is>
      </c>
      <c r="R1755" s="18" t="inlineStr">
        <is>
          <t>Identificador de la lista de chequeo aplicada (control_interno.lista_chequeo).</t>
        </is>
      </c>
      <c r="S1755" s="18" t="inlineStr">
        <is>
          <t>Media</t>
        </is>
      </c>
      <c r="T1755" s="18" t="inlineStr">
        <is>
          <t>nombre + tipo + columnas vecinas</t>
        </is>
      </c>
      <c r="U1755" s="18" t="inlineStr">
        <is>
          <t>¿Se puede declarar la FK hacia control_interno.lista_chequeo(id)?</t>
        </is>
      </c>
      <c r="V1755" s="19" t="inlineStr">
        <is>
          <t>Pendiente</t>
        </is>
      </c>
      <c r="W1755" s="19" t="inlineStr"/>
      <c r="X1755" s="19" t="inlineStr"/>
      <c r="Y1755" s="20" t="n"/>
      <c r="Z1755" s="19" t="inlineStr"/>
      <c r="AA1755" s="18">
        <f>IF(OR(V1755="Aprobada"),R1755,IF(AND(OR(V1755="Aprobada con ajuste",V1755="Rechazada"),W1755&lt;&gt;""),W1755,""))</f>
        <v/>
      </c>
    </row>
    <row r="1756">
      <c r="A1756" s="18" t="inlineStr">
        <is>
          <t>C1755</t>
        </is>
      </c>
      <c r="B1756" s="18" t="inlineStr">
        <is>
          <t>Control interno</t>
        </is>
      </c>
      <c r="C1756" s="18" t="inlineStr">
        <is>
          <t>control_interno</t>
        </is>
      </c>
      <c r="D1756" s="18" t="inlineStr">
        <is>
          <t>lista_aplicada</t>
        </is>
      </c>
      <c r="E1756" s="18" t="n">
        <v>0</v>
      </c>
      <c r="F1756" s="18" t="inlineStr">
        <is>
          <t>lista_chequeo_codigo</t>
        </is>
      </c>
      <c r="G1756" s="18" t="inlineStr">
        <is>
          <t>character varying(255)</t>
        </is>
      </c>
      <c r="H1756" s="18" t="inlineStr">
        <is>
          <t>No</t>
        </is>
      </c>
      <c r="I1756" s="18" t="inlineStr"/>
      <c r="J1756" s="18" t="inlineStr"/>
      <c r="K1756" s="18" t="inlineStr"/>
      <c r="L1756" s="18" t="inlineStr">
        <is>
          <t>No</t>
        </is>
      </c>
      <c r="M1756" s="18" t="inlineStr">
        <is>
          <t>No</t>
        </is>
      </c>
      <c r="N1756" s="18" t="inlineStr"/>
      <c r="O1756" s="18" t="inlineStr"/>
      <c r="P1756" s="18" t="inlineStr"/>
      <c r="Q1756" s="18" t="inlineStr">
        <is>
          <t>Propuesta semántica</t>
        </is>
      </c>
      <c r="R1756" s="18" t="inlineStr">
        <is>
          <t>Código de la lista de chequeo aplicada, copiado al momento de la aplicación.</t>
        </is>
      </c>
      <c r="S1756" s="18" t="inlineStr">
        <is>
          <t>Media</t>
        </is>
      </c>
      <c r="T1756" s="18" t="inlineStr">
        <is>
          <t>nombre + tipo + columnas vecinas</t>
        </is>
      </c>
      <c r="U1756" s="18" t="inlineStr">
        <is>
          <t>¿Es una copia del código de lista_chequeo al aplicar o se actualiza si cambia la lista?</t>
        </is>
      </c>
      <c r="V1756" s="19" t="inlineStr">
        <is>
          <t>Pendiente</t>
        </is>
      </c>
      <c r="W1756" s="19" t="inlineStr"/>
      <c r="X1756" s="19" t="inlineStr"/>
      <c r="Y1756" s="20" t="n"/>
      <c r="Z1756" s="19" t="inlineStr"/>
      <c r="AA1756" s="18">
        <f>IF(OR(V1756="Aprobada"),R1756,IF(AND(OR(V1756="Aprobada con ajuste",V1756="Rechazada"),W1756&lt;&gt;""),W1756,""))</f>
        <v/>
      </c>
    </row>
    <row r="1757">
      <c r="A1757" s="18" t="inlineStr">
        <is>
          <t>C1756</t>
        </is>
      </c>
      <c r="B1757" s="18" t="inlineStr">
        <is>
          <t>Control interno</t>
        </is>
      </c>
      <c r="C1757" s="18" t="inlineStr">
        <is>
          <t>control_interno</t>
        </is>
      </c>
      <c r="D1757" s="18" t="inlineStr">
        <is>
          <t>lista_aplicada</t>
        </is>
      </c>
      <c r="E1757" s="18" t="n">
        <v>0</v>
      </c>
      <c r="F1757" s="18" t="inlineStr">
        <is>
          <t>lista_chequeo_nombre</t>
        </is>
      </c>
      <c r="G1757" s="18" t="inlineStr">
        <is>
          <t>character varying(255)</t>
        </is>
      </c>
      <c r="H1757" s="18" t="inlineStr">
        <is>
          <t>No</t>
        </is>
      </c>
      <c r="I1757" s="18" t="inlineStr"/>
      <c r="J1757" s="18" t="inlineStr"/>
      <c r="K1757" s="18" t="inlineStr"/>
      <c r="L1757" s="18" t="inlineStr">
        <is>
          <t>No</t>
        </is>
      </c>
      <c r="M1757" s="18" t="inlineStr">
        <is>
          <t>No</t>
        </is>
      </c>
      <c r="N1757" s="18" t="inlineStr"/>
      <c r="O1757" s="18" t="inlineStr"/>
      <c r="P1757" s="18" t="inlineStr"/>
      <c r="Q1757" s="18" t="inlineStr">
        <is>
          <t>Propuesta semántica</t>
        </is>
      </c>
      <c r="R1757" s="18" t="inlineStr">
        <is>
          <t>Nombre de la lista de chequeo aplicada, copiado al momento de la aplicación.</t>
        </is>
      </c>
      <c r="S1757" s="18" t="inlineStr">
        <is>
          <t>Media</t>
        </is>
      </c>
      <c r="T1757" s="18" t="inlineStr">
        <is>
          <t>nombre + tipo + columnas vecinas</t>
        </is>
      </c>
      <c r="U1757" s="18" t="inlineStr">
        <is>
          <t>¿Es una copia del nombre de lista_chequeo al aplicar o se actualiza si cambia la lista?</t>
        </is>
      </c>
      <c r="V1757" s="19" t="inlineStr">
        <is>
          <t>Pendiente</t>
        </is>
      </c>
      <c r="W1757" s="19" t="inlineStr"/>
      <c r="X1757" s="19" t="inlineStr"/>
      <c r="Y1757" s="20" t="n"/>
      <c r="Z1757" s="19" t="inlineStr"/>
      <c r="AA1757" s="18">
        <f>IF(OR(V1757="Aprobada"),R1757,IF(AND(OR(V1757="Aprobada con ajuste",V1757="Rechazada"),W1757&lt;&gt;""),W1757,""))</f>
        <v/>
      </c>
    </row>
    <row r="1758">
      <c r="A1758" s="18" t="inlineStr">
        <is>
          <t>C1757</t>
        </is>
      </c>
      <c r="B1758" s="18" t="inlineStr">
        <is>
          <t>Control interno</t>
        </is>
      </c>
      <c r="C1758" s="18" t="inlineStr">
        <is>
          <t>control_interno</t>
        </is>
      </c>
      <c r="D1758" s="18" t="inlineStr">
        <is>
          <t>lista_aplicada</t>
        </is>
      </c>
      <c r="E1758" s="18" t="n">
        <v>0</v>
      </c>
      <c r="F1758" s="18" t="inlineStr">
        <is>
          <t>auditoria_id</t>
        </is>
      </c>
      <c r="G1758" s="18" t="inlineStr">
        <is>
          <t>character varying(255)</t>
        </is>
      </c>
      <c r="H1758" s="18" t="inlineStr">
        <is>
          <t>No</t>
        </is>
      </c>
      <c r="I1758" s="18" t="inlineStr"/>
      <c r="J1758" s="18" t="inlineStr"/>
      <c r="K1758" s="18" t="inlineStr"/>
      <c r="L1758" s="18" t="inlineStr">
        <is>
          <t>No</t>
        </is>
      </c>
      <c r="M1758" s="18" t="inlineStr">
        <is>
          <t>No</t>
        </is>
      </c>
      <c r="N1758" s="18" t="inlineStr"/>
      <c r="O1758" s="18" t="inlineStr">
        <is>
          <t>idx_lista_aplicada_auditoria</t>
        </is>
      </c>
      <c r="P1758" s="18" t="inlineStr"/>
      <c r="Q1758" s="18" t="inlineStr">
        <is>
          <t>Propuesta semántica</t>
        </is>
      </c>
      <c r="R1758" s="18" t="inlineStr">
        <is>
          <t>Identificador de la auditoría en la que se aplicó la lista de chequeo.</t>
        </is>
      </c>
      <c r="S1758" s="18" t="inlineStr">
        <is>
          <t>Media</t>
        </is>
      </c>
      <c r="T1758" s="18" t="inlineStr">
        <is>
          <t>nombre + tipo + columnas vecinas</t>
        </is>
      </c>
      <c r="U1758" s="18" t="inlineStr">
        <is>
          <t>¿A qué tabla de auditorías apunta este identificador (texto) y por qué no es uuid con FK?</t>
        </is>
      </c>
      <c r="V1758" s="19" t="inlineStr">
        <is>
          <t>Pendiente</t>
        </is>
      </c>
      <c r="W1758" s="19" t="inlineStr"/>
      <c r="X1758" s="19" t="inlineStr"/>
      <c r="Y1758" s="20" t="n"/>
      <c r="Z1758" s="19" t="inlineStr"/>
      <c r="AA1758" s="18">
        <f>IF(OR(V1758="Aprobada"),R1758,IF(AND(OR(V1758="Aprobada con ajuste",V1758="Rechazada"),W1758&lt;&gt;""),W1758,""))</f>
        <v/>
      </c>
    </row>
    <row r="1759">
      <c r="A1759" s="18" t="inlineStr">
        <is>
          <t>C1758</t>
        </is>
      </c>
      <c r="B1759" s="18" t="inlineStr">
        <is>
          <t>Control interno</t>
        </is>
      </c>
      <c r="C1759" s="18" t="inlineStr">
        <is>
          <t>control_interno</t>
        </is>
      </c>
      <c r="D1759" s="18" t="inlineStr">
        <is>
          <t>lista_aplicada</t>
        </is>
      </c>
      <c r="E1759" s="18" t="n">
        <v>0</v>
      </c>
      <c r="F1759" s="18" t="inlineStr">
        <is>
          <t>fecha_aplicacion</t>
        </is>
      </c>
      <c r="G1759" s="18" t="inlineStr">
        <is>
          <t>date</t>
        </is>
      </c>
      <c r="H1759" s="18" t="inlineStr">
        <is>
          <t>No</t>
        </is>
      </c>
      <c r="I1759" s="18" t="inlineStr"/>
      <c r="J1759" s="18" t="inlineStr"/>
      <c r="K1759" s="18" t="inlineStr"/>
      <c r="L1759" s="18" t="inlineStr">
        <is>
          <t>No</t>
        </is>
      </c>
      <c r="M1759" s="18" t="inlineStr">
        <is>
          <t>No</t>
        </is>
      </c>
      <c r="N1759" s="18" t="inlineStr"/>
      <c r="O1759" s="18" t="inlineStr">
        <is>
          <t>idx_lista_aplicada_fecha</t>
        </is>
      </c>
      <c r="P1759" s="18" t="inlineStr"/>
      <c r="Q1759" s="18" t="inlineStr">
        <is>
          <t>Regla estructural</t>
        </is>
      </c>
      <c r="R1759" s="18" t="inlineStr">
        <is>
          <t>Fecha de aplicación.</t>
        </is>
      </c>
      <c r="S1759" s="18" t="inlineStr">
        <is>
          <t>Media</t>
        </is>
      </c>
      <c r="T1759" s="18" t="inlineStr">
        <is>
          <t>Convención de nombre de la columna.</t>
        </is>
      </c>
      <c r="U1759" s="18" t="inlineStr"/>
      <c r="V1759" s="19" t="inlineStr">
        <is>
          <t>Pendiente</t>
        </is>
      </c>
      <c r="W1759" s="19" t="inlineStr"/>
      <c r="X1759" s="19" t="inlineStr"/>
      <c r="Y1759" s="20" t="n"/>
      <c r="Z1759" s="19" t="inlineStr"/>
      <c r="AA1759" s="18">
        <f>IF(OR(V1759="Aprobada"),R1759,IF(AND(OR(V1759="Aprobada con ajuste",V1759="Rechazada"),W1759&lt;&gt;""),W1759,""))</f>
        <v/>
      </c>
    </row>
    <row r="1760">
      <c r="A1760" s="18" t="inlineStr">
        <is>
          <t>C1759</t>
        </is>
      </c>
      <c r="B1760" s="18" t="inlineStr">
        <is>
          <t>Control interno</t>
        </is>
      </c>
      <c r="C1760" s="18" t="inlineStr">
        <is>
          <t>control_interno</t>
        </is>
      </c>
      <c r="D1760" s="18" t="inlineStr">
        <is>
          <t>lista_aplicada</t>
        </is>
      </c>
      <c r="E1760" s="18" t="n">
        <v>0</v>
      </c>
      <c r="F1760" s="18" t="inlineStr">
        <is>
          <t>aplicado_por</t>
        </is>
      </c>
      <c r="G1760" s="18" t="inlineStr">
        <is>
          <t>character varying(255)</t>
        </is>
      </c>
      <c r="H1760" s="18" t="inlineStr">
        <is>
          <t>No</t>
        </is>
      </c>
      <c r="I1760" s="18" t="inlineStr"/>
      <c r="J1760" s="18" t="inlineStr"/>
      <c r="K1760" s="18" t="inlineStr"/>
      <c r="L1760" s="18" t="inlineStr">
        <is>
          <t>No</t>
        </is>
      </c>
      <c r="M1760" s="18" t="inlineStr">
        <is>
          <t>No</t>
        </is>
      </c>
      <c r="N1760" s="18" t="inlineStr"/>
      <c r="O1760" s="18" t="inlineStr"/>
      <c r="P1760" s="18" t="inlineStr"/>
      <c r="Q1760" s="18" t="inlineStr">
        <is>
          <t>Propuesta semántica</t>
        </is>
      </c>
      <c r="R1760" s="18" t="inlineStr">
        <is>
          <t>Usuario que aplicó la lista de chequeo.</t>
        </is>
      </c>
      <c r="S1760" s="18" t="inlineStr">
        <is>
          <t>Media</t>
        </is>
      </c>
      <c r="T1760" s="18" t="inlineStr">
        <is>
          <t>nombre + tipo + columnas vecinas</t>
        </is>
      </c>
      <c r="U1760" s="18" t="inlineStr">
        <is>
          <t>¿Guarda el identificador, el nombre o el correo del usuario?</t>
        </is>
      </c>
      <c r="V1760" s="19" t="inlineStr">
        <is>
          <t>Pendiente</t>
        </is>
      </c>
      <c r="W1760" s="19" t="inlineStr"/>
      <c r="X1760" s="19" t="inlineStr"/>
      <c r="Y1760" s="20" t="n"/>
      <c r="Z1760" s="19" t="inlineStr"/>
      <c r="AA1760" s="18">
        <f>IF(OR(V1760="Aprobada"),R1760,IF(AND(OR(V1760="Aprobada con ajuste",V1760="Rechazada"),W1760&lt;&gt;""),W1760,""))</f>
        <v/>
      </c>
    </row>
    <row r="1761">
      <c r="A1761" s="18" t="inlineStr">
        <is>
          <t>C1760</t>
        </is>
      </c>
      <c r="B1761" s="18" t="inlineStr">
        <is>
          <t>Control interno</t>
        </is>
      </c>
      <c r="C1761" s="18" t="inlineStr">
        <is>
          <t>control_interno</t>
        </is>
      </c>
      <c r="D1761" s="18" t="inlineStr">
        <is>
          <t>lista_aplicada</t>
        </is>
      </c>
      <c r="E1761" s="18" t="n">
        <v>0</v>
      </c>
      <c r="F1761" s="18" t="inlineStr">
        <is>
          <t>respuestas</t>
        </is>
      </c>
      <c r="G1761" s="18" t="inlineStr">
        <is>
          <t>jsonb</t>
        </is>
      </c>
      <c r="H1761" s="18" t="inlineStr">
        <is>
          <t>No</t>
        </is>
      </c>
      <c r="I1761" s="18" t="inlineStr"/>
      <c r="J1761" s="18" t="inlineStr"/>
      <c r="K1761" s="18" t="inlineStr"/>
      <c r="L1761" s="18" t="inlineStr">
        <is>
          <t>No</t>
        </is>
      </c>
      <c r="M1761" s="18" t="inlineStr">
        <is>
          <t>No</t>
        </is>
      </c>
      <c r="N1761" s="18" t="inlineStr"/>
      <c r="O1761" s="18" t="inlineStr"/>
      <c r="P1761" s="18" t="inlineStr"/>
      <c r="Q1761" s="18" t="inlineStr">
        <is>
          <t>Propuesta semántica</t>
        </is>
      </c>
      <c r="R1761" s="18" t="inlineStr">
        <is>
          <t>Respuestas registradas a cada ítem de la lista de chequeo, en formato JSON.</t>
        </is>
      </c>
      <c r="S1761" s="18" t="inlineStr">
        <is>
          <t>Media</t>
        </is>
      </c>
      <c r="T1761" s="18" t="inlineStr">
        <is>
          <t>nombre + tipo + columnas vecinas</t>
        </is>
      </c>
      <c r="U1761" s="18" t="inlineStr">
        <is>
          <t>¿Qué estructura tiene cada respuesta (ítem, valor, observación, evidencia)?</t>
        </is>
      </c>
      <c r="V1761" s="19" t="inlineStr">
        <is>
          <t>Pendiente</t>
        </is>
      </c>
      <c r="W1761" s="19" t="inlineStr"/>
      <c r="X1761" s="19" t="inlineStr"/>
      <c r="Y1761" s="20" t="n"/>
      <c r="Z1761" s="19" t="inlineStr"/>
      <c r="AA1761" s="18">
        <f>IF(OR(V1761="Aprobada"),R1761,IF(AND(OR(V1761="Aprobada con ajuste",V1761="Rechazada"),W1761&lt;&gt;""),W1761,""))</f>
        <v/>
      </c>
    </row>
    <row r="1762">
      <c r="A1762" s="18" t="inlineStr">
        <is>
          <t>C1761</t>
        </is>
      </c>
      <c r="B1762" s="18" t="inlineStr">
        <is>
          <t>Control interno</t>
        </is>
      </c>
      <c r="C1762" s="18" t="inlineStr">
        <is>
          <t>control_interno</t>
        </is>
      </c>
      <c r="D1762" s="18" t="inlineStr">
        <is>
          <t>lista_aplicada</t>
        </is>
      </c>
      <c r="E1762" s="18" t="n">
        <v>0</v>
      </c>
      <c r="F1762" s="18" t="inlineStr">
        <is>
          <t>resultado</t>
        </is>
      </c>
      <c r="G1762" s="18" t="inlineStr">
        <is>
          <t>jsonb</t>
        </is>
      </c>
      <c r="H1762" s="18" t="inlineStr">
        <is>
          <t>No</t>
        </is>
      </c>
      <c r="I1762" s="18" t="inlineStr"/>
      <c r="J1762" s="18" t="inlineStr"/>
      <c r="K1762" s="18" t="inlineStr"/>
      <c r="L1762" s="18" t="inlineStr">
        <is>
          <t>No</t>
        </is>
      </c>
      <c r="M1762" s="18" t="inlineStr">
        <is>
          <t>No</t>
        </is>
      </c>
      <c r="N1762" s="18" t="inlineStr"/>
      <c r="O1762" s="18" t="inlineStr"/>
      <c r="P1762" s="18" t="inlineStr"/>
      <c r="Q1762" s="18" t="inlineStr">
        <is>
          <t>Propuesta semántica</t>
        </is>
      </c>
      <c r="R1762" s="18" t="inlineStr">
        <is>
          <t>Resultado consolidado de la aplicación de la lista de chequeo (cumplimiento, no cumplimientos, hallazgos), en formato JSON.</t>
        </is>
      </c>
      <c r="S1762" s="18" t="inlineStr">
        <is>
          <t>Media</t>
        </is>
      </c>
      <c r="T1762" s="18" t="inlineStr">
        <is>
          <t>nombre + tipo + columnas vecinas</t>
        </is>
      </c>
      <c r="U1762" s="18" t="inlineStr">
        <is>
          <t>¿Qué campos componen el JSON de resultado?</t>
        </is>
      </c>
      <c r="V1762" s="19" t="inlineStr">
        <is>
          <t>Pendiente</t>
        </is>
      </c>
      <c r="W1762" s="19" t="inlineStr"/>
      <c r="X1762" s="19" t="inlineStr"/>
      <c r="Y1762" s="20" t="n"/>
      <c r="Z1762" s="19" t="inlineStr"/>
      <c r="AA1762" s="18">
        <f>IF(OR(V1762="Aprobada"),R1762,IF(AND(OR(V1762="Aprobada con ajuste",V1762="Rechazada"),W1762&lt;&gt;""),W1762,""))</f>
        <v/>
      </c>
    </row>
    <row r="1763">
      <c r="A1763" s="18" t="inlineStr">
        <is>
          <t>C1762</t>
        </is>
      </c>
      <c r="B1763" s="18" t="inlineStr">
        <is>
          <t>Control interno</t>
        </is>
      </c>
      <c r="C1763" s="18" t="inlineStr">
        <is>
          <t>control_interno</t>
        </is>
      </c>
      <c r="D1763" s="18" t="inlineStr">
        <is>
          <t>lista_chequeo</t>
        </is>
      </c>
      <c r="E1763" s="18" t="n">
        <v>71</v>
      </c>
      <c r="F1763" s="18" t="inlineStr">
        <is>
          <t>auditoria_id</t>
        </is>
      </c>
      <c r="G1763" s="18" t="inlineStr">
        <is>
          <t>uuid</t>
        </is>
      </c>
      <c r="H1763" s="18" t="inlineStr">
        <is>
          <t>Sí</t>
        </is>
      </c>
      <c r="I1763" s="18" t="inlineStr"/>
      <c r="J1763" s="18" t="inlineStr"/>
      <c r="K1763" s="18" t="inlineStr"/>
      <c r="L1763" s="18" t="inlineStr">
        <is>
          <t>No</t>
        </is>
      </c>
      <c r="M1763" s="18" t="inlineStr">
        <is>
          <t>No</t>
        </is>
      </c>
      <c r="N1763" s="18" t="inlineStr"/>
      <c r="O1763" s="18" t="inlineStr">
        <is>
          <t>idx_lista_chequeo_auditoria_id</t>
        </is>
      </c>
      <c r="P1763" s="18" t="inlineStr">
        <is>
          <t>internal-institutional-control-service/src/esap/listas-chequeo/entities/lista-chequeo.entity.ts:138: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IsNotEmpty, IsOptional, IsString, IsUUID</t>
        </is>
      </c>
      <c r="Q1763" s="18" t="inlineStr">
        <is>
          <t>Código fuente</t>
        </is>
      </c>
      <c r="R1763" s="18" t="inlineStr">
        <is>
          <t>Identificador (UUID) de la auditoría a la que se aplica la lista de chequeo.</t>
        </is>
      </c>
      <c r="S1763" s="18" t="inlineStr">
        <is>
          <t>Media</t>
        </is>
      </c>
      <c r="T1763" s="18" t="inlineStr">
        <is>
          <t>nombre + tipo + columnas vecinas</t>
        </is>
      </c>
      <c r="U1763" s="18" t="inlineStr">
        <is>
          <t>¿Referencia control_interno.auditoria.id? No tiene FK declarada.</t>
        </is>
      </c>
      <c r="V1763" s="19" t="inlineStr">
        <is>
          <t>Pendiente</t>
        </is>
      </c>
      <c r="W1763" s="19" t="inlineStr"/>
      <c r="X1763" s="19" t="inlineStr"/>
      <c r="Y1763" s="20" t="n"/>
      <c r="Z1763" s="19" t="inlineStr"/>
      <c r="AA1763" s="18">
        <f>IF(OR(V1763="Aprobada"),R1763,IF(AND(OR(V1763="Aprobada con ajuste",V1763="Rechazada"),W1763&lt;&gt;""),W1763,""))</f>
        <v/>
      </c>
    </row>
    <row r="1764">
      <c r="A1764" s="18" t="inlineStr">
        <is>
          <t>C1763</t>
        </is>
      </c>
      <c r="B1764" s="18" t="inlineStr">
        <is>
          <t>Control interno</t>
        </is>
      </c>
      <c r="C1764" s="18" t="inlineStr">
        <is>
          <t>control_interno</t>
        </is>
      </c>
      <c r="D1764" s="18" t="inlineStr">
        <is>
          <t>lista_chequeo</t>
        </is>
      </c>
      <c r="E1764" s="18" t="n">
        <v>71</v>
      </c>
      <c r="F1764" s="18" t="inlineStr">
        <is>
          <t>nombre_auditoria</t>
        </is>
      </c>
      <c r="G1764" s="18" t="inlineStr">
        <is>
          <t>character varying(500)</t>
        </is>
      </c>
      <c r="H1764" s="18" t="inlineStr">
        <is>
          <t>Sí</t>
        </is>
      </c>
      <c r="I1764" s="18" t="inlineStr"/>
      <c r="J1764" s="18" t="inlineStr"/>
      <c r="K1764" s="18" t="inlineStr"/>
      <c r="L1764" s="18" t="inlineStr">
        <is>
          <t>No</t>
        </is>
      </c>
      <c r="M1764" s="18" t="inlineStr">
        <is>
          <t>No</t>
        </is>
      </c>
      <c r="N1764" s="18" t="inlineStr"/>
      <c r="O1764" s="18" t="inlineStr"/>
      <c r="P1764" s="18" t="inlineStr">
        <is>
          <t>internal-institutional-control-service/src/esap/listas-chequeo/entities/lista-chequeo.entity.ts:141: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764" s="18" t="inlineStr">
        <is>
          <t>Código fuente</t>
        </is>
      </c>
      <c r="R1764" s="18" t="inlineStr">
        <is>
          <t>Nombre de la auditoría a la que se aplica la lista de chequeo.</t>
        </is>
      </c>
      <c r="S1764" s="18" t="inlineStr">
        <is>
          <t>Media</t>
        </is>
      </c>
      <c r="T1764" s="18" t="inlineStr">
        <is>
          <t>nombre + tipo + columnas vecinas (auditoria_id)</t>
        </is>
      </c>
      <c r="U1764" s="18" t="inlineStr">
        <is>
          <t>¿Se copia de auditoria.nombre al aplicar la lista o se diligencia manualmente?</t>
        </is>
      </c>
      <c r="V1764" s="19" t="inlineStr">
        <is>
          <t>Pendiente</t>
        </is>
      </c>
      <c r="W1764" s="19" t="inlineStr"/>
      <c r="X1764" s="19" t="inlineStr"/>
      <c r="Y1764" s="20" t="n"/>
      <c r="Z1764" s="19" t="inlineStr"/>
      <c r="AA1764" s="18">
        <f>IF(OR(V1764="Aprobada"),R1764,IF(AND(OR(V1764="Aprobada con ajuste",V1764="Rechazada"),W1764&lt;&gt;""),W1764,""))</f>
        <v/>
      </c>
    </row>
    <row r="1765">
      <c r="A1765" s="18" t="inlineStr">
        <is>
          <t>C1764</t>
        </is>
      </c>
      <c r="B1765" s="18" t="inlineStr">
        <is>
          <t>Control interno</t>
        </is>
      </c>
      <c r="C1765" s="18" t="inlineStr">
        <is>
          <t>control_interno</t>
        </is>
      </c>
      <c r="D1765" s="18" t="inlineStr">
        <is>
          <t>lista_chequeo</t>
        </is>
      </c>
      <c r="E1765" s="18" t="n">
        <v>71</v>
      </c>
      <c r="F1765" s="18" t="inlineStr">
        <is>
          <t>auditor_responsable</t>
        </is>
      </c>
      <c r="G1765" s="18" t="inlineStr">
        <is>
          <t>character varying(255)</t>
        </is>
      </c>
      <c r="H1765" s="18" t="inlineStr">
        <is>
          <t>Sí</t>
        </is>
      </c>
      <c r="I1765" s="18" t="inlineStr"/>
      <c r="J1765" s="18" t="inlineStr"/>
      <c r="K1765" s="18" t="inlineStr"/>
      <c r="L1765" s="18" t="inlineStr">
        <is>
          <t>No</t>
        </is>
      </c>
      <c r="M1765" s="18" t="inlineStr">
        <is>
          <t>No</t>
        </is>
      </c>
      <c r="N1765" s="18" t="inlineStr"/>
      <c r="O1765" s="18" t="inlineStr"/>
      <c r="P1765" s="18" t="inlineStr">
        <is>
          <t>internal-institutional-control-service/src/esap/listas-chequeo/entities/lista-chequeo.entity.ts:144: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765" s="18" t="inlineStr">
        <is>
          <t>Código fuente</t>
        </is>
      </c>
      <c r="R1765" s="18" t="inlineStr">
        <is>
          <t>Nombre del auditor responsable de aplicar la lista de chequeo.</t>
        </is>
      </c>
      <c r="S1765" s="18" t="inlineStr">
        <is>
          <t>Media</t>
        </is>
      </c>
      <c r="T1765" s="18" t="inlineStr">
        <is>
          <t>nombre + tipo + columnas vecinas</t>
        </is>
      </c>
      <c r="U1765" s="18" t="inlineStr">
        <is>
          <t>¿Guarda el nombre o un identificador del auditor?</t>
        </is>
      </c>
      <c r="V1765" s="19" t="inlineStr">
        <is>
          <t>Pendiente</t>
        </is>
      </c>
      <c r="W1765" s="19" t="inlineStr"/>
      <c r="X1765" s="19" t="inlineStr"/>
      <c r="Y1765" s="20" t="n"/>
      <c r="Z1765" s="19" t="inlineStr"/>
      <c r="AA1765" s="18">
        <f>IF(OR(V1765="Aprobada"),R1765,IF(AND(OR(V1765="Aprobada con ajuste",V1765="Rechazada"),W1765&lt;&gt;""),W1765,""))</f>
        <v/>
      </c>
    </row>
    <row r="1766">
      <c r="A1766" s="18" t="inlineStr">
        <is>
          <t>C1765</t>
        </is>
      </c>
      <c r="B1766" s="18" t="inlineStr">
        <is>
          <t>Control interno</t>
        </is>
      </c>
      <c r="C1766" s="18" t="inlineStr">
        <is>
          <t>control_interno</t>
        </is>
      </c>
      <c r="D1766" s="18" t="inlineStr">
        <is>
          <t>lista_chequeo</t>
        </is>
      </c>
      <c r="E1766" s="18" t="n">
        <v>71</v>
      </c>
      <c r="F1766" s="18" t="inlineStr">
        <is>
          <t>fecha_aplicacion</t>
        </is>
      </c>
      <c r="G1766" s="18" t="inlineStr">
        <is>
          <t>date</t>
        </is>
      </c>
      <c r="H1766" s="18" t="inlineStr">
        <is>
          <t>Sí</t>
        </is>
      </c>
      <c r="I1766" s="18" t="inlineStr"/>
      <c r="J1766" s="18" t="inlineStr"/>
      <c r="K1766" s="18" t="inlineStr"/>
      <c r="L1766" s="18" t="inlineStr">
        <is>
          <t>No</t>
        </is>
      </c>
      <c r="M1766" s="18" t="inlineStr">
        <is>
          <t>No</t>
        </is>
      </c>
      <c r="N1766" s="18" t="inlineStr"/>
      <c r="O1766" s="18" t="inlineStr"/>
      <c r="P1766" s="18" t="inlineStr">
        <is>
          <t>internal-institutional-control-service/src/esap/listas-chequeo/entities/lista-chequeo.entity.ts:147: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66" s="18" t="inlineStr">
        <is>
          <t>Código fuente</t>
        </is>
      </c>
      <c r="R1766" s="18" t="inlineStr">
        <is>
          <t>Fecha en que se aplicó la lista de chequeo.</t>
        </is>
      </c>
      <c r="S1766" s="18" t="inlineStr">
        <is>
          <t>Media</t>
        </is>
      </c>
      <c r="T1766" s="18" t="inlineStr">
        <is>
          <t>nombre + tipo + propuesta por regla</t>
        </is>
      </c>
      <c r="U1766" s="18" t="inlineStr">
        <is>
          <t>¿En qué se diferencia de fecha_diligenciamiento?</t>
        </is>
      </c>
      <c r="V1766" s="19" t="inlineStr">
        <is>
          <t>Pendiente</t>
        </is>
      </c>
      <c r="W1766" s="19" t="inlineStr"/>
      <c r="X1766" s="19" t="inlineStr"/>
      <c r="Y1766" s="20" t="n"/>
      <c r="Z1766" s="19" t="inlineStr"/>
      <c r="AA1766" s="18">
        <f>IF(OR(V1766="Aprobada"),R1766,IF(AND(OR(V1766="Aprobada con ajuste",V1766="Rechazada"),W1766&lt;&gt;""),W1766,""))</f>
        <v/>
      </c>
    </row>
    <row r="1767">
      <c r="A1767" s="18" t="inlineStr">
        <is>
          <t>C1766</t>
        </is>
      </c>
      <c r="B1767" s="18" t="inlineStr">
        <is>
          <t>Control interno</t>
        </is>
      </c>
      <c r="C1767" s="18" t="inlineStr">
        <is>
          <t>control_interno</t>
        </is>
      </c>
      <c r="D1767" s="18" t="inlineStr">
        <is>
          <t>lista_chequeo</t>
        </is>
      </c>
      <c r="E1767" s="18" t="n">
        <v>71</v>
      </c>
      <c r="F1767" s="18" t="inlineStr">
        <is>
          <t>fecha_diligenciamiento</t>
        </is>
      </c>
      <c r="G1767" s="18" t="inlineStr">
        <is>
          <t>date</t>
        </is>
      </c>
      <c r="H1767" s="18" t="inlineStr">
        <is>
          <t>Sí</t>
        </is>
      </c>
      <c r="I1767" s="18" t="inlineStr"/>
      <c r="J1767" s="18" t="inlineStr"/>
      <c r="K1767" s="18" t="inlineStr"/>
      <c r="L1767" s="18" t="inlineStr">
        <is>
          <t>No</t>
        </is>
      </c>
      <c r="M1767" s="18" t="inlineStr">
        <is>
          <t>No</t>
        </is>
      </c>
      <c r="N1767" s="18" t="inlineStr"/>
      <c r="O1767" s="18" t="inlineStr"/>
      <c r="P1767" s="18" t="inlineStr">
        <is>
          <t>internal-institutional-control-service/src/esap/listas-chequeo/entities/lista-chequeo.entity.ts:150: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67" s="18" t="inlineStr">
        <is>
          <t>Código fuente</t>
        </is>
      </c>
      <c r="R1767" s="18" t="inlineStr">
        <is>
          <t>Fecha en que se diligenció la lista de chequeo.</t>
        </is>
      </c>
      <c r="S1767" s="18" t="inlineStr">
        <is>
          <t>Media</t>
        </is>
      </c>
      <c r="T1767" s="18" t="inlineStr">
        <is>
          <t>nombre + tipo + propuesta por regla</t>
        </is>
      </c>
      <c r="U1767" s="18" t="inlineStr">
        <is>
          <t>¿En qué se diferencia de fecha_aplicacion?</t>
        </is>
      </c>
      <c r="V1767" s="19" t="inlineStr">
        <is>
          <t>Pendiente</t>
        </is>
      </c>
      <c r="W1767" s="19" t="inlineStr"/>
      <c r="X1767" s="19" t="inlineStr"/>
      <c r="Y1767" s="20" t="n"/>
      <c r="Z1767" s="19" t="inlineStr"/>
      <c r="AA1767" s="18">
        <f>IF(OR(V1767="Aprobada"),R1767,IF(AND(OR(V1767="Aprobada con ajuste",V1767="Rechazada"),W1767&lt;&gt;""),W1767,""))</f>
        <v/>
      </c>
    </row>
    <row r="1768">
      <c r="A1768" s="18" t="inlineStr">
        <is>
          <t>C1767</t>
        </is>
      </c>
      <c r="B1768" s="18" t="inlineStr">
        <is>
          <t>Control interno</t>
        </is>
      </c>
      <c r="C1768" s="18" t="inlineStr">
        <is>
          <t>control_interno</t>
        </is>
      </c>
      <c r="D1768" s="18" t="inlineStr">
        <is>
          <t>lista_chequeo</t>
        </is>
      </c>
      <c r="E1768" s="18" t="n">
        <v>71</v>
      </c>
      <c r="F1768" s="18" t="inlineStr">
        <is>
          <t>items_completados</t>
        </is>
      </c>
      <c r="G1768" s="18" t="inlineStr">
        <is>
          <t>integer</t>
        </is>
      </c>
      <c r="H1768" s="18" t="inlineStr">
        <is>
          <t>Sí</t>
        </is>
      </c>
      <c r="I1768" s="18" t="inlineStr"/>
      <c r="J1768" s="18" t="inlineStr"/>
      <c r="K1768" s="18" t="inlineStr"/>
      <c r="L1768" s="18" t="inlineStr">
        <is>
          <t>No</t>
        </is>
      </c>
      <c r="M1768" s="18" t="inlineStr">
        <is>
          <t>No</t>
        </is>
      </c>
      <c r="N1768" s="18" t="inlineStr"/>
      <c r="O1768" s="18" t="inlineStr"/>
      <c r="P1768" s="18" t="inlineStr">
        <is>
          <t>internal-institutional-control-service/src/esap/listas-chequeo/entities/lista-chequeo.entity.ts:153: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68" s="18" t="inlineStr">
        <is>
          <t>Código fuente</t>
        </is>
      </c>
      <c r="R1768" s="18" t="inlineStr">
        <is>
          <t>Número de ítems diligenciados de la lista de chequeo. Por defecto 0.</t>
        </is>
      </c>
      <c r="S1768" s="18" t="inlineStr">
        <is>
          <t>Alta</t>
        </is>
      </c>
      <c r="T1768" s="18" t="inlineStr">
        <is>
          <t>nombre + tipo + columnas vecinas</t>
        </is>
      </c>
      <c r="U1768" s="18" t="inlineStr"/>
      <c r="V1768" s="19" t="inlineStr">
        <is>
          <t>Pendiente</t>
        </is>
      </c>
      <c r="W1768" s="19" t="inlineStr"/>
      <c r="X1768" s="19" t="inlineStr"/>
      <c r="Y1768" s="20" t="n"/>
      <c r="Z1768" s="19" t="inlineStr"/>
      <c r="AA1768" s="18">
        <f>IF(OR(V1768="Aprobada"),R1768,IF(AND(OR(V1768="Aprobada con ajuste",V1768="Rechazada"),W1768&lt;&gt;""),W1768,""))</f>
        <v/>
      </c>
    </row>
    <row r="1769">
      <c r="A1769" s="18" t="inlineStr">
        <is>
          <t>C1768</t>
        </is>
      </c>
      <c r="B1769" s="18" t="inlineStr">
        <is>
          <t>Control interno</t>
        </is>
      </c>
      <c r="C1769" s="18" t="inlineStr">
        <is>
          <t>control_interno</t>
        </is>
      </c>
      <c r="D1769" s="18" t="inlineStr">
        <is>
          <t>lista_chequeo</t>
        </is>
      </c>
      <c r="E1769" s="18" t="n">
        <v>71</v>
      </c>
      <c r="F1769" s="18" t="inlineStr">
        <is>
          <t>cumplimiento</t>
        </is>
      </c>
      <c r="G1769" s="18" t="inlineStr">
        <is>
          <t>integer</t>
        </is>
      </c>
      <c r="H1769" s="18" t="inlineStr">
        <is>
          <t>Sí</t>
        </is>
      </c>
      <c r="I1769" s="18" t="inlineStr">
        <is>
          <t>CHECK</t>
        </is>
      </c>
      <c r="J1769" s="18" t="inlineStr"/>
      <c r="K1769" s="18" t="inlineStr"/>
      <c r="L1769" s="18" t="inlineStr">
        <is>
          <t>No</t>
        </is>
      </c>
      <c r="M1769" s="18" t="inlineStr">
        <is>
          <t>No</t>
        </is>
      </c>
      <c r="N1769" s="18" t="inlineStr"/>
      <c r="O1769" s="18" t="inlineStr"/>
      <c r="P1769" s="18" t="inlineStr">
        <is>
          <t>internal-institutional-control-service/src/esap/listas-chequeo/entities/lista-chequeo.entity.ts:156: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69" s="18" t="inlineStr">
        <is>
          <t>Código fuente</t>
        </is>
      </c>
      <c r="R1769" s="18" t="inlineStr">
        <is>
          <t>Cumplimiento obtenido en la lista de chequeo. Por defecto 0.</t>
        </is>
      </c>
      <c r="S1769" s="18" t="inlineStr">
        <is>
          <t>Media</t>
        </is>
      </c>
      <c r="T1769" s="18" t="inlineStr">
        <is>
          <t>nombre + tipo + columnas vecinas</t>
        </is>
      </c>
      <c r="U1769" s="18" t="inlineStr">
        <is>
          <t>¿Es un porcentaje (0 a 100) o el número de ítems que cumplen?</t>
        </is>
      </c>
      <c r="V1769" s="19" t="inlineStr">
        <is>
          <t>Pendiente</t>
        </is>
      </c>
      <c r="W1769" s="19" t="inlineStr"/>
      <c r="X1769" s="19" t="inlineStr"/>
      <c r="Y1769" s="20" t="n"/>
      <c r="Z1769" s="19" t="inlineStr"/>
      <c r="AA1769" s="18">
        <f>IF(OR(V1769="Aprobada"),R1769,IF(AND(OR(V1769="Aprobada con ajuste",V1769="Rechazada"),W1769&lt;&gt;""),W1769,""))</f>
        <v/>
      </c>
    </row>
    <row r="1770">
      <c r="A1770" s="18" t="inlineStr">
        <is>
          <t>C1769</t>
        </is>
      </c>
      <c r="B1770" s="18" t="inlineStr">
        <is>
          <t>Control interno</t>
        </is>
      </c>
      <c r="C1770" s="18" t="inlineStr">
        <is>
          <t>control_interno</t>
        </is>
      </c>
      <c r="D1770" s="18" t="inlineStr">
        <is>
          <t>lista_chequeo</t>
        </is>
      </c>
      <c r="E1770" s="18" t="n">
        <v>71</v>
      </c>
      <c r="F1770" s="18" t="inlineStr">
        <is>
          <t>no_cumplimientos</t>
        </is>
      </c>
      <c r="G1770" s="18" t="inlineStr">
        <is>
          <t>integer</t>
        </is>
      </c>
      <c r="H1770" s="18" t="inlineStr">
        <is>
          <t>Sí</t>
        </is>
      </c>
      <c r="I1770" s="18" t="inlineStr"/>
      <c r="J1770" s="18" t="inlineStr"/>
      <c r="K1770" s="18" t="inlineStr"/>
      <c r="L1770" s="18" t="inlineStr">
        <is>
          <t>No</t>
        </is>
      </c>
      <c r="M1770" s="18" t="inlineStr">
        <is>
          <t>No</t>
        </is>
      </c>
      <c r="N1770" s="18" t="inlineStr"/>
      <c r="O1770" s="18" t="inlineStr"/>
      <c r="P1770" s="18" t="inlineStr">
        <is>
          <t>internal-institutional-control-service/src/esap/listas-chequeo/entities/lista-chequeo.entity.ts:159: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0" s="18" t="inlineStr">
        <is>
          <t>Código fuente</t>
        </is>
      </c>
      <c r="R1770" s="18" t="inlineStr">
        <is>
          <t>Número de ítems evaluados como no cumplidos. Por defecto 0.</t>
        </is>
      </c>
      <c r="S1770" s="18" t="inlineStr">
        <is>
          <t>Alta</t>
        </is>
      </c>
      <c r="T1770" s="18" t="inlineStr">
        <is>
          <t>nombre + tipo + columnas vecinas</t>
        </is>
      </c>
      <c r="U1770" s="18" t="inlineStr"/>
      <c r="V1770" s="19" t="inlineStr">
        <is>
          <t>Pendiente</t>
        </is>
      </c>
      <c r="W1770" s="19" t="inlineStr"/>
      <c r="X1770" s="19" t="inlineStr"/>
      <c r="Y1770" s="20" t="n"/>
      <c r="Z1770" s="19" t="inlineStr"/>
      <c r="AA1770" s="18">
        <f>IF(OR(V1770="Aprobada"),R1770,IF(AND(OR(V1770="Aprobada con ajuste",V1770="Rechazada"),W1770&lt;&gt;""),W1770,""))</f>
        <v/>
      </c>
    </row>
    <row r="1771">
      <c r="A1771" s="18" t="inlineStr">
        <is>
          <t>C1770</t>
        </is>
      </c>
      <c r="B1771" s="18" t="inlineStr">
        <is>
          <t>Control interno</t>
        </is>
      </c>
      <c r="C1771" s="18" t="inlineStr">
        <is>
          <t>control_interno</t>
        </is>
      </c>
      <c r="D1771" s="18" t="inlineStr">
        <is>
          <t>lista_chequeo</t>
        </is>
      </c>
      <c r="E1771" s="18" t="n">
        <v>71</v>
      </c>
      <c r="F1771" s="18" t="inlineStr">
        <is>
          <t>no_aplica</t>
        </is>
      </c>
      <c r="G1771" s="18" t="inlineStr">
        <is>
          <t>integer</t>
        </is>
      </c>
      <c r="H1771" s="18" t="inlineStr">
        <is>
          <t>Sí</t>
        </is>
      </c>
      <c r="I1771" s="18" t="inlineStr"/>
      <c r="J1771" s="18" t="inlineStr"/>
      <c r="K1771" s="18" t="inlineStr"/>
      <c r="L1771" s="18" t="inlineStr">
        <is>
          <t>No</t>
        </is>
      </c>
      <c r="M1771" s="18" t="inlineStr">
        <is>
          <t>No</t>
        </is>
      </c>
      <c r="N1771" s="18" t="inlineStr"/>
      <c r="O1771" s="18" t="inlineStr"/>
      <c r="P1771" s="18" t="inlineStr">
        <is>
          <t>internal-institutional-control-service/src/esap/listas-chequeo/entities/lista-chequeo.entity.ts:162: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1" s="18" t="inlineStr">
        <is>
          <t>Código fuente</t>
        </is>
      </c>
      <c r="R1771" s="18" t="inlineStr">
        <is>
          <t>Número de ítems marcados como no aplica. Por defecto 0.</t>
        </is>
      </c>
      <c r="S1771" s="18" t="inlineStr">
        <is>
          <t>Alta</t>
        </is>
      </c>
      <c r="T1771" s="18" t="inlineStr">
        <is>
          <t>nombre + tipo + columnas vecinas</t>
        </is>
      </c>
      <c r="U1771" s="18" t="inlineStr"/>
      <c r="V1771" s="19" t="inlineStr">
        <is>
          <t>Pendiente</t>
        </is>
      </c>
      <c r="W1771" s="19" t="inlineStr"/>
      <c r="X1771" s="19" t="inlineStr"/>
      <c r="Y1771" s="20" t="n"/>
      <c r="Z1771" s="19" t="inlineStr"/>
      <c r="AA1771" s="18">
        <f>IF(OR(V1771="Aprobada"),R1771,IF(AND(OR(V1771="Aprobada con ajuste",V1771="Rechazada"),W1771&lt;&gt;""),W1771,""))</f>
        <v/>
      </c>
    </row>
    <row r="1772">
      <c r="A1772" s="18" t="inlineStr">
        <is>
          <t>C1771</t>
        </is>
      </c>
      <c r="B1772" s="18" t="inlineStr">
        <is>
          <t>Control interno</t>
        </is>
      </c>
      <c r="C1772" s="18" t="inlineStr">
        <is>
          <t>control_interno</t>
        </is>
      </c>
      <c r="D1772" s="18" t="inlineStr">
        <is>
          <t>lista_chequeo</t>
        </is>
      </c>
      <c r="E1772" s="18" t="n">
        <v>71</v>
      </c>
      <c r="F1772" s="18" t="inlineStr">
        <is>
          <t>hallazgos_generados</t>
        </is>
      </c>
      <c r="G1772" s="18" t="inlineStr">
        <is>
          <t>integer</t>
        </is>
      </c>
      <c r="H1772" s="18" t="inlineStr">
        <is>
          <t>Sí</t>
        </is>
      </c>
      <c r="I1772" s="18" t="inlineStr"/>
      <c r="J1772" s="18" t="inlineStr"/>
      <c r="K1772" s="18" t="inlineStr"/>
      <c r="L1772" s="18" t="inlineStr">
        <is>
          <t>No</t>
        </is>
      </c>
      <c r="M1772" s="18" t="inlineStr">
        <is>
          <t>No</t>
        </is>
      </c>
      <c r="N1772" s="18" t="inlineStr"/>
      <c r="O1772" s="18" t="inlineStr"/>
      <c r="P1772" s="18" t="inlineStr">
        <is>
          <t>internal-institutional-control-service/src/esap/listas-chequeo/entities/lista-chequeo.entity.ts:165: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2" s="18" t="inlineStr">
        <is>
          <t>Código fuente</t>
        </is>
      </c>
      <c r="R1772" s="18" t="inlineStr">
        <is>
          <t>Número de hallazgos generados a partir de la lista de chequeo. Por defecto 0.</t>
        </is>
      </c>
      <c r="S1772" s="18" t="inlineStr">
        <is>
          <t>Alta</t>
        </is>
      </c>
      <c r="T1772" s="18" t="inlineStr">
        <is>
          <t>nombre + tipo + columnas vecinas</t>
        </is>
      </c>
      <c r="U1772" s="18" t="inlineStr"/>
      <c r="V1772" s="19" t="inlineStr">
        <is>
          <t>Pendiente</t>
        </is>
      </c>
      <c r="W1772" s="19" t="inlineStr"/>
      <c r="X1772" s="19" t="inlineStr"/>
      <c r="Y1772" s="20" t="n"/>
      <c r="Z1772" s="19" t="inlineStr"/>
      <c r="AA1772" s="18">
        <f>IF(OR(V1772="Aprobada"),R1772,IF(AND(OR(V1772="Aprobada con ajuste",V1772="Rechazada"),W1772&lt;&gt;""),W1772,""))</f>
        <v/>
      </c>
    </row>
    <row r="1773">
      <c r="A1773" s="18" t="inlineStr">
        <is>
          <t>C1772</t>
        </is>
      </c>
      <c r="B1773" s="18" t="inlineStr">
        <is>
          <t>Control interno</t>
        </is>
      </c>
      <c r="C1773" s="18" t="inlineStr">
        <is>
          <t>control_interno</t>
        </is>
      </c>
      <c r="D1773" s="18" t="inlineStr">
        <is>
          <t>lista_chequeo</t>
        </is>
      </c>
      <c r="E1773" s="18" t="n">
        <v>71</v>
      </c>
      <c r="F1773" s="18" t="inlineStr">
        <is>
          <t>version</t>
        </is>
      </c>
      <c r="G1773" s="18" t="inlineStr">
        <is>
          <t>character varying(50)</t>
        </is>
      </c>
      <c r="H1773" s="18" t="inlineStr">
        <is>
          <t>Sí</t>
        </is>
      </c>
      <c r="I1773" s="18" t="inlineStr"/>
      <c r="J1773" s="18" t="inlineStr"/>
      <c r="K1773" s="18" t="inlineStr"/>
      <c r="L1773" s="18" t="inlineStr">
        <is>
          <t>No</t>
        </is>
      </c>
      <c r="M1773" s="18" t="inlineStr">
        <is>
          <t>No</t>
        </is>
      </c>
      <c r="N1773" s="18" t="inlineStr"/>
      <c r="O1773" s="18" t="inlineStr"/>
      <c r="P1773" s="18" t="inlineStr">
        <is>
          <t>internal-institutional-control-service/src/esap/listas-chequeo/entities/lista-chequeo.entity.ts:64: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IsOptional, IsString</t>
        </is>
      </c>
      <c r="Q1773" s="18" t="inlineStr">
        <is>
          <t>Código fuente</t>
        </is>
      </c>
      <c r="R1773" s="18" t="inlineStr">
        <is>
          <t>Versión de la lista de chequeo. Valor por defecto: 1.0.</t>
        </is>
      </c>
      <c r="S1773" s="18" t="inlineStr">
        <is>
          <t>Media</t>
        </is>
      </c>
      <c r="T1773" s="18" t="inlineStr">
        <is>
          <t>nombre + tipo + defecto; código: lista-chequeo.entity.ts:64 (solo encabezado de sección)</t>
        </is>
      </c>
      <c r="U1773" s="18" t="inlineStr">
        <is>
          <t>¿La versión se incrementa automáticamente al modificar los ítems o la fija el usuario?</t>
        </is>
      </c>
      <c r="V1773" s="19" t="inlineStr">
        <is>
          <t>Pendiente</t>
        </is>
      </c>
      <c r="W1773" s="19" t="inlineStr"/>
      <c r="X1773" s="19" t="inlineStr"/>
      <c r="Y1773" s="20" t="n"/>
      <c r="Z1773" s="19" t="inlineStr"/>
      <c r="AA1773" s="18">
        <f>IF(OR(V1773="Aprobada"),R1773,IF(AND(OR(V1773="Aprobada con ajuste",V1773="Rechazada"),W1773&lt;&gt;""),W1773,""))</f>
        <v/>
      </c>
    </row>
    <row r="1774">
      <c r="A1774" s="18" t="inlineStr">
        <is>
          <t>C1773</t>
        </is>
      </c>
      <c r="B1774" s="18" t="inlineStr">
        <is>
          <t>Control interno</t>
        </is>
      </c>
      <c r="C1774" s="18" t="inlineStr">
        <is>
          <t>control_interno</t>
        </is>
      </c>
      <c r="D1774" s="18" t="inlineStr">
        <is>
          <t>lista_chequeo</t>
        </is>
      </c>
      <c r="E1774" s="18" t="n">
        <v>71</v>
      </c>
      <c r="F1774" s="18" t="inlineStr">
        <is>
          <t>estado</t>
        </is>
      </c>
      <c r="G1774" s="18" t="inlineStr">
        <is>
          <t>character varying(50)</t>
        </is>
      </c>
      <c r="H1774" s="18" t="inlineStr">
        <is>
          <t>Sí</t>
        </is>
      </c>
      <c r="I1774" s="18" t="inlineStr"/>
      <c r="J1774" s="18" t="inlineStr"/>
      <c r="K1774" s="18" t="inlineStr"/>
      <c r="L1774" s="18" t="inlineStr">
        <is>
          <t>No</t>
        </is>
      </c>
      <c r="M1774" s="18" t="inlineStr">
        <is>
          <t>No</t>
        </is>
      </c>
      <c r="N1774" s="18" t="inlineStr"/>
      <c r="O1774" s="18" t="inlineStr"/>
      <c r="P1774" s="18" t="inlineStr">
        <is>
          <t>internal-institutional-control-service/src/esap/listas-chequeo/entities/lista-chequeo.entity.ts:67: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IsEnum(AccionCorrectivaEstado), IsEnum(EstadoEtapa), IsEnum(EstadoPlanIndividual), IsEnum(EstadoTarea), IsEnum(HallazgoEstado), IsEnum(PlanMejoramientoEstado)</t>
        </is>
      </c>
      <c r="Q1774" s="18" t="inlineStr">
        <is>
          <t>Código fuente</t>
        </is>
      </c>
      <c r="R1774" s="18" t="inlineStr">
        <is>
          <t>Estado de la lista de chequeo. Por defecto activa.</t>
        </is>
      </c>
      <c r="S1774" s="18" t="inlineStr">
        <is>
          <t>Media</t>
        </is>
      </c>
      <c r="T1774" s="18" t="inlineStr">
        <is>
          <t>nombre + tipo + defecto</t>
        </is>
      </c>
      <c r="U1774" s="18" t="inlineStr">
        <is>
          <t>¿Qué valores admite el estado de la lista de chequeo? Las validaciones citan enumerados de otras entidades.</t>
        </is>
      </c>
      <c r="V1774" s="19" t="inlineStr">
        <is>
          <t>Pendiente</t>
        </is>
      </c>
      <c r="W1774" s="19" t="inlineStr"/>
      <c r="X1774" s="19" t="inlineStr"/>
      <c r="Y1774" s="20" t="n"/>
      <c r="Z1774" s="19" t="inlineStr"/>
      <c r="AA1774" s="18">
        <f>IF(OR(V1774="Aprobada"),R1774,IF(AND(OR(V1774="Aprobada con ajuste",V1774="Rechazada"),W1774&lt;&gt;""),W1774,""))</f>
        <v/>
      </c>
    </row>
    <row r="1775">
      <c r="A1775" s="18" t="inlineStr">
        <is>
          <t>C1774</t>
        </is>
      </c>
      <c r="B1775" s="18" t="inlineStr">
        <is>
          <t>Control interno</t>
        </is>
      </c>
      <c r="C1775" s="18" t="inlineStr">
        <is>
          <t>control_interno</t>
        </is>
      </c>
      <c r="D1775" s="18" t="inlineStr">
        <is>
          <t>lista_chequeo</t>
        </is>
      </c>
      <c r="E1775" s="18" t="n">
        <v>71</v>
      </c>
      <c r="F1775" s="18" t="inlineStr">
        <is>
          <t>aplicable_para</t>
        </is>
      </c>
      <c r="G1775" s="18" t="inlineStr">
        <is>
          <t>jsonb</t>
        </is>
      </c>
      <c r="H1775" s="18" t="inlineStr">
        <is>
          <t>Sí</t>
        </is>
      </c>
      <c r="I1775" s="18" t="inlineStr"/>
      <c r="J1775" s="18" t="inlineStr"/>
      <c r="K1775" s="18" t="inlineStr"/>
      <c r="L1775" s="18" t="inlineStr">
        <is>
          <t>No</t>
        </is>
      </c>
      <c r="M1775" s="18" t="inlineStr">
        <is>
          <t>No</t>
        </is>
      </c>
      <c r="N1775" s="18" t="inlineStr"/>
      <c r="O1775" s="18" t="inlineStr"/>
      <c r="P1775" s="18" t="inlineStr">
        <is>
          <t>internal-institutional-control-service/src/esap/listas-chequeo/entities/lista-chequeo.entity.ts:70: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IsArray, IsOptional</t>
        </is>
      </c>
      <c r="Q1775" s="18" t="inlineStr">
        <is>
          <t>Código fuente</t>
        </is>
      </c>
      <c r="R1775" s="18" t="inlineStr">
        <is>
          <t>Tipos de auditoría para los que aplica la lista de chequeo, como arreglo JSON. Por defecto ["gestion", "cumplimiento"].</t>
        </is>
      </c>
      <c r="S1775" s="18" t="inlineStr">
        <is>
          <t>Media</t>
        </is>
      </c>
      <c r="T1775" s="18" t="inlineStr">
        <is>
          <t>nombre + tipo + defecto</t>
        </is>
      </c>
      <c r="U1775" s="18" t="inlineStr">
        <is>
          <t>¿Qué valores admite además de gestion y cumplimiento?</t>
        </is>
      </c>
      <c r="V1775" s="19" t="inlineStr">
        <is>
          <t>Pendiente</t>
        </is>
      </c>
      <c r="W1775" s="19" t="inlineStr"/>
      <c r="X1775" s="19" t="inlineStr"/>
      <c r="Y1775" s="20" t="n"/>
      <c r="Z1775" s="19" t="inlineStr"/>
      <c r="AA1775" s="18">
        <f>IF(OR(V1775="Aprobada"),R1775,IF(AND(OR(V1775="Aprobada con ajuste",V1775="Rechazada"),W1775&lt;&gt;""),W1775,""))</f>
        <v/>
      </c>
    </row>
    <row r="1776">
      <c r="A1776" s="18" t="inlineStr">
        <is>
          <t>C1775</t>
        </is>
      </c>
      <c r="B1776" s="18" t="inlineStr">
        <is>
          <t>Control interno</t>
        </is>
      </c>
      <c r="C1776" s="18" t="inlineStr">
        <is>
          <t>control_interno</t>
        </is>
      </c>
      <c r="D1776" s="18" t="inlineStr">
        <is>
          <t>lista_chequeo</t>
        </is>
      </c>
      <c r="E1776" s="18" t="n">
        <v>71</v>
      </c>
      <c r="F1776" s="18" t="inlineStr">
        <is>
          <t>items_json</t>
        </is>
      </c>
      <c r="G1776" s="18" t="inlineStr">
        <is>
          <t>jsonb</t>
        </is>
      </c>
      <c r="H1776" s="18" t="inlineStr">
        <is>
          <t>Sí</t>
        </is>
      </c>
      <c r="I1776" s="18" t="inlineStr"/>
      <c r="J1776" s="18" t="inlineStr"/>
      <c r="K1776" s="18" t="inlineStr"/>
      <c r="L1776" s="18" t="inlineStr">
        <is>
          <t>No</t>
        </is>
      </c>
      <c r="M1776" s="18" t="inlineStr">
        <is>
          <t>No</t>
        </is>
      </c>
      <c r="N1776" s="18" t="inlineStr"/>
      <c r="O1776" s="18" t="inlineStr"/>
      <c r="P1776" s="18" t="inlineStr">
        <is>
          <t>internal-institutional-control-service/src/esap/listas-chequeo/entities/lista-chequeo.entity.ts:77: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6" s="18" t="inlineStr">
        <is>
          <t>Código fuente</t>
        </is>
      </c>
      <c r="R1776" s="18" t="inlineStr">
        <is>
          <t>Ítems de la lista de chequeo en formato JSON.</t>
        </is>
      </c>
      <c r="S1776" s="18" t="inlineStr">
        <is>
          <t>Media</t>
        </is>
      </c>
      <c r="T1776" s="18" t="inlineStr">
        <is>
          <t>nombre + tipo</t>
        </is>
      </c>
      <c r="U1776" s="18" t="inlineStr">
        <is>
          <t>¿Qué estructura tiene cada ítem (pregunta, criterio, resultado, evidencia)?</t>
        </is>
      </c>
      <c r="V1776" s="19" t="inlineStr">
        <is>
          <t>Pendiente</t>
        </is>
      </c>
      <c r="W1776" s="19" t="inlineStr"/>
      <c r="X1776" s="19" t="inlineStr"/>
      <c r="Y1776" s="20" t="n"/>
      <c r="Z1776" s="19" t="inlineStr"/>
      <c r="AA1776" s="18">
        <f>IF(OR(V1776="Aprobada"),R1776,IF(AND(OR(V1776="Aprobada con ajuste",V1776="Rechazada"),W1776&lt;&gt;""),W1776,""))</f>
        <v/>
      </c>
    </row>
    <row r="1777">
      <c r="A1777" s="18" t="inlineStr">
        <is>
          <t>C1776</t>
        </is>
      </c>
      <c r="B1777" s="18" t="inlineStr">
        <is>
          <t>Control interno</t>
        </is>
      </c>
      <c r="C1777" s="18" t="inlineStr">
        <is>
          <t>control_interno</t>
        </is>
      </c>
      <c r="D1777" s="18" t="inlineStr">
        <is>
          <t>lista_chequeo</t>
        </is>
      </c>
      <c r="E1777" s="18" t="n">
        <v>71</v>
      </c>
      <c r="F1777" s="18" t="inlineStr">
        <is>
          <t>proceso</t>
        </is>
      </c>
      <c r="G1777" s="18" t="inlineStr">
        <is>
          <t>character varying(255)</t>
        </is>
      </c>
      <c r="H1777" s="18" t="inlineStr">
        <is>
          <t>Sí</t>
        </is>
      </c>
      <c r="I1777" s="18" t="inlineStr"/>
      <c r="J1777" s="18" t="inlineStr"/>
      <c r="K1777" s="18" t="inlineStr"/>
      <c r="L1777" s="18" t="inlineStr">
        <is>
          <t>No</t>
        </is>
      </c>
      <c r="M1777" s="18" t="inlineStr">
        <is>
          <t>No</t>
        </is>
      </c>
      <c r="N1777" s="18" t="inlineStr"/>
      <c r="O1777" s="18" t="inlineStr"/>
      <c r="P1777" s="18" t="inlineStr">
        <is>
          <t>internal-institutional-control-service/src/esap/listas-chequeo/entities/lista-chequeo.entity.ts:84: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7" s="18" t="inlineStr">
        <is>
          <t>Código fuente</t>
        </is>
      </c>
      <c r="R1777" s="18" t="inlineStr">
        <is>
          <t>Proceso institucional al que corresponde la lista de chequeo.</t>
        </is>
      </c>
      <c r="S1777" s="18" t="inlineStr">
        <is>
          <t>Media</t>
        </is>
      </c>
      <c r="T1777" s="18" t="inlineStr">
        <is>
          <t>nombre + tipo + columnas vecinas (subproceso)</t>
        </is>
      </c>
      <c r="U1777" s="18" t="inlineStr">
        <is>
          <t>¿Es texto libre o corresponde al mapa de procesos de la ESAP?</t>
        </is>
      </c>
      <c r="V1777" s="19" t="inlineStr">
        <is>
          <t>Pendiente</t>
        </is>
      </c>
      <c r="W1777" s="19" t="inlineStr"/>
      <c r="X1777" s="19" t="inlineStr"/>
      <c r="Y1777" s="20" t="n"/>
      <c r="Z1777" s="19" t="inlineStr"/>
      <c r="AA1777" s="18">
        <f>IF(OR(V1777="Aprobada"),R1777,IF(AND(OR(V1777="Aprobada con ajuste",V1777="Rechazada"),W1777&lt;&gt;""),W1777,""))</f>
        <v/>
      </c>
    </row>
    <row r="1778">
      <c r="A1778" s="18" t="inlineStr">
        <is>
          <t>C1777</t>
        </is>
      </c>
      <c r="B1778" s="18" t="inlineStr">
        <is>
          <t>Control interno</t>
        </is>
      </c>
      <c r="C1778" s="18" t="inlineStr">
        <is>
          <t>control_interno</t>
        </is>
      </c>
      <c r="D1778" s="18" t="inlineStr">
        <is>
          <t>lista_chequeo</t>
        </is>
      </c>
      <c r="E1778" s="18" t="n">
        <v>71</v>
      </c>
      <c r="F1778" s="18" t="inlineStr">
        <is>
          <t>subproceso</t>
        </is>
      </c>
      <c r="G1778" s="18" t="inlineStr">
        <is>
          <t>character varying(255)</t>
        </is>
      </c>
      <c r="H1778" s="18" t="inlineStr">
        <is>
          <t>Sí</t>
        </is>
      </c>
      <c r="I1778" s="18" t="inlineStr"/>
      <c r="J1778" s="18" t="inlineStr"/>
      <c r="K1778" s="18" t="inlineStr"/>
      <c r="L1778" s="18" t="inlineStr">
        <is>
          <t>No</t>
        </is>
      </c>
      <c r="M1778" s="18" t="inlineStr">
        <is>
          <t>No</t>
        </is>
      </c>
      <c r="N1778" s="18" t="inlineStr"/>
      <c r="O1778" s="18" t="inlineStr"/>
      <c r="P1778" s="18" t="inlineStr">
        <is>
          <t>internal-institutional-control-service/src/esap/listas-chequeo/entities/lista-chequeo.entity.ts:87: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8" s="18" t="inlineStr">
        <is>
          <t>Código fuente</t>
        </is>
      </c>
      <c r="R1778" s="18" t="inlineStr">
        <is>
          <t>Subproceso institucional al que corresponde la lista de chequeo.</t>
        </is>
      </c>
      <c r="S1778" s="18" t="inlineStr">
        <is>
          <t>Media</t>
        </is>
      </c>
      <c r="T1778" s="18" t="inlineStr">
        <is>
          <t>nombre + tipo + columnas vecinas (proceso)</t>
        </is>
      </c>
      <c r="U1778" s="18" t="inlineStr">
        <is>
          <t>¿Es texto libre o corresponde al mapa de procesos de la ESAP?</t>
        </is>
      </c>
      <c r="V1778" s="19" t="inlineStr">
        <is>
          <t>Pendiente</t>
        </is>
      </c>
      <c r="W1778" s="19" t="inlineStr"/>
      <c r="X1778" s="19" t="inlineStr"/>
      <c r="Y1778" s="20" t="n"/>
      <c r="Z1778" s="19" t="inlineStr"/>
      <c r="AA1778" s="18">
        <f>IF(OR(V1778="Aprobada"),R1778,IF(AND(OR(V1778="Aprobada con ajuste",V1778="Rechazada"),W1778&lt;&gt;""),W1778,""))</f>
        <v/>
      </c>
    </row>
    <row r="1779">
      <c r="A1779" s="18" t="inlineStr">
        <is>
          <t>C1778</t>
        </is>
      </c>
      <c r="B1779" s="18" t="inlineStr">
        <is>
          <t>Control interno</t>
        </is>
      </c>
      <c r="C1779" s="18" t="inlineStr">
        <is>
          <t>control_interno</t>
        </is>
      </c>
      <c r="D1779" s="18" t="inlineStr">
        <is>
          <t>lista_chequeo</t>
        </is>
      </c>
      <c r="E1779" s="18" t="n">
        <v>71</v>
      </c>
      <c r="F1779" s="18" t="inlineStr">
        <is>
          <t>categoria_esap</t>
        </is>
      </c>
      <c r="G1779" s="18" t="inlineStr">
        <is>
          <t>character varying(100)</t>
        </is>
      </c>
      <c r="H1779" s="18" t="inlineStr">
        <is>
          <t>Sí</t>
        </is>
      </c>
      <c r="I1779" s="18" t="inlineStr"/>
      <c r="J1779" s="18" t="inlineStr"/>
      <c r="K1779" s="18" t="inlineStr"/>
      <c r="L1779" s="18" t="inlineStr">
        <is>
          <t>No</t>
        </is>
      </c>
      <c r="M1779" s="18" t="inlineStr">
        <is>
          <t>No</t>
        </is>
      </c>
      <c r="N1779" s="18" t="inlineStr"/>
      <c r="O1779" s="18" t="inlineStr"/>
      <c r="P1779" s="18" t="inlineStr">
        <is>
          <t>internal-institutional-control-service/src/esap/listas-chequeo/entities/lista-chequeo.entity.ts:90: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79" s="18" t="inlineStr">
        <is>
          <t>Código fuente</t>
        </is>
      </c>
      <c r="R1779" s="18" t="inlineStr">
        <is>
          <t>Categoría de la lista de chequeo según la clasificación de la ESAP.</t>
        </is>
      </c>
      <c r="S1779" s="18" t="inlineStr">
        <is>
          <t>Baja</t>
        </is>
      </c>
      <c r="T1779" s="18" t="inlineStr">
        <is>
          <t>nombre + tipo + columnas vecinas (categoria)</t>
        </is>
      </c>
      <c r="U1779" s="18" t="inlineStr">
        <is>
          <t>¿Qué valores admite categoria_esap y en qué se diferencia de categoria?</t>
        </is>
      </c>
      <c r="V1779" s="19" t="inlineStr">
        <is>
          <t>Pendiente</t>
        </is>
      </c>
      <c r="W1779" s="19" t="inlineStr"/>
      <c r="X1779" s="19" t="inlineStr"/>
      <c r="Y1779" s="20" t="n"/>
      <c r="Z1779" s="19" t="inlineStr"/>
      <c r="AA1779" s="18">
        <f>IF(OR(V1779="Aprobada"),R1779,IF(AND(OR(V1779="Aprobada con ajuste",V1779="Rechazada"),W1779&lt;&gt;""),W1779,""))</f>
        <v/>
      </c>
    </row>
    <row r="1780">
      <c r="A1780" s="18" t="inlineStr">
        <is>
          <t>C1779</t>
        </is>
      </c>
      <c r="B1780" s="18" t="inlineStr">
        <is>
          <t>Control interno</t>
        </is>
      </c>
      <c r="C1780" s="18" t="inlineStr">
        <is>
          <t>control_interno</t>
        </is>
      </c>
      <c r="D1780" s="18" t="inlineStr">
        <is>
          <t>lista_chequeo</t>
        </is>
      </c>
      <c r="E1780" s="18" t="n">
        <v>71</v>
      </c>
      <c r="F1780" s="18" t="inlineStr">
        <is>
          <t>normativa_aplicable</t>
        </is>
      </c>
      <c r="G1780" s="18" t="inlineStr">
        <is>
          <t>text</t>
        </is>
      </c>
      <c r="H1780" s="18" t="inlineStr">
        <is>
          <t>Sí</t>
        </is>
      </c>
      <c r="I1780" s="18" t="inlineStr"/>
      <c r="J1780" s="18" t="inlineStr"/>
      <c r="K1780" s="18" t="inlineStr"/>
      <c r="L1780" s="18" t="inlineStr">
        <is>
          <t>No</t>
        </is>
      </c>
      <c r="M1780" s="18" t="inlineStr">
        <is>
          <t>No</t>
        </is>
      </c>
      <c r="N1780" s="18" t="inlineStr"/>
      <c r="O1780" s="18" t="inlineStr"/>
      <c r="P1780" s="18" t="inlineStr">
        <is>
          <t>internal-institutional-control-service/src/esap/listas-chequeo/entities/lista-chequeo.entity.ts:93: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IsArray, IsOptional</t>
        </is>
      </c>
      <c r="Q1780" s="18" t="inlineStr">
        <is>
          <t>Código fuente</t>
        </is>
      </c>
      <c r="R1780" s="18" t="inlineStr">
        <is>
          <t>Normativa aplicable a la lista de chequeo.</t>
        </is>
      </c>
      <c r="S1780" s="18" t="inlineStr">
        <is>
          <t>Media</t>
        </is>
      </c>
      <c r="T1780" s="18" t="inlineStr">
        <is>
          <t>nombre + tipo + validación IsArray</t>
        </is>
      </c>
      <c r="U1780" s="18" t="inlineStr">
        <is>
          <t>¿Se guarda como texto libre o como lista de normas?</t>
        </is>
      </c>
      <c r="V1780" s="19" t="inlineStr">
        <is>
          <t>Pendiente</t>
        </is>
      </c>
      <c r="W1780" s="19" t="inlineStr"/>
      <c r="X1780" s="19" t="inlineStr"/>
      <c r="Y1780" s="20" t="n"/>
      <c r="Z1780" s="19" t="inlineStr"/>
      <c r="AA1780" s="18">
        <f>IF(OR(V1780="Aprobada"),R1780,IF(AND(OR(V1780="Aprobada con ajuste",V1780="Rechazada"),W1780&lt;&gt;""),W1780,""))</f>
        <v/>
      </c>
    </row>
    <row r="1781">
      <c r="A1781" s="18" t="inlineStr">
        <is>
          <t>C1780</t>
        </is>
      </c>
      <c r="B1781" s="18" t="inlineStr">
        <is>
          <t>Control interno</t>
        </is>
      </c>
      <c r="C1781" s="18" t="inlineStr">
        <is>
          <t>control_interno</t>
        </is>
      </c>
      <c r="D1781" s="18" t="inlineStr">
        <is>
          <t>lista_chequeo</t>
        </is>
      </c>
      <c r="E1781" s="18" t="n">
        <v>71</v>
      </c>
      <c r="F1781" s="18" t="inlineStr">
        <is>
          <t>objetivo</t>
        </is>
      </c>
      <c r="G1781" s="18" t="inlineStr">
        <is>
          <t>text</t>
        </is>
      </c>
      <c r="H1781" s="18" t="inlineStr">
        <is>
          <t>Sí</t>
        </is>
      </c>
      <c r="I1781" s="18" t="inlineStr"/>
      <c r="J1781" s="18" t="inlineStr"/>
      <c r="K1781" s="18" t="inlineStr"/>
      <c r="L1781" s="18" t="inlineStr">
        <is>
          <t>No</t>
        </is>
      </c>
      <c r="M1781" s="18" t="inlineStr">
        <is>
          <t>No</t>
        </is>
      </c>
      <c r="N1781" s="18" t="inlineStr"/>
      <c r="O1781" s="18" t="inlineStr"/>
      <c r="P1781" s="18" t="inlineStr">
        <is>
          <t>internal-institutional-control-service/src/esap/listas-chequeo/entities/lista-chequeo.entity.ts:96: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IsNotEmpty, IsOptional, IsString</t>
        </is>
      </c>
      <c r="Q1781" s="18" t="inlineStr">
        <is>
          <t>Código fuente</t>
        </is>
      </c>
      <c r="R1781" s="18" t="inlineStr">
        <is>
          <t>Objetivo de la lista de chequeo.</t>
        </is>
      </c>
      <c r="S1781" s="18" t="inlineStr">
        <is>
          <t>Alta</t>
        </is>
      </c>
      <c r="T1781" s="18" t="inlineStr">
        <is>
          <t>nombre + tipo</t>
        </is>
      </c>
      <c r="U1781" s="18" t="inlineStr"/>
      <c r="V1781" s="19" t="inlineStr">
        <is>
          <t>Pendiente</t>
        </is>
      </c>
      <c r="W1781" s="19" t="inlineStr"/>
      <c r="X1781" s="19" t="inlineStr"/>
      <c r="Y1781" s="20" t="n"/>
      <c r="Z1781" s="19" t="inlineStr"/>
      <c r="AA1781" s="18">
        <f>IF(OR(V1781="Aprobada"),R1781,IF(AND(OR(V1781="Aprobada con ajuste",V1781="Rechazada"),W1781&lt;&gt;""),W1781,""))</f>
        <v/>
      </c>
    </row>
    <row r="1782">
      <c r="A1782" s="18" t="inlineStr">
        <is>
          <t>C1781</t>
        </is>
      </c>
      <c r="B1782" s="18" t="inlineStr">
        <is>
          <t>Control interno</t>
        </is>
      </c>
      <c r="C1782" s="18" t="inlineStr">
        <is>
          <t>control_interno</t>
        </is>
      </c>
      <c r="D1782" s="18" t="inlineStr">
        <is>
          <t>lista_chequeo</t>
        </is>
      </c>
      <c r="E1782" s="18" t="n">
        <v>71</v>
      </c>
      <c r="F1782" s="18" t="inlineStr">
        <is>
          <t>version_base</t>
        </is>
      </c>
      <c r="G1782" s="18" t="inlineStr">
        <is>
          <t>character varying(50)</t>
        </is>
      </c>
      <c r="H1782" s="18" t="inlineStr">
        <is>
          <t>Sí</t>
        </is>
      </c>
      <c r="I1782" s="18" t="inlineStr"/>
      <c r="J1782" s="18" t="inlineStr"/>
      <c r="K1782" s="18" t="inlineStr"/>
      <c r="L1782" s="18" t="inlineStr">
        <is>
          <t>No</t>
        </is>
      </c>
      <c r="M1782" s="18" t="inlineStr">
        <is>
          <t>No</t>
        </is>
      </c>
      <c r="N1782" s="18" t="inlineStr"/>
      <c r="O1782" s="18" t="inlineStr"/>
      <c r="P1782" s="18" t="inlineStr">
        <is>
          <t>internal-institutional-control-service/src/esap/listas-chequeo/entities/lista-chequeo.entity.ts:99: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82" s="18" t="inlineStr">
        <is>
          <t>Código fuente</t>
        </is>
      </c>
      <c r="R1782" s="18" t="inlineStr">
        <is>
          <t>Versión de la plantilla base de la que se generó la lista de chequeo.</t>
        </is>
      </c>
      <c r="S1782" s="18" t="inlineStr">
        <is>
          <t>Baja</t>
        </is>
      </c>
      <c r="T1782" s="18" t="inlineStr">
        <is>
          <t>nombre + tipo + columnas vecinas (version)</t>
        </is>
      </c>
      <c r="U1782" s="18" t="inlineStr">
        <is>
          <t>¿Qué indica version_base y en qué se diferencia de version?</t>
        </is>
      </c>
      <c r="V1782" s="19" t="inlineStr">
        <is>
          <t>Pendiente</t>
        </is>
      </c>
      <c r="W1782" s="19" t="inlineStr"/>
      <c r="X1782" s="19" t="inlineStr"/>
      <c r="Y1782" s="20" t="n"/>
      <c r="Z1782" s="19" t="inlineStr"/>
      <c r="AA1782" s="18">
        <f>IF(OR(V1782="Aprobada"),R1782,IF(AND(OR(V1782="Aprobada con ajuste",V1782="Rechazada"),W1782&lt;&gt;""),W1782,""))</f>
        <v/>
      </c>
    </row>
    <row r="1783">
      <c r="A1783" s="18" t="inlineStr">
        <is>
          <t>C1782</t>
        </is>
      </c>
      <c r="B1783" s="18" t="inlineStr">
        <is>
          <t>Control interno</t>
        </is>
      </c>
      <c r="C1783" s="18" t="inlineStr">
        <is>
          <t>control_interno</t>
        </is>
      </c>
      <c r="D1783" s="18" t="inlineStr">
        <is>
          <t>lista_chequeo</t>
        </is>
      </c>
      <c r="E1783" s="18" t="n">
        <v>71</v>
      </c>
      <c r="F1783" s="18" t="inlineStr">
        <is>
          <t>permite_no_aplica</t>
        </is>
      </c>
      <c r="G1783" s="18" t="inlineStr">
        <is>
          <t>boolean</t>
        </is>
      </c>
      <c r="H1783" s="18" t="inlineStr">
        <is>
          <t>Sí</t>
        </is>
      </c>
      <c r="I1783" s="18" t="inlineStr"/>
      <c r="J1783" s="18" t="inlineStr"/>
      <c r="K1783" s="18" t="inlineStr"/>
      <c r="L1783" s="18" t="inlineStr">
        <is>
          <t>No</t>
        </is>
      </c>
      <c r="M1783" s="18" t="inlineStr">
        <is>
          <t>No</t>
        </is>
      </c>
      <c r="N1783" s="18" t="inlineStr"/>
      <c r="O1783" s="18" t="inlineStr"/>
      <c r="P1783" s="18" t="inlineStr">
        <is>
          <t>internal-institutional-control-service/src/esap/listas-chequeo/entities/lista-chequeo.entity.ts:102: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83" s="18" t="inlineStr">
        <is>
          <t>Código fuente</t>
        </is>
      </c>
      <c r="R1783" s="18" t="inlineStr">
        <is>
          <t>Indica si la lista de chequeo admite la respuesta no aplica en sus ítems. Por defecto verdadero.</t>
        </is>
      </c>
      <c r="S1783" s="18" t="inlineStr">
        <is>
          <t>Alta</t>
        </is>
      </c>
      <c r="T1783" s="18" t="inlineStr">
        <is>
          <t>nombre + tipo + columnas vecinas (no_aplica)</t>
        </is>
      </c>
      <c r="U1783" s="18" t="inlineStr"/>
      <c r="V1783" s="19" t="inlineStr">
        <is>
          <t>Pendiente</t>
        </is>
      </c>
      <c r="W1783" s="19" t="inlineStr"/>
      <c r="X1783" s="19" t="inlineStr"/>
      <c r="Y1783" s="20" t="n"/>
      <c r="Z1783" s="19" t="inlineStr"/>
      <c r="AA1783" s="18">
        <f>IF(OR(V1783="Aprobada"),R1783,IF(AND(OR(V1783="Aprobada con ajuste",V1783="Rechazada"),W1783&lt;&gt;""),W1783,""))</f>
        <v/>
      </c>
    </row>
    <row r="1784">
      <c r="A1784" s="18" t="inlineStr">
        <is>
          <t>C1783</t>
        </is>
      </c>
      <c r="B1784" s="18" t="inlineStr">
        <is>
          <t>Control interno</t>
        </is>
      </c>
      <c r="C1784" s="18" t="inlineStr">
        <is>
          <t>control_interno</t>
        </is>
      </c>
      <c r="D1784" s="18" t="inlineStr">
        <is>
          <t>lista_chequeo</t>
        </is>
      </c>
      <c r="E1784" s="18" t="n">
        <v>71</v>
      </c>
      <c r="F1784" s="18" t="inlineStr">
        <is>
          <t>requiere_evidencias</t>
        </is>
      </c>
      <c r="G1784" s="18" t="inlineStr">
        <is>
          <t>boolean</t>
        </is>
      </c>
      <c r="H1784" s="18" t="inlineStr">
        <is>
          <t>Sí</t>
        </is>
      </c>
      <c r="I1784" s="18" t="inlineStr"/>
      <c r="J1784" s="18" t="inlineStr"/>
      <c r="K1784" s="18" t="inlineStr"/>
      <c r="L1784" s="18" t="inlineStr">
        <is>
          <t>No</t>
        </is>
      </c>
      <c r="M1784" s="18" t="inlineStr">
        <is>
          <t>No</t>
        </is>
      </c>
      <c r="N1784" s="18" t="inlineStr"/>
      <c r="O1784" s="18" t="inlineStr"/>
      <c r="P1784" s="18" t="inlineStr">
        <is>
          <t>internal-institutional-control-service/src/esap/listas-chequeo/entities/lista-chequeo.entity.ts:105: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84" s="18" t="inlineStr">
        <is>
          <t>Código fuente</t>
        </is>
      </c>
      <c r="R1784" s="18" t="inlineStr">
        <is>
          <t>Indica si la lista de chequeo exige adjuntar evidencias. Por defecto verdadero.</t>
        </is>
      </c>
      <c r="S1784" s="18" t="inlineStr">
        <is>
          <t>Media</t>
        </is>
      </c>
      <c r="T1784" s="18" t="inlineStr">
        <is>
          <t>nombre + tipo + propuesta por regla</t>
        </is>
      </c>
      <c r="U1784" s="18" t="inlineStr">
        <is>
          <t>¿La exigencia de evidencias es por ítem o para la lista completa?</t>
        </is>
      </c>
      <c r="V1784" s="19" t="inlineStr">
        <is>
          <t>Pendiente</t>
        </is>
      </c>
      <c r="W1784" s="19" t="inlineStr"/>
      <c r="X1784" s="19" t="inlineStr"/>
      <c r="Y1784" s="20" t="n"/>
      <c r="Z1784" s="19" t="inlineStr"/>
      <c r="AA1784" s="18">
        <f>IF(OR(V1784="Aprobada"),R1784,IF(AND(OR(V1784="Aprobada con ajuste",V1784="Rechazada"),W1784&lt;&gt;""),W1784,""))</f>
        <v/>
      </c>
    </row>
    <row r="1785">
      <c r="A1785" s="18" t="inlineStr">
        <is>
          <t>C1784</t>
        </is>
      </c>
      <c r="B1785" s="18" t="inlineStr">
        <is>
          <t>Control interno</t>
        </is>
      </c>
      <c r="C1785" s="18" t="inlineStr">
        <is>
          <t>control_interno</t>
        </is>
      </c>
      <c r="D1785" s="18" t="inlineStr">
        <is>
          <t>lista_chequeo</t>
        </is>
      </c>
      <c r="E1785" s="18" t="n">
        <v>71</v>
      </c>
      <c r="F1785" s="18" t="inlineStr">
        <is>
          <t>genera_hallazgos_automaticos</t>
        </is>
      </c>
      <c r="G1785" s="18" t="inlineStr">
        <is>
          <t>boolean</t>
        </is>
      </c>
      <c r="H1785" s="18" t="inlineStr">
        <is>
          <t>Sí</t>
        </is>
      </c>
      <c r="I1785" s="18" t="inlineStr"/>
      <c r="J1785" s="18" t="inlineStr"/>
      <c r="K1785" s="18" t="inlineStr"/>
      <c r="L1785" s="18" t="inlineStr">
        <is>
          <t>No</t>
        </is>
      </c>
      <c r="M1785" s="18" t="inlineStr">
        <is>
          <t>No</t>
        </is>
      </c>
      <c r="N1785" s="18" t="inlineStr"/>
      <c r="O1785" s="18" t="inlineStr"/>
      <c r="P1785" s="18" t="inlineStr">
        <is>
          <t>internal-institutional-control-service/src/esap/listas-chequeo/entities/lista-chequeo.entity.ts:108: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</t>
        </is>
      </c>
      <c r="Q1785" s="18" t="inlineStr">
        <is>
          <t>Código fuente</t>
        </is>
      </c>
      <c r="R1785" s="18" t="inlineStr">
        <is>
          <t>Indica si la lista de chequeo genera hallazgos de forma automática. Por defecto verdadero.</t>
        </is>
      </c>
      <c r="S1785" s="18" t="inlineStr">
        <is>
          <t>Media</t>
        </is>
      </c>
      <c r="T1785" s="18" t="inlineStr">
        <is>
          <t>nombre + tipo + columnas vecinas (hallazgos_generados)</t>
        </is>
      </c>
      <c r="U1785" s="18" t="inlineStr">
        <is>
          <t>¿Se genera un hallazgo por cada ítem no cumplido?</t>
        </is>
      </c>
      <c r="V1785" s="19" t="inlineStr">
        <is>
          <t>Pendiente</t>
        </is>
      </c>
      <c r="W1785" s="19" t="inlineStr"/>
      <c r="X1785" s="19" t="inlineStr"/>
      <c r="Y1785" s="20" t="n"/>
      <c r="Z1785" s="19" t="inlineStr"/>
      <c r="AA1785" s="18">
        <f>IF(OR(V1785="Aprobada"),R1785,IF(AND(OR(V1785="Aprobada con ajuste",V1785="Rechazada"),W1785&lt;&gt;""),W1785,""))</f>
        <v/>
      </c>
    </row>
    <row r="1786">
      <c r="A1786" s="18" t="inlineStr">
        <is>
          <t>C1785</t>
        </is>
      </c>
      <c r="B1786" s="18" t="inlineStr">
        <is>
          <t>Control interno</t>
        </is>
      </c>
      <c r="C1786" s="18" t="inlineStr">
        <is>
          <t>control_interno</t>
        </is>
      </c>
      <c r="D1786" s="18" t="inlineStr">
        <is>
          <t>lista_chequeo</t>
        </is>
      </c>
      <c r="E1786" s="18" t="n">
        <v>71</v>
      </c>
      <c r="F1786" s="18" t="inlineStr">
        <is>
          <t>fase_planeacion</t>
        </is>
      </c>
      <c r="G1786" s="18" t="inlineStr">
        <is>
          <t>boolean</t>
        </is>
      </c>
      <c r="H1786" s="18" t="inlineStr">
        <is>
          <t>Sí</t>
        </is>
      </c>
      <c r="I1786" s="18" t="inlineStr"/>
      <c r="J1786" s="18" t="inlineStr"/>
      <c r="K1786" s="18" t="inlineStr"/>
      <c r="L1786" s="18" t="inlineStr">
        <is>
          <t>No</t>
        </is>
      </c>
      <c r="M1786" s="18" t="inlineStr">
        <is>
          <t>No</t>
        </is>
      </c>
      <c r="N1786" s="18" t="inlineStr"/>
      <c r="O1786" s="18" t="inlineStr"/>
      <c r="P1786" s="18" t="inlineStr">
        <is>
          <t>internal-institutional-control-service/src/esap/listas-chequeo/entities/lista-chequeo.entity.ts:172: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786" s="18" t="inlineStr">
        <is>
          <t>Código fuente</t>
        </is>
      </c>
      <c r="R1786" s="18" t="inlineStr">
        <is>
          <t>Indica si la lista de chequeo se aplica en la fase de planeación de la auditoría. Por defecto falso.</t>
        </is>
      </c>
      <c r="S1786" s="18" t="inlineStr">
        <is>
          <t>Alta</t>
        </is>
      </c>
      <c r="T1786" s="18" t="inlineStr">
        <is>
          <t>nombre + tipo + columnas vecinas (fases)</t>
        </is>
      </c>
      <c r="U1786" s="18" t="inlineStr"/>
      <c r="V1786" s="19" t="inlineStr">
        <is>
          <t>Pendiente</t>
        </is>
      </c>
      <c r="W1786" s="19" t="inlineStr"/>
      <c r="X1786" s="19" t="inlineStr"/>
      <c r="Y1786" s="20" t="n"/>
      <c r="Z1786" s="19" t="inlineStr"/>
      <c r="AA1786" s="18">
        <f>IF(OR(V1786="Aprobada"),R1786,IF(AND(OR(V1786="Aprobada con ajuste",V1786="Rechazada"),W1786&lt;&gt;""),W1786,""))</f>
        <v/>
      </c>
    </row>
    <row r="1787">
      <c r="A1787" s="18" t="inlineStr">
        <is>
          <t>C1786</t>
        </is>
      </c>
      <c r="B1787" s="18" t="inlineStr">
        <is>
          <t>Control interno</t>
        </is>
      </c>
      <c r="C1787" s="18" t="inlineStr">
        <is>
          <t>control_interno</t>
        </is>
      </c>
      <c r="D1787" s="18" t="inlineStr">
        <is>
          <t>lista_chequeo</t>
        </is>
      </c>
      <c r="E1787" s="18" t="n">
        <v>71</v>
      </c>
      <c r="F1787" s="18" t="inlineStr">
        <is>
          <t>fase_ejecucion</t>
        </is>
      </c>
      <c r="G1787" s="18" t="inlineStr">
        <is>
          <t>boolean</t>
        </is>
      </c>
      <c r="H1787" s="18" t="inlineStr">
        <is>
          <t>Sí</t>
        </is>
      </c>
      <c r="I1787" s="18" t="inlineStr"/>
      <c r="J1787" s="18" t="inlineStr"/>
      <c r="K1787" s="18" t="inlineStr"/>
      <c r="L1787" s="18" t="inlineStr">
        <is>
          <t>No</t>
        </is>
      </c>
      <c r="M1787" s="18" t="inlineStr">
        <is>
          <t>No</t>
        </is>
      </c>
      <c r="N1787" s="18" t="inlineStr"/>
      <c r="O1787" s="18" t="inlineStr"/>
      <c r="P1787" s="18" t="inlineStr">
        <is>
          <t>internal-institutional-control-service/src/esap/listas-chequeo/entities/lista-chequeo.entity.ts:175: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787" s="18" t="inlineStr">
        <is>
          <t>Código fuente</t>
        </is>
      </c>
      <c r="R1787" s="18" t="inlineStr">
        <is>
          <t>Indica si la lista de chequeo se aplica en la fase de ejecución de la auditoría. Por defecto falso.</t>
        </is>
      </c>
      <c r="S1787" s="18" t="inlineStr">
        <is>
          <t>Alta</t>
        </is>
      </c>
      <c r="T1787" s="18" t="inlineStr">
        <is>
          <t>nombre + tipo + columnas vecinas (fases)</t>
        </is>
      </c>
      <c r="U1787" s="18" t="inlineStr"/>
      <c r="V1787" s="19" t="inlineStr">
        <is>
          <t>Pendiente</t>
        </is>
      </c>
      <c r="W1787" s="19" t="inlineStr"/>
      <c r="X1787" s="19" t="inlineStr"/>
      <c r="Y1787" s="20" t="n"/>
      <c r="Z1787" s="19" t="inlineStr"/>
      <c r="AA1787" s="18">
        <f>IF(OR(V1787="Aprobada"),R1787,IF(AND(OR(V1787="Aprobada con ajuste",V1787="Rechazada"),W1787&lt;&gt;""),W1787,""))</f>
        <v/>
      </c>
    </row>
    <row r="1788">
      <c r="A1788" s="18" t="inlineStr">
        <is>
          <t>C1787</t>
        </is>
      </c>
      <c r="B1788" s="18" t="inlineStr">
        <is>
          <t>Control interno</t>
        </is>
      </c>
      <c r="C1788" s="18" t="inlineStr">
        <is>
          <t>control_interno</t>
        </is>
      </c>
      <c r="D1788" s="18" t="inlineStr">
        <is>
          <t>lista_chequeo</t>
        </is>
      </c>
      <c r="E1788" s="18" t="n">
        <v>71</v>
      </c>
      <c r="F1788" s="18" t="inlineStr">
        <is>
          <t>fase_comunicacion</t>
        </is>
      </c>
      <c r="G1788" s="18" t="inlineStr">
        <is>
          <t>boolean</t>
        </is>
      </c>
      <c r="H1788" s="18" t="inlineStr">
        <is>
          <t>Sí</t>
        </is>
      </c>
      <c r="I1788" s="18" t="inlineStr"/>
      <c r="J1788" s="18" t="inlineStr"/>
      <c r="K1788" s="18" t="inlineStr"/>
      <c r="L1788" s="18" t="inlineStr">
        <is>
          <t>No</t>
        </is>
      </c>
      <c r="M1788" s="18" t="inlineStr">
        <is>
          <t>No</t>
        </is>
      </c>
      <c r="N1788" s="18" t="inlineStr"/>
      <c r="O1788" s="18" t="inlineStr"/>
      <c r="P1788" s="18" t="inlineStr">
        <is>
          <t>internal-institutional-control-service/src/esap/listas-chequeo/entities/lista-chequeo.entity.ts:178: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788" s="18" t="inlineStr">
        <is>
          <t>Código fuente</t>
        </is>
      </c>
      <c r="R1788" s="18" t="inlineStr">
        <is>
          <t>Indica si la lista de chequeo se aplica en la fase de comunicación de la auditoría. Por defecto falso.</t>
        </is>
      </c>
      <c r="S1788" s="18" t="inlineStr">
        <is>
          <t>Alta</t>
        </is>
      </c>
      <c r="T1788" s="18" t="inlineStr">
        <is>
          <t>nombre + tipo + columnas vecinas (fases)</t>
        </is>
      </c>
      <c r="U1788" s="18" t="inlineStr"/>
      <c r="V1788" s="19" t="inlineStr">
        <is>
          <t>Pendiente</t>
        </is>
      </c>
      <c r="W1788" s="19" t="inlineStr"/>
      <c r="X1788" s="19" t="inlineStr"/>
      <c r="Y1788" s="20" t="n"/>
      <c r="Z1788" s="19" t="inlineStr"/>
      <c r="AA1788" s="18">
        <f>IF(OR(V1788="Aprobada"),R1788,IF(AND(OR(V1788="Aprobada con ajuste",V1788="Rechazada"),W1788&lt;&gt;""),W1788,""))</f>
        <v/>
      </c>
    </row>
    <row r="1789">
      <c r="A1789" s="18" t="inlineStr">
        <is>
          <t>C1788</t>
        </is>
      </c>
      <c r="B1789" s="18" t="inlineStr">
        <is>
          <t>Control interno</t>
        </is>
      </c>
      <c r="C1789" s="18" t="inlineStr">
        <is>
          <t>control_interno</t>
        </is>
      </c>
      <c r="D1789" s="18" t="inlineStr">
        <is>
          <t>lista_chequeo</t>
        </is>
      </c>
      <c r="E1789" s="18" t="n">
        <v>71</v>
      </c>
      <c r="F1789" s="18" t="inlineStr">
        <is>
          <t>fase_seguimiento</t>
        </is>
      </c>
      <c r="G1789" s="18" t="inlineStr">
        <is>
          <t>boolean</t>
        </is>
      </c>
      <c r="H1789" s="18" t="inlineStr">
        <is>
          <t>Sí</t>
        </is>
      </c>
      <c r="I1789" s="18" t="inlineStr"/>
      <c r="J1789" s="18" t="inlineStr"/>
      <c r="K1789" s="18" t="inlineStr"/>
      <c r="L1789" s="18" t="inlineStr">
        <is>
          <t>No</t>
        </is>
      </c>
      <c r="M1789" s="18" t="inlineStr">
        <is>
          <t>No</t>
        </is>
      </c>
      <c r="N1789" s="18" t="inlineStr"/>
      <c r="O1789" s="18" t="inlineStr"/>
      <c r="P1789" s="18" t="inlineStr">
        <is>
          <t>internal-institutional-control-service/src/esap/listas-chequeo/entities/lista-chequeo.entity.ts:181: ═══════════════════════════════════════════════════════════════════════════ CAMPOS OBLIGATORIOS EN BD EXISTENTE ═══════════════════════════════════════════════════════════════════════════ | Validación: IsBoolean, IsOptional</t>
        </is>
      </c>
      <c r="Q1789" s="18" t="inlineStr">
        <is>
          <t>Código fuente</t>
        </is>
      </c>
      <c r="R1789" s="18" t="inlineStr">
        <is>
          <t>Indica si la lista de chequeo se aplica en la fase de seguimiento de la auditoría. Por defecto falso.</t>
        </is>
      </c>
      <c r="S1789" s="18" t="inlineStr">
        <is>
          <t>Alta</t>
        </is>
      </c>
      <c r="T1789" s="18" t="inlineStr">
        <is>
          <t>nombre + tipo + columnas vecinas (fases)</t>
        </is>
      </c>
      <c r="U1789" s="18" t="inlineStr"/>
      <c r="V1789" s="19" t="inlineStr">
        <is>
          <t>Pendiente</t>
        </is>
      </c>
      <c r="W1789" s="19" t="inlineStr"/>
      <c r="X1789" s="19" t="inlineStr"/>
      <c r="Y1789" s="20" t="n"/>
      <c r="Z1789" s="19" t="inlineStr"/>
      <c r="AA1789" s="18">
        <f>IF(OR(V1789="Aprobada"),R1789,IF(AND(OR(V1789="Aprobada con ajuste",V1789="Rechazada"),W1789&lt;&gt;""),W1789,""))</f>
        <v/>
      </c>
    </row>
    <row r="1790">
      <c r="A1790" s="18" t="inlineStr">
        <is>
          <t>C1789</t>
        </is>
      </c>
      <c r="B1790" s="18" t="inlineStr">
        <is>
          <t>Control interno</t>
        </is>
      </c>
      <c r="C1790" s="18" t="inlineStr">
        <is>
          <t>control_interno</t>
        </is>
      </c>
      <c r="D1790" s="18" t="inlineStr">
        <is>
          <t>logs_auditoria_esap</t>
        </is>
      </c>
      <c r="E1790" s="18" t="n">
        <v>0</v>
      </c>
      <c r="F1790" s="18" t="inlineStr">
        <is>
          <t>accion</t>
        </is>
      </c>
      <c r="G1790" s="18" t="inlineStr">
        <is>
          <t>character varying(255)</t>
        </is>
      </c>
      <c r="H1790" s="18" t="inlineStr">
        <is>
          <t>No</t>
        </is>
      </c>
      <c r="I1790" s="18" t="inlineStr"/>
      <c r="J1790" s="18" t="inlineStr"/>
      <c r="K1790" s="18" t="inlineStr"/>
      <c r="L1790" s="18" t="inlineStr">
        <is>
          <t>No</t>
        </is>
      </c>
      <c r="M1790" s="18" t="inlineStr">
        <is>
          <t>No</t>
        </is>
      </c>
      <c r="N1790" s="18" t="inlineStr"/>
      <c r="O1790" s="18" t="inlineStr">
        <is>
          <t>idx_logs_accion</t>
        </is>
      </c>
      <c r="P1790" s="18" t="inlineStr"/>
      <c r="Q1790" s="18" t="inlineStr">
        <is>
          <t>Propuesta semántica</t>
        </is>
      </c>
      <c r="R1790" s="18" t="inlineStr">
        <is>
          <t>Acción realizada por el usuario que se registra en el log.</t>
        </is>
      </c>
      <c r="S1790" s="18" t="inlineStr">
        <is>
          <t>Media</t>
        </is>
      </c>
      <c r="T1790" s="18" t="inlineStr">
        <is>
          <t>nombre + tipo + columnas vecinas</t>
        </is>
      </c>
      <c r="U1790" s="18" t="inlineStr">
        <is>
          <t>¿Qué valores toma la acción (crear, actualizar, eliminar, login…)?</t>
        </is>
      </c>
      <c r="V1790" s="19" t="inlineStr">
        <is>
          <t>Pendiente</t>
        </is>
      </c>
      <c r="W1790" s="19" t="inlineStr"/>
      <c r="X1790" s="19" t="inlineStr"/>
      <c r="Y1790" s="20" t="n"/>
      <c r="Z1790" s="19" t="inlineStr"/>
      <c r="AA1790" s="18">
        <f>IF(OR(V1790="Aprobada"),R1790,IF(AND(OR(V1790="Aprobada con ajuste",V1790="Rechazada"),W1790&lt;&gt;""),W1790,""))</f>
        <v/>
      </c>
    </row>
    <row r="1791">
      <c r="A1791" s="18" t="inlineStr">
        <is>
          <t>C1790</t>
        </is>
      </c>
      <c r="B1791" s="18" t="inlineStr">
        <is>
          <t>Control interno</t>
        </is>
      </c>
      <c r="C1791" s="18" t="inlineStr">
        <is>
          <t>control_interno</t>
        </is>
      </c>
      <c r="D1791" s="18" t="inlineStr">
        <is>
          <t>logs_auditoria_esap</t>
        </is>
      </c>
      <c r="E1791" s="18" t="n">
        <v>0</v>
      </c>
      <c r="F1791" s="18" t="inlineStr">
        <is>
          <t>entidad</t>
        </is>
      </c>
      <c r="G1791" s="18" t="inlineStr">
        <is>
          <t>character varying(255)</t>
        </is>
      </c>
      <c r="H1791" s="18" t="inlineStr">
        <is>
          <t>Sí</t>
        </is>
      </c>
      <c r="I1791" s="18" t="inlineStr"/>
      <c r="J1791" s="18" t="inlineStr"/>
      <c r="K1791" s="18" t="inlineStr"/>
      <c r="L1791" s="18" t="inlineStr">
        <is>
          <t>No</t>
        </is>
      </c>
      <c r="M1791" s="18" t="inlineStr">
        <is>
          <t>No</t>
        </is>
      </c>
      <c r="N1791" s="18" t="inlineStr"/>
      <c r="O1791" s="18" t="inlineStr">
        <is>
          <t>idx_logs_entidad</t>
        </is>
      </c>
      <c r="P1791" s="18" t="inlineStr"/>
      <c r="Q1791" s="18" t="inlineStr">
        <is>
          <t>Propuesta semántica</t>
        </is>
      </c>
      <c r="R1791" s="18" t="inlineStr">
        <is>
          <t>Nombre de la entidad o tabla afectada por la acción.</t>
        </is>
      </c>
      <c r="S1791" s="18" t="inlineStr">
        <is>
          <t>Alta</t>
        </is>
      </c>
      <c r="T1791" s="18" t="inlineStr">
        <is>
          <t>nombre + tipo + columnas vecinas</t>
        </is>
      </c>
      <c r="U1791" s="18" t="inlineStr"/>
      <c r="V1791" s="19" t="inlineStr">
        <is>
          <t>Pendiente</t>
        </is>
      </c>
      <c r="W1791" s="19" t="inlineStr"/>
      <c r="X1791" s="19" t="inlineStr"/>
      <c r="Y1791" s="20" t="n"/>
      <c r="Z1791" s="19" t="inlineStr"/>
      <c r="AA1791" s="18">
        <f>IF(OR(V1791="Aprobada"),R1791,IF(AND(OR(V1791="Aprobada con ajuste",V1791="Rechazada"),W1791&lt;&gt;""),W1791,""))</f>
        <v/>
      </c>
    </row>
    <row r="1792">
      <c r="A1792" s="18" t="inlineStr">
        <is>
          <t>C1791</t>
        </is>
      </c>
      <c r="B1792" s="18" t="inlineStr">
        <is>
          <t>Control interno</t>
        </is>
      </c>
      <c r="C1792" s="18" t="inlineStr">
        <is>
          <t>control_interno</t>
        </is>
      </c>
      <c r="D1792" s="18" t="inlineStr">
        <is>
          <t>logs_auditoria_esap</t>
        </is>
      </c>
      <c r="E1792" s="18" t="n">
        <v>0</v>
      </c>
      <c r="F1792" s="18" t="inlineStr">
        <is>
          <t>entidad_id</t>
        </is>
      </c>
      <c r="G1792" s="18" t="inlineStr">
        <is>
          <t>uuid</t>
        </is>
      </c>
      <c r="H1792" s="18" t="inlineStr">
        <is>
          <t>Sí</t>
        </is>
      </c>
      <c r="I1792" s="18" t="inlineStr"/>
      <c r="J1792" s="18" t="inlineStr"/>
      <c r="K1792" s="18" t="inlineStr"/>
      <c r="L1792" s="18" t="inlineStr">
        <is>
          <t>No</t>
        </is>
      </c>
      <c r="M1792" s="18" t="inlineStr">
        <is>
          <t>No</t>
        </is>
      </c>
      <c r="N1792" s="18" t="inlineStr"/>
      <c r="O1792" s="18" t="inlineStr"/>
      <c r="P1792" s="18" t="inlineStr"/>
      <c r="Q1792" s="18" t="inlineStr">
        <is>
          <t>Propuesta semántica</t>
        </is>
      </c>
      <c r="R1792" s="18" t="inlineStr">
        <is>
          <t>Identificador del registro afectado por la acción.</t>
        </is>
      </c>
      <c r="S1792" s="18" t="inlineStr">
        <is>
          <t>Alta</t>
        </is>
      </c>
      <c r="T1792" s="18" t="inlineStr">
        <is>
          <t>nombre + tipo + columnas vecinas</t>
        </is>
      </c>
      <c r="U1792" s="18" t="inlineStr"/>
      <c r="V1792" s="19" t="inlineStr">
        <is>
          <t>Pendiente</t>
        </is>
      </c>
      <c r="W1792" s="19" t="inlineStr"/>
      <c r="X1792" s="19" t="inlineStr"/>
      <c r="Y1792" s="20" t="n"/>
      <c r="Z1792" s="19" t="inlineStr"/>
      <c r="AA1792" s="18">
        <f>IF(OR(V1792="Aprobada"),R1792,IF(AND(OR(V1792="Aprobada con ajuste",V1792="Rechazada"),W1792&lt;&gt;""),W1792,""))</f>
        <v/>
      </c>
    </row>
    <row r="1793">
      <c r="A1793" s="18" t="inlineStr">
        <is>
          <t>C1792</t>
        </is>
      </c>
      <c r="B1793" s="18" t="inlineStr">
        <is>
          <t>Control interno</t>
        </is>
      </c>
      <c r="C1793" s="18" t="inlineStr">
        <is>
          <t>control_interno</t>
        </is>
      </c>
      <c r="D1793" s="18" t="inlineStr">
        <is>
          <t>logs_auditoria_esap</t>
        </is>
      </c>
      <c r="E1793" s="18" t="n">
        <v>0</v>
      </c>
      <c r="F1793" s="18" t="inlineStr">
        <is>
          <t>detalles</t>
        </is>
      </c>
      <c r="G1793" s="18" t="inlineStr">
        <is>
          <t>jsonb</t>
        </is>
      </c>
      <c r="H1793" s="18" t="inlineStr">
        <is>
          <t>Sí</t>
        </is>
      </c>
      <c r="I1793" s="18" t="inlineStr"/>
      <c r="J1793" s="18" t="inlineStr"/>
      <c r="K1793" s="18" t="inlineStr"/>
      <c r="L1793" s="18" t="inlineStr">
        <is>
          <t>No</t>
        </is>
      </c>
      <c r="M1793" s="18" t="inlineStr">
        <is>
          <t>No</t>
        </is>
      </c>
      <c r="N1793" s="18" t="inlineStr"/>
      <c r="O1793" s="18" t="inlineStr"/>
      <c r="P1793" s="18" t="inlineStr"/>
      <c r="Q1793" s="18" t="inlineStr">
        <is>
          <t>Propuesta semántica</t>
        </is>
      </c>
      <c r="R1793" s="18" t="inlineStr">
        <is>
          <t>Detalles adicionales de la acción (por ejemplo, valores modificados), en formato JSON.</t>
        </is>
      </c>
      <c r="S1793" s="18" t="inlineStr">
        <is>
          <t>Media</t>
        </is>
      </c>
      <c r="T1793" s="18" t="inlineStr">
        <is>
          <t>nombre + tipo + columnas vecinas</t>
        </is>
      </c>
      <c r="U1793" s="18" t="inlineStr">
        <is>
          <t>¿Qué estructura tiene el JSON de detalles?</t>
        </is>
      </c>
      <c r="V1793" s="19" t="inlineStr">
        <is>
          <t>Pendiente</t>
        </is>
      </c>
      <c r="W1793" s="19" t="inlineStr"/>
      <c r="X1793" s="19" t="inlineStr"/>
      <c r="Y1793" s="20" t="n"/>
      <c r="Z1793" s="19" t="inlineStr"/>
      <c r="AA1793" s="18">
        <f>IF(OR(V1793="Aprobada"),R1793,IF(AND(OR(V1793="Aprobada con ajuste",V1793="Rechazada"),W1793&lt;&gt;""),W1793,""))</f>
        <v/>
      </c>
    </row>
    <row r="1794">
      <c r="A1794" s="18" t="inlineStr">
        <is>
          <t>C1793</t>
        </is>
      </c>
      <c r="B1794" s="18" t="inlineStr">
        <is>
          <t>Control interno</t>
        </is>
      </c>
      <c r="C1794" s="18" t="inlineStr">
        <is>
          <t>control_interno</t>
        </is>
      </c>
      <c r="D1794" s="18" t="inlineStr">
        <is>
          <t>logs_auditoria_esap</t>
        </is>
      </c>
      <c r="E1794" s="18" t="n">
        <v>0</v>
      </c>
      <c r="F1794" s="18" t="inlineStr">
        <is>
          <t>ip_address</t>
        </is>
      </c>
      <c r="G1794" s="18" t="inlineStr">
        <is>
          <t>character varying(45)</t>
        </is>
      </c>
      <c r="H1794" s="18" t="inlineStr">
        <is>
          <t>Sí</t>
        </is>
      </c>
      <c r="I1794" s="18" t="inlineStr"/>
      <c r="J1794" s="18" t="inlineStr"/>
      <c r="K1794" s="18" t="inlineStr"/>
      <c r="L1794" s="18" t="inlineStr">
        <is>
          <t>No</t>
        </is>
      </c>
      <c r="M1794" s="18" t="inlineStr">
        <is>
          <t>No</t>
        </is>
      </c>
      <c r="N1794" s="18" t="inlineStr"/>
      <c r="O1794" s="18" t="inlineStr"/>
      <c r="P1794" s="18" t="inlineStr"/>
      <c r="Q1794" s="18" t="inlineStr">
        <is>
          <t>Propuesta semántica</t>
        </is>
      </c>
      <c r="R1794" s="18" t="inlineStr">
        <is>
          <t>Dirección IP desde la que se realizó la acción (IPv4 o IPv6).</t>
        </is>
      </c>
      <c r="S1794" s="18" t="inlineStr">
        <is>
          <t>Alta</t>
        </is>
      </c>
      <c r="T1794" s="18" t="inlineStr">
        <is>
          <t>nombre + tipo (longitud 45)</t>
        </is>
      </c>
      <c r="U1794" s="18" t="inlineStr"/>
      <c r="V1794" s="19" t="inlineStr">
        <is>
          <t>Pendiente</t>
        </is>
      </c>
      <c r="W1794" s="19" t="inlineStr"/>
      <c r="X1794" s="19" t="inlineStr"/>
      <c r="Y1794" s="20" t="n"/>
      <c r="Z1794" s="19" t="inlineStr"/>
      <c r="AA1794" s="18">
        <f>IF(OR(V1794="Aprobada"),R1794,IF(AND(OR(V1794="Aprobada con ajuste",V1794="Rechazada"),W1794&lt;&gt;""),W1794,""))</f>
        <v/>
      </c>
    </row>
    <row r="1795">
      <c r="A1795" s="18" t="inlineStr">
        <is>
          <t>C1794</t>
        </is>
      </c>
      <c r="B1795" s="18" t="inlineStr">
        <is>
          <t>Control interno</t>
        </is>
      </c>
      <c r="C1795" s="18" t="inlineStr">
        <is>
          <t>control_interno</t>
        </is>
      </c>
      <c r="D1795" s="18" t="inlineStr">
        <is>
          <t>logs_auditoria_esap</t>
        </is>
      </c>
      <c r="E1795" s="18" t="n">
        <v>0</v>
      </c>
      <c r="F1795" s="18" t="inlineStr">
        <is>
          <t>user_agent</t>
        </is>
      </c>
      <c r="G1795" s="18" t="inlineStr">
        <is>
          <t>text</t>
        </is>
      </c>
      <c r="H1795" s="18" t="inlineStr">
        <is>
          <t>Sí</t>
        </is>
      </c>
      <c r="I1795" s="18" t="inlineStr"/>
      <c r="J1795" s="18" t="inlineStr"/>
      <c r="K1795" s="18" t="inlineStr"/>
      <c r="L1795" s="18" t="inlineStr">
        <is>
          <t>No</t>
        </is>
      </c>
      <c r="M1795" s="18" t="inlineStr">
        <is>
          <t>No</t>
        </is>
      </c>
      <c r="N1795" s="18" t="inlineStr"/>
      <c r="O1795" s="18" t="inlineStr"/>
      <c r="P1795" s="18" t="inlineStr"/>
      <c r="Q1795" s="18" t="inlineStr">
        <is>
          <t>Regla estructural</t>
        </is>
      </c>
      <c r="R1795" s="18" t="inlineStr">
        <is>
          <t>Agente de usuario (navegador) registrado.</t>
        </is>
      </c>
      <c r="S1795" s="18" t="inlineStr">
        <is>
          <t>Media</t>
        </is>
      </c>
      <c r="T1795" s="18" t="inlineStr">
        <is>
          <t>Convención de nombre de la columna.</t>
        </is>
      </c>
      <c r="U1795" s="18" t="inlineStr"/>
      <c r="V1795" s="19" t="inlineStr">
        <is>
          <t>Pendiente</t>
        </is>
      </c>
      <c r="W1795" s="19" t="inlineStr"/>
      <c r="X1795" s="19" t="inlineStr"/>
      <c r="Y1795" s="20" t="n"/>
      <c r="Z1795" s="19" t="inlineStr"/>
      <c r="AA1795" s="18">
        <f>IF(OR(V1795="Aprobada"),R1795,IF(AND(OR(V1795="Aprobada con ajuste",V1795="Rechazada"),W1795&lt;&gt;""),W1795,""))</f>
        <v/>
      </c>
    </row>
    <row r="1796">
      <c r="A1796" s="18" t="inlineStr">
        <is>
          <t>C1795</t>
        </is>
      </c>
      <c r="B1796" s="18" t="inlineStr">
        <is>
          <t>Control interno</t>
        </is>
      </c>
      <c r="C1796" s="18" t="inlineStr">
        <is>
          <t>control_interno</t>
        </is>
      </c>
      <c r="D1796" s="18" t="inlineStr">
        <is>
          <t>normatividad_aplicable</t>
        </is>
      </c>
      <c r="E1796" s="18" t="n">
        <v>0</v>
      </c>
      <c r="F1796" s="18" t="inlineStr">
        <is>
          <t>normatividad</t>
        </is>
      </c>
      <c r="G1796" s="18" t="inlineStr">
        <is>
          <t>text</t>
        </is>
      </c>
      <c r="H1796" s="18" t="inlineStr">
        <is>
          <t>No</t>
        </is>
      </c>
      <c r="I1796" s="18" t="inlineStr"/>
      <c r="J1796" s="18" t="inlineStr"/>
      <c r="K1796" s="18" t="inlineStr"/>
      <c r="L1796" s="18" t="inlineStr">
        <is>
          <t>No</t>
        </is>
      </c>
      <c r="M1796" s="18" t="inlineStr">
        <is>
          <t>No</t>
        </is>
      </c>
      <c r="N1796" s="18" t="inlineStr"/>
      <c r="O1796" s="18" t="inlineStr"/>
      <c r="P1796" s="18" t="inlineStr">
        <is>
          <t>db/migrations/old/036_add_auditorias_kanban_completo.sql:882: Ej: "Decreto 648 de 2017", "Manual de Contratación"</t>
        </is>
      </c>
      <c r="Q1796" s="18" t="inlineStr">
        <is>
          <t>Código fuente</t>
        </is>
      </c>
      <c r="R1796" s="18" t="inlineStr">
        <is>
          <t>Nombre de la norma o documento aplicable a la auditoría (por ejemplo, «Decreto 648 de 2017», «Manual de Contratación»).</t>
        </is>
      </c>
      <c r="S1796" s="18" t="inlineStr">
        <is>
          <t>Alta</t>
        </is>
      </c>
      <c r="T1796" s="18" t="inlineStr">
        <is>
          <t>código: db/migrations/old/036_add_auditorias_kanban_completo.sql:882</t>
        </is>
      </c>
      <c r="U1796" s="18" t="inlineStr"/>
      <c r="V1796" s="19" t="inlineStr">
        <is>
          <t>Pendiente</t>
        </is>
      </c>
      <c r="W1796" s="19" t="inlineStr"/>
      <c r="X1796" s="19" t="inlineStr"/>
      <c r="Y1796" s="20" t="n"/>
      <c r="Z1796" s="19" t="inlineStr"/>
      <c r="AA1796" s="18">
        <f>IF(OR(V1796="Aprobada"),R1796,IF(AND(OR(V1796="Aprobada con ajuste",V1796="Rechazada"),W1796&lt;&gt;""),W1796,""))</f>
        <v/>
      </c>
    </row>
    <row r="1797">
      <c r="A1797" s="18" t="inlineStr">
        <is>
          <t>C1796</t>
        </is>
      </c>
      <c r="B1797" s="18" t="inlineStr">
        <is>
          <t>Control interno</t>
        </is>
      </c>
      <c r="C1797" s="18" t="inlineStr">
        <is>
          <t>control_interno</t>
        </is>
      </c>
      <c r="D1797" s="18" t="inlineStr">
        <is>
          <t>normatividad_aplicable</t>
        </is>
      </c>
      <c r="E1797" s="18" t="n">
        <v>0</v>
      </c>
      <c r="F1797" s="18" t="inlineStr">
        <is>
          <t>tipo</t>
        </is>
      </c>
      <c r="G1797" s="18" t="inlineStr">
        <is>
          <t>character varying(100)</t>
        </is>
      </c>
      <c r="H1797" s="18" t="inlineStr">
        <is>
          <t>Sí</t>
        </is>
      </c>
      <c r="I1797" s="18" t="inlineStr"/>
      <c r="J1797" s="18" t="inlineStr"/>
      <c r="K1797" s="18" t="inlineStr"/>
      <c r="L1797" s="18" t="inlineStr">
        <is>
          <t>No</t>
        </is>
      </c>
      <c r="M1797" s="18" t="inlineStr">
        <is>
          <t>No</t>
        </is>
      </c>
      <c r="N1797" s="18" t="inlineStr"/>
      <c r="O1797" s="18" t="inlineStr"/>
      <c r="P1797" s="18" t="inlineStr">
        <is>
          <t>db/migrations/old/036_add_auditorias_kanban_completo.sql:883: 'decreto', 'ley', 'manual', 'politica', 'otro'</t>
        </is>
      </c>
      <c r="Q1797" s="18" t="inlineStr">
        <is>
          <t>Código fuente</t>
        </is>
      </c>
      <c r="R1797" s="18" t="inlineStr">
        <is>
          <t>Tipo de norma. Valores esperados: decreto, ley, manual, politica, otro.</t>
        </is>
      </c>
      <c r="S1797" s="18" t="inlineStr">
        <is>
          <t>Alta</t>
        </is>
      </c>
      <c r="T1797" s="18" t="inlineStr">
        <is>
          <t>código: db/migrations/old/036_add_auditorias_kanban_completo.sql:883</t>
        </is>
      </c>
      <c r="U1797" s="18" t="inlineStr"/>
      <c r="V1797" s="19" t="inlineStr">
        <is>
          <t>Pendiente</t>
        </is>
      </c>
      <c r="W1797" s="19" t="inlineStr"/>
      <c r="X1797" s="19" t="inlineStr"/>
      <c r="Y1797" s="20" t="n"/>
      <c r="Z1797" s="19" t="inlineStr"/>
      <c r="AA1797" s="18">
        <f>IF(OR(V1797="Aprobada"),R1797,IF(AND(OR(V1797="Aprobada con ajuste",V1797="Rechazada"),W1797&lt;&gt;""),W1797,""))</f>
        <v/>
      </c>
    </row>
    <row r="1798">
      <c r="A1798" s="18" t="inlineStr">
        <is>
          <t>C1797</t>
        </is>
      </c>
      <c r="B1798" s="18" t="inlineStr">
        <is>
          <t>Control interno</t>
        </is>
      </c>
      <c r="C1798" s="18" t="inlineStr">
        <is>
          <t>control_interno</t>
        </is>
      </c>
      <c r="D1798" s="18" t="inlineStr">
        <is>
          <t>normatividad_aplicable</t>
        </is>
      </c>
      <c r="E1798" s="18" t="n">
        <v>0</v>
      </c>
      <c r="F1798" s="18" t="inlineStr">
        <is>
          <t>activo</t>
        </is>
      </c>
      <c r="G1798" s="18" t="inlineStr">
        <is>
          <t>boolean</t>
        </is>
      </c>
      <c r="H1798" s="18" t="inlineStr">
        <is>
          <t>Sí</t>
        </is>
      </c>
      <c r="I1798" s="18" t="inlineStr"/>
      <c r="J1798" s="18" t="inlineStr"/>
      <c r="K1798" s="18" t="inlineStr"/>
      <c r="L1798" s="18" t="inlineStr">
        <is>
          <t>No</t>
        </is>
      </c>
      <c r="M1798" s="18" t="inlineStr">
        <is>
          <t>No</t>
        </is>
      </c>
      <c r="N1798" s="18" t="inlineStr"/>
      <c r="O1798" s="18" t="inlineStr">
        <is>
          <t>idx_normatividad_activo</t>
        </is>
      </c>
      <c r="P1798" s="18" t="inlineStr"/>
      <c r="Q1798" s="18" t="inlineStr">
        <is>
          <t>Regla estructural</t>
        </is>
      </c>
      <c r="R1798" s="18" t="inlineStr">
        <is>
          <t>Indica si el registro está activo.</t>
        </is>
      </c>
      <c r="S1798" s="18" t="inlineStr">
        <is>
          <t>Media</t>
        </is>
      </c>
      <c r="T1798" s="18" t="inlineStr">
        <is>
          <t>Convención de nombre de la columna.</t>
        </is>
      </c>
      <c r="U1798" s="18" t="inlineStr"/>
      <c r="V1798" s="19" t="inlineStr">
        <is>
          <t>Pendiente</t>
        </is>
      </c>
      <c r="W1798" s="19" t="inlineStr"/>
      <c r="X1798" s="19" t="inlineStr"/>
      <c r="Y1798" s="20" t="n"/>
      <c r="Z1798" s="19" t="inlineStr"/>
      <c r="AA1798" s="18">
        <f>IF(OR(V1798="Aprobada"),R1798,IF(AND(OR(V1798="Aprobada con ajuste",V1798="Rechazada"),W1798&lt;&gt;""),W1798,""))</f>
        <v/>
      </c>
    </row>
    <row r="1799">
      <c r="A1799" s="18" t="inlineStr">
        <is>
          <t>C1798</t>
        </is>
      </c>
      <c r="B1799" s="18" t="inlineStr">
        <is>
          <t>Control interno</t>
        </is>
      </c>
      <c r="C1799" s="18" t="inlineStr">
        <is>
          <t>control_interno</t>
        </is>
      </c>
      <c r="D1799" s="18" t="inlineStr">
        <is>
          <t>nota_auditoria</t>
        </is>
      </c>
      <c r="E1799" s="18" t="n">
        <v>0</v>
      </c>
      <c r="F1799" s="18" t="inlineStr">
        <is>
          <t>contenido</t>
        </is>
      </c>
      <c r="G1799" s="18" t="inlineStr">
        <is>
          <t>text</t>
        </is>
      </c>
      <c r="H1799" s="18" t="inlineStr">
        <is>
          <t>No</t>
        </is>
      </c>
      <c r="I1799" s="18" t="inlineStr"/>
      <c r="J1799" s="18" t="inlineStr"/>
      <c r="K1799" s="18" t="inlineStr"/>
      <c r="L1799" s="18" t="inlineStr">
        <is>
          <t>No</t>
        </is>
      </c>
      <c r="M1799" s="18" t="inlineStr">
        <is>
          <t>No</t>
        </is>
      </c>
      <c r="N1799" s="18" t="inlineStr"/>
      <c r="O1799" s="18" t="inlineStr"/>
      <c r="P1799" s="18" t="inlineStr">
        <is>
          <t>Mapeada en internal-institutional-control-service/src/esap/auditorias/entities/nota-auditoria.entity.ts:39 (NotaAuditoria.contenido) | Validación: IsNotEmpty, IsOptional, IsString</t>
        </is>
      </c>
      <c r="Q1799" s="18" t="inlineStr">
        <is>
          <t>Propuesta semántica</t>
        </is>
      </c>
      <c r="R1799" s="18" t="inlineStr">
        <is>
          <t>Texto de la nota u observación de la auditoría.</t>
        </is>
      </c>
      <c r="S1799" s="18" t="inlineStr">
        <is>
          <t>Alta</t>
        </is>
      </c>
      <c r="T1799" s="18" t="inlineStr">
        <is>
          <t>nombre + descripción de la tabla</t>
        </is>
      </c>
      <c r="U1799" s="18" t="inlineStr"/>
      <c r="V1799" s="19" t="inlineStr">
        <is>
          <t>Pendiente</t>
        </is>
      </c>
      <c r="W1799" s="19" t="inlineStr"/>
      <c r="X1799" s="19" t="inlineStr"/>
      <c r="Y1799" s="20" t="n"/>
      <c r="Z1799" s="19" t="inlineStr"/>
      <c r="AA1799" s="18">
        <f>IF(OR(V1799="Aprobada"),R1799,IF(AND(OR(V1799="Aprobada con ajuste",V1799="Rechazada"),W1799&lt;&gt;""),W1799,""))</f>
        <v/>
      </c>
    </row>
    <row r="1800">
      <c r="A1800" s="18" t="inlineStr">
        <is>
          <t>C1799</t>
        </is>
      </c>
      <c r="B1800" s="18" t="inlineStr">
        <is>
          <t>Control interno</t>
        </is>
      </c>
      <c r="C1800" s="18" t="inlineStr">
        <is>
          <t>control_interno</t>
        </is>
      </c>
      <c r="D1800" s="18" t="inlineStr">
        <is>
          <t>nota_auditoria</t>
        </is>
      </c>
      <c r="E1800" s="18" t="n">
        <v>0</v>
      </c>
      <c r="F1800" s="18" t="inlineStr">
        <is>
          <t>fecha</t>
        </is>
      </c>
      <c r="G1800" s="18" t="inlineStr">
        <is>
          <t>date</t>
        </is>
      </c>
      <c r="H1800" s="18" t="inlineStr">
        <is>
          <t>No</t>
        </is>
      </c>
      <c r="I1800" s="18" t="inlineStr"/>
      <c r="J1800" s="18" t="inlineStr"/>
      <c r="K1800" s="18" t="inlineStr"/>
      <c r="L1800" s="18" t="inlineStr">
        <is>
          <t>No</t>
        </is>
      </c>
      <c r="M1800" s="18" t="inlineStr">
        <is>
          <t>No</t>
        </is>
      </c>
      <c r="N1800" s="18" t="inlineStr"/>
      <c r="O1800" s="18" t="inlineStr">
        <is>
          <t>idx_nota_fecha, idx_nota_fecha_hora</t>
        </is>
      </c>
      <c r="P1800" s="18" t="inlineStr">
        <is>
          <t>Mapeada en internal-institutional-control-service/src/esap/auditorias/entities/nota-auditoria.entity.ts:52 (NotaAuditoria.fecha) | Validación: IsDateString, IsString</t>
        </is>
      </c>
      <c r="Q1800" s="18" t="inlineStr">
        <is>
          <t>Propuesta semántica</t>
        </is>
      </c>
      <c r="R1800" s="18" t="inlineStr">
        <is>
          <t>Fecha de registro de la nota de auditoría.</t>
        </is>
      </c>
      <c r="S1800" s="18" t="inlineStr">
        <is>
          <t>Alta</t>
        </is>
      </c>
      <c r="T1800" s="18" t="inlineStr">
        <is>
          <t>nombre + tipo + columnas vecinas (hora)</t>
        </is>
      </c>
      <c r="U1800" s="18" t="inlineStr"/>
      <c r="V1800" s="19" t="inlineStr">
        <is>
          <t>Pendiente</t>
        </is>
      </c>
      <c r="W1800" s="19" t="inlineStr"/>
      <c r="X1800" s="19" t="inlineStr"/>
      <c r="Y1800" s="20" t="n"/>
      <c r="Z1800" s="19" t="inlineStr"/>
      <c r="AA1800" s="18">
        <f>IF(OR(V1800="Aprobada"),R1800,IF(AND(OR(V1800="Aprobada con ajuste",V1800="Rechazada"),W1800&lt;&gt;""),W1800,""))</f>
        <v/>
      </c>
    </row>
    <row r="1801">
      <c r="A1801" s="18" t="inlineStr">
        <is>
          <t>C1800</t>
        </is>
      </c>
      <c r="B1801" s="18" t="inlineStr">
        <is>
          <t>Control interno</t>
        </is>
      </c>
      <c r="C1801" s="18" t="inlineStr">
        <is>
          <t>control_interno</t>
        </is>
      </c>
      <c r="D1801" s="18" t="inlineStr">
        <is>
          <t>nota_auditoria</t>
        </is>
      </c>
      <c r="E1801" s="18" t="n">
        <v>0</v>
      </c>
      <c r="F1801" s="18" t="inlineStr">
        <is>
          <t>hora</t>
        </is>
      </c>
      <c r="G1801" s="18" t="inlineStr">
        <is>
          <t>time without time zone</t>
        </is>
      </c>
      <c r="H1801" s="18" t="inlineStr">
        <is>
          <t>No</t>
        </is>
      </c>
      <c r="I1801" s="18" t="inlineStr"/>
      <c r="J1801" s="18" t="inlineStr"/>
      <c r="K1801" s="18" t="inlineStr"/>
      <c r="L1801" s="18" t="inlineStr">
        <is>
          <t>No</t>
        </is>
      </c>
      <c r="M1801" s="18" t="inlineStr">
        <is>
          <t>No</t>
        </is>
      </c>
      <c r="N1801" s="18" t="inlineStr"/>
      <c r="O1801" s="18" t="inlineStr">
        <is>
          <t>idx_nota_fecha_hora</t>
        </is>
      </c>
      <c r="P1801" s="18" t="inlineStr">
        <is>
          <t>Mapeada en internal-institutional-control-service/src/esap/auditorias/entities/nota-auditoria.entity.ts:55 (NotaAuditoria.hora) | Validación: IsString</t>
        </is>
      </c>
      <c r="Q1801" s="18" t="inlineStr">
        <is>
          <t>Propuesta semántica</t>
        </is>
      </c>
      <c r="R1801" s="18" t="inlineStr">
        <is>
          <t>Hora en que se registró la nota.</t>
        </is>
      </c>
      <c r="S1801" s="18" t="inlineStr">
        <is>
          <t>Alta</t>
        </is>
      </c>
      <c r="T1801" s="18" t="inlineStr">
        <is>
          <t>nombre + tipo + columna vecina fecha</t>
        </is>
      </c>
      <c r="U1801" s="18" t="inlineStr"/>
      <c r="V1801" s="19" t="inlineStr">
        <is>
          <t>Pendiente</t>
        </is>
      </c>
      <c r="W1801" s="19" t="inlineStr"/>
      <c r="X1801" s="19" t="inlineStr"/>
      <c r="Y1801" s="20" t="n"/>
      <c r="Z1801" s="19" t="inlineStr"/>
      <c r="AA1801" s="18">
        <f>IF(OR(V1801="Aprobada"),R1801,IF(AND(OR(V1801="Aprobada con ajuste",V1801="Rechazada"),W1801&lt;&gt;""),W1801,""))</f>
        <v/>
      </c>
    </row>
    <row r="1802">
      <c r="A1802" s="18" t="inlineStr">
        <is>
          <t>C1801</t>
        </is>
      </c>
      <c r="B1802" s="18" t="inlineStr">
        <is>
          <t>Control interno</t>
        </is>
      </c>
      <c r="C1802" s="18" t="inlineStr">
        <is>
          <t>control_interno</t>
        </is>
      </c>
      <c r="D1802" s="18" t="inlineStr">
        <is>
          <t>nota_auditoria</t>
        </is>
      </c>
      <c r="E1802" s="18" t="n">
        <v>0</v>
      </c>
      <c r="F1802" s="18" t="inlineStr">
        <is>
          <t>editada</t>
        </is>
      </c>
      <c r="G1802" s="18" t="inlineStr">
        <is>
          <t>boolean</t>
        </is>
      </c>
      <c r="H1802" s="18" t="inlineStr">
        <is>
          <t>Sí</t>
        </is>
      </c>
      <c r="I1802" s="18" t="inlineStr"/>
      <c r="J1802" s="18" t="inlineStr"/>
      <c r="K1802" s="18" t="inlineStr"/>
      <c r="L1802" s="18" t="inlineStr">
        <is>
          <t>No</t>
        </is>
      </c>
      <c r="M1802" s="18" t="inlineStr">
        <is>
          <t>No</t>
        </is>
      </c>
      <c r="N1802" s="18" t="inlineStr"/>
      <c r="O1802" s="18" t="inlineStr"/>
      <c r="P1802" s="18" t="inlineStr">
        <is>
          <t>Mapeada en internal-institutional-control-service/src/esap/auditorias/entities/nota-auditoria.entity.ts:61 (NotaAuditoria.editada)</t>
        </is>
      </c>
      <c r="Q1802" s="18" t="inlineStr">
        <is>
          <t>Regla estructural</t>
        </is>
      </c>
      <c r="R1802" s="18" t="inlineStr">
        <is>
          <t>Indica si el registro está editada.</t>
        </is>
      </c>
      <c r="S1802" s="18" t="inlineStr">
        <is>
          <t>Media</t>
        </is>
      </c>
      <c r="T1802" s="18" t="inlineStr">
        <is>
          <t>Convención de nombre de la columna.</t>
        </is>
      </c>
      <c r="U1802" s="18" t="inlineStr"/>
      <c r="V1802" s="19" t="inlineStr">
        <is>
          <t>Pendiente</t>
        </is>
      </c>
      <c r="W1802" s="19" t="inlineStr"/>
      <c r="X1802" s="19" t="inlineStr"/>
      <c r="Y1802" s="20" t="n"/>
      <c r="Z1802" s="19" t="inlineStr"/>
      <c r="AA1802" s="18">
        <f>IF(OR(V1802="Aprobada"),R1802,IF(AND(OR(V1802="Aprobada con ajuste",V1802="Rechazada"),W1802&lt;&gt;""),W1802,""))</f>
        <v/>
      </c>
    </row>
    <row r="1803">
      <c r="A1803" s="18" t="inlineStr">
        <is>
          <t>C1802</t>
        </is>
      </c>
      <c r="B1803" s="18" t="inlineStr">
        <is>
          <t>Control interno</t>
        </is>
      </c>
      <c r="C1803" s="18" t="inlineStr">
        <is>
          <t>control_interno</t>
        </is>
      </c>
      <c r="D1803" s="18" t="inlineStr">
        <is>
          <t>nota_auditoria</t>
        </is>
      </c>
      <c r="E1803" s="18" t="n">
        <v>0</v>
      </c>
      <c r="F1803" s="18" t="inlineStr">
        <is>
          <t>fecha_edicion</t>
        </is>
      </c>
      <c r="G1803" s="18" t="inlineStr">
        <is>
          <t>timestamp without time zone</t>
        </is>
      </c>
      <c r="H1803" s="18" t="inlineStr">
        <is>
          <t>Sí</t>
        </is>
      </c>
      <c r="I1803" s="18" t="inlineStr"/>
      <c r="J1803" s="18" t="inlineStr"/>
      <c r="K1803" s="18" t="inlineStr"/>
      <c r="L1803" s="18" t="inlineStr">
        <is>
          <t>No</t>
        </is>
      </c>
      <c r="M1803" s="18" t="inlineStr">
        <is>
          <t>No</t>
        </is>
      </c>
      <c r="N1803" s="18" t="inlineStr"/>
      <c r="O1803" s="18" t="inlineStr"/>
      <c r="P1803" s="18" t="inlineStr">
        <is>
          <t>Mapeada en internal-institutional-control-service/src/esap/auditorias/entities/nota-auditoria.entity.ts:64 (NotaAuditoria.fechaEdicion)</t>
        </is>
      </c>
      <c r="Q1803" s="18" t="inlineStr">
        <is>
          <t>Regla estructural</t>
        </is>
      </c>
      <c r="R1803" s="18" t="inlineStr">
        <is>
          <t>Fecha de edición.</t>
        </is>
      </c>
      <c r="S1803" s="18" t="inlineStr">
        <is>
          <t>Media</t>
        </is>
      </c>
      <c r="T1803" s="18" t="inlineStr">
        <is>
          <t>Convención de nombre de la columna.</t>
        </is>
      </c>
      <c r="U1803" s="18" t="inlineStr"/>
      <c r="V1803" s="19" t="inlineStr">
        <is>
          <t>Pendiente</t>
        </is>
      </c>
      <c r="W1803" s="19" t="inlineStr"/>
      <c r="X1803" s="19" t="inlineStr"/>
      <c r="Y1803" s="20" t="n"/>
      <c r="Z1803" s="19" t="inlineStr"/>
      <c r="AA1803" s="18">
        <f>IF(OR(V1803="Aprobada"),R1803,IF(AND(OR(V1803="Aprobada con ajuste",V1803="Rechazada"),W1803&lt;&gt;""),W1803,""))</f>
        <v/>
      </c>
    </row>
    <row r="1804">
      <c r="A1804" s="18" t="inlineStr">
        <is>
          <t>C1803</t>
        </is>
      </c>
      <c r="B1804" s="18" t="inlineStr">
        <is>
          <t>Control interno</t>
        </is>
      </c>
      <c r="C1804" s="18" t="inlineStr">
        <is>
          <t>control_interno</t>
        </is>
      </c>
      <c r="D1804" s="18" t="inlineStr">
        <is>
          <t>nota_auditoria</t>
        </is>
      </c>
      <c r="E1804" s="18" t="n">
        <v>0</v>
      </c>
      <c r="F1804" s="18" t="inlineStr">
        <is>
          <t>activo</t>
        </is>
      </c>
      <c r="G1804" s="18" t="inlineStr">
        <is>
          <t>boolean</t>
        </is>
      </c>
      <c r="H1804" s="18" t="inlineStr">
        <is>
          <t>Sí</t>
        </is>
      </c>
      <c r="I1804" s="18" t="inlineStr"/>
      <c r="J1804" s="18" t="inlineStr"/>
      <c r="K1804" s="18" t="inlineStr"/>
      <c r="L1804" s="18" t="inlineStr">
        <is>
          <t>No</t>
        </is>
      </c>
      <c r="M1804" s="18" t="inlineStr">
        <is>
          <t>No</t>
        </is>
      </c>
      <c r="N1804" s="18" t="inlineStr"/>
      <c r="O1804" s="18" t="inlineStr"/>
      <c r="P1804" s="18" t="inlineStr">
        <is>
          <t>Mapeada en internal-institutional-control-service/src/esap/auditorias/entities/nota-auditoria.entity.ts:70 (NotaAuditoria.activo) | Validación: IsBoolean, IsOptional</t>
        </is>
      </c>
      <c r="Q1804" s="18" t="inlineStr">
        <is>
          <t>Regla estructural</t>
        </is>
      </c>
      <c r="R1804" s="18" t="inlineStr">
        <is>
          <t>Indica si el registro está activo.</t>
        </is>
      </c>
      <c r="S1804" s="18" t="inlineStr">
        <is>
          <t>Media</t>
        </is>
      </c>
      <c r="T1804" s="18" t="inlineStr">
        <is>
          <t>Convención de nombre de la columna.</t>
        </is>
      </c>
      <c r="U1804" s="18" t="inlineStr"/>
      <c r="V1804" s="19" t="inlineStr">
        <is>
          <t>Pendiente</t>
        </is>
      </c>
      <c r="W1804" s="19" t="inlineStr"/>
      <c r="X1804" s="19" t="inlineStr"/>
      <c r="Y1804" s="20" t="n"/>
      <c r="Z1804" s="19" t="inlineStr"/>
      <c r="AA1804" s="18">
        <f>IF(OR(V1804="Aprobada"),R1804,IF(AND(OR(V1804="Aprobada con ajuste",V1804="Rechazada"),W1804&lt;&gt;""),W1804,""))</f>
        <v/>
      </c>
    </row>
    <row r="1805">
      <c r="A1805" s="18" t="inlineStr">
        <is>
          <t>C1804</t>
        </is>
      </c>
      <c r="B1805" s="18" t="inlineStr">
        <is>
          <t>Control interno</t>
        </is>
      </c>
      <c r="C1805" s="18" t="inlineStr">
        <is>
          <t>control_interno</t>
        </is>
      </c>
      <c r="D1805" s="18" t="inlineStr">
        <is>
          <t>notificacion</t>
        </is>
      </c>
      <c r="E1805" s="18" t="n">
        <v>945</v>
      </c>
      <c r="F1805" s="18" t="inlineStr">
        <is>
          <t>usuario_id</t>
        </is>
      </c>
      <c r="G1805" s="18" t="inlineStr">
        <is>
          <t>character varying(255)</t>
        </is>
      </c>
      <c r="H1805" s="18" t="inlineStr">
        <is>
          <t>No</t>
        </is>
      </c>
      <c r="I1805" s="18" t="inlineStr"/>
      <c r="J1805" s="18" t="inlineStr"/>
      <c r="K1805" s="18" t="inlineStr"/>
      <c r="L1805" s="18" t="inlineStr">
        <is>
          <t>No</t>
        </is>
      </c>
      <c r="M1805" s="18" t="inlineStr">
        <is>
          <t>No</t>
        </is>
      </c>
      <c r="N1805" s="18" t="inlineStr"/>
      <c r="O1805" s="18" t="inlineStr">
        <is>
          <t>idx_notificacion_usuario</t>
        </is>
      </c>
      <c r="P1805" s="18" t="inlineStr">
        <is>
          <t>Mapeada en internal-institutional-control-service/src/esap/notificaciones/entities/notificacion.entity.ts:76 (Notificacion.usuarioId) | Validación: IsNotEmpty, IsOptional, IsString, IsUUID</t>
        </is>
      </c>
      <c r="Q1805" s="18" t="inlineStr">
        <is>
          <t>Propuesta semántica</t>
        </is>
      </c>
      <c r="R1805" s="18" t="inlineStr">
        <is>
          <t>Identificador del usuario destinatario de la notificación.</t>
        </is>
      </c>
      <c r="S1805" s="18" t="inlineStr">
        <is>
          <t>Media</t>
        </is>
      </c>
      <c r="T1805" s="18" t="inlineStr">
        <is>
          <t>nombre + tipo + validaciones del DTO</t>
        </is>
      </c>
      <c r="U1805" s="18" t="inlineStr">
        <is>
          <t>¿Es el id de auth."user" o de otra tabla de usuarios? ¿Por qué se guarda como texto y no uuid?</t>
        </is>
      </c>
      <c r="V1805" s="19" t="inlineStr">
        <is>
          <t>Pendiente</t>
        </is>
      </c>
      <c r="W1805" s="19" t="inlineStr"/>
      <c r="X1805" s="19" t="inlineStr"/>
      <c r="Y1805" s="20" t="n"/>
      <c r="Z1805" s="19" t="inlineStr"/>
      <c r="AA1805" s="18">
        <f>IF(OR(V1805="Aprobada"),R1805,IF(AND(OR(V1805="Aprobada con ajuste",V1805="Rechazada"),W1805&lt;&gt;""),W1805,""))</f>
        <v/>
      </c>
    </row>
    <row r="1806">
      <c r="A1806" s="18" t="inlineStr">
        <is>
          <t>C1805</t>
        </is>
      </c>
      <c r="B1806" s="18" t="inlineStr">
        <is>
          <t>Control interno</t>
        </is>
      </c>
      <c r="C1806" s="18" t="inlineStr">
        <is>
          <t>control_interno</t>
        </is>
      </c>
      <c r="D1806" s="18" t="inlineStr">
        <is>
          <t>notificacion</t>
        </is>
      </c>
      <c r="E1806" s="18" t="n">
        <v>945</v>
      </c>
      <c r="F1806" s="18" t="inlineStr">
        <is>
          <t>tipo_notificacion</t>
        </is>
      </c>
      <c r="G1806" s="18" t="inlineStr">
        <is>
          <t>character varying(100)</t>
        </is>
      </c>
      <c r="H1806" s="18" t="inlineStr">
        <is>
          <t>No</t>
        </is>
      </c>
      <c r="I1806" s="18" t="inlineStr">
        <is>
          <t>CHECK</t>
        </is>
      </c>
      <c r="J1806" s="18" t="inlineStr">
        <is>
          <t>EVT-APR-001, EVT-APR-002, EVT-AUD-001, EVT-AUD-002, EVT-AUD-003, EVT-AUD-004, EVT-AUD-CREATED, EVT-AUD-DEADLINE, EVT-DOC-001, EVT-KANBAN-001, EVT-KANBAN-002, EVT-KANBAN-003, EVT-KANBAN-004, EVT-KANBAN-MOV, EVT-PA-001 …</t>
        </is>
      </c>
      <c r="K1806" s="18" t="inlineStr"/>
      <c r="L1806" s="18" t="inlineStr">
        <is>
          <t>Sí</t>
        </is>
      </c>
      <c r="M1806" s="18" t="inlineStr">
        <is>
          <t>No</t>
        </is>
      </c>
      <c r="N1806" s="18" t="inlineStr"/>
      <c r="O1806" s="18" t="inlineStr">
        <is>
          <t>idx_notificacion_tipo</t>
        </is>
      </c>
      <c r="P1806" s="18" t="inlineStr">
        <is>
          <t>Mapeada en internal-institutional-control-service/src/esap/notificaciones/entities/notificacion.entity.ts:79 (Notificacion.tipoNotificacion) | Validación: IsEnum(TipoNotificacion), IsNotEmpty</t>
        </is>
      </c>
      <c r="Q1806" s="18" t="inlineStr">
        <is>
          <t>Propuesta semántica</t>
        </is>
      </c>
      <c r="R1806" s="18" t="inlineStr">
        <is>
          <t>Código del evento que origina la notificación. Valores permitidos: EVT-APR-001, EVT-APR-002, EVT-AUD-001, EVT-AUD-002, EVT-AUD-003, EVT-AUD-004, EVT-AUD-CREATED, EVT-AUD-DEADLINE, EVT-DOC-001, EVT-KANBAN-001, EVT-KANBAN-002, EVT-KANBAN-003, EVT-KANBAN-004, EVT-KANBAN-MOV, EVT-PA-001, EVT-PM-001, EVT-PM-002, EVT-PM-003, EVT-SYS-001, EVT-SYS-002.</t>
        </is>
      </c>
      <c r="S1806" s="18" t="inlineStr">
        <is>
          <t>Media</t>
        </is>
      </c>
      <c r="T1806" s="18" t="inlineStr">
        <is>
          <t>valores permitidos del CHECK</t>
        </is>
      </c>
      <c r="U1806" s="18" t="inlineStr">
        <is>
          <t>¿Qué evento representa cada código (por ejemplo, EVT-AUD-001)?</t>
        </is>
      </c>
      <c r="V1806" s="19" t="inlineStr">
        <is>
          <t>Pendiente</t>
        </is>
      </c>
      <c r="W1806" s="19" t="inlineStr"/>
      <c r="X1806" s="19" t="inlineStr"/>
      <c r="Y1806" s="20" t="n"/>
      <c r="Z1806" s="19" t="inlineStr"/>
      <c r="AA1806" s="18">
        <f>IF(OR(V1806="Aprobada"),R1806,IF(AND(OR(V1806="Aprobada con ajuste",V1806="Rechazada"),W1806&lt;&gt;""),W1806,""))</f>
        <v/>
      </c>
    </row>
    <row r="1807">
      <c r="A1807" s="18" t="inlineStr">
        <is>
          <t>C1806</t>
        </is>
      </c>
      <c r="B1807" s="18" t="inlineStr">
        <is>
          <t>Control interno</t>
        </is>
      </c>
      <c r="C1807" s="18" t="inlineStr">
        <is>
          <t>control_interno</t>
        </is>
      </c>
      <c r="D1807" s="18" t="inlineStr">
        <is>
          <t>notificacion</t>
        </is>
      </c>
      <c r="E1807" s="18" t="n">
        <v>945</v>
      </c>
      <c r="F1807" s="18" t="inlineStr">
        <is>
          <t>titulo</t>
        </is>
      </c>
      <c r="G1807" s="18" t="inlineStr">
        <is>
          <t>character varying(255)</t>
        </is>
      </c>
      <c r="H1807" s="18" t="inlineStr">
        <is>
          <t>No</t>
        </is>
      </c>
      <c r="I1807" s="18" t="inlineStr"/>
      <c r="J1807" s="18" t="inlineStr"/>
      <c r="K1807" s="18" t="inlineStr"/>
      <c r="L1807" s="18" t="inlineStr">
        <is>
          <t>No</t>
        </is>
      </c>
      <c r="M1807" s="18" t="inlineStr">
        <is>
          <t>No</t>
        </is>
      </c>
      <c r="N1807" s="18" t="inlineStr"/>
      <c r="O1807" s="18" t="inlineStr"/>
      <c r="P1807" s="18" t="inlineStr">
        <is>
          <t>Mapeada en internal-institutional-control-service/src/esap/notificaciones/entities/notificacion.entity.ts:87 (Notificacion.titulo) | Validación: IsNotEmpty, IsOptional, IsString, MaxLength(255), MaxLength(500)</t>
        </is>
      </c>
      <c r="Q1807" s="18" t="inlineStr">
        <is>
          <t>Propuesta semántica</t>
        </is>
      </c>
      <c r="R1807" s="18" t="inlineStr">
        <is>
          <t>Título de la notificación.</t>
        </is>
      </c>
      <c r="S1807" s="18" t="inlineStr">
        <is>
          <t>Alta</t>
        </is>
      </c>
      <c r="T1807" s="18" t="inlineStr">
        <is>
          <t>nombre + tipo + columnas vecinas</t>
        </is>
      </c>
      <c r="U1807" s="18" t="inlineStr"/>
      <c r="V1807" s="19" t="inlineStr">
        <is>
          <t>Pendiente</t>
        </is>
      </c>
      <c r="W1807" s="19" t="inlineStr"/>
      <c r="X1807" s="19" t="inlineStr"/>
      <c r="Y1807" s="20" t="n"/>
      <c r="Z1807" s="19" t="inlineStr"/>
      <c r="AA1807" s="18">
        <f>IF(OR(V1807="Aprobada"),R1807,IF(AND(OR(V1807="Aprobada con ajuste",V1807="Rechazada"),W1807&lt;&gt;""),W1807,""))</f>
        <v/>
      </c>
    </row>
    <row r="1808">
      <c r="A1808" s="18" t="inlineStr">
        <is>
          <t>C1807</t>
        </is>
      </c>
      <c r="B1808" s="18" t="inlineStr">
        <is>
          <t>Control interno</t>
        </is>
      </c>
      <c r="C1808" s="18" t="inlineStr">
        <is>
          <t>control_interno</t>
        </is>
      </c>
      <c r="D1808" s="18" t="inlineStr">
        <is>
          <t>notificacion</t>
        </is>
      </c>
      <c r="E1808" s="18" t="n">
        <v>945</v>
      </c>
      <c r="F1808" s="18" t="inlineStr">
        <is>
          <t>mensaje</t>
        </is>
      </c>
      <c r="G1808" s="18" t="inlineStr">
        <is>
          <t>text</t>
        </is>
      </c>
      <c r="H1808" s="18" t="inlineStr">
        <is>
          <t>No</t>
        </is>
      </c>
      <c r="I1808" s="18" t="inlineStr"/>
      <c r="J1808" s="18" t="inlineStr"/>
      <c r="K1808" s="18" t="inlineStr"/>
      <c r="L1808" s="18" t="inlineStr">
        <is>
          <t>No</t>
        </is>
      </c>
      <c r="M1808" s="18" t="inlineStr">
        <is>
          <t>No</t>
        </is>
      </c>
      <c r="N1808" s="18" t="inlineStr"/>
      <c r="O1808" s="18" t="inlineStr"/>
      <c r="P1808" s="18" t="inlineStr">
        <is>
          <t>Mapeada en internal-institutional-control-service/src/esap/notificaciones/entities/notificacion.entity.ts:90 (Notificacion.mensaje) | Validación: IsNotEmpty, IsString</t>
        </is>
      </c>
      <c r="Q1808" s="18" t="inlineStr">
        <is>
          <t>Propuesta semántica</t>
        </is>
      </c>
      <c r="R1808" s="18" t="inlineStr">
        <is>
          <t>Texto del mensaje de la notificación.</t>
        </is>
      </c>
      <c r="S1808" s="18" t="inlineStr">
        <is>
          <t>Alta</t>
        </is>
      </c>
      <c r="T1808" s="18" t="inlineStr">
        <is>
          <t>nombre + tipo + columnas vecinas</t>
        </is>
      </c>
      <c r="U1808" s="18" t="inlineStr"/>
      <c r="V1808" s="19" t="inlineStr">
        <is>
          <t>Pendiente</t>
        </is>
      </c>
      <c r="W1808" s="19" t="inlineStr"/>
      <c r="X1808" s="19" t="inlineStr"/>
      <c r="Y1808" s="20" t="n"/>
      <c r="Z1808" s="19" t="inlineStr"/>
      <c r="AA1808" s="18">
        <f>IF(OR(V1808="Aprobada"),R1808,IF(AND(OR(V1808="Aprobada con ajuste",V1808="Rechazada"),W1808&lt;&gt;""),W1808,""))</f>
        <v/>
      </c>
    </row>
    <row r="1809">
      <c r="A1809" s="18" t="inlineStr">
        <is>
          <t>C1808</t>
        </is>
      </c>
      <c r="B1809" s="18" t="inlineStr">
        <is>
          <t>Control interno</t>
        </is>
      </c>
      <c r="C1809" s="18" t="inlineStr">
        <is>
          <t>control_interno</t>
        </is>
      </c>
      <c r="D1809" s="18" t="inlineStr">
        <is>
          <t>notificacion</t>
        </is>
      </c>
      <c r="E1809" s="18" t="n">
        <v>945</v>
      </c>
      <c r="F1809" s="18" t="inlineStr">
        <is>
          <t>estado</t>
        </is>
      </c>
      <c r="G1809" s="18" t="inlineStr">
        <is>
          <t>character varying(50)</t>
        </is>
      </c>
      <c r="H1809" s="18" t="inlineStr">
        <is>
          <t>Sí</t>
        </is>
      </c>
      <c r="I1809" s="18" t="inlineStr">
        <is>
          <t>CHECK</t>
        </is>
      </c>
      <c r="J1809" s="18" t="inlineStr">
        <is>
          <t>archivada, enviada, leida, pendiente</t>
        </is>
      </c>
      <c r="K1809" s="18" t="inlineStr"/>
      <c r="L1809" s="18" t="inlineStr">
        <is>
          <t>Sí</t>
        </is>
      </c>
      <c r="M1809" s="18" t="inlineStr">
        <is>
          <t>No</t>
        </is>
      </c>
      <c r="N1809" s="18" t="inlineStr"/>
      <c r="O1809" s="18" t="inlineStr">
        <is>
          <t>idx_notificacion_estado</t>
        </is>
      </c>
      <c r="P1809" s="18" t="inlineStr">
        <is>
          <t>Mapeada en internal-institutional-control-service/src/esap/notificaciones/entities/notificacion.entity.ts:93 (Notificacion.estado) | Validación: IsEnum(AccionCorrectivaEstado), IsEnum(EstadoEtapa), IsEnum(EstadoPlanIndividual), IsEnum(EstadoTarea), IsEnum(HallazgoEstado), IsEnum(PlanMejoramientoEstado)</t>
        </is>
      </c>
      <c r="Q1809" s="18" t="inlineStr">
        <is>
          <t>Regla estructural</t>
        </is>
      </c>
      <c r="R1809" s="18" t="inlineStr">
        <is>
          <t>Estado del registro de notificacion.</t>
        </is>
      </c>
      <c r="S1809" s="18" t="inlineStr">
        <is>
          <t>Media</t>
        </is>
      </c>
      <c r="T1809" s="18" t="inlineStr">
        <is>
          <t>Convención de nombre de la columna.</t>
        </is>
      </c>
      <c r="U1809" s="18" t="inlineStr"/>
      <c r="V1809" s="19" t="inlineStr">
        <is>
          <t>Pendiente</t>
        </is>
      </c>
      <c r="W1809" s="19" t="inlineStr"/>
      <c r="X1809" s="19" t="inlineStr"/>
      <c r="Y1809" s="20" t="n"/>
      <c r="Z1809" s="19" t="inlineStr"/>
      <c r="AA1809" s="18">
        <f>IF(OR(V1809="Aprobada"),R1809,IF(AND(OR(V1809="Aprobada con ajuste",V1809="Rechazada"),W1809&lt;&gt;""),W1809,""))</f>
        <v/>
      </c>
    </row>
    <row r="1810">
      <c r="A1810" s="18" t="inlineStr">
        <is>
          <t>C1809</t>
        </is>
      </c>
      <c r="B1810" s="18" t="inlineStr">
        <is>
          <t>Control interno</t>
        </is>
      </c>
      <c r="C1810" s="18" t="inlineStr">
        <is>
          <t>control_interno</t>
        </is>
      </c>
      <c r="D1810" s="18" t="inlineStr">
        <is>
          <t>notificacion</t>
        </is>
      </c>
      <c r="E1810" s="18" t="n">
        <v>945</v>
      </c>
      <c r="F1810" s="18" t="inlineStr">
        <is>
          <t>canal</t>
        </is>
      </c>
      <c r="G1810" s="18" t="inlineStr">
        <is>
          <t>character varying(50)</t>
        </is>
      </c>
      <c r="H1810" s="18" t="inlineStr">
        <is>
          <t>Sí</t>
        </is>
      </c>
      <c r="I1810" s="18" t="inlineStr">
        <is>
          <t>CHECK</t>
        </is>
      </c>
      <c r="J1810" s="18" t="inlineStr">
        <is>
          <t>ambos, email, sistema</t>
        </is>
      </c>
      <c r="K1810" s="18" t="inlineStr"/>
      <c r="L1810" s="18" t="inlineStr">
        <is>
          <t>Sí</t>
        </is>
      </c>
      <c r="M1810" s="18" t="inlineStr">
        <is>
          <t>No</t>
        </is>
      </c>
      <c r="N1810" s="18" t="inlineStr"/>
      <c r="O1810" s="18" t="inlineStr"/>
      <c r="P1810" s="18" t="inlineStr">
        <is>
          <t>Mapeada en internal-institutional-control-service/src/esap/notificaciones/entities/notificacion.entity.ts:100 (Notificacion.canal) | Validación: IsEnum(CanalNotificacion), IsOptional</t>
        </is>
      </c>
      <c r="Q1810" s="18" t="inlineStr">
        <is>
          <t>Propuesta semántica</t>
        </is>
      </c>
      <c r="R1810" s="18" t="inlineStr">
        <is>
          <t>Canal por el que se envía la notificación. Valores permitidos: sistema, email, ambos.</t>
        </is>
      </c>
      <c r="S1810" s="18" t="inlineStr">
        <is>
          <t>Alta</t>
        </is>
      </c>
      <c r="T1810" s="18" t="inlineStr">
        <is>
          <t>valores permitidos del CHECK</t>
        </is>
      </c>
      <c r="U1810" s="18" t="inlineStr"/>
      <c r="V1810" s="19" t="inlineStr">
        <is>
          <t>Pendiente</t>
        </is>
      </c>
      <c r="W1810" s="19" t="inlineStr"/>
      <c r="X1810" s="19" t="inlineStr"/>
      <c r="Y1810" s="20" t="n"/>
      <c r="Z1810" s="19" t="inlineStr"/>
      <c r="AA1810" s="18">
        <f>IF(OR(V1810="Aprobada"),R1810,IF(AND(OR(V1810="Aprobada con ajuste",V1810="Rechazada"),W1810&lt;&gt;""),W1810,""))</f>
        <v/>
      </c>
    </row>
    <row r="1811">
      <c r="A1811" s="18" t="inlineStr">
        <is>
          <t>C1810</t>
        </is>
      </c>
      <c r="B1811" s="18" t="inlineStr">
        <is>
          <t>Control interno</t>
        </is>
      </c>
      <c r="C1811" s="18" t="inlineStr">
        <is>
          <t>control_interno</t>
        </is>
      </c>
      <c r="D1811" s="18" t="inlineStr">
        <is>
          <t>notificacion</t>
        </is>
      </c>
      <c r="E1811" s="18" t="n">
        <v>945</v>
      </c>
      <c r="F1811" s="18" t="inlineStr">
        <is>
          <t>leida</t>
        </is>
      </c>
      <c r="G1811" s="18" t="inlineStr">
        <is>
          <t>boolean</t>
        </is>
      </c>
      <c r="H1811" s="18" t="inlineStr">
        <is>
          <t>Sí</t>
        </is>
      </c>
      <c r="I1811" s="18" t="inlineStr">
        <is>
          <t>CHECK</t>
        </is>
      </c>
      <c r="J1811" s="18" t="inlineStr"/>
      <c r="K1811" s="18" t="inlineStr"/>
      <c r="L1811" s="18" t="inlineStr">
        <is>
          <t>No</t>
        </is>
      </c>
      <c r="M1811" s="18" t="inlineStr">
        <is>
          <t>No</t>
        </is>
      </c>
      <c r="N1811" s="18" t="inlineStr"/>
      <c r="O1811" s="18" t="inlineStr"/>
      <c r="P1811" s="18" t="inlineStr">
        <is>
          <t>Mapeada en internal-institutional-control-service/src/esap/notificaciones/entities/notificacion.entity.ts:107 (Notificacion.leida)</t>
        </is>
      </c>
      <c r="Q1811" s="18" t="inlineStr">
        <is>
          <t>Regla estructural</t>
        </is>
      </c>
      <c r="R1811" s="18" t="inlineStr">
        <is>
          <t>Indica si el registro está leida.</t>
        </is>
      </c>
      <c r="S1811" s="18" t="inlineStr">
        <is>
          <t>Media</t>
        </is>
      </c>
      <c r="T1811" s="18" t="inlineStr">
        <is>
          <t>Convención de nombre de la columna.</t>
        </is>
      </c>
      <c r="U1811" s="18" t="inlineStr"/>
      <c r="V1811" s="19" t="inlineStr">
        <is>
          <t>Pendiente</t>
        </is>
      </c>
      <c r="W1811" s="19" t="inlineStr"/>
      <c r="X1811" s="19" t="inlineStr"/>
      <c r="Y1811" s="20" t="n"/>
      <c r="Z1811" s="19" t="inlineStr"/>
      <c r="AA1811" s="18">
        <f>IF(OR(V1811="Aprobada"),R1811,IF(AND(OR(V1811="Aprobada con ajuste",V1811="Rechazada"),W1811&lt;&gt;""),W1811,""))</f>
        <v/>
      </c>
    </row>
    <row r="1812">
      <c r="A1812" s="18" t="inlineStr">
        <is>
          <t>C1811</t>
        </is>
      </c>
      <c r="B1812" s="18" t="inlineStr">
        <is>
          <t>Control interno</t>
        </is>
      </c>
      <c r="C1812" s="18" t="inlineStr">
        <is>
          <t>control_interno</t>
        </is>
      </c>
      <c r="D1812" s="18" t="inlineStr">
        <is>
          <t>notificacion</t>
        </is>
      </c>
      <c r="E1812" s="18" t="n">
        <v>945</v>
      </c>
      <c r="F1812" s="18" t="inlineStr">
        <is>
          <t>fecha_lectura</t>
        </is>
      </c>
      <c r="G1812" s="18" t="inlineStr">
        <is>
          <t>timestamp without time zone</t>
        </is>
      </c>
      <c r="H1812" s="18" t="inlineStr">
        <is>
          <t>Sí</t>
        </is>
      </c>
      <c r="I1812" s="18" t="inlineStr"/>
      <c r="J1812" s="18" t="inlineStr"/>
      <c r="K1812" s="18" t="inlineStr"/>
      <c r="L1812" s="18" t="inlineStr">
        <is>
          <t>No</t>
        </is>
      </c>
      <c r="M1812" s="18" t="inlineStr">
        <is>
          <t>No</t>
        </is>
      </c>
      <c r="N1812" s="18" t="inlineStr"/>
      <c r="O1812" s="18" t="inlineStr"/>
      <c r="P1812" s="18" t="inlineStr">
        <is>
          <t>Mapeada en internal-institutional-control-service/src/esap/notificaciones/entities/notificacion.entity.ts:110 (Notificacion.fechaLectura)</t>
        </is>
      </c>
      <c r="Q1812" s="18" t="inlineStr">
        <is>
          <t>Regla estructural</t>
        </is>
      </c>
      <c r="R1812" s="18" t="inlineStr">
        <is>
          <t>Fecha de lectura.</t>
        </is>
      </c>
      <c r="S1812" s="18" t="inlineStr">
        <is>
          <t>Media</t>
        </is>
      </c>
      <c r="T1812" s="18" t="inlineStr">
        <is>
          <t>Convención de nombre de la columna.</t>
        </is>
      </c>
      <c r="U1812" s="18" t="inlineStr"/>
      <c r="V1812" s="19" t="inlineStr">
        <is>
          <t>Pendiente</t>
        </is>
      </c>
      <c r="W1812" s="19" t="inlineStr"/>
      <c r="X1812" s="19" t="inlineStr"/>
      <c r="Y1812" s="20" t="n"/>
      <c r="Z1812" s="19" t="inlineStr"/>
      <c r="AA1812" s="18">
        <f>IF(OR(V1812="Aprobada"),R1812,IF(AND(OR(V1812="Aprobada con ajuste",V1812="Rechazada"),W1812&lt;&gt;""),W1812,""))</f>
        <v/>
      </c>
    </row>
    <row r="1813">
      <c r="A1813" s="18" t="inlineStr">
        <is>
          <t>C1812</t>
        </is>
      </c>
      <c r="B1813" s="18" t="inlineStr">
        <is>
          <t>Control interno</t>
        </is>
      </c>
      <c r="C1813" s="18" t="inlineStr">
        <is>
          <t>control_interno</t>
        </is>
      </c>
      <c r="D1813" s="18" t="inlineStr">
        <is>
          <t>notificacion</t>
        </is>
      </c>
      <c r="E1813" s="18" t="n">
        <v>945</v>
      </c>
      <c r="F1813" s="18" t="inlineStr">
        <is>
          <t>enviada_email</t>
        </is>
      </c>
      <c r="G1813" s="18" t="inlineStr">
        <is>
          <t>boolean</t>
        </is>
      </c>
      <c r="H1813" s="18" t="inlineStr">
        <is>
          <t>Sí</t>
        </is>
      </c>
      <c r="I1813" s="18" t="inlineStr"/>
      <c r="J1813" s="18" t="inlineStr"/>
      <c r="K1813" s="18" t="inlineStr"/>
      <c r="L1813" s="18" t="inlineStr">
        <is>
          <t>No</t>
        </is>
      </c>
      <c r="M1813" s="18" t="inlineStr">
        <is>
          <t>No</t>
        </is>
      </c>
      <c r="N1813" s="18" t="inlineStr"/>
      <c r="O1813" s="18" t="inlineStr"/>
      <c r="P1813" s="18" t="inlineStr">
        <is>
          <t>Mapeada en internal-institutional-control-service/src/esap/notificaciones/entities/notificacion.entity.ts:113 (Notificacion.enviadaEmail)</t>
        </is>
      </c>
      <c r="Q1813" s="18" t="inlineStr">
        <is>
          <t>Regla estructural</t>
        </is>
      </c>
      <c r="R1813" s="18" t="inlineStr">
        <is>
          <t>Indica si aplica: enviada email.</t>
        </is>
      </c>
      <c r="S1813" s="18" t="inlineStr">
        <is>
          <t>Media</t>
        </is>
      </c>
      <c r="T1813" s="18" t="inlineStr">
        <is>
          <t>Convención de nombre de la columna.</t>
        </is>
      </c>
      <c r="U1813" s="18" t="inlineStr"/>
      <c r="V1813" s="19" t="inlineStr">
        <is>
          <t>Pendiente</t>
        </is>
      </c>
      <c r="W1813" s="19" t="inlineStr"/>
      <c r="X1813" s="19" t="inlineStr"/>
      <c r="Y1813" s="20" t="n"/>
      <c r="Z1813" s="19" t="inlineStr"/>
      <c r="AA1813" s="18">
        <f>IF(OR(V1813="Aprobada"),R1813,IF(AND(OR(V1813="Aprobada con ajuste",V1813="Rechazada"),W1813&lt;&gt;""),W1813,""))</f>
        <v/>
      </c>
    </row>
    <row r="1814">
      <c r="A1814" s="18" t="inlineStr">
        <is>
          <t>C1813</t>
        </is>
      </c>
      <c r="B1814" s="18" t="inlineStr">
        <is>
          <t>Control interno</t>
        </is>
      </c>
      <c r="C1814" s="18" t="inlineStr">
        <is>
          <t>control_interno</t>
        </is>
      </c>
      <c r="D1814" s="18" t="inlineStr">
        <is>
          <t>notificacion</t>
        </is>
      </c>
      <c r="E1814" s="18" t="n">
        <v>945</v>
      </c>
      <c r="F1814" s="18" t="inlineStr">
        <is>
          <t>fecha_envio_email</t>
        </is>
      </c>
      <c r="G1814" s="18" t="inlineStr">
        <is>
          <t>timestamp without time zone</t>
        </is>
      </c>
      <c r="H1814" s="18" t="inlineStr">
        <is>
          <t>Sí</t>
        </is>
      </c>
      <c r="I1814" s="18" t="inlineStr"/>
      <c r="J1814" s="18" t="inlineStr"/>
      <c r="K1814" s="18" t="inlineStr"/>
      <c r="L1814" s="18" t="inlineStr">
        <is>
          <t>No</t>
        </is>
      </c>
      <c r="M1814" s="18" t="inlineStr">
        <is>
          <t>No</t>
        </is>
      </c>
      <c r="N1814" s="18" t="inlineStr"/>
      <c r="O1814" s="18" t="inlineStr"/>
      <c r="P1814" s="18" t="inlineStr">
        <is>
          <t>Mapeada en internal-institutional-control-service/src/esap/notificaciones/entities/notificacion.entity.ts:116 (Notificacion.fechaEnvioEmail)</t>
        </is>
      </c>
      <c r="Q1814" s="18" t="inlineStr">
        <is>
          <t>Regla estructural</t>
        </is>
      </c>
      <c r="R1814" s="18" t="inlineStr">
        <is>
          <t>Fecha de envio email.</t>
        </is>
      </c>
      <c r="S1814" s="18" t="inlineStr">
        <is>
          <t>Media</t>
        </is>
      </c>
      <c r="T1814" s="18" t="inlineStr">
        <is>
          <t>Convención de nombre de la columna.</t>
        </is>
      </c>
      <c r="U1814" s="18" t="inlineStr"/>
      <c r="V1814" s="19" t="inlineStr">
        <is>
          <t>Pendiente</t>
        </is>
      </c>
      <c r="W1814" s="19" t="inlineStr"/>
      <c r="X1814" s="19" t="inlineStr"/>
      <c r="Y1814" s="20" t="n"/>
      <c r="Z1814" s="19" t="inlineStr"/>
      <c r="AA1814" s="18">
        <f>IF(OR(V1814="Aprobada"),R1814,IF(AND(OR(V1814="Aprobada con ajuste",V1814="Rechazada"),W1814&lt;&gt;""),W1814,""))</f>
        <v/>
      </c>
    </row>
    <row r="1815">
      <c r="A1815" s="18" t="inlineStr">
        <is>
          <t>C1814</t>
        </is>
      </c>
      <c r="B1815" s="18" t="inlineStr">
        <is>
          <t>Control interno</t>
        </is>
      </c>
      <c r="C1815" s="18" t="inlineStr">
        <is>
          <t>control_interno</t>
        </is>
      </c>
      <c r="D1815" s="18" t="inlineStr">
        <is>
          <t>notificacion</t>
        </is>
      </c>
      <c r="E1815" s="18" t="n">
        <v>945</v>
      </c>
      <c r="F1815" s="18" t="inlineStr">
        <is>
          <t>metadata</t>
        </is>
      </c>
      <c r="G1815" s="18" t="inlineStr">
        <is>
          <t>jsonb</t>
        </is>
      </c>
      <c r="H1815" s="18" t="inlineStr">
        <is>
          <t>Sí</t>
        </is>
      </c>
      <c r="I1815" s="18" t="inlineStr"/>
      <c r="J1815" s="18" t="inlineStr"/>
      <c r="K1815" s="18" t="inlineStr"/>
      <c r="L1815" s="18" t="inlineStr">
        <is>
          <t>No</t>
        </is>
      </c>
      <c r="M1815" s="18" t="inlineStr">
        <is>
          <t>No</t>
        </is>
      </c>
      <c r="N1815" s="18" t="inlineStr"/>
      <c r="O1815" s="18" t="inlineStr"/>
      <c r="P1815" s="18" t="inlineStr">
        <is>
          <t>Mapeada en internal-institutional-control-service/src/esap/notificaciones/entities/notificacion.entity.ts:119 (Notificacion.metadata) | Validación: IsObject, IsOptional</t>
        </is>
      </c>
      <c r="Q1815" s="18" t="inlineStr">
        <is>
          <t>Regla estructural</t>
        </is>
      </c>
      <c r="R1815" s="18" t="inlineStr">
        <is>
          <t>Metadatos adicionales en formato JSON.</t>
        </is>
      </c>
      <c r="S1815" s="18" t="inlineStr">
        <is>
          <t>Media</t>
        </is>
      </c>
      <c r="T1815" s="18" t="inlineStr">
        <is>
          <t>Convención de nombre de la columna.</t>
        </is>
      </c>
      <c r="U1815" s="18" t="inlineStr"/>
      <c r="V1815" s="19" t="inlineStr">
        <is>
          <t>Pendiente</t>
        </is>
      </c>
      <c r="W1815" s="19" t="inlineStr"/>
      <c r="X1815" s="19" t="inlineStr"/>
      <c r="Y1815" s="20" t="n"/>
      <c r="Z1815" s="19" t="inlineStr"/>
      <c r="AA1815" s="18">
        <f>IF(OR(V1815="Aprobada"),R1815,IF(AND(OR(V1815="Aprobada con ajuste",V1815="Rechazada"),W1815&lt;&gt;""),W1815,""))</f>
        <v/>
      </c>
    </row>
    <row r="1816">
      <c r="A1816" s="18" t="inlineStr">
        <is>
          <t>C1815</t>
        </is>
      </c>
      <c r="B1816" s="18" t="inlineStr">
        <is>
          <t>Control interno</t>
        </is>
      </c>
      <c r="C1816" s="18" t="inlineStr">
        <is>
          <t>control_interno</t>
        </is>
      </c>
      <c r="D1816" s="18" t="inlineStr">
        <is>
          <t>notificacion</t>
        </is>
      </c>
      <c r="E1816" s="18" t="n">
        <v>945</v>
      </c>
      <c r="F1816" s="18" t="inlineStr">
        <is>
          <t>accion_url</t>
        </is>
      </c>
      <c r="G1816" s="18" t="inlineStr">
        <is>
          <t>character varying(500)</t>
        </is>
      </c>
      <c r="H1816" s="18" t="inlineStr">
        <is>
          <t>Sí</t>
        </is>
      </c>
      <c r="I1816" s="18" t="inlineStr"/>
      <c r="J1816" s="18" t="inlineStr"/>
      <c r="K1816" s="18" t="inlineStr"/>
      <c r="L1816" s="18" t="inlineStr">
        <is>
          <t>No</t>
        </is>
      </c>
      <c r="M1816" s="18" t="inlineStr">
        <is>
          <t>No</t>
        </is>
      </c>
      <c r="N1816" s="18" t="inlineStr"/>
      <c r="O1816" s="18" t="inlineStr"/>
      <c r="P1816" s="18" t="inlineStr">
        <is>
          <t>Mapeada en internal-institutional-control-service/src/esap/notificaciones/entities/notificacion.entity.ts:130 (Notificacion.accionUrl) | Validación: IsOptional, IsString</t>
        </is>
      </c>
      <c r="Q1816" s="18" t="inlineStr">
        <is>
          <t>Propuesta semántica</t>
        </is>
      </c>
      <c r="R1816" s="18" t="inlineStr">
        <is>
          <t>URL a la que dirige la notificación para realizar la acción asociada.</t>
        </is>
      </c>
      <c r="S1816" s="18" t="inlineStr">
        <is>
          <t>Alta</t>
        </is>
      </c>
      <c r="T1816" s="18" t="inlineStr">
        <is>
          <t>nombre + tipo + columnas vecinas</t>
        </is>
      </c>
      <c r="U1816" s="18" t="inlineStr"/>
      <c r="V1816" s="19" t="inlineStr">
        <is>
          <t>Pendiente</t>
        </is>
      </c>
      <c r="W1816" s="19" t="inlineStr"/>
      <c r="X1816" s="19" t="inlineStr"/>
      <c r="Y1816" s="20" t="n"/>
      <c r="Z1816" s="19" t="inlineStr"/>
      <c r="AA1816" s="18">
        <f>IF(OR(V1816="Aprobada"),R1816,IF(AND(OR(V1816="Aprobada con ajuste",V1816="Rechazada"),W1816&lt;&gt;""),W1816,""))</f>
        <v/>
      </c>
    </row>
    <row r="1817">
      <c r="A1817" s="18" t="inlineStr">
        <is>
          <t>C1816</t>
        </is>
      </c>
      <c r="B1817" s="18" t="inlineStr">
        <is>
          <t>Control interno</t>
        </is>
      </c>
      <c r="C1817" s="18" t="inlineStr">
        <is>
          <t>control_interno</t>
        </is>
      </c>
      <c r="D1817" s="18" t="inlineStr">
        <is>
          <t>notificacion</t>
        </is>
      </c>
      <c r="E1817" s="18" t="n">
        <v>945</v>
      </c>
      <c r="F1817" s="18" t="inlineStr">
        <is>
          <t>prioridad</t>
        </is>
      </c>
      <c r="G1817" s="18" t="inlineStr">
        <is>
          <t>character varying(20)</t>
        </is>
      </c>
      <c r="H1817" s="18" t="inlineStr">
        <is>
          <t>Sí</t>
        </is>
      </c>
      <c r="I1817" s="18" t="inlineStr">
        <is>
          <t>CHECK</t>
        </is>
      </c>
      <c r="J1817" s="18" t="inlineStr">
        <is>
          <t>alta, baja, critica, normal</t>
        </is>
      </c>
      <c r="K1817" s="18" t="inlineStr"/>
      <c r="L1817" s="18" t="inlineStr">
        <is>
          <t>Sí</t>
        </is>
      </c>
      <c r="M1817" s="18" t="inlineStr">
        <is>
          <t>No</t>
        </is>
      </c>
      <c r="N1817" s="18" t="inlineStr"/>
      <c r="O1817" s="18" t="inlineStr"/>
      <c r="P1817" s="18" t="inlineStr">
        <is>
          <t>Mapeada en internal-institutional-control-service/src/esap/notificaciones/entities/notificacion.entity.ts:133 (Notificacion.prioridad) | Validación: IsEnum(PrioridadAuditoria), IsEnum(PrioridadAuditoriaProgramada), IsEnum(PrioridadNotificacion), IsEnum(PrioridadTarea), IsEnum(['Alta', 'Media', 'Baja']), IsInt</t>
        </is>
      </c>
      <c r="Q1817" s="18" t="inlineStr">
        <is>
          <t>Propuesta semántica</t>
        </is>
      </c>
      <c r="R1817" s="18" t="inlineStr">
        <is>
          <t>Prioridad de la notificación. Valores permitidos: baja, normal, alta, critica.</t>
        </is>
      </c>
      <c r="S1817" s="18" t="inlineStr">
        <is>
          <t>Alta</t>
        </is>
      </c>
      <c r="T1817" s="18" t="inlineStr">
        <is>
          <t>valores permitidos del CHECK</t>
        </is>
      </c>
      <c r="U1817" s="18" t="inlineStr"/>
      <c r="V1817" s="19" t="inlineStr">
        <is>
          <t>Pendiente</t>
        </is>
      </c>
      <c r="W1817" s="19" t="inlineStr"/>
      <c r="X1817" s="19" t="inlineStr"/>
      <c r="Y1817" s="20" t="n"/>
      <c r="Z1817" s="19" t="inlineStr"/>
      <c r="AA1817" s="18">
        <f>IF(OR(V1817="Aprobada"),R1817,IF(AND(OR(V1817="Aprobada con ajuste",V1817="Rechazada"),W1817&lt;&gt;""),W1817,""))</f>
        <v/>
      </c>
    </row>
    <row r="1818">
      <c r="A1818" s="18" t="inlineStr">
        <is>
          <t>C1817</t>
        </is>
      </c>
      <c r="B1818" s="18" t="inlineStr">
        <is>
          <t>Control interno</t>
        </is>
      </c>
      <c r="C1818" s="18" t="inlineStr">
        <is>
          <t>control_interno</t>
        </is>
      </c>
      <c r="D1818" s="18" t="inlineStr">
        <is>
          <t>objetivo_auditoria</t>
        </is>
      </c>
      <c r="E1818" s="18" t="n">
        <v>39</v>
      </c>
      <c r="F1818" s="18" t="inlineStr">
        <is>
          <t>descripcion</t>
        </is>
      </c>
      <c r="G1818" s="18" t="inlineStr">
        <is>
          <t>text</t>
        </is>
      </c>
      <c r="H1818" s="18" t="inlineStr">
        <is>
          <t>No</t>
        </is>
      </c>
      <c r="I1818" s="18" t="inlineStr"/>
      <c r="J1818" s="18" t="inlineStr"/>
      <c r="K1818" s="18" t="inlineStr"/>
      <c r="L1818" s="18" t="inlineStr">
        <is>
          <t>No</t>
        </is>
      </c>
      <c r="M1818" s="18" t="inlineStr">
        <is>
          <t>No</t>
        </is>
      </c>
      <c r="N1818" s="18" t="inlineStr"/>
      <c r="O1818" s="18" t="inlineStr"/>
      <c r="P1818" s="18" t="inlineStr">
        <is>
          <t>Mapeada en internal-institutional-control-service/src/esap/auditorias/entities/objetivo-auditoria.entity.ts:26 (ObjetivoAuditoria.descripcion) | Validación: IsNotEmpty, IsOptional, IsString</t>
        </is>
      </c>
      <c r="Q1818" s="18" t="inlineStr">
        <is>
          <t>Regla estructural</t>
        </is>
      </c>
      <c r="R1818" s="18" t="inlineStr">
        <is>
          <t>Descripción del registro de objetivo_auditoria.</t>
        </is>
      </c>
      <c r="S1818" s="18" t="inlineStr">
        <is>
          <t>Media</t>
        </is>
      </c>
      <c r="T1818" s="18" t="inlineStr">
        <is>
          <t>Convención de nombre de la columna.</t>
        </is>
      </c>
      <c r="U1818" s="18" t="inlineStr"/>
      <c r="V1818" s="19" t="inlineStr">
        <is>
          <t>Pendiente</t>
        </is>
      </c>
      <c r="W1818" s="19" t="inlineStr"/>
      <c r="X1818" s="19" t="inlineStr"/>
      <c r="Y1818" s="20" t="n"/>
      <c r="Z1818" s="19" t="inlineStr"/>
      <c r="AA1818" s="18">
        <f>IF(OR(V1818="Aprobada"),R1818,IF(AND(OR(V1818="Aprobada con ajuste",V1818="Rechazada"),W1818&lt;&gt;""),W1818,""))</f>
        <v/>
      </c>
    </row>
    <row r="1819">
      <c r="A1819" s="18" t="inlineStr">
        <is>
          <t>C1818</t>
        </is>
      </c>
      <c r="B1819" s="18" t="inlineStr">
        <is>
          <t>Control interno</t>
        </is>
      </c>
      <c r="C1819" s="18" t="inlineStr">
        <is>
          <t>control_interno</t>
        </is>
      </c>
      <c r="D1819" s="18" t="inlineStr">
        <is>
          <t>objetivo_auditoria</t>
        </is>
      </c>
      <c r="E1819" s="18" t="n">
        <v>39</v>
      </c>
      <c r="F1819" s="18" t="inlineStr">
        <is>
          <t>orden</t>
        </is>
      </c>
      <c r="G1819" s="18" t="inlineStr">
        <is>
          <t>integer</t>
        </is>
      </c>
      <c r="H1819" s="18" t="inlineStr">
        <is>
          <t>Sí</t>
        </is>
      </c>
      <c r="I1819" s="18" t="inlineStr"/>
      <c r="J1819" s="18" t="inlineStr"/>
      <c r="K1819" s="18" t="inlineStr"/>
      <c r="L1819" s="18" t="inlineStr">
        <is>
          <t>No</t>
        </is>
      </c>
      <c r="M1819" s="18" t="inlineStr">
        <is>
          <t>No</t>
        </is>
      </c>
      <c r="N1819" s="18" t="inlineStr"/>
      <c r="O1819" s="18" t="inlineStr"/>
      <c r="P1819" s="18" t="inlineStr">
        <is>
          <t>Mapeada en internal-institutional-control-service/src/esap/auditorias/entities/objetivo-auditoria.entity.ts:29 (ObjetivoAuditoria.orden) | Validación: IsInt, IsOptional, Min(1)</t>
        </is>
      </c>
      <c r="Q1819" s="18" t="inlineStr">
        <is>
          <t>Regla estructural</t>
        </is>
      </c>
      <c r="R1819" s="18" t="inlineStr">
        <is>
          <t>Posición del registro para su ordenamiento.</t>
        </is>
      </c>
      <c r="S1819" s="18" t="inlineStr">
        <is>
          <t>Media</t>
        </is>
      </c>
      <c r="T1819" s="18" t="inlineStr">
        <is>
          <t>Convención de nombre de la columna.</t>
        </is>
      </c>
      <c r="U1819" s="18" t="inlineStr"/>
      <c r="V1819" s="19" t="inlineStr">
        <is>
          <t>Pendiente</t>
        </is>
      </c>
      <c r="W1819" s="19" t="inlineStr"/>
      <c r="X1819" s="19" t="inlineStr"/>
      <c r="Y1819" s="20" t="n"/>
      <c r="Z1819" s="19" t="inlineStr"/>
      <c r="AA1819" s="18">
        <f>IF(OR(V1819="Aprobada"),R1819,IF(AND(OR(V1819="Aprobada con ajuste",V1819="Rechazada"),W1819&lt;&gt;""),W1819,""))</f>
        <v/>
      </c>
    </row>
    <row r="1820">
      <c r="A1820" s="18" t="inlineStr">
        <is>
          <t>C1819</t>
        </is>
      </c>
      <c r="B1820" s="18" t="inlineStr">
        <is>
          <t>Control interno</t>
        </is>
      </c>
      <c r="C1820" s="18" t="inlineStr">
        <is>
          <t>control_interno</t>
        </is>
      </c>
      <c r="D1820" s="18" t="inlineStr">
        <is>
          <t>objetivo_auditoria</t>
        </is>
      </c>
      <c r="E1820" s="18" t="n">
        <v>39</v>
      </c>
      <c r="F1820" s="18" t="inlineStr">
        <is>
          <t>activo</t>
        </is>
      </c>
      <c r="G1820" s="18" t="inlineStr">
        <is>
          <t>boolean</t>
        </is>
      </c>
      <c r="H1820" s="18" t="inlineStr">
        <is>
          <t>Sí</t>
        </is>
      </c>
      <c r="I1820" s="18" t="inlineStr"/>
      <c r="J1820" s="18" t="inlineStr"/>
      <c r="K1820" s="18" t="inlineStr"/>
      <c r="L1820" s="18" t="inlineStr">
        <is>
          <t>No</t>
        </is>
      </c>
      <c r="M1820" s="18" t="inlineStr">
        <is>
          <t>No</t>
        </is>
      </c>
      <c r="N1820" s="18" t="inlineStr"/>
      <c r="O1820" s="18" t="inlineStr">
        <is>
          <t>idx_objetivo_auditoria_activo</t>
        </is>
      </c>
      <c r="P1820" s="18" t="inlineStr">
        <is>
          <t>Mapeada en internal-institutional-control-service/src/esap/auditorias/entities/objetivo-auditoria.entity.ts:32 (ObjetivoAuditoria.activo) | Validación: IsBoolean, IsOptional</t>
        </is>
      </c>
      <c r="Q1820" s="18" t="inlineStr">
        <is>
          <t>Regla estructural</t>
        </is>
      </c>
      <c r="R1820" s="18" t="inlineStr">
        <is>
          <t>Indica si el registro está activo.</t>
        </is>
      </c>
      <c r="S1820" s="18" t="inlineStr">
        <is>
          <t>Media</t>
        </is>
      </c>
      <c r="T1820" s="18" t="inlineStr">
        <is>
          <t>Convención de nombre de la columna.</t>
        </is>
      </c>
      <c r="U1820" s="18" t="inlineStr"/>
      <c r="V1820" s="19" t="inlineStr">
        <is>
          <t>Pendiente</t>
        </is>
      </c>
      <c r="W1820" s="19" t="inlineStr"/>
      <c r="X1820" s="19" t="inlineStr"/>
      <c r="Y1820" s="20" t="n"/>
      <c r="Z1820" s="19" t="inlineStr"/>
      <c r="AA1820" s="18">
        <f>IF(OR(V1820="Aprobada"),R1820,IF(AND(OR(V1820="Aprobada con ajuste",V1820="Rechazada"),W1820&lt;&gt;""),W1820,""))</f>
        <v/>
      </c>
    </row>
    <row r="1821">
      <c r="A1821" s="18" t="inlineStr">
        <is>
          <t>C1820</t>
        </is>
      </c>
      <c r="B1821" s="18" t="inlineStr">
        <is>
          <t>Control interno</t>
        </is>
      </c>
      <c r="C1821" s="18" t="inlineStr">
        <is>
          <t>control_interno</t>
        </is>
      </c>
      <c r="D1821" s="18" t="inlineStr">
        <is>
          <t>parametro_sistema</t>
        </is>
      </c>
      <c r="E1821" s="18" t="n">
        <v>1</v>
      </c>
      <c r="F1821" s="18" t="inlineStr">
        <is>
          <t>clave</t>
        </is>
      </c>
      <c r="G1821" s="18" t="inlineStr">
        <is>
          <t>character varying(255)</t>
        </is>
      </c>
      <c r="H1821" s="18" t="inlineStr">
        <is>
          <t>No</t>
        </is>
      </c>
      <c r="I1821" s="18" t="inlineStr">
        <is>
          <t>Única</t>
        </is>
      </c>
      <c r="J1821" s="18" t="inlineStr"/>
      <c r="K1821" s="18" t="inlineStr"/>
      <c r="L1821" s="18" t="inlineStr">
        <is>
          <t>Sí</t>
        </is>
      </c>
      <c r="M1821" s="18" t="inlineStr">
        <is>
          <t>No</t>
        </is>
      </c>
      <c r="N1821" s="18" t="inlineStr"/>
      <c r="O1821" s="18" t="inlineStr">
        <is>
          <t>idx_parametro_clave, parametro_sistema_clave_key</t>
        </is>
      </c>
      <c r="P1821" s="18" t="inlineStr"/>
      <c r="Q1821" s="18" t="inlineStr">
        <is>
          <t>Propuesta semántica</t>
        </is>
      </c>
      <c r="R1821" s="18" t="inlineStr">
        <is>
          <t>Clave única que identifica el parámetro de configuración.</t>
        </is>
      </c>
      <c r="S1821" s="18" t="inlineStr">
        <is>
          <t>Alta</t>
        </is>
      </c>
      <c r="T1821" s="18" t="inlineStr">
        <is>
          <t>nombre + restricción única</t>
        </is>
      </c>
      <c r="U1821" s="18" t="inlineStr"/>
      <c r="V1821" s="19" t="inlineStr">
        <is>
          <t>Pendiente</t>
        </is>
      </c>
      <c r="W1821" s="19" t="inlineStr"/>
      <c r="X1821" s="19" t="inlineStr"/>
      <c r="Y1821" s="20" t="n"/>
      <c r="Z1821" s="19" t="inlineStr"/>
      <c r="AA1821" s="18">
        <f>IF(OR(V1821="Aprobada"),R1821,IF(AND(OR(V1821="Aprobada con ajuste",V1821="Rechazada"),W1821&lt;&gt;""),W1821,""))</f>
        <v/>
      </c>
    </row>
    <row r="1822">
      <c r="A1822" s="18" t="inlineStr">
        <is>
          <t>C1821</t>
        </is>
      </c>
      <c r="B1822" s="18" t="inlineStr">
        <is>
          <t>Control interno</t>
        </is>
      </c>
      <c r="C1822" s="18" t="inlineStr">
        <is>
          <t>control_interno</t>
        </is>
      </c>
      <c r="D1822" s="18" t="inlineStr">
        <is>
          <t>parametro_sistema</t>
        </is>
      </c>
      <c r="E1822" s="18" t="n">
        <v>1</v>
      </c>
      <c r="F1822" s="18" t="inlineStr">
        <is>
          <t>valor</t>
        </is>
      </c>
      <c r="G1822" s="18" t="inlineStr">
        <is>
          <t>text</t>
        </is>
      </c>
      <c r="H1822" s="18" t="inlineStr">
        <is>
          <t>No</t>
        </is>
      </c>
      <c r="I1822" s="18" t="inlineStr"/>
      <c r="J1822" s="18" t="inlineStr"/>
      <c r="K1822" s="18" t="inlineStr"/>
      <c r="L1822" s="18" t="inlineStr">
        <is>
          <t>Sí</t>
        </is>
      </c>
      <c r="M1822" s="18" t="inlineStr">
        <is>
          <t>No</t>
        </is>
      </c>
      <c r="N1822" s="18" t="inlineStr"/>
      <c r="O1822" s="18" t="inlineStr"/>
      <c r="P1822" s="18" t="inlineStr"/>
      <c r="Q1822" s="18" t="inlineStr">
        <is>
          <t>Propuesta semántica</t>
        </is>
      </c>
      <c r="R1822" s="18" t="inlineStr">
        <is>
          <t>Valor del parámetro de configuración, almacenado como texto.</t>
        </is>
      </c>
      <c r="S1822" s="18" t="inlineStr">
        <is>
          <t>Alta</t>
        </is>
      </c>
      <c r="T1822" s="18" t="inlineStr">
        <is>
          <t>nombre + tipo + columnas vecinas</t>
        </is>
      </c>
      <c r="U1822" s="18" t="inlineStr"/>
      <c r="V1822" s="19" t="inlineStr">
        <is>
          <t>Pendiente</t>
        </is>
      </c>
      <c r="W1822" s="19" t="inlineStr"/>
      <c r="X1822" s="19" t="inlineStr"/>
      <c r="Y1822" s="20" t="n"/>
      <c r="Z1822" s="19" t="inlineStr"/>
      <c r="AA1822" s="18">
        <f>IF(OR(V1822="Aprobada"),R1822,IF(AND(OR(V1822="Aprobada con ajuste",V1822="Rechazada"),W1822&lt;&gt;""),W1822,""))</f>
        <v/>
      </c>
    </row>
    <row r="1823">
      <c r="A1823" s="18" t="inlineStr">
        <is>
          <t>C1822</t>
        </is>
      </c>
      <c r="B1823" s="18" t="inlineStr">
        <is>
          <t>Control interno</t>
        </is>
      </c>
      <c r="C1823" s="18" t="inlineStr">
        <is>
          <t>control_interno</t>
        </is>
      </c>
      <c r="D1823" s="18" t="inlineStr">
        <is>
          <t>parametro_sistema</t>
        </is>
      </c>
      <c r="E1823" s="18" t="n">
        <v>1</v>
      </c>
      <c r="F1823" s="18" t="inlineStr">
        <is>
          <t>descripcion</t>
        </is>
      </c>
      <c r="G1823" s="18" t="inlineStr">
        <is>
          <t>text</t>
        </is>
      </c>
      <c r="H1823" s="18" t="inlineStr">
        <is>
          <t>Sí</t>
        </is>
      </c>
      <c r="I1823" s="18" t="inlineStr"/>
      <c r="J1823" s="18" t="inlineStr"/>
      <c r="K1823" s="18" t="inlineStr"/>
      <c r="L1823" s="18" t="inlineStr">
        <is>
          <t>Sí</t>
        </is>
      </c>
      <c r="M1823" s="18" t="inlineStr">
        <is>
          <t>No</t>
        </is>
      </c>
      <c r="N1823" s="18" t="inlineStr"/>
      <c r="O1823" s="18" t="inlineStr"/>
      <c r="P1823" s="18" t="inlineStr"/>
      <c r="Q1823" s="18" t="inlineStr">
        <is>
          <t>Regla estructural</t>
        </is>
      </c>
      <c r="R1823" s="18" t="inlineStr">
        <is>
          <t>Descripción del registro de parametro_sistema.</t>
        </is>
      </c>
      <c r="S1823" s="18" t="inlineStr">
        <is>
          <t>Media</t>
        </is>
      </c>
      <c r="T1823" s="18" t="inlineStr">
        <is>
          <t>Convención de nombre de la columna.</t>
        </is>
      </c>
      <c r="U1823" s="18" t="inlineStr"/>
      <c r="V1823" s="19" t="inlineStr">
        <is>
          <t>Pendiente</t>
        </is>
      </c>
      <c r="W1823" s="19" t="inlineStr"/>
      <c r="X1823" s="19" t="inlineStr"/>
      <c r="Y1823" s="20" t="n"/>
      <c r="Z1823" s="19" t="inlineStr"/>
      <c r="AA1823" s="18">
        <f>IF(OR(V1823="Aprobada"),R1823,IF(AND(OR(V1823="Aprobada con ajuste",V1823="Rechazada"),W1823&lt;&gt;""),W1823,""))</f>
        <v/>
      </c>
    </row>
    <row r="1824">
      <c r="A1824" s="18" t="inlineStr">
        <is>
          <t>C1823</t>
        </is>
      </c>
      <c r="B1824" s="18" t="inlineStr">
        <is>
          <t>Control interno</t>
        </is>
      </c>
      <c r="C1824" s="18" t="inlineStr">
        <is>
          <t>control_interno</t>
        </is>
      </c>
      <c r="D1824" s="18" t="inlineStr">
        <is>
          <t>parametro_sistema</t>
        </is>
      </c>
      <c r="E1824" s="18" t="n">
        <v>1</v>
      </c>
      <c r="F1824" s="18" t="inlineStr">
        <is>
          <t>tipo</t>
        </is>
      </c>
      <c r="G1824" s="18" t="inlineStr">
        <is>
          <t>character varying(50)</t>
        </is>
      </c>
      <c r="H1824" s="18" t="inlineStr">
        <is>
          <t>Sí</t>
        </is>
      </c>
      <c r="I1824" s="18" t="inlineStr">
        <is>
          <t>CHECK</t>
        </is>
      </c>
      <c r="J1824" s="18" t="inlineStr">
        <is>
          <t>boolean, json, number, string</t>
        </is>
      </c>
      <c r="K1824" s="18" t="inlineStr"/>
      <c r="L1824" s="18" t="inlineStr">
        <is>
          <t>Sí</t>
        </is>
      </c>
      <c r="M1824" s="18" t="inlineStr">
        <is>
          <t>No</t>
        </is>
      </c>
      <c r="N1824" s="18" t="inlineStr"/>
      <c r="O1824" s="18" t="inlineStr"/>
      <c r="P1824" s="18" t="inlineStr"/>
      <c r="Q1824" s="18" t="inlineStr">
        <is>
          <t>Regla estructural</t>
        </is>
      </c>
      <c r="R1824" s="18" t="inlineStr">
        <is>
          <t>Tipo del registro de parametro_sistema.</t>
        </is>
      </c>
      <c r="S1824" s="18" t="inlineStr">
        <is>
          <t>Media</t>
        </is>
      </c>
      <c r="T1824" s="18" t="inlineStr">
        <is>
          <t>Convención de nombre de la columna.</t>
        </is>
      </c>
      <c r="U1824" s="18" t="inlineStr"/>
      <c r="V1824" s="19" t="inlineStr">
        <is>
          <t>Pendiente</t>
        </is>
      </c>
      <c r="W1824" s="19" t="inlineStr"/>
      <c r="X1824" s="19" t="inlineStr"/>
      <c r="Y1824" s="20" t="n"/>
      <c r="Z1824" s="19" t="inlineStr"/>
      <c r="AA1824" s="18">
        <f>IF(OR(V1824="Aprobada"),R1824,IF(AND(OR(V1824="Aprobada con ajuste",V1824="Rechazada"),W1824&lt;&gt;""),W1824,""))</f>
        <v/>
      </c>
    </row>
    <row r="1825">
      <c r="A1825" s="18" t="inlineStr">
        <is>
          <t>C1824</t>
        </is>
      </c>
      <c r="B1825" s="18" t="inlineStr">
        <is>
          <t>Control interno</t>
        </is>
      </c>
      <c r="C1825" s="18" t="inlineStr">
        <is>
          <t>control_interno</t>
        </is>
      </c>
      <c r="D1825" s="18" t="inlineStr">
        <is>
          <t>parametro_sistema</t>
        </is>
      </c>
      <c r="E1825" s="18" t="n">
        <v>1</v>
      </c>
      <c r="F1825" s="18" t="inlineStr">
        <is>
          <t>categoria</t>
        </is>
      </c>
      <c r="G1825" s="18" t="inlineStr">
        <is>
          <t>character varying(255)</t>
        </is>
      </c>
      <c r="H1825" s="18" t="inlineStr">
        <is>
          <t>Sí</t>
        </is>
      </c>
      <c r="I1825" s="18" t="inlineStr"/>
      <c r="J1825" s="18" t="inlineStr"/>
      <c r="K1825" s="18" t="inlineStr"/>
      <c r="L1825" s="18" t="inlineStr">
        <is>
          <t>Sí</t>
        </is>
      </c>
      <c r="M1825" s="18" t="inlineStr">
        <is>
          <t>No</t>
        </is>
      </c>
      <c r="N1825" s="18" t="inlineStr"/>
      <c r="O1825" s="18" t="inlineStr">
        <is>
          <t>idx_parametro_categoria</t>
        </is>
      </c>
      <c r="P1825" s="18" t="inlineStr"/>
      <c r="Q1825" s="18" t="inlineStr">
        <is>
          <t>Propuesta semántica</t>
        </is>
      </c>
      <c r="R1825" s="18" t="inlineStr">
        <is>
          <t>Categoría que agrupa los parámetros de configuración.</t>
        </is>
      </c>
      <c r="S1825" s="18" t="inlineStr">
        <is>
          <t>Media</t>
        </is>
      </c>
      <c r="T1825" s="18" t="inlineStr">
        <is>
          <t>nombre + tipo + columnas vecinas</t>
        </is>
      </c>
      <c r="U1825" s="18" t="inlineStr">
        <is>
          <t>¿Qué categorías existen?</t>
        </is>
      </c>
      <c r="V1825" s="19" t="inlineStr">
        <is>
          <t>Pendiente</t>
        </is>
      </c>
      <c r="W1825" s="19" t="inlineStr"/>
      <c r="X1825" s="19" t="inlineStr"/>
      <c r="Y1825" s="20" t="n"/>
      <c r="Z1825" s="19" t="inlineStr"/>
      <c r="AA1825" s="18">
        <f>IF(OR(V1825="Aprobada"),R1825,IF(AND(OR(V1825="Aprobada con ajuste",V1825="Rechazada"),W1825&lt;&gt;""),W1825,""))</f>
        <v/>
      </c>
    </row>
    <row r="1826">
      <c r="A1826" s="18" t="inlineStr">
        <is>
          <t>C1825</t>
        </is>
      </c>
      <c r="B1826" s="18" t="inlineStr">
        <is>
          <t>Control interno</t>
        </is>
      </c>
      <c r="C1826" s="18" t="inlineStr">
        <is>
          <t>control_interno</t>
        </is>
      </c>
      <c r="D1826" s="18" t="inlineStr">
        <is>
          <t>parametro_sistema</t>
        </is>
      </c>
      <c r="E1826" s="18" t="n">
        <v>1</v>
      </c>
      <c r="F1826" s="18" t="inlineStr">
        <is>
          <t>editable</t>
        </is>
      </c>
      <c r="G1826" s="18" t="inlineStr">
        <is>
          <t>boolean</t>
        </is>
      </c>
      <c r="H1826" s="18" t="inlineStr">
        <is>
          <t>Sí</t>
        </is>
      </c>
      <c r="I1826" s="18" t="inlineStr"/>
      <c r="J1826" s="18" t="inlineStr"/>
      <c r="K1826" s="18" t="inlineStr"/>
      <c r="L1826" s="18" t="inlineStr">
        <is>
          <t>Sí</t>
        </is>
      </c>
      <c r="M1826" s="18" t="inlineStr">
        <is>
          <t>No</t>
        </is>
      </c>
      <c r="N1826" s="18" t="inlineStr"/>
      <c r="O1826" s="18" t="inlineStr"/>
      <c r="P1826" s="18" t="inlineStr"/>
      <c r="Q1826" s="18" t="inlineStr">
        <is>
          <t>Regla estructural</t>
        </is>
      </c>
      <c r="R1826" s="18" t="inlineStr">
        <is>
          <t>Indica si aplica: editable.</t>
        </is>
      </c>
      <c r="S1826" s="18" t="inlineStr">
        <is>
          <t>Media</t>
        </is>
      </c>
      <c r="T1826" s="18" t="inlineStr">
        <is>
          <t>Convención de nombre de la columna.</t>
        </is>
      </c>
      <c r="U1826" s="18" t="inlineStr"/>
      <c r="V1826" s="19" t="inlineStr">
        <is>
          <t>Pendiente</t>
        </is>
      </c>
      <c r="W1826" s="19" t="inlineStr"/>
      <c r="X1826" s="19" t="inlineStr"/>
      <c r="Y1826" s="20" t="n"/>
      <c r="Z1826" s="19" t="inlineStr"/>
      <c r="AA1826" s="18">
        <f>IF(OR(V1826="Aprobada"),R1826,IF(AND(OR(V1826="Aprobada con ajuste",V1826="Rechazada"),W1826&lt;&gt;""),W1826,""))</f>
        <v/>
      </c>
    </row>
    <row r="1827">
      <c r="A1827" s="18" t="inlineStr">
        <is>
          <t>C1826</t>
        </is>
      </c>
      <c r="B1827" s="18" t="inlineStr">
        <is>
          <t>Control interno</t>
        </is>
      </c>
      <c r="C1827" s="18" t="inlineStr">
        <is>
          <t>control_interno</t>
        </is>
      </c>
      <c r="D1827" s="18" t="inlineStr">
        <is>
          <t>paso_workflow_informe</t>
        </is>
      </c>
      <c r="E1827" s="18" t="n">
        <v>0</v>
      </c>
      <c r="F1827" s="18" t="inlineStr">
        <is>
          <t>numero_paso</t>
        </is>
      </c>
      <c r="G1827" s="18" t="inlineStr">
        <is>
          <t>integer</t>
        </is>
      </c>
      <c r="H1827" s="18" t="inlineStr">
        <is>
          <t>No</t>
        </is>
      </c>
      <c r="I1827" s="18" t="inlineStr"/>
      <c r="J1827" s="18" t="inlineStr"/>
      <c r="K1827" s="18" t="inlineStr"/>
      <c r="L1827" s="18" t="inlineStr">
        <is>
          <t>No</t>
        </is>
      </c>
      <c r="M1827" s="18" t="inlineStr">
        <is>
          <t>No</t>
        </is>
      </c>
      <c r="N1827" s="18" t="inlineStr"/>
      <c r="O1827" s="18" t="inlineStr">
        <is>
          <t>idx_paso_numero</t>
        </is>
      </c>
      <c r="P1827" s="18" t="inlineStr">
        <is>
          <t>Mapeada en internal-institutional-control-service/src/esap/informes-ley/entities/paso-workflow-informe.entity.ts:26 (PasoWorkflowInforme.numeroPaso)</t>
        </is>
      </c>
      <c r="Q1827" s="18" t="inlineStr">
        <is>
          <t>Propuesta semántica</t>
        </is>
      </c>
      <c r="R1827" s="18" t="inlineStr">
        <is>
          <t>Número del paso dentro del workflow de aprobación del informe.</t>
        </is>
      </c>
      <c r="S1827" s="18" t="inlineStr">
        <is>
          <t>Alta</t>
        </is>
      </c>
      <c r="T1827" s="18" t="inlineStr">
        <is>
          <t>nombre + tipo + columnas vecinas</t>
        </is>
      </c>
      <c r="U1827" s="18" t="inlineStr"/>
      <c r="V1827" s="19" t="inlineStr">
        <is>
          <t>Pendiente</t>
        </is>
      </c>
      <c r="W1827" s="19" t="inlineStr"/>
      <c r="X1827" s="19" t="inlineStr"/>
      <c r="Y1827" s="20" t="n"/>
      <c r="Z1827" s="19" t="inlineStr"/>
      <c r="AA1827" s="18">
        <f>IF(OR(V1827="Aprobada"),R1827,IF(AND(OR(V1827="Aprobada con ajuste",V1827="Rechazada"),W1827&lt;&gt;""),W1827,""))</f>
        <v/>
      </c>
    </row>
    <row r="1828">
      <c r="A1828" s="18" t="inlineStr">
        <is>
          <t>C1827</t>
        </is>
      </c>
      <c r="B1828" s="18" t="inlineStr">
        <is>
          <t>Control interno</t>
        </is>
      </c>
      <c r="C1828" s="18" t="inlineStr">
        <is>
          <t>control_interno</t>
        </is>
      </c>
      <c r="D1828" s="18" t="inlineStr">
        <is>
          <t>paso_workflow_informe</t>
        </is>
      </c>
      <c r="E1828" s="18" t="n">
        <v>0</v>
      </c>
      <c r="F1828" s="18" t="inlineStr">
        <is>
          <t>nombre</t>
        </is>
      </c>
      <c r="G1828" s="18" t="inlineStr">
        <is>
          <t>character varying(100)</t>
        </is>
      </c>
      <c r="H1828" s="18" t="inlineStr">
        <is>
          <t>No</t>
        </is>
      </c>
      <c r="I1828" s="18" t="inlineStr"/>
      <c r="J1828" s="18" t="inlineStr"/>
      <c r="K1828" s="18" t="inlineStr"/>
      <c r="L1828" s="18" t="inlineStr">
        <is>
          <t>No</t>
        </is>
      </c>
      <c r="M1828" s="18" t="inlineStr">
        <is>
          <t>No</t>
        </is>
      </c>
      <c r="N1828" s="18" t="inlineStr"/>
      <c r="O1828" s="18" t="inlineStr"/>
      <c r="P1828" s="18" t="inlineStr">
        <is>
          <t>internal-institutional-control-service/src/esap/informes-ley/entities/paso-workflow-informe.entity.ts:29: 'elaboracion', 'revision', 'aprobacion', 'publicacion' | Validación: IsNotEmpty, IsNotEmpty({ message: 'El nombre del documento es obligatorio' }), IsOptional, IsString, Length(1, 500), MaxLength(120)</t>
        </is>
      </c>
      <c r="Q1828" s="18" t="inlineStr">
        <is>
          <t>Código fuente</t>
        </is>
      </c>
      <c r="R1828" s="18" t="inlineStr">
        <is>
          <t>Nombre interno del paso del workflow de aprobación del informe, por ejemplo elaboracion, revision, aprobacion o publicacion.</t>
        </is>
      </c>
      <c r="S1828" s="18" t="inlineStr">
        <is>
          <t>Alta</t>
        </is>
      </c>
      <c r="T1828" s="18" t="inlineStr">
        <is>
          <t>código: internal-institutional-control-service/src/esap/informes-ley/entities/paso-workflow-informe.entity.ts:29</t>
        </is>
      </c>
      <c r="U1828" s="18" t="inlineStr"/>
      <c r="V1828" s="19" t="inlineStr">
        <is>
          <t>Pendiente</t>
        </is>
      </c>
      <c r="W1828" s="19" t="inlineStr"/>
      <c r="X1828" s="19" t="inlineStr"/>
      <c r="Y1828" s="20" t="n"/>
      <c r="Z1828" s="19" t="inlineStr"/>
      <c r="AA1828" s="18">
        <f>IF(OR(V1828="Aprobada"),R1828,IF(AND(OR(V1828="Aprobada con ajuste",V1828="Rechazada"),W1828&lt;&gt;""),W1828,""))</f>
        <v/>
      </c>
    </row>
    <row r="1829">
      <c r="A1829" s="18" t="inlineStr">
        <is>
          <t>C1828</t>
        </is>
      </c>
      <c r="B1829" s="18" t="inlineStr">
        <is>
          <t>Control interno</t>
        </is>
      </c>
      <c r="C1829" s="18" t="inlineStr">
        <is>
          <t>control_interno</t>
        </is>
      </c>
      <c r="D1829" s="18" t="inlineStr">
        <is>
          <t>paso_workflow_informe</t>
        </is>
      </c>
      <c r="E1829" s="18" t="n">
        <v>0</v>
      </c>
      <c r="F1829" s="18" t="inlineStr">
        <is>
          <t>nombre_display</t>
        </is>
      </c>
      <c r="G1829" s="18" t="inlineStr">
        <is>
          <t>character varying(255)</t>
        </is>
      </c>
      <c r="H1829" s="18" t="inlineStr">
        <is>
          <t>No</t>
        </is>
      </c>
      <c r="I1829" s="18" t="inlineStr"/>
      <c r="J1829" s="18" t="inlineStr"/>
      <c r="K1829" s="18" t="inlineStr"/>
      <c r="L1829" s="18" t="inlineStr">
        <is>
          <t>No</t>
        </is>
      </c>
      <c r="M1829" s="18" t="inlineStr">
        <is>
          <t>No</t>
        </is>
      </c>
      <c r="N1829" s="18" t="inlineStr"/>
      <c r="O1829" s="18" t="inlineStr"/>
      <c r="P1829" s="18" t="inlineStr">
        <is>
          <t>internal-institutional-control-service/src/esap/informes-ley/entities/paso-workflow-informe.entity.ts:32: 'Elaboración', 'Revisión Técnica', etc.</t>
        </is>
      </c>
      <c r="Q1829" s="18" t="inlineStr">
        <is>
          <t>Código fuente</t>
        </is>
      </c>
      <c r="R1829" s="18" t="inlineStr">
        <is>
          <t>Nombre del paso para mostrar en pantalla, por ejemplo Elaboración o Revisión Técnica.</t>
        </is>
      </c>
      <c r="S1829" s="18" t="inlineStr">
        <is>
          <t>Alta</t>
        </is>
      </c>
      <c r="T1829" s="18" t="inlineStr">
        <is>
          <t>código: internal-institutional-control-service/src/esap/informes-ley/entities/paso-workflow-informe.entity.ts:32</t>
        </is>
      </c>
      <c r="U1829" s="18" t="inlineStr"/>
      <c r="V1829" s="19" t="inlineStr">
        <is>
          <t>Pendiente</t>
        </is>
      </c>
      <c r="W1829" s="19" t="inlineStr"/>
      <c r="X1829" s="19" t="inlineStr"/>
      <c r="Y1829" s="20" t="n"/>
      <c r="Z1829" s="19" t="inlineStr"/>
      <c r="AA1829" s="18">
        <f>IF(OR(V1829="Aprobada"),R1829,IF(AND(OR(V1829="Aprobada con ajuste",V1829="Rechazada"),W1829&lt;&gt;""),W1829,""))</f>
        <v/>
      </c>
    </row>
    <row r="1830">
      <c r="A1830" s="18" t="inlineStr">
        <is>
          <t>C1829</t>
        </is>
      </c>
      <c r="B1830" s="18" t="inlineStr">
        <is>
          <t>Control interno</t>
        </is>
      </c>
      <c r="C1830" s="18" t="inlineStr">
        <is>
          <t>control_interno</t>
        </is>
      </c>
      <c r="D1830" s="18" t="inlineStr">
        <is>
          <t>paso_workflow_informe</t>
        </is>
      </c>
      <c r="E1830" s="18" t="n">
        <v>0</v>
      </c>
      <c r="F1830" s="18" t="inlineStr">
        <is>
          <t>descripcion</t>
        </is>
      </c>
      <c r="G1830" s="18" t="inlineStr">
        <is>
          <t>text</t>
        </is>
      </c>
      <c r="H1830" s="18" t="inlineStr">
        <is>
          <t>Sí</t>
        </is>
      </c>
      <c r="I1830" s="18" t="inlineStr"/>
      <c r="J1830" s="18" t="inlineStr"/>
      <c r="K1830" s="18" t="inlineStr"/>
      <c r="L1830" s="18" t="inlineStr">
        <is>
          <t>No</t>
        </is>
      </c>
      <c r="M1830" s="18" t="inlineStr">
        <is>
          <t>No</t>
        </is>
      </c>
      <c r="N1830" s="18" t="inlineStr"/>
      <c r="O1830" s="18" t="inlineStr"/>
      <c r="P1830" s="18" t="inlineStr">
        <is>
          <t>Mapeada en internal-institutional-control-service/src/esap/informes-ley/entities/paso-workflow-informe.entity.ts:35 (PasoWorkflowInforme.descripcion) | Validación: IsNotEmpty, IsOptional, IsString</t>
        </is>
      </c>
      <c r="Q1830" s="18" t="inlineStr">
        <is>
          <t>Regla estructural</t>
        </is>
      </c>
      <c r="R1830" s="18" t="inlineStr">
        <is>
          <t>Descripción del registro de paso_workflow_informe.</t>
        </is>
      </c>
      <c r="S1830" s="18" t="inlineStr">
        <is>
          <t>Media</t>
        </is>
      </c>
      <c r="T1830" s="18" t="inlineStr">
        <is>
          <t>Convención de nombre de la columna.</t>
        </is>
      </c>
      <c r="U1830" s="18" t="inlineStr"/>
      <c r="V1830" s="19" t="inlineStr">
        <is>
          <t>Pendiente</t>
        </is>
      </c>
      <c r="W1830" s="19" t="inlineStr"/>
      <c r="X1830" s="19" t="inlineStr"/>
      <c r="Y1830" s="20" t="n"/>
      <c r="Z1830" s="19" t="inlineStr"/>
      <c r="AA1830" s="18">
        <f>IF(OR(V1830="Aprobada"),R1830,IF(AND(OR(V1830="Aprobada con ajuste",V1830="Rechazada"),W1830&lt;&gt;""),W1830,""))</f>
        <v/>
      </c>
    </row>
    <row r="1831">
      <c r="A1831" s="18" t="inlineStr">
        <is>
          <t>C1830</t>
        </is>
      </c>
      <c r="B1831" s="18" t="inlineStr">
        <is>
          <t>Control interno</t>
        </is>
      </c>
      <c r="C1831" s="18" t="inlineStr">
        <is>
          <t>control_interno</t>
        </is>
      </c>
      <c r="D1831" s="18" t="inlineStr">
        <is>
          <t>paso_workflow_informe</t>
        </is>
      </c>
      <c r="E1831" s="18" t="n">
        <v>0</v>
      </c>
      <c r="F1831" s="18" t="inlineStr">
        <is>
          <t>responsable</t>
        </is>
      </c>
      <c r="G1831" s="18" t="inlineStr">
        <is>
          <t>character varying(255)</t>
        </is>
      </c>
      <c r="H1831" s="18" t="inlineStr">
        <is>
          <t>Sí</t>
        </is>
      </c>
      <c r="I1831" s="18" t="inlineStr"/>
      <c r="J1831" s="18" t="inlineStr"/>
      <c r="K1831" s="18" t="inlineStr"/>
      <c r="L1831" s="18" t="inlineStr">
        <is>
          <t>No</t>
        </is>
      </c>
      <c r="M1831" s="18" t="inlineStr">
        <is>
          <t>No</t>
        </is>
      </c>
      <c r="N1831" s="18" t="inlineStr"/>
      <c r="O1831" s="18" t="inlineStr"/>
      <c r="P1831" s="18" t="inlineStr">
        <is>
          <t>Mapeada en internal-institutional-control-service/src/esap/informes-ley/entities/paso-workflow-informe.entity.ts:38 (PasoWorkflowInforme.responsable) | Validación: IsNotEmpty, IsOptional, IsString, Length(1, 255)</t>
        </is>
      </c>
      <c r="Q1831" s="18" t="inlineStr">
        <is>
          <t>Propuesta semántica</t>
        </is>
      </c>
      <c r="R1831" s="18" t="inlineStr">
        <is>
          <t>Persona responsable de ejecutar el paso del workflow.</t>
        </is>
      </c>
      <c r="S1831" s="18" t="inlineStr">
        <is>
          <t>Media</t>
        </is>
      </c>
      <c r="T1831" s="18" t="inlineStr">
        <is>
          <t>nombre + tipo + columnas vecinas</t>
        </is>
      </c>
      <c r="U1831" s="18" t="inlineStr">
        <is>
          <t>¿Guarda el nombre, el correo o el identificador del responsable?</t>
        </is>
      </c>
      <c r="V1831" s="19" t="inlineStr">
        <is>
          <t>Pendiente</t>
        </is>
      </c>
      <c r="W1831" s="19" t="inlineStr"/>
      <c r="X1831" s="19" t="inlineStr"/>
      <c r="Y1831" s="20" t="n"/>
      <c r="Z1831" s="19" t="inlineStr"/>
      <c r="AA1831" s="18">
        <f>IF(OR(V1831="Aprobada"),R1831,IF(AND(OR(V1831="Aprobada con ajuste",V1831="Rechazada"),W1831&lt;&gt;""),W1831,""))</f>
        <v/>
      </c>
    </row>
    <row r="1832">
      <c r="A1832" s="18" t="inlineStr">
        <is>
          <t>C1831</t>
        </is>
      </c>
      <c r="B1832" s="18" t="inlineStr">
        <is>
          <t>Control interno</t>
        </is>
      </c>
      <c r="C1832" s="18" t="inlineStr">
        <is>
          <t>control_interno</t>
        </is>
      </c>
      <c r="D1832" s="18" t="inlineStr">
        <is>
          <t>paso_workflow_informe</t>
        </is>
      </c>
      <c r="E1832" s="18" t="n">
        <v>0</v>
      </c>
      <c r="F1832" s="18" t="inlineStr">
        <is>
          <t>rol_responsable</t>
        </is>
      </c>
      <c r="G1832" s="18" t="inlineStr">
        <is>
          <t>character varying(255)</t>
        </is>
      </c>
      <c r="H1832" s="18" t="inlineStr">
        <is>
          <t>Sí</t>
        </is>
      </c>
      <c r="I1832" s="18" t="inlineStr"/>
      <c r="J1832" s="18" t="inlineStr"/>
      <c r="K1832" s="18" t="inlineStr"/>
      <c r="L1832" s="18" t="inlineStr">
        <is>
          <t>No</t>
        </is>
      </c>
      <c r="M1832" s="18" t="inlineStr">
        <is>
          <t>No</t>
        </is>
      </c>
      <c r="N1832" s="18" t="inlineStr"/>
      <c r="O1832" s="18" t="inlineStr"/>
      <c r="P1832" s="18" t="inlineStr">
        <is>
          <t>Mapeada en internal-institutional-control-service/src/esap/informes-ley/entities/paso-workflow-informe.entity.ts:41 (PasoWorkflowInforme.rolResponsable)</t>
        </is>
      </c>
      <c r="Q1832" s="18" t="inlineStr">
        <is>
          <t>Propuesta semántica</t>
        </is>
      </c>
      <c r="R1832" s="18" t="inlineStr">
        <is>
          <t>Rol que debe ejecutar el paso del workflow.</t>
        </is>
      </c>
      <c r="S1832" s="18" t="inlineStr">
        <is>
          <t>Media</t>
        </is>
      </c>
      <c r="T1832" s="18" t="inlineStr">
        <is>
          <t>nombre + tipo + columnas vecinas</t>
        </is>
      </c>
      <c r="U1832" s="18" t="inlineStr">
        <is>
          <t>¿Qué roles se usan y de qué catálogo provienen?</t>
        </is>
      </c>
      <c r="V1832" s="19" t="inlineStr">
        <is>
          <t>Pendiente</t>
        </is>
      </c>
      <c r="W1832" s="19" t="inlineStr"/>
      <c r="X1832" s="19" t="inlineStr"/>
      <c r="Y1832" s="20" t="n"/>
      <c r="Z1832" s="19" t="inlineStr"/>
      <c r="AA1832" s="18">
        <f>IF(OR(V1832="Aprobada"),R1832,IF(AND(OR(V1832="Aprobada con ajuste",V1832="Rechazada"),W1832&lt;&gt;""),W1832,""))</f>
        <v/>
      </c>
    </row>
    <row r="1833">
      <c r="A1833" s="18" t="inlineStr">
        <is>
          <t>C1832</t>
        </is>
      </c>
      <c r="B1833" s="18" t="inlineStr">
        <is>
          <t>Control interno</t>
        </is>
      </c>
      <c r="C1833" s="18" t="inlineStr">
        <is>
          <t>control_interno</t>
        </is>
      </c>
      <c r="D1833" s="18" t="inlineStr">
        <is>
          <t>paso_workflow_informe</t>
        </is>
      </c>
      <c r="E1833" s="18" t="n">
        <v>0</v>
      </c>
      <c r="F1833" s="18" t="inlineStr">
        <is>
          <t>estado</t>
        </is>
      </c>
      <c r="G1833" s="18" t="inlineStr">
        <is>
          <t>character varying(50)</t>
        </is>
      </c>
      <c r="H1833" s="18" t="inlineStr">
        <is>
          <t>Sí</t>
        </is>
      </c>
      <c r="I1833" s="18" t="inlineStr">
        <is>
          <t>CHECK</t>
        </is>
      </c>
      <c r="J1833" s="18" t="inlineStr">
        <is>
          <t>completado, en-proceso, pendiente, rechazado</t>
        </is>
      </c>
      <c r="K1833" s="18" t="inlineStr"/>
      <c r="L1833" s="18" t="inlineStr">
        <is>
          <t>Sí</t>
        </is>
      </c>
      <c r="M1833" s="18" t="inlineStr">
        <is>
          <t>No</t>
        </is>
      </c>
      <c r="N1833" s="18" t="inlineStr"/>
      <c r="O1833" s="18" t="inlineStr"/>
      <c r="P1833" s="18" t="inlineStr">
        <is>
          <t>Mapeada en internal-institutional-control-service/src/esap/informes-ley/entities/paso-workflow-informe.entity.ts:44 (PasoWorkflowInforme.estado) | Validación: IsEnum(AccionCorrectivaEstado), IsEnum(EstadoEtapa), IsEnum(EstadoPlanIndividual), IsEnum(EstadoTarea), IsEnum(HallazgoEstado), IsEnum(PlanMejoramientoEstado)</t>
        </is>
      </c>
      <c r="Q1833" s="18" t="inlineStr">
        <is>
          <t>Regla estructural</t>
        </is>
      </c>
      <c r="R1833" s="18" t="inlineStr">
        <is>
          <t>Estado del registro de paso_workflow_informe.</t>
        </is>
      </c>
      <c r="S1833" s="18" t="inlineStr">
        <is>
          <t>Media</t>
        </is>
      </c>
      <c r="T1833" s="18" t="inlineStr">
        <is>
          <t>Convención de nombre de la columna.</t>
        </is>
      </c>
      <c r="U1833" s="18" t="inlineStr"/>
      <c r="V1833" s="19" t="inlineStr">
        <is>
          <t>Pendiente</t>
        </is>
      </c>
      <c r="W1833" s="19" t="inlineStr"/>
      <c r="X1833" s="19" t="inlineStr"/>
      <c r="Y1833" s="20" t="n"/>
      <c r="Z1833" s="19" t="inlineStr"/>
      <c r="AA1833" s="18">
        <f>IF(OR(V1833="Aprobada"),R1833,IF(AND(OR(V1833="Aprobada con ajuste",V1833="Rechazada"),W1833&lt;&gt;""),W1833,""))</f>
        <v/>
      </c>
    </row>
    <row r="1834">
      <c r="A1834" s="18" t="inlineStr">
        <is>
          <t>C1833</t>
        </is>
      </c>
      <c r="B1834" s="18" t="inlineStr">
        <is>
          <t>Control interno</t>
        </is>
      </c>
      <c r="C1834" s="18" t="inlineStr">
        <is>
          <t>control_interno</t>
        </is>
      </c>
      <c r="D1834" s="18" t="inlineStr">
        <is>
          <t>paso_workflow_informe</t>
        </is>
      </c>
      <c r="E1834" s="18" t="n">
        <v>0</v>
      </c>
      <c r="F1834" s="18" t="inlineStr">
        <is>
          <t>fecha_inicio</t>
        </is>
      </c>
      <c r="G1834" s="18" t="inlineStr">
        <is>
          <t>timestamp without time zone</t>
        </is>
      </c>
      <c r="H1834" s="18" t="inlineStr">
        <is>
          <t>Sí</t>
        </is>
      </c>
      <c r="I1834" s="18" t="inlineStr"/>
      <c r="J1834" s="18" t="inlineStr"/>
      <c r="K1834" s="18" t="inlineStr"/>
      <c r="L1834" s="18" t="inlineStr">
        <is>
          <t>No</t>
        </is>
      </c>
      <c r="M1834" s="18" t="inlineStr">
        <is>
          <t>No</t>
        </is>
      </c>
      <c r="N1834" s="18" t="inlineStr"/>
      <c r="O1834" s="18" t="inlineStr"/>
      <c r="P1834" s="18" t="inlineStr">
        <is>
          <t>Mapeada en internal-institutional-control-service/src/esap/informes-ley/entities/paso-workflow-informe.entity.ts:51 (PasoWorkflowInforme.fechaInicio) | Validación: IsDateString, IsNotEmpty, IsOptional</t>
        </is>
      </c>
      <c r="Q1834" s="18" t="inlineStr">
        <is>
          <t>Regla estructural</t>
        </is>
      </c>
      <c r="R1834" s="18" t="inlineStr">
        <is>
          <t>Fecha de inicio.</t>
        </is>
      </c>
      <c r="S1834" s="18" t="inlineStr">
        <is>
          <t>Media</t>
        </is>
      </c>
      <c r="T1834" s="18" t="inlineStr">
        <is>
          <t>Convención de nombre de la columna.</t>
        </is>
      </c>
      <c r="U1834" s="18" t="inlineStr"/>
      <c r="V1834" s="19" t="inlineStr">
        <is>
          <t>Pendiente</t>
        </is>
      </c>
      <c r="W1834" s="19" t="inlineStr"/>
      <c r="X1834" s="19" t="inlineStr"/>
      <c r="Y1834" s="20" t="n"/>
      <c r="Z1834" s="19" t="inlineStr"/>
      <c r="AA1834" s="18">
        <f>IF(OR(V1834="Aprobada"),R1834,IF(AND(OR(V1834="Aprobada con ajuste",V1834="Rechazada"),W1834&lt;&gt;""),W1834,""))</f>
        <v/>
      </c>
    </row>
    <row r="1835">
      <c r="A1835" s="18" t="inlineStr">
        <is>
          <t>C1834</t>
        </is>
      </c>
      <c r="B1835" s="18" t="inlineStr">
        <is>
          <t>Control interno</t>
        </is>
      </c>
      <c r="C1835" s="18" t="inlineStr">
        <is>
          <t>control_interno</t>
        </is>
      </c>
      <c r="D1835" s="18" t="inlineStr">
        <is>
          <t>paso_workflow_informe</t>
        </is>
      </c>
      <c r="E1835" s="18" t="n">
        <v>0</v>
      </c>
      <c r="F1835" s="18" t="inlineStr">
        <is>
          <t>fecha_fin</t>
        </is>
      </c>
      <c r="G1835" s="18" t="inlineStr">
        <is>
          <t>timestamp without time zone</t>
        </is>
      </c>
      <c r="H1835" s="18" t="inlineStr">
        <is>
          <t>Sí</t>
        </is>
      </c>
      <c r="I1835" s="18" t="inlineStr"/>
      <c r="J1835" s="18" t="inlineStr"/>
      <c r="K1835" s="18" t="inlineStr"/>
      <c r="L1835" s="18" t="inlineStr">
        <is>
          <t>No</t>
        </is>
      </c>
      <c r="M1835" s="18" t="inlineStr">
        <is>
          <t>No</t>
        </is>
      </c>
      <c r="N1835" s="18" t="inlineStr"/>
      <c r="O1835" s="18" t="inlineStr"/>
      <c r="P1835" s="18" t="inlineStr">
        <is>
          <t>Mapeada en internal-institutional-control-service/src/esap/informes-ley/entities/paso-workflow-informe.entity.ts:54 (PasoWorkflowInforme.fechaFin) | Validación: IsDateString, IsNotEmpty, IsOptional</t>
        </is>
      </c>
      <c r="Q1835" s="18" t="inlineStr">
        <is>
          <t>Regla estructural</t>
        </is>
      </c>
      <c r="R1835" s="18" t="inlineStr">
        <is>
          <t>Fecha de finalización.</t>
        </is>
      </c>
      <c r="S1835" s="18" t="inlineStr">
        <is>
          <t>Media</t>
        </is>
      </c>
      <c r="T1835" s="18" t="inlineStr">
        <is>
          <t>Convención de nombre de la columna.</t>
        </is>
      </c>
      <c r="U1835" s="18" t="inlineStr"/>
      <c r="V1835" s="19" t="inlineStr">
        <is>
          <t>Pendiente</t>
        </is>
      </c>
      <c r="W1835" s="19" t="inlineStr"/>
      <c r="X1835" s="19" t="inlineStr"/>
      <c r="Y1835" s="20" t="n"/>
      <c r="Z1835" s="19" t="inlineStr"/>
      <c r="AA1835" s="18">
        <f>IF(OR(V1835="Aprobada"),R1835,IF(AND(OR(V1835="Aprobada con ajuste",V1835="Rechazada"),W1835&lt;&gt;""),W1835,""))</f>
        <v/>
      </c>
    </row>
    <row r="1836">
      <c r="A1836" s="18" t="inlineStr">
        <is>
          <t>C1835</t>
        </is>
      </c>
      <c r="B1836" s="18" t="inlineStr">
        <is>
          <t>Control interno</t>
        </is>
      </c>
      <c r="C1836" s="18" t="inlineStr">
        <is>
          <t>control_interno</t>
        </is>
      </c>
      <c r="D1836" s="18" t="inlineStr">
        <is>
          <t>paso_workflow_informe</t>
        </is>
      </c>
      <c r="E1836" s="18" t="n">
        <v>0</v>
      </c>
      <c r="F1836" s="18" t="inlineStr">
        <is>
          <t>observaciones</t>
        </is>
      </c>
      <c r="G1836" s="18" t="inlineStr">
        <is>
          <t>text</t>
        </is>
      </c>
      <c r="H1836" s="18" t="inlineStr">
        <is>
          <t>Sí</t>
        </is>
      </c>
      <c r="I1836" s="18" t="inlineStr"/>
      <c r="J1836" s="18" t="inlineStr"/>
      <c r="K1836" s="18" t="inlineStr"/>
      <c r="L1836" s="18" t="inlineStr">
        <is>
          <t>No</t>
        </is>
      </c>
      <c r="M1836" s="18" t="inlineStr">
        <is>
          <t>No</t>
        </is>
      </c>
      <c r="N1836" s="18" t="inlineStr"/>
      <c r="O1836" s="18" t="inlineStr"/>
      <c r="P1836" s="18" t="inlineStr">
        <is>
          <t>Mapeada en internal-institutional-control-service/src/esap/informes-ley/entities/paso-workflow-informe.entity.ts:57 (PasoWorkflowInforme.observaciones) | Validación: IsOptional, IsString</t>
        </is>
      </c>
      <c r="Q1836" s="18" t="inlineStr">
        <is>
          <t>Regla estructural</t>
        </is>
      </c>
      <c r="R1836" s="18" t="inlineStr">
        <is>
          <t>Observaciones registradas sobre el registro.</t>
        </is>
      </c>
      <c r="S1836" s="18" t="inlineStr">
        <is>
          <t>Media</t>
        </is>
      </c>
      <c r="T1836" s="18" t="inlineStr">
        <is>
          <t>Convención de nombre de la columna.</t>
        </is>
      </c>
      <c r="U1836" s="18" t="inlineStr"/>
      <c r="V1836" s="19" t="inlineStr">
        <is>
          <t>Pendiente</t>
        </is>
      </c>
      <c r="W1836" s="19" t="inlineStr"/>
      <c r="X1836" s="19" t="inlineStr"/>
      <c r="Y1836" s="20" t="n"/>
      <c r="Z1836" s="19" t="inlineStr"/>
      <c r="AA1836" s="18">
        <f>IF(OR(V1836="Aprobada"),R1836,IF(AND(OR(V1836="Aprobada con ajuste",V1836="Rechazada"),W1836&lt;&gt;""),W1836,""))</f>
        <v/>
      </c>
    </row>
    <row r="1837">
      <c r="A1837" s="18" t="inlineStr">
        <is>
          <t>C1836</t>
        </is>
      </c>
      <c r="B1837" s="18" t="inlineStr">
        <is>
          <t>Control interno</t>
        </is>
      </c>
      <c r="C1837" s="18" t="inlineStr">
        <is>
          <t>control_interno</t>
        </is>
      </c>
      <c r="D1837" s="18" t="inlineStr">
        <is>
          <t>paso_workflow_informe</t>
        </is>
      </c>
      <c r="E1837" s="18" t="n">
        <v>0</v>
      </c>
      <c r="F1837" s="18" t="inlineStr">
        <is>
          <t>accion</t>
        </is>
      </c>
      <c r="G1837" s="18" t="inlineStr">
        <is>
          <t>character varying(50)</t>
        </is>
      </c>
      <c r="H1837" s="18" t="inlineStr">
        <is>
          <t>Sí</t>
        </is>
      </c>
      <c r="I1837" s="18" t="inlineStr">
        <is>
          <t>CHECK</t>
        </is>
      </c>
      <c r="J1837" s="18" t="inlineStr">
        <is>
          <t>aprobar, elaborar, publicar, revisar</t>
        </is>
      </c>
      <c r="K1837" s="18" t="inlineStr"/>
      <c r="L1837" s="18" t="inlineStr">
        <is>
          <t>Sí</t>
        </is>
      </c>
      <c r="M1837" s="18" t="inlineStr">
        <is>
          <t>No</t>
        </is>
      </c>
      <c r="N1837" s="18" t="inlineStr"/>
      <c r="O1837" s="18" t="inlineStr"/>
      <c r="P1837" s="18" t="inlineStr">
        <is>
          <t>Mapeada en internal-institutional-control-service/src/esap/informes-ley/entities/paso-workflow-informe.entity.ts:60 (PasoWorkflowInforme.accion)</t>
        </is>
      </c>
      <c r="Q1837" s="18" t="inlineStr">
        <is>
          <t>Propuesta semántica</t>
        </is>
      </c>
      <c r="R1837" s="18" t="inlineStr">
        <is>
          <t>Acción que corresponde al paso del workflow. Valores permitidos: elaborar, revisar, aprobar, publicar.</t>
        </is>
      </c>
      <c r="S1837" s="18" t="inlineStr">
        <is>
          <t>Alta</t>
        </is>
      </c>
      <c r="T1837" s="18" t="inlineStr">
        <is>
          <t>valores permitidos del CHECK</t>
        </is>
      </c>
      <c r="U1837" s="18" t="inlineStr"/>
      <c r="V1837" s="19" t="inlineStr">
        <is>
          <t>Pendiente</t>
        </is>
      </c>
      <c r="W1837" s="19" t="inlineStr"/>
      <c r="X1837" s="19" t="inlineStr"/>
      <c r="Y1837" s="20" t="n"/>
      <c r="Z1837" s="19" t="inlineStr"/>
      <c r="AA1837" s="18">
        <f>IF(OR(V1837="Aprobada"),R1837,IF(AND(OR(V1837="Aprobada con ajuste",V1837="Rechazada"),W1837&lt;&gt;""),W1837,""))</f>
        <v/>
      </c>
    </row>
    <row r="1838">
      <c r="A1838" s="18" t="inlineStr">
        <is>
          <t>C1837</t>
        </is>
      </c>
      <c r="B1838" s="18" t="inlineStr">
        <is>
          <t>Control interno</t>
        </is>
      </c>
      <c r="C1838" s="18" t="inlineStr">
        <is>
          <t>control_interno</t>
        </is>
      </c>
      <c r="D1838" s="18" t="inlineStr">
        <is>
          <t>paso_workflow_informe</t>
        </is>
      </c>
      <c r="E1838" s="18" t="n">
        <v>0</v>
      </c>
      <c r="F1838" s="18" t="inlineStr">
        <is>
          <t>es_obligatorio</t>
        </is>
      </c>
      <c r="G1838" s="18" t="inlineStr">
        <is>
          <t>boolean</t>
        </is>
      </c>
      <c r="H1838" s="18" t="inlineStr">
        <is>
          <t>Sí</t>
        </is>
      </c>
      <c r="I1838" s="18" t="inlineStr"/>
      <c r="J1838" s="18" t="inlineStr"/>
      <c r="K1838" s="18" t="inlineStr"/>
      <c r="L1838" s="18" t="inlineStr">
        <is>
          <t>No</t>
        </is>
      </c>
      <c r="M1838" s="18" t="inlineStr">
        <is>
          <t>No</t>
        </is>
      </c>
      <c r="N1838" s="18" t="inlineStr"/>
      <c r="O1838" s="18" t="inlineStr"/>
      <c r="P1838" s="18" t="inlineStr">
        <is>
          <t>Mapeada en internal-institutional-control-service/src/esap/informes-ley/entities/paso-workflow-informe.entity.ts:67 (PasoWorkflowInforme.esObligatorio)</t>
        </is>
      </c>
      <c r="Q1838" s="18" t="inlineStr">
        <is>
          <t>Regla estructural</t>
        </is>
      </c>
      <c r="R1838" s="18" t="inlineStr">
        <is>
          <t>Indica si aplica: obligatorio.</t>
        </is>
      </c>
      <c r="S1838" s="18" t="inlineStr">
        <is>
          <t>Media</t>
        </is>
      </c>
      <c r="T1838" s="18" t="inlineStr">
        <is>
          <t>Convención de nombre de la columna.</t>
        </is>
      </c>
      <c r="U1838" s="18" t="inlineStr"/>
      <c r="V1838" s="19" t="inlineStr">
        <is>
          <t>Pendiente</t>
        </is>
      </c>
      <c r="W1838" s="19" t="inlineStr"/>
      <c r="X1838" s="19" t="inlineStr"/>
      <c r="Y1838" s="20" t="n"/>
      <c r="Z1838" s="19" t="inlineStr"/>
      <c r="AA1838" s="18">
        <f>IF(OR(V1838="Aprobada"),R1838,IF(AND(OR(V1838="Aprobada con ajuste",V1838="Rechazada"),W1838&lt;&gt;""),W1838,""))</f>
        <v/>
      </c>
    </row>
    <row r="1839">
      <c r="A1839" s="18" t="inlineStr">
        <is>
          <t>C1838</t>
        </is>
      </c>
      <c r="B1839" s="18" t="inlineStr">
        <is>
          <t>Control interno</t>
        </is>
      </c>
      <c r="C1839" s="18" t="inlineStr">
        <is>
          <t>control_interno</t>
        </is>
      </c>
      <c r="D1839" s="18" t="inlineStr">
        <is>
          <t>paso_workflow_informe</t>
        </is>
      </c>
      <c r="E1839" s="18" t="n">
        <v>0</v>
      </c>
      <c r="F1839" s="18" t="inlineStr">
        <is>
          <t>orden</t>
        </is>
      </c>
      <c r="G1839" s="18" t="inlineStr">
        <is>
          <t>integer</t>
        </is>
      </c>
      <c r="H1839" s="18" t="inlineStr">
        <is>
          <t>No</t>
        </is>
      </c>
      <c r="I1839" s="18" t="inlineStr"/>
      <c r="J1839" s="18" t="inlineStr"/>
      <c r="K1839" s="18" t="inlineStr"/>
      <c r="L1839" s="18" t="inlineStr">
        <is>
          <t>No</t>
        </is>
      </c>
      <c r="M1839" s="18" t="inlineStr">
        <is>
          <t>No</t>
        </is>
      </c>
      <c r="N1839" s="18" t="inlineStr"/>
      <c r="O1839" s="18" t="inlineStr"/>
      <c r="P1839" s="18" t="inlineStr">
        <is>
          <t>Mapeada en internal-institutional-control-service/src/esap/informes-ley/entities/paso-workflow-informe.entity.ts:70 (PasoWorkflowInforme.orden) | Validación: IsInt, IsOptional, Min(1)</t>
        </is>
      </c>
      <c r="Q1839" s="18" t="inlineStr">
        <is>
          <t>Regla estructural</t>
        </is>
      </c>
      <c r="R1839" s="18" t="inlineStr">
        <is>
          <t>Posición del registro para su ordenamiento.</t>
        </is>
      </c>
      <c r="S1839" s="18" t="inlineStr">
        <is>
          <t>Media</t>
        </is>
      </c>
      <c r="T1839" s="18" t="inlineStr">
        <is>
          <t>Convención de nombre de la columna.</t>
        </is>
      </c>
      <c r="U1839" s="18" t="inlineStr"/>
      <c r="V1839" s="19" t="inlineStr">
        <is>
          <t>Pendiente</t>
        </is>
      </c>
      <c r="W1839" s="19" t="inlineStr"/>
      <c r="X1839" s="19" t="inlineStr"/>
      <c r="Y1839" s="20" t="n"/>
      <c r="Z1839" s="19" t="inlineStr"/>
      <c r="AA1839" s="18">
        <f>IF(OR(V1839="Aprobada"),R1839,IF(AND(OR(V1839="Aprobada con ajuste",V1839="Rechazada"),W1839&lt;&gt;""),W1839,""))</f>
        <v/>
      </c>
    </row>
    <row r="1840">
      <c r="A1840" s="18" t="inlineStr">
        <is>
          <t>C1839</t>
        </is>
      </c>
      <c r="B1840" s="18" t="inlineStr">
        <is>
          <t>Control interno</t>
        </is>
      </c>
      <c r="C1840" s="18" t="inlineStr">
        <is>
          <t>control_interno</t>
        </is>
      </c>
      <c r="D1840" s="18" t="inlineStr">
        <is>
          <t>plan_anual</t>
        </is>
      </c>
      <c r="E1840" s="18" t="n">
        <v>0</v>
      </c>
      <c r="F1840" s="18" t="inlineStr">
        <is>
          <t>año</t>
        </is>
      </c>
      <c r="G1840" s="18" t="inlineStr">
        <is>
          <t>integer</t>
        </is>
      </c>
      <c r="H1840" s="18" t="inlineStr">
        <is>
          <t>No</t>
        </is>
      </c>
      <c r="I1840" s="18" t="inlineStr"/>
      <c r="J1840" s="18" t="inlineStr"/>
      <c r="K1840" s="18" t="inlineStr"/>
      <c r="L1840" s="18" t="inlineStr">
        <is>
          <t>No</t>
        </is>
      </c>
      <c r="M1840" s="18" t="inlineStr">
        <is>
          <t>No</t>
        </is>
      </c>
      <c r="N1840" s="18" t="inlineStr"/>
      <c r="O1840" s="18" t="inlineStr">
        <is>
          <t>idx_plan_anual_año</t>
        </is>
      </c>
      <c r="P1840" s="18" t="inlineStr">
        <is>
          <t>Mapeada en internal-institutional-control-service/src/esap/programa-anual/entities/programa-anual.entity.ts:19 (ProgramaAnual.año) | Validación: IsInt, IsOptional, Max(2100), Min(2020)</t>
        </is>
      </c>
      <c r="Q1840" s="18" t="inlineStr">
        <is>
          <t>Propuesta semántica</t>
        </is>
      </c>
      <c r="R1840" s="18" t="inlineStr">
        <is>
          <t>Año (vigencia) del plan anual de auditoría, entre 2020 y 2100.</t>
        </is>
      </c>
      <c r="S1840" s="18" t="inlineStr">
        <is>
          <t>Alta</t>
        </is>
      </c>
      <c r="T1840" s="18" t="inlineStr">
        <is>
          <t>nombre + validaciones Min(2020), Max(2100)</t>
        </is>
      </c>
      <c r="U1840" s="18" t="inlineStr"/>
      <c r="V1840" s="19" t="inlineStr">
        <is>
          <t>Pendiente</t>
        </is>
      </c>
      <c r="W1840" s="19" t="inlineStr"/>
      <c r="X1840" s="19" t="inlineStr"/>
      <c r="Y1840" s="20" t="n"/>
      <c r="Z1840" s="19" t="inlineStr"/>
      <c r="AA1840" s="18">
        <f>IF(OR(V1840="Aprobada"),R1840,IF(AND(OR(V1840="Aprobada con ajuste",V1840="Rechazada"),W1840&lt;&gt;""),W1840,""))</f>
        <v/>
      </c>
    </row>
    <row r="1841">
      <c r="A1841" s="18" t="inlineStr">
        <is>
          <t>C1840</t>
        </is>
      </c>
      <c r="B1841" s="18" t="inlineStr">
        <is>
          <t>Control interno</t>
        </is>
      </c>
      <c r="C1841" s="18" t="inlineStr">
        <is>
          <t>control_interno</t>
        </is>
      </c>
      <c r="D1841" s="18" t="inlineStr">
        <is>
          <t>plan_anual</t>
        </is>
      </c>
      <c r="E1841" s="18" t="n">
        <v>0</v>
      </c>
      <c r="F1841" s="18" t="inlineStr">
        <is>
          <t>nombre</t>
        </is>
      </c>
      <c r="G1841" s="18" t="inlineStr">
        <is>
          <t>character varying(255)</t>
        </is>
      </c>
      <c r="H1841" s="18" t="inlineStr">
        <is>
          <t>No</t>
        </is>
      </c>
      <c r="I1841" s="18" t="inlineStr"/>
      <c r="J1841" s="18" t="inlineStr"/>
      <c r="K1841" s="18" t="inlineStr"/>
      <c r="L1841" s="18" t="inlineStr">
        <is>
          <t>No</t>
        </is>
      </c>
      <c r="M1841" s="18" t="inlineStr">
        <is>
          <t>No</t>
        </is>
      </c>
      <c r="N1841" s="18" t="inlineStr"/>
      <c r="O1841" s="18" t="inlineStr"/>
      <c r="P1841" s="18" t="inlineStr">
        <is>
          <t>Mapeada en internal-institutional-control-service/src/esap/programa-anual/entities/programa-anual.entity.ts:22 (ProgramaAnual.nombre) | Validación: IsNotEmpty, IsNotEmpty({ message: 'El nombre del documento es obligatorio' }), IsOptional, IsString, Length(1, 500), MaxLength(120)</t>
        </is>
      </c>
      <c r="Q1841" s="18" t="inlineStr">
        <is>
          <t>Regla estructural</t>
        </is>
      </c>
      <c r="R1841" s="18" t="inlineStr">
        <is>
          <t>Nombre del registro de plan_anual.</t>
        </is>
      </c>
      <c r="S1841" s="18" t="inlineStr">
        <is>
          <t>Media</t>
        </is>
      </c>
      <c r="T1841" s="18" t="inlineStr">
        <is>
          <t>Convención de nombre de la columna.</t>
        </is>
      </c>
      <c r="U1841" s="18" t="inlineStr"/>
      <c r="V1841" s="19" t="inlineStr">
        <is>
          <t>Pendiente</t>
        </is>
      </c>
      <c r="W1841" s="19" t="inlineStr"/>
      <c r="X1841" s="19" t="inlineStr"/>
      <c r="Y1841" s="20" t="n"/>
      <c r="Z1841" s="19" t="inlineStr"/>
      <c r="AA1841" s="18">
        <f>IF(OR(V1841="Aprobada"),R1841,IF(AND(OR(V1841="Aprobada con ajuste",V1841="Rechazada"),W1841&lt;&gt;""),W1841,""))</f>
        <v/>
      </c>
    </row>
    <row r="1842">
      <c r="A1842" s="18" t="inlineStr">
        <is>
          <t>C1841</t>
        </is>
      </c>
      <c r="B1842" s="18" t="inlineStr">
        <is>
          <t>Control interno</t>
        </is>
      </c>
      <c r="C1842" s="18" t="inlineStr">
        <is>
          <t>control_interno</t>
        </is>
      </c>
      <c r="D1842" s="18" t="inlineStr">
        <is>
          <t>plan_anual</t>
        </is>
      </c>
      <c r="E1842" s="18" t="n">
        <v>0</v>
      </c>
      <c r="F1842" s="18" t="inlineStr">
        <is>
          <t>estado</t>
        </is>
      </c>
      <c r="G1842" s="18" t="inlineStr">
        <is>
          <t>character varying(50)</t>
        </is>
      </c>
      <c r="H1842" s="18" t="inlineStr">
        <is>
          <t>Sí</t>
        </is>
      </c>
      <c r="I1842" s="18" t="inlineStr">
        <is>
          <t>CHECK</t>
        </is>
      </c>
      <c r="J1842" s="18" t="inlineStr">
        <is>
          <t>aprobado, borrador, cerrado, en-ejecucion</t>
        </is>
      </c>
      <c r="K1842" s="18" t="inlineStr"/>
      <c r="L1842" s="18" t="inlineStr">
        <is>
          <t>Sí</t>
        </is>
      </c>
      <c r="M1842" s="18" t="inlineStr">
        <is>
          <t>No</t>
        </is>
      </c>
      <c r="N1842" s="18" t="inlineStr"/>
      <c r="O1842" s="18" t="inlineStr">
        <is>
          <t>idx_plan_anual_estado</t>
        </is>
      </c>
      <c r="P1842" s="18" t="inlineStr">
        <is>
          <t>Mapeada en internal-institutional-control-service/src/esap/programa-anual/entities/programa-anual.entity.ts:25 (ProgramaAnual.estado) | Validación: IsEnum(AccionCorrectivaEstado), IsEnum(EstadoEtapa), IsEnum(EstadoPlanIndividual), IsEnum(EstadoTarea), IsEnum(HallazgoEstado), IsEnum(PlanMejoramientoEstado)</t>
        </is>
      </c>
      <c r="Q1842" s="18" t="inlineStr">
        <is>
          <t>Regla estructural</t>
        </is>
      </c>
      <c r="R1842" s="18" t="inlineStr">
        <is>
          <t>Estado del registro de plan_anual.</t>
        </is>
      </c>
      <c r="S1842" s="18" t="inlineStr">
        <is>
          <t>Media</t>
        </is>
      </c>
      <c r="T1842" s="18" t="inlineStr">
        <is>
          <t>Convención de nombre de la columna.</t>
        </is>
      </c>
      <c r="U1842" s="18" t="inlineStr"/>
      <c r="V1842" s="19" t="inlineStr">
        <is>
          <t>Pendiente</t>
        </is>
      </c>
      <c r="W1842" s="19" t="inlineStr"/>
      <c r="X1842" s="19" t="inlineStr"/>
      <c r="Y1842" s="20" t="n"/>
      <c r="Z1842" s="19" t="inlineStr"/>
      <c r="AA1842" s="18">
        <f>IF(OR(V1842="Aprobada"),R1842,IF(AND(OR(V1842="Aprobada con ajuste",V1842="Rechazada"),W1842&lt;&gt;""),W1842,""))</f>
        <v/>
      </c>
    </row>
    <row r="1843">
      <c r="A1843" s="18" t="inlineStr">
        <is>
          <t>C1842</t>
        </is>
      </c>
      <c r="B1843" s="18" t="inlineStr">
        <is>
          <t>Control interno</t>
        </is>
      </c>
      <c r="C1843" s="18" t="inlineStr">
        <is>
          <t>control_interno</t>
        </is>
      </c>
      <c r="D1843" s="18" t="inlineStr">
        <is>
          <t>plan_anual</t>
        </is>
      </c>
      <c r="E1843" s="18" t="n">
        <v>0</v>
      </c>
      <c r="F1843" s="18" t="inlineStr">
        <is>
          <t>fecha_aprobacion</t>
        </is>
      </c>
      <c r="G1843" s="18" t="inlineStr">
        <is>
          <t>date</t>
        </is>
      </c>
      <c r="H1843" s="18" t="inlineStr">
        <is>
          <t>Sí</t>
        </is>
      </c>
      <c r="I1843" s="18" t="inlineStr"/>
      <c r="J1843" s="18" t="inlineStr"/>
      <c r="K1843" s="18" t="inlineStr"/>
      <c r="L1843" s="18" t="inlineStr">
        <is>
          <t>No</t>
        </is>
      </c>
      <c r="M1843" s="18" t="inlineStr">
        <is>
          <t>No</t>
        </is>
      </c>
      <c r="N1843" s="18" t="inlineStr"/>
      <c r="O1843" s="18" t="inlineStr"/>
      <c r="P1843" s="18" t="inlineStr">
        <is>
          <t>Mapeada en internal-institutional-control-service/src/esap/programa-anual/entities/programa-anual.entity.ts:35 (ProgramaAnual.fechaAprobacion) | Validación: IsDateString, IsOptional</t>
        </is>
      </c>
      <c r="Q1843" s="18" t="inlineStr">
        <is>
          <t>Regla estructural</t>
        </is>
      </c>
      <c r="R1843" s="18" t="inlineStr">
        <is>
          <t>Fecha de aprobación.</t>
        </is>
      </c>
      <c r="S1843" s="18" t="inlineStr">
        <is>
          <t>Media</t>
        </is>
      </c>
      <c r="T1843" s="18" t="inlineStr">
        <is>
          <t>Convención de nombre de la columna.</t>
        </is>
      </c>
      <c r="U1843" s="18" t="inlineStr"/>
      <c r="V1843" s="19" t="inlineStr">
        <is>
          <t>Pendiente</t>
        </is>
      </c>
      <c r="W1843" s="19" t="inlineStr"/>
      <c r="X1843" s="19" t="inlineStr"/>
      <c r="Y1843" s="20" t="n"/>
      <c r="Z1843" s="19" t="inlineStr"/>
      <c r="AA1843" s="18">
        <f>IF(OR(V1843="Aprobada"),R1843,IF(AND(OR(V1843="Aprobada con ajuste",V1843="Rechazada"),W1843&lt;&gt;""),W1843,""))</f>
        <v/>
      </c>
    </row>
    <row r="1844">
      <c r="A1844" s="18" t="inlineStr">
        <is>
          <t>C1843</t>
        </is>
      </c>
      <c r="B1844" s="18" t="inlineStr">
        <is>
          <t>Control interno</t>
        </is>
      </c>
      <c r="C1844" s="18" t="inlineStr">
        <is>
          <t>control_interno</t>
        </is>
      </c>
      <c r="D1844" s="18" t="inlineStr">
        <is>
          <t>plan_anual</t>
        </is>
      </c>
      <c r="E1844" s="18" t="n">
        <v>0</v>
      </c>
      <c r="F1844" s="18" t="inlineStr">
        <is>
          <t>version</t>
        </is>
      </c>
      <c r="G1844" s="18" t="inlineStr">
        <is>
          <t>character varying(50)</t>
        </is>
      </c>
      <c r="H1844" s="18" t="inlineStr">
        <is>
          <t>Sí</t>
        </is>
      </c>
      <c r="I1844" s="18" t="inlineStr"/>
      <c r="J1844" s="18" t="inlineStr"/>
      <c r="K1844" s="18" t="inlineStr"/>
      <c r="L1844" s="18" t="inlineStr">
        <is>
          <t>No</t>
        </is>
      </c>
      <c r="M1844" s="18" t="inlineStr">
        <is>
          <t>No</t>
        </is>
      </c>
      <c r="N1844" s="18" t="inlineStr"/>
      <c r="O1844" s="18" t="inlineStr"/>
      <c r="P1844" s="18" t="inlineStr">
        <is>
          <t>Mapeada en internal-institutional-control-service/src/esap/programa-anual/entities/programa-anual.entity.ts:41 (ProgramaAnual.version) | Validación: IsOptional, IsString</t>
        </is>
      </c>
      <c r="Q1844" s="18" t="inlineStr">
        <is>
          <t>Regla estructural</t>
        </is>
      </c>
      <c r="R1844" s="18" t="inlineStr">
        <is>
          <t>Número de versión del registro.</t>
        </is>
      </c>
      <c r="S1844" s="18" t="inlineStr">
        <is>
          <t>Media</t>
        </is>
      </c>
      <c r="T1844" s="18" t="inlineStr">
        <is>
          <t>Convención de nombre de la columna.</t>
        </is>
      </c>
      <c r="U1844" s="18" t="inlineStr"/>
      <c r="V1844" s="19" t="inlineStr">
        <is>
          <t>Pendiente</t>
        </is>
      </c>
      <c r="W1844" s="19" t="inlineStr"/>
      <c r="X1844" s="19" t="inlineStr"/>
      <c r="Y1844" s="20" t="n"/>
      <c r="Z1844" s="19" t="inlineStr"/>
      <c r="AA1844" s="18">
        <f>IF(OR(V1844="Aprobada"),R1844,IF(AND(OR(V1844="Aprobada con ajuste",V1844="Rechazada"),W1844&lt;&gt;""),W1844,""))</f>
        <v/>
      </c>
    </row>
    <row r="1845">
      <c r="A1845" s="18" t="inlineStr">
        <is>
          <t>C1844</t>
        </is>
      </c>
      <c r="B1845" s="18" t="inlineStr">
        <is>
          <t>Control interno</t>
        </is>
      </c>
      <c r="C1845" s="18" t="inlineStr">
        <is>
          <t>control_interno</t>
        </is>
      </c>
      <c r="D1845" s="18" t="inlineStr">
        <is>
          <t>plan_anual</t>
        </is>
      </c>
      <c r="E1845" s="18" t="n">
        <v>0</v>
      </c>
      <c r="F1845" s="18" t="inlineStr">
        <is>
          <t>total_actividades</t>
        </is>
      </c>
      <c r="G1845" s="18" t="inlineStr">
        <is>
          <t>integer</t>
        </is>
      </c>
      <c r="H1845" s="18" t="inlineStr">
        <is>
          <t>Sí</t>
        </is>
      </c>
      <c r="I1845" s="18" t="inlineStr"/>
      <c r="J1845" s="18" t="inlineStr"/>
      <c r="K1845" s="18" t="inlineStr"/>
      <c r="L1845" s="18" t="inlineStr">
        <is>
          <t>No</t>
        </is>
      </c>
      <c r="M1845" s="18" t="inlineStr">
        <is>
          <t>No</t>
        </is>
      </c>
      <c r="N1845" s="18" t="inlineStr"/>
      <c r="O1845" s="18" t="inlineStr"/>
      <c r="P1845" s="18" t="inlineStr">
        <is>
          <t>Mapeada en internal-institutional-control-service/src/esap/programa-anual/entities/programa-anual.entity.ts:44 (ProgramaAnual.totalActividades)</t>
        </is>
      </c>
      <c r="Q1845" s="18" t="inlineStr">
        <is>
          <t>Propuesta semántica</t>
        </is>
      </c>
      <c r="R1845" s="18" t="inlineStr">
        <is>
          <t>Cantidad total de actividades del plan anual.</t>
        </is>
      </c>
      <c r="S1845" s="18" t="inlineStr">
        <is>
          <t>Alta</t>
        </is>
      </c>
      <c r="T1845" s="18" t="inlineStr">
        <is>
          <t>nombre + tipo + columnas vecinas</t>
        </is>
      </c>
      <c r="U1845" s="18" t="inlineStr"/>
      <c r="V1845" s="19" t="inlineStr">
        <is>
          <t>Pendiente</t>
        </is>
      </c>
      <c r="W1845" s="19" t="inlineStr"/>
      <c r="X1845" s="19" t="inlineStr"/>
      <c r="Y1845" s="20" t="n"/>
      <c r="Z1845" s="19" t="inlineStr"/>
      <c r="AA1845" s="18">
        <f>IF(OR(V1845="Aprobada"),R1845,IF(AND(OR(V1845="Aprobada con ajuste",V1845="Rechazada"),W1845&lt;&gt;""),W1845,""))</f>
        <v/>
      </c>
    </row>
    <row r="1846">
      <c r="A1846" s="18" t="inlineStr">
        <is>
          <t>C1845</t>
        </is>
      </c>
      <c r="B1846" s="18" t="inlineStr">
        <is>
          <t>Control interno</t>
        </is>
      </c>
      <c r="C1846" s="18" t="inlineStr">
        <is>
          <t>control_interno</t>
        </is>
      </c>
      <c r="D1846" s="18" t="inlineStr">
        <is>
          <t>plan_anual</t>
        </is>
      </c>
      <c r="E1846" s="18" t="n">
        <v>0</v>
      </c>
      <c r="F1846" s="18" t="inlineStr">
        <is>
          <t>actividades_completadas</t>
        </is>
      </c>
      <c r="G1846" s="18" t="inlineStr">
        <is>
          <t>integer</t>
        </is>
      </c>
      <c r="H1846" s="18" t="inlineStr">
        <is>
          <t>Sí</t>
        </is>
      </c>
      <c r="I1846" s="18" t="inlineStr"/>
      <c r="J1846" s="18" t="inlineStr"/>
      <c r="K1846" s="18" t="inlineStr"/>
      <c r="L1846" s="18" t="inlineStr">
        <is>
          <t>No</t>
        </is>
      </c>
      <c r="M1846" s="18" t="inlineStr">
        <is>
          <t>No</t>
        </is>
      </c>
      <c r="N1846" s="18" t="inlineStr"/>
      <c r="O1846" s="18" t="inlineStr"/>
      <c r="P1846" s="18" t="inlineStr">
        <is>
          <t>Mapeada en internal-institutional-control-service/src/esap/programa-anual/entities/programa-anual.entity.ts:47 (ProgramaAnual.actividadesCompletadas)</t>
        </is>
      </c>
      <c r="Q1846" s="18" t="inlineStr">
        <is>
          <t>Propuesta semántica</t>
        </is>
      </c>
      <c r="R1846" s="18" t="inlineStr">
        <is>
          <t>Cantidad de actividades del plan anual completadas.</t>
        </is>
      </c>
      <c r="S1846" s="18" t="inlineStr">
        <is>
          <t>Alta</t>
        </is>
      </c>
      <c r="T1846" s="18" t="inlineStr">
        <is>
          <t>nombre + tipo + columnas vecinas</t>
        </is>
      </c>
      <c r="U1846" s="18" t="inlineStr"/>
      <c r="V1846" s="19" t="inlineStr">
        <is>
          <t>Pendiente</t>
        </is>
      </c>
      <c r="W1846" s="19" t="inlineStr"/>
      <c r="X1846" s="19" t="inlineStr"/>
      <c r="Y1846" s="20" t="n"/>
      <c r="Z1846" s="19" t="inlineStr"/>
      <c r="AA1846" s="18">
        <f>IF(OR(V1846="Aprobada"),R1846,IF(AND(OR(V1846="Aprobada con ajuste",V1846="Rechazada"),W1846&lt;&gt;""),W1846,""))</f>
        <v/>
      </c>
    </row>
    <row r="1847">
      <c r="A1847" s="18" t="inlineStr">
        <is>
          <t>C1846</t>
        </is>
      </c>
      <c r="B1847" s="18" t="inlineStr">
        <is>
          <t>Control interno</t>
        </is>
      </c>
      <c r="C1847" s="18" t="inlineStr">
        <is>
          <t>control_interno</t>
        </is>
      </c>
      <c r="D1847" s="18" t="inlineStr">
        <is>
          <t>plan_anual</t>
        </is>
      </c>
      <c r="E1847" s="18" t="n">
        <v>0</v>
      </c>
      <c r="F1847" s="18" t="inlineStr">
        <is>
          <t>porcentaje_cumplimiento</t>
        </is>
      </c>
      <c r="G1847" s="18" t="inlineStr">
        <is>
          <t>integer</t>
        </is>
      </c>
      <c r="H1847" s="18" t="inlineStr">
        <is>
          <t>Sí</t>
        </is>
      </c>
      <c r="I1847" s="18" t="inlineStr"/>
      <c r="J1847" s="18" t="inlineStr"/>
      <c r="K1847" s="18" t="inlineStr"/>
      <c r="L1847" s="18" t="inlineStr">
        <is>
          <t>No</t>
        </is>
      </c>
      <c r="M1847" s="18" t="inlineStr">
        <is>
          <t>No</t>
        </is>
      </c>
      <c r="N1847" s="18" t="inlineStr"/>
      <c r="O1847" s="18" t="inlineStr"/>
      <c r="P1847" s="18" t="inlineStr">
        <is>
          <t>Mapeada en internal-institutional-control-service/src/esap/programa-anual/entities/programa-anual.entity.ts:50 (ProgramaAnual.porcentajeCumplimiento) | Validación: IsInt, IsOptional, Max(100), Min(0)</t>
        </is>
      </c>
      <c r="Q1847" s="18" t="inlineStr">
        <is>
          <t>Propuesta semántica</t>
        </is>
      </c>
      <c r="R1847" s="18" t="inlineStr">
        <is>
          <t>Porcentaje de cumplimiento del plan anual, entre 0 y 100.</t>
        </is>
      </c>
      <c r="S1847" s="18" t="inlineStr">
        <is>
          <t>Alta</t>
        </is>
      </c>
      <c r="T1847" s="18" t="inlineStr">
        <is>
          <t>nombre + validaciones Min(0), Max(100)</t>
        </is>
      </c>
      <c r="U1847" s="18" t="inlineStr"/>
      <c r="V1847" s="19" t="inlineStr">
        <is>
          <t>Pendiente</t>
        </is>
      </c>
      <c r="W1847" s="19" t="inlineStr"/>
      <c r="X1847" s="19" t="inlineStr"/>
      <c r="Y1847" s="20" t="n"/>
      <c r="Z1847" s="19" t="inlineStr"/>
      <c r="AA1847" s="18">
        <f>IF(OR(V1847="Aprobada"),R1847,IF(AND(OR(V1847="Aprobada con ajuste",V1847="Rechazada"),W1847&lt;&gt;""),W1847,""))</f>
        <v/>
      </c>
    </row>
    <row r="1848">
      <c r="A1848" s="18" t="inlineStr">
        <is>
          <t>C1847</t>
        </is>
      </c>
      <c r="B1848" s="18" t="inlineStr">
        <is>
          <t>Control interno</t>
        </is>
      </c>
      <c r="C1848" s="18" t="inlineStr">
        <is>
          <t>control_interno</t>
        </is>
      </c>
      <c r="D1848" s="18" t="inlineStr">
        <is>
          <t>plan_anual</t>
        </is>
      </c>
      <c r="E1848" s="18" t="n">
        <v>0</v>
      </c>
      <c r="F1848" s="18" t="inlineStr">
        <is>
          <t>enfoques</t>
        </is>
      </c>
      <c r="G1848" s="18" t="inlineStr">
        <is>
          <t>jsonb</t>
        </is>
      </c>
      <c r="H1848" s="18" t="inlineStr">
        <is>
          <t>Sí</t>
        </is>
      </c>
      <c r="I1848" s="18" t="inlineStr"/>
      <c r="J1848" s="18" t="inlineStr"/>
      <c r="K1848" s="18" t="inlineStr"/>
      <c r="L1848" s="18" t="inlineStr">
        <is>
          <t>No</t>
        </is>
      </c>
      <c r="M1848" s="18" t="inlineStr">
        <is>
          <t>No</t>
        </is>
      </c>
      <c r="N1848" s="18" t="inlineStr"/>
      <c r="O1848" s="18" t="inlineStr"/>
      <c r="P1848" s="18" t="inlineStr">
        <is>
          <t>Mapeada en internal-institutional-control-service/src/esap/programa-anual/entities/programa-anual.entity.ts:53 (ProgramaAnual.enfoques)</t>
        </is>
      </c>
      <c r="Q1848" s="18" t="inlineStr">
        <is>
          <t>Propuesta semántica</t>
        </is>
      </c>
      <c r="R1848" s="18" t="inlineStr">
        <is>
          <t>Enfoques de auditoría definidos para el plan anual, en formato JSON.</t>
        </is>
      </c>
      <c r="S1848" s="18" t="inlineStr">
        <is>
          <t>Baja</t>
        </is>
      </c>
      <c r="T1848" s="18" t="inlineStr">
        <is>
          <t>nombre + tipo + columnas vecinas</t>
        </is>
      </c>
      <c r="U1848" s="18" t="inlineStr">
        <is>
          <t>¿Qué representan los enfoques y qué estructura tiene el JSON?</t>
        </is>
      </c>
      <c r="V1848" s="19" t="inlineStr">
        <is>
          <t>Pendiente</t>
        </is>
      </c>
      <c r="W1848" s="19" t="inlineStr"/>
      <c r="X1848" s="19" t="inlineStr"/>
      <c r="Y1848" s="20" t="n"/>
      <c r="Z1848" s="19" t="inlineStr"/>
      <c r="AA1848" s="18">
        <f>IF(OR(V1848="Aprobada"),R1848,IF(AND(OR(V1848="Aprobada con ajuste",V1848="Rechazada"),W1848&lt;&gt;""),W1848,""))</f>
        <v/>
      </c>
    </row>
    <row r="1849">
      <c r="A1849" s="18" t="inlineStr">
        <is>
          <t>C1848</t>
        </is>
      </c>
      <c r="B1849" s="18" t="inlineStr">
        <is>
          <t>Control interno</t>
        </is>
      </c>
      <c r="C1849" s="18" t="inlineStr">
        <is>
          <t>control_interno</t>
        </is>
      </c>
      <c r="D1849" s="18" t="inlineStr">
        <is>
          <t>plan_anual_5_roles</t>
        </is>
      </c>
      <c r="E1849" s="18" t="n">
        <v>63</v>
      </c>
      <c r="F1849" s="18" t="inlineStr">
        <is>
          <t>ano</t>
        </is>
      </c>
      <c r="G1849" s="18" t="inlineStr">
        <is>
          <t>integer</t>
        </is>
      </c>
      <c r="H1849" s="18" t="inlineStr">
        <is>
          <t>No</t>
        </is>
      </c>
      <c r="I1849" s="18" t="inlineStr">
        <is>
          <t>Única</t>
        </is>
      </c>
      <c r="J1849" s="18" t="inlineStr"/>
      <c r="K1849" s="18" t="inlineStr"/>
      <c r="L1849" s="18" t="inlineStr">
        <is>
          <t>No</t>
        </is>
      </c>
      <c r="M1849" s="18" t="inlineStr">
        <is>
          <t>Sí</t>
        </is>
      </c>
      <c r="N1849" s="18" t="inlineStr">
        <is>
          <t>Función control_interno.fn_actualizar_cumplimiento_auditorias_vigencia; Función control_interno.fn_configurar_todos_planes_auditorias; Vista control_interno.v_estado_vinculacion_auditorias — control_interno.fn_actualizar_cumplimiento_auditorias_vigencia: AND p.ano = p_año | control_interno.fn_configurar_todos_planes_auditorias: SELECT id, ano</t>
        </is>
      </c>
      <c r="O1849" s="18" t="inlineStr">
        <is>
          <t>idx_plan_anual_5_roles_ano, unique_plan_anual_ano</t>
        </is>
      </c>
      <c r="P1849" s="18" t="inlineStr">
        <is>
          <t>Mapeada en internal-institutional-control-service/src/esap/plan-anual-5-roles/entities/plan-anual-5-roles.entity.ts:19 (PlanAnual5Roles.año) | Validación: IsInt, IsOptional, Max(2100), Min(2020)</t>
        </is>
      </c>
      <c r="Q1849" s="18" t="inlineStr">
        <is>
          <t>Propuesta semántica</t>
        </is>
      </c>
      <c r="R1849" s="18" t="inlineStr">
        <is>
          <t>Año (vigencia) del plan anual de auditoría; es único por plan, entre 2020 y 2100.</t>
        </is>
      </c>
      <c r="S1849" s="18" t="inlineStr">
        <is>
          <t>Alta</t>
        </is>
      </c>
      <c r="T1849" s="18" t="inlineStr">
        <is>
          <t>restricción única + validaciones + uso en fn_actualizar_cumplimiento_auditorias_vigencia</t>
        </is>
      </c>
      <c r="U1849" s="18" t="inlineStr"/>
      <c r="V1849" s="19" t="inlineStr">
        <is>
          <t>Pendiente</t>
        </is>
      </c>
      <c r="W1849" s="19" t="inlineStr"/>
      <c r="X1849" s="19" t="inlineStr"/>
      <c r="Y1849" s="20" t="n"/>
      <c r="Z1849" s="19" t="inlineStr"/>
      <c r="AA1849" s="18">
        <f>IF(OR(V1849="Aprobada"),R1849,IF(AND(OR(V1849="Aprobada con ajuste",V1849="Rechazada"),W1849&lt;&gt;""),W1849,""))</f>
        <v/>
      </c>
    </row>
    <row r="1850">
      <c r="A1850" s="18" t="inlineStr">
        <is>
          <t>C1849</t>
        </is>
      </c>
      <c r="B1850" s="18" t="inlineStr">
        <is>
          <t>Control interno</t>
        </is>
      </c>
      <c r="C1850" s="18" t="inlineStr">
        <is>
          <t>control_interno</t>
        </is>
      </c>
      <c r="D1850" s="18" t="inlineStr">
        <is>
          <t>plan_anual_5_roles</t>
        </is>
      </c>
      <c r="E1850" s="18" t="n">
        <v>63</v>
      </c>
      <c r="F1850" s="18" t="inlineStr">
        <is>
          <t>responsable</t>
        </is>
      </c>
      <c r="G1850" s="18" t="inlineStr">
        <is>
          <t>character varying(255)</t>
        </is>
      </c>
      <c r="H1850" s="18" t="inlineStr">
        <is>
          <t>No</t>
        </is>
      </c>
      <c r="I1850" s="18" t="inlineStr"/>
      <c r="J1850" s="18" t="inlineStr"/>
      <c r="K1850" s="18" t="inlineStr"/>
      <c r="L1850" s="18" t="inlineStr">
        <is>
          <t>No</t>
        </is>
      </c>
      <c r="M1850" s="18" t="inlineStr">
        <is>
          <t>No</t>
        </is>
      </c>
      <c r="N1850" s="18" t="inlineStr"/>
      <c r="O1850" s="18" t="inlineStr"/>
      <c r="P1850" s="18" t="inlineStr">
        <is>
          <t>Mapeada en internal-institutional-control-service/src/esap/plan-anual-5-roles/entities/plan-anual-5-roles.entity.ts:32 (PlanAnual5Roles.responsable) | Validación: IsNotEmpty, IsOptional, IsString, Length(1, 255)</t>
        </is>
      </c>
      <c r="Q1850" s="18" t="inlineStr">
        <is>
          <t>Propuesta semántica</t>
        </is>
      </c>
      <c r="R1850" s="18" t="inlineStr">
        <is>
          <t>Persona responsable del plan anual.</t>
        </is>
      </c>
      <c r="S1850" s="18" t="inlineStr">
        <is>
          <t>Media</t>
        </is>
      </c>
      <c r="T1850" s="18" t="inlineStr">
        <is>
          <t>nombre + tipo + columnas vecinas</t>
        </is>
      </c>
      <c r="U1850" s="18" t="inlineStr">
        <is>
          <t>¿Guarda el nombre del responsable? ¿Coincide con responsable_id?</t>
        </is>
      </c>
      <c r="V1850" s="19" t="inlineStr">
        <is>
          <t>Pendiente</t>
        </is>
      </c>
      <c r="W1850" s="19" t="inlineStr"/>
      <c r="X1850" s="19" t="inlineStr"/>
      <c r="Y1850" s="20" t="n"/>
      <c r="Z1850" s="19" t="inlineStr"/>
      <c r="AA1850" s="18">
        <f>IF(OR(V1850="Aprobada"),R1850,IF(AND(OR(V1850="Aprobada con ajuste",V1850="Rechazada"),W1850&lt;&gt;""),W1850,""))</f>
        <v/>
      </c>
    </row>
    <row r="1851">
      <c r="A1851" s="18" t="inlineStr">
        <is>
          <t>C1850</t>
        </is>
      </c>
      <c r="B1851" s="18" t="inlineStr">
        <is>
          <t>Control interno</t>
        </is>
      </c>
      <c r="C1851" s="18" t="inlineStr">
        <is>
          <t>control_interno</t>
        </is>
      </c>
      <c r="D1851" s="18" t="inlineStr">
        <is>
          <t>plan_anual_5_roles</t>
        </is>
      </c>
      <c r="E1851" s="18" t="n">
        <v>63</v>
      </c>
      <c r="F1851" s="18" t="inlineStr">
        <is>
          <t>porcentaje_cumplimiento_general</t>
        </is>
      </c>
      <c r="G1851" s="18" t="inlineStr">
        <is>
          <t>integer</t>
        </is>
      </c>
      <c r="H1851" s="18" t="inlineStr">
        <is>
          <t>Sí</t>
        </is>
      </c>
      <c r="I1851" s="18" t="inlineStr"/>
      <c r="J1851" s="18" t="inlineStr"/>
      <c r="K1851" s="18" t="inlineStr"/>
      <c r="L1851" s="18" t="inlineStr">
        <is>
          <t>No</t>
        </is>
      </c>
      <c r="M1851" s="18" t="inlineStr">
        <is>
          <t>No</t>
        </is>
      </c>
      <c r="N1851" s="18" t="inlineStr"/>
      <c r="O1851" s="18" t="inlineStr"/>
      <c r="P1851" s="18" t="inlineStr">
        <is>
          <t>Mapeada en internal-institutional-control-service/src/esap/plan-anual-5-roles/entities/plan-anual-5-roles.entity.ts:47 (PlanAnual5Roles.porcentaje_cumplimiento_general)</t>
        </is>
      </c>
      <c r="Q1851" s="18" t="inlineStr">
        <is>
          <t>Propuesta semántica</t>
        </is>
      </c>
      <c r="R1851" s="18" t="inlineStr">
        <is>
          <t>Porcentaje de cumplimiento general del plan anual.</t>
        </is>
      </c>
      <c r="S1851" s="18" t="inlineStr">
        <is>
          <t>Media</t>
        </is>
      </c>
      <c r="T1851" s="18" t="inlineStr">
        <is>
          <t>nombre + tipo + columnas vecinas</t>
        </is>
      </c>
      <c r="U1851" s="18" t="inlineStr">
        <is>
          <t>¿Se calcula a partir del cumplimiento de los roles (rol_plan_anual_5) o se registra manualmente?</t>
        </is>
      </c>
      <c r="V1851" s="19" t="inlineStr">
        <is>
          <t>Pendiente</t>
        </is>
      </c>
      <c r="W1851" s="19" t="inlineStr"/>
      <c r="X1851" s="19" t="inlineStr"/>
      <c r="Y1851" s="20" t="n"/>
      <c r="Z1851" s="19" t="inlineStr"/>
      <c r="AA1851" s="18">
        <f>IF(OR(V1851="Aprobada"),R1851,IF(AND(OR(V1851="Aprobada con ajuste",V1851="Rechazada"),W1851&lt;&gt;""),W1851,""))</f>
        <v/>
      </c>
    </row>
    <row r="1852">
      <c r="A1852" s="18" t="inlineStr">
        <is>
          <t>C1851</t>
        </is>
      </c>
      <c r="B1852" s="18" t="inlineStr">
        <is>
          <t>Control interno</t>
        </is>
      </c>
      <c r="C1852" s="18" t="inlineStr">
        <is>
          <t>control_interno</t>
        </is>
      </c>
      <c r="D1852" s="18" t="inlineStr">
        <is>
          <t>plan_anual_5_roles</t>
        </is>
      </c>
      <c r="E1852" s="18" t="n">
        <v>63</v>
      </c>
      <c r="F1852" s="18" t="inlineStr">
        <is>
          <t>total_actividades</t>
        </is>
      </c>
      <c r="G1852" s="18" t="inlineStr">
        <is>
          <t>integer</t>
        </is>
      </c>
      <c r="H1852" s="18" t="inlineStr">
        <is>
          <t>Sí</t>
        </is>
      </c>
      <c r="I1852" s="18" t="inlineStr"/>
      <c r="J1852" s="18" t="inlineStr"/>
      <c r="K1852" s="18" t="inlineStr"/>
      <c r="L1852" s="18" t="inlineStr">
        <is>
          <t>No</t>
        </is>
      </c>
      <c r="M1852" s="18" t="inlineStr">
        <is>
          <t>No</t>
        </is>
      </c>
      <c r="N1852" s="18" t="inlineStr"/>
      <c r="O1852" s="18" t="inlineStr"/>
      <c r="P1852" s="18" t="inlineStr">
        <is>
          <t>Mapeada en internal-institutional-control-service/src/esap/plan-anual-5-roles/entities/plan-anual-5-roles.entity.ts:50 (PlanAnual5Roles.total_actividades)</t>
        </is>
      </c>
      <c r="Q1852" s="18" t="inlineStr">
        <is>
          <t>Propuesta semántica</t>
        </is>
      </c>
      <c r="R1852" s="18" t="inlineStr">
        <is>
          <t>Cantidad total de actividades del plan anual.</t>
        </is>
      </c>
      <c r="S1852" s="18" t="inlineStr">
        <is>
          <t>Alta</t>
        </is>
      </c>
      <c r="T1852" s="18" t="inlineStr">
        <is>
          <t>nombre + tipo + columnas vecinas</t>
        </is>
      </c>
      <c r="U1852" s="18" t="inlineStr"/>
      <c r="V1852" s="19" t="inlineStr">
        <is>
          <t>Pendiente</t>
        </is>
      </c>
      <c r="W1852" s="19" t="inlineStr"/>
      <c r="X1852" s="19" t="inlineStr"/>
      <c r="Y1852" s="20" t="n"/>
      <c r="Z1852" s="19" t="inlineStr"/>
      <c r="AA1852" s="18">
        <f>IF(OR(V1852="Aprobada"),R1852,IF(AND(OR(V1852="Aprobada con ajuste",V1852="Rechazada"),W1852&lt;&gt;""),W1852,""))</f>
        <v/>
      </c>
    </row>
    <row r="1853">
      <c r="A1853" s="18" t="inlineStr">
        <is>
          <t>C1852</t>
        </is>
      </c>
      <c r="B1853" s="18" t="inlineStr">
        <is>
          <t>Control interno</t>
        </is>
      </c>
      <c r="C1853" s="18" t="inlineStr">
        <is>
          <t>control_interno</t>
        </is>
      </c>
      <c r="D1853" s="18" t="inlineStr">
        <is>
          <t>plan_anual_5_roles</t>
        </is>
      </c>
      <c r="E1853" s="18" t="n">
        <v>63</v>
      </c>
      <c r="F1853" s="18" t="inlineStr">
        <is>
          <t>actividades_completadas</t>
        </is>
      </c>
      <c r="G1853" s="18" t="inlineStr">
        <is>
          <t>integer</t>
        </is>
      </c>
      <c r="H1853" s="18" t="inlineStr">
        <is>
          <t>Sí</t>
        </is>
      </c>
      <c r="I1853" s="18" t="inlineStr"/>
      <c r="J1853" s="18" t="inlineStr"/>
      <c r="K1853" s="18" t="inlineStr"/>
      <c r="L1853" s="18" t="inlineStr">
        <is>
          <t>No</t>
        </is>
      </c>
      <c r="M1853" s="18" t="inlineStr">
        <is>
          <t>No</t>
        </is>
      </c>
      <c r="N1853" s="18" t="inlineStr"/>
      <c r="O1853" s="18" t="inlineStr"/>
      <c r="P1853" s="18" t="inlineStr">
        <is>
          <t>Mapeada en internal-institutional-control-service/src/esap/plan-anual-5-roles/entities/plan-anual-5-roles.entity.ts:53 (PlanAnual5Roles.actividades_completadas)</t>
        </is>
      </c>
      <c r="Q1853" s="18" t="inlineStr">
        <is>
          <t>Propuesta semántica</t>
        </is>
      </c>
      <c r="R1853" s="18" t="inlineStr">
        <is>
          <t>Cantidad de actividades del plan anual completadas.</t>
        </is>
      </c>
      <c r="S1853" s="18" t="inlineStr">
        <is>
          <t>Alta</t>
        </is>
      </c>
      <c r="T1853" s="18" t="inlineStr">
        <is>
          <t>nombre + tipo + columnas vecinas</t>
        </is>
      </c>
      <c r="U1853" s="18" t="inlineStr"/>
      <c r="V1853" s="19" t="inlineStr">
        <is>
          <t>Pendiente</t>
        </is>
      </c>
      <c r="W1853" s="19" t="inlineStr"/>
      <c r="X1853" s="19" t="inlineStr"/>
      <c r="Y1853" s="20" t="n"/>
      <c r="Z1853" s="19" t="inlineStr"/>
      <c r="AA1853" s="18">
        <f>IF(OR(V1853="Aprobada"),R1853,IF(AND(OR(V1853="Aprobada con ajuste",V1853="Rechazada"),W1853&lt;&gt;""),W1853,""))</f>
        <v/>
      </c>
    </row>
    <row r="1854">
      <c r="A1854" s="18" t="inlineStr">
        <is>
          <t>C1853</t>
        </is>
      </c>
      <c r="B1854" s="18" t="inlineStr">
        <is>
          <t>Control interno</t>
        </is>
      </c>
      <c r="C1854" s="18" t="inlineStr">
        <is>
          <t>control_interno</t>
        </is>
      </c>
      <c r="D1854" s="18" t="inlineStr">
        <is>
          <t>plan_anual_5_roles</t>
        </is>
      </c>
      <c r="E1854" s="18" t="n">
        <v>63</v>
      </c>
      <c r="F1854" s="18" t="inlineStr">
        <is>
          <t>actividades_en_progreso</t>
        </is>
      </c>
      <c r="G1854" s="18" t="inlineStr">
        <is>
          <t>integer</t>
        </is>
      </c>
      <c r="H1854" s="18" t="inlineStr">
        <is>
          <t>Sí</t>
        </is>
      </c>
      <c r="I1854" s="18" t="inlineStr"/>
      <c r="J1854" s="18" t="inlineStr"/>
      <c r="K1854" s="18" t="inlineStr"/>
      <c r="L1854" s="18" t="inlineStr">
        <is>
          <t>No</t>
        </is>
      </c>
      <c r="M1854" s="18" t="inlineStr">
        <is>
          <t>No</t>
        </is>
      </c>
      <c r="N1854" s="18" t="inlineStr"/>
      <c r="O1854" s="18" t="inlineStr"/>
      <c r="P1854" s="18" t="inlineStr">
        <is>
          <t>Mapeada en internal-institutional-control-service/src/esap/plan-anual-5-roles/entities/plan-anual-5-roles.entity.ts:56 (PlanAnual5Roles.actividades_en_progreso)</t>
        </is>
      </c>
      <c r="Q1854" s="18" t="inlineStr">
        <is>
          <t>Propuesta semántica</t>
        </is>
      </c>
      <c r="R1854" s="18" t="inlineStr">
        <is>
          <t>Cantidad de actividades del plan anual en progreso.</t>
        </is>
      </c>
      <c r="S1854" s="18" t="inlineStr">
        <is>
          <t>Alta</t>
        </is>
      </c>
      <c r="T1854" s="18" t="inlineStr">
        <is>
          <t>nombre + tipo + columnas vecinas</t>
        </is>
      </c>
      <c r="U1854" s="18" t="inlineStr"/>
      <c r="V1854" s="19" t="inlineStr">
        <is>
          <t>Pendiente</t>
        </is>
      </c>
      <c r="W1854" s="19" t="inlineStr"/>
      <c r="X1854" s="19" t="inlineStr"/>
      <c r="Y1854" s="20" t="n"/>
      <c r="Z1854" s="19" t="inlineStr"/>
      <c r="AA1854" s="18">
        <f>IF(OR(V1854="Aprobada"),R1854,IF(AND(OR(V1854="Aprobada con ajuste",V1854="Rechazada"),W1854&lt;&gt;""),W1854,""))</f>
        <v/>
      </c>
    </row>
    <row r="1855">
      <c r="A1855" s="18" t="inlineStr">
        <is>
          <t>C1854</t>
        </is>
      </c>
      <c r="B1855" s="18" t="inlineStr">
        <is>
          <t>Control interno</t>
        </is>
      </c>
      <c r="C1855" s="18" t="inlineStr">
        <is>
          <t>control_interno</t>
        </is>
      </c>
      <c r="D1855" s="18" t="inlineStr">
        <is>
          <t>plan_anual_5_roles</t>
        </is>
      </c>
      <c r="E1855" s="18" t="n">
        <v>63</v>
      </c>
      <c r="F1855" s="18" t="inlineStr">
        <is>
          <t>equipo_aprobacion</t>
        </is>
      </c>
      <c r="G1855" s="18" t="inlineStr">
        <is>
          <t>jsonb</t>
        </is>
      </c>
      <c r="H1855" s="18" t="inlineStr">
        <is>
          <t>Sí</t>
        </is>
      </c>
      <c r="I1855" s="18" t="inlineStr"/>
      <c r="J1855" s="18" t="inlineStr"/>
      <c r="K1855" s="18" t="inlineStr"/>
      <c r="L1855" s="18" t="inlineStr">
        <is>
          <t>No</t>
        </is>
      </c>
      <c r="M1855" s="18" t="inlineStr">
        <is>
          <t>No</t>
        </is>
      </c>
      <c r="N1855" s="18" t="inlineStr"/>
      <c r="O1855" s="18" t="inlineStr"/>
      <c r="P1855" s="18" t="inlineStr">
        <is>
          <t>Mapeada en internal-institutional-control-service/src/esap/plan-anual-5-roles/entities/plan-anual-5-roles.entity.ts:62 (PlanAnual5Roles.equipo_aprobacion) | Validación: IsArray, IsOptional</t>
        </is>
      </c>
      <c r="Q1855" s="18" t="inlineStr">
        <is>
          <t>Propuesta semántica</t>
        </is>
      </c>
      <c r="R1855" s="18" t="inlineStr">
        <is>
          <t>Integrantes del equipo que aprueba el plan anual, como arreglo JSON.</t>
        </is>
      </c>
      <c r="S1855" s="18" t="inlineStr">
        <is>
          <t>Media</t>
        </is>
      </c>
      <c r="T1855" s="18" t="inlineStr">
        <is>
          <t>nombre + defecto + validación IsArray</t>
        </is>
      </c>
      <c r="U1855" s="18" t="inlineStr">
        <is>
          <t>¿Qué datos se guardan de cada integrante (id, nombre, rol, estado de firma)?</t>
        </is>
      </c>
      <c r="V1855" s="19" t="inlineStr">
        <is>
          <t>Pendiente</t>
        </is>
      </c>
      <c r="W1855" s="19" t="inlineStr"/>
      <c r="X1855" s="19" t="inlineStr"/>
      <c r="Y1855" s="20" t="n"/>
      <c r="Z1855" s="19" t="inlineStr"/>
      <c r="AA1855" s="18">
        <f>IF(OR(V1855="Aprobada"),R1855,IF(AND(OR(V1855="Aprobada con ajuste",V1855="Rechazada"),W1855&lt;&gt;""),W1855,""))</f>
        <v/>
      </c>
    </row>
    <row r="1856">
      <c r="A1856" s="18" t="inlineStr">
        <is>
          <t>C1855</t>
        </is>
      </c>
      <c r="B1856" s="18" t="inlineStr">
        <is>
          <t>Control interno</t>
        </is>
      </c>
      <c r="C1856" s="18" t="inlineStr">
        <is>
          <t>control_interno</t>
        </is>
      </c>
      <c r="D1856" s="18" t="inlineStr">
        <is>
          <t>plan_anual_5_roles</t>
        </is>
      </c>
      <c r="E1856" s="18" t="n">
        <v>63</v>
      </c>
      <c r="F1856" s="18" t="inlineStr">
        <is>
          <t>orden_aprobacion</t>
        </is>
      </c>
      <c r="G1856" s="18" t="inlineStr">
        <is>
          <t>character varying(20)</t>
        </is>
      </c>
      <c r="H1856" s="18" t="inlineStr">
        <is>
          <t>Sí</t>
        </is>
      </c>
      <c r="I1856" s="18" t="inlineStr"/>
      <c r="J1856" s="18" t="inlineStr"/>
      <c r="K1856" s="18" t="inlineStr"/>
      <c r="L1856" s="18" t="inlineStr">
        <is>
          <t>No</t>
        </is>
      </c>
      <c r="M1856" s="18" t="inlineStr">
        <is>
          <t>No</t>
        </is>
      </c>
      <c r="N1856" s="18" t="inlineStr"/>
      <c r="O1856" s="18" t="inlineStr"/>
      <c r="P1856" s="18" t="inlineStr">
        <is>
          <t>Mapeada en internal-institutional-control-service/src/esap/plan-anual-5-roles/entities/plan-anual-5-roles.entity.ts:65 (PlanAnual5Roles.orden_aprobacion) | Validación: IsOptional, IsString</t>
        </is>
      </c>
      <c r="Q1856" s="18" t="inlineStr">
        <is>
          <t>Propuesta semántica</t>
        </is>
      </c>
      <c r="R1856" s="18" t="inlineStr">
        <is>
          <t>Orden en que el equipo aprueba el plan anual. Valor por defecto: secuencial.</t>
        </is>
      </c>
      <c r="S1856" s="18" t="inlineStr">
        <is>
          <t>Media</t>
        </is>
      </c>
      <c r="T1856" s="18" t="inlineStr">
        <is>
          <t>nombre + defecto</t>
        </is>
      </c>
      <c r="U1856" s="18" t="inlineStr">
        <is>
          <t>¿Qué otros valores admite además de secuencial (por ejemplo, paralelo)?</t>
        </is>
      </c>
      <c r="V1856" s="19" t="inlineStr">
        <is>
          <t>Pendiente</t>
        </is>
      </c>
      <c r="W1856" s="19" t="inlineStr"/>
      <c r="X1856" s="19" t="inlineStr"/>
      <c r="Y1856" s="20" t="n"/>
      <c r="Z1856" s="19" t="inlineStr"/>
      <c r="AA1856" s="18">
        <f>IF(OR(V1856="Aprobada"),R1856,IF(AND(OR(V1856="Aprobada con ajuste",V1856="Rechazada"),W1856&lt;&gt;""),W1856,""))</f>
        <v/>
      </c>
    </row>
    <row r="1857">
      <c r="A1857" s="18" t="inlineStr">
        <is>
          <t>C1856</t>
        </is>
      </c>
      <c r="B1857" s="18" t="inlineStr">
        <is>
          <t>Control interno</t>
        </is>
      </c>
      <c r="C1857" s="18" t="inlineStr">
        <is>
          <t>control_interno</t>
        </is>
      </c>
      <c r="D1857" s="18" t="inlineStr">
        <is>
          <t>plan_anual_5_roles</t>
        </is>
      </c>
      <c r="E1857" s="18" t="n">
        <v>63</v>
      </c>
      <c r="F1857" s="18" t="inlineStr">
        <is>
          <t>firma_activacion</t>
        </is>
      </c>
      <c r="G1857" s="18" t="inlineStr">
        <is>
          <t>jsonb</t>
        </is>
      </c>
      <c r="H1857" s="18" t="inlineStr">
        <is>
          <t>Sí</t>
        </is>
      </c>
      <c r="I1857" s="18" t="inlineStr"/>
      <c r="J1857" s="18" t="inlineStr"/>
      <c r="K1857" s="18" t="inlineStr"/>
      <c r="L1857" s="18" t="inlineStr">
        <is>
          <t>No</t>
        </is>
      </c>
      <c r="M1857" s="18" t="inlineStr">
        <is>
          <t>No</t>
        </is>
      </c>
      <c r="N1857" s="18" t="inlineStr"/>
      <c r="O1857" s="18" t="inlineStr"/>
      <c r="P1857" s="18" t="inlineStr">
        <is>
          <t>Mapeada en internal-institutional-control-service/src/esap/plan-anual-5-roles/entities/plan-anual-5-roles.entity.ts:68 (PlanAnual5Roles.firma_activacion)</t>
        </is>
      </c>
      <c r="Q1857" s="18" t="inlineStr">
        <is>
          <t>Propuesta semántica</t>
        </is>
      </c>
      <c r="R1857" s="18" t="inlineStr">
        <is>
          <t>Datos de la firma con la que se activa el plan anual, en formato JSON.</t>
        </is>
      </c>
      <c r="S1857" s="18" t="inlineStr">
        <is>
          <t>Baja</t>
        </is>
      </c>
      <c r="T1857" s="18" t="inlineStr">
        <is>
          <t>nombre + tipo + columnas vecinas</t>
        </is>
      </c>
      <c r="U1857" s="18" t="inlineStr">
        <is>
          <t>¿Qué contiene el JSON (firmante, fecha, imagen de firma)?</t>
        </is>
      </c>
      <c r="V1857" s="19" t="inlineStr">
        <is>
          <t>Pendiente</t>
        </is>
      </c>
      <c r="W1857" s="19" t="inlineStr"/>
      <c r="X1857" s="19" t="inlineStr"/>
      <c r="Y1857" s="20" t="n"/>
      <c r="Z1857" s="19" t="inlineStr"/>
      <c r="AA1857" s="18">
        <f>IF(OR(V1857="Aprobada"),R1857,IF(AND(OR(V1857="Aprobada con ajuste",V1857="Rechazada"),W1857&lt;&gt;""),W1857,""))</f>
        <v/>
      </c>
    </row>
    <row r="1858">
      <c r="A1858" s="18" t="inlineStr">
        <is>
          <t>C1857</t>
        </is>
      </c>
      <c r="B1858" s="18" t="inlineStr">
        <is>
          <t>Control interno</t>
        </is>
      </c>
      <c r="C1858" s="18" t="inlineStr">
        <is>
          <t>control_interno</t>
        </is>
      </c>
      <c r="D1858" s="18" t="inlineStr">
        <is>
          <t>plan_anual_wizard_borrador</t>
        </is>
      </c>
      <c r="E1858" s="18" t="n">
        <v>2</v>
      </c>
      <c r="F1858" s="18" t="inlineStr">
        <is>
          <t>usuario_id</t>
        </is>
      </c>
      <c r="G1858" s="18" t="inlineStr">
        <is>
          <t>character varying(255)</t>
        </is>
      </c>
      <c r="H1858" s="18" t="inlineStr">
        <is>
          <t>No</t>
        </is>
      </c>
      <c r="I1858" s="18" t="inlineStr">
        <is>
          <t>Única</t>
        </is>
      </c>
      <c r="J1858" s="18" t="inlineStr"/>
      <c r="K1858" s="18" t="inlineStr"/>
      <c r="L1858" s="18" t="inlineStr">
        <is>
          <t>Sí</t>
        </is>
      </c>
      <c r="M1858" s="18" t="inlineStr">
        <is>
          <t>No</t>
        </is>
      </c>
      <c r="N1858" s="18" t="inlineStr"/>
      <c r="O1858" s="18" t="inlineStr">
        <is>
          <t>idx_plan_anual_wizard_borrador_usuario_id, plan_anual_wizard_borrador_usuario_id_key</t>
        </is>
      </c>
      <c r="P1858" s="18" t="inlineStr">
        <is>
          <t>Mapeada en internal-institutional-control-service/src/esap/plan-anual-5-roles/entities/plan-anual-wizard-borrador.entity.ts:15 (PlanAnualWizardBorrador.usuarioId) | Validación: IsNotEmpty, IsOptional, IsString, IsUUID</t>
        </is>
      </c>
      <c r="Q1858" s="18" t="inlineStr">
        <is>
          <t>Propuesta semántica</t>
        </is>
      </c>
      <c r="R1858" s="18" t="inlineStr">
        <is>
          <t>Identificador del usuario dueño del borrador; cada usuario tiene un solo borrador.</t>
        </is>
      </c>
      <c r="S1858" s="18" t="inlineStr">
        <is>
          <t>Alta</t>
        </is>
      </c>
      <c r="T1858" s="18" t="inlineStr">
        <is>
          <t>nombre + restricción única</t>
        </is>
      </c>
      <c r="U1858" s="18" t="inlineStr"/>
      <c r="V1858" s="19" t="inlineStr">
        <is>
          <t>Pendiente</t>
        </is>
      </c>
      <c r="W1858" s="19" t="inlineStr"/>
      <c r="X1858" s="19" t="inlineStr"/>
      <c r="Y1858" s="20" t="n"/>
      <c r="Z1858" s="19" t="inlineStr"/>
      <c r="AA1858" s="18">
        <f>IF(OR(V1858="Aprobada"),R1858,IF(AND(OR(V1858="Aprobada con ajuste",V1858="Rechazada"),W1858&lt;&gt;""),W1858,""))</f>
        <v/>
      </c>
    </row>
    <row r="1859">
      <c r="A1859" s="18" t="inlineStr">
        <is>
          <t>C1858</t>
        </is>
      </c>
      <c r="B1859" s="18" t="inlineStr">
        <is>
          <t>Control interno</t>
        </is>
      </c>
      <c r="C1859" s="18" t="inlineStr">
        <is>
          <t>control_interno</t>
        </is>
      </c>
      <c r="D1859" s="18" t="inlineStr">
        <is>
          <t>plan_anual_wizard_borrador</t>
        </is>
      </c>
      <c r="E1859" s="18" t="n">
        <v>2</v>
      </c>
      <c r="F1859" s="18" t="inlineStr">
        <is>
          <t>payload</t>
        </is>
      </c>
      <c r="G1859" s="18" t="inlineStr">
        <is>
          <t>jsonb</t>
        </is>
      </c>
      <c r="H1859" s="18" t="inlineStr">
        <is>
          <t>No</t>
        </is>
      </c>
      <c r="I1859" s="18" t="inlineStr"/>
      <c r="J1859" s="18" t="inlineStr"/>
      <c r="K1859" s="18" t="inlineStr"/>
      <c r="L1859" s="18" t="inlineStr">
        <is>
          <t>Sí</t>
        </is>
      </c>
      <c r="M1859" s="18" t="inlineStr">
        <is>
          <t>No</t>
        </is>
      </c>
      <c r="N1859" s="18" t="inlineStr"/>
      <c r="O1859" s="18" t="inlineStr"/>
      <c r="P1859" s="18" t="inlineStr">
        <is>
          <t>Mapeada en internal-institutional-control-service/src/esap/plan-anual-5-roles/entities/plan-anual-wizard-borrador.entity.ts:19 (PlanAnualWizardBorrador.payload)</t>
        </is>
      </c>
      <c r="Q1859" s="18" t="inlineStr">
        <is>
          <t>Propuesta semántica</t>
        </is>
      </c>
      <c r="R1859" s="18" t="inlineStr">
        <is>
          <t>Datos parciales del asistente de creación del plan anual guardados como borrador, en formato JSON.</t>
        </is>
      </c>
      <c r="S1859" s="18" t="inlineStr">
        <is>
          <t>Media</t>
        </is>
      </c>
      <c r="T1859" s="18" t="inlineStr">
        <is>
          <t>nombre + tabla</t>
        </is>
      </c>
      <c r="U1859" s="18" t="inlineStr">
        <is>
          <t>¿Qué estructura tiene el payload del asistente?</t>
        </is>
      </c>
      <c r="V1859" s="19" t="inlineStr">
        <is>
          <t>Pendiente</t>
        </is>
      </c>
      <c r="W1859" s="19" t="inlineStr"/>
      <c r="X1859" s="19" t="inlineStr"/>
      <c r="Y1859" s="20" t="n"/>
      <c r="Z1859" s="19" t="inlineStr"/>
      <c r="AA1859" s="18">
        <f>IF(OR(V1859="Aprobada"),R1859,IF(AND(OR(V1859="Aprobada con ajuste",V1859="Rechazada"),W1859&lt;&gt;""),W1859,""))</f>
        <v/>
      </c>
    </row>
    <row r="1860">
      <c r="A1860" s="18" t="inlineStr">
        <is>
          <t>C1859</t>
        </is>
      </c>
      <c r="B1860" s="18" t="inlineStr">
        <is>
          <t>Control interno</t>
        </is>
      </c>
      <c r="C1860" s="18" t="inlineStr">
        <is>
          <t>control_interno</t>
        </is>
      </c>
      <c r="D1860" s="18" t="inlineStr">
        <is>
          <t>plan_individual</t>
        </is>
      </c>
      <c r="E1860" s="18" t="n">
        <v>0</v>
      </c>
      <c r="F1860" s="18" t="inlineStr">
        <is>
          <t>codigo</t>
        </is>
      </c>
      <c r="G1860" s="18" t="inlineStr">
        <is>
          <t>character varying(255)</t>
        </is>
      </c>
      <c r="H1860" s="18" t="inlineStr">
        <is>
          <t>No</t>
        </is>
      </c>
      <c r="I1860" s="18" t="inlineStr">
        <is>
          <t>Única</t>
        </is>
      </c>
      <c r="J1860" s="18" t="inlineStr"/>
      <c r="K1860" s="18" t="inlineStr"/>
      <c r="L1860" s="18" t="inlineStr">
        <is>
          <t>No</t>
        </is>
      </c>
      <c r="M1860" s="18" t="inlineStr">
        <is>
          <t>No</t>
        </is>
      </c>
      <c r="N1860" s="18" t="inlineStr"/>
      <c r="O1860" s="18" t="inlineStr">
        <is>
          <t>plan_individual_codigo_key</t>
        </is>
      </c>
      <c r="P1860" s="18" t="inlineStr">
        <is>
          <t>Mapeada en internal-institutional-control-service/src/esap/plan-individual/entities/plan-individual.entity.ts:27 (PlanIndividual.codigo) | Validación: IsNotEmpty, IsOptional, IsString, Length(1, 50), MaxLength(80)</t>
        </is>
      </c>
      <c r="Q1860" s="18" t="inlineStr">
        <is>
          <t>Regla estructural</t>
        </is>
      </c>
      <c r="R1860" s="18" t="inlineStr">
        <is>
          <t>Código del registro de plan_individual. Único en la tabla.</t>
        </is>
      </c>
      <c r="S1860" s="18" t="inlineStr">
        <is>
          <t>Media</t>
        </is>
      </c>
      <c r="T1860" s="18" t="inlineStr">
        <is>
          <t>Convención de nombre de la columna.</t>
        </is>
      </c>
      <c r="U1860" s="18" t="inlineStr"/>
      <c r="V1860" s="19" t="inlineStr">
        <is>
          <t>Pendiente</t>
        </is>
      </c>
      <c r="W1860" s="19" t="inlineStr"/>
      <c r="X1860" s="19" t="inlineStr"/>
      <c r="Y1860" s="20" t="n"/>
      <c r="Z1860" s="19" t="inlineStr"/>
      <c r="AA1860" s="18">
        <f>IF(OR(V1860="Aprobada"),R1860,IF(AND(OR(V1860="Aprobada con ajuste",V1860="Rechazada"),W1860&lt;&gt;""),W1860,""))</f>
        <v/>
      </c>
    </row>
    <row r="1861">
      <c r="A1861" s="18" t="inlineStr">
        <is>
          <t>C1860</t>
        </is>
      </c>
      <c r="B1861" s="18" t="inlineStr">
        <is>
          <t>Control interno</t>
        </is>
      </c>
      <c r="C1861" s="18" t="inlineStr">
        <is>
          <t>control_interno</t>
        </is>
      </c>
      <c r="D1861" s="18" t="inlineStr">
        <is>
          <t>plan_individual</t>
        </is>
      </c>
      <c r="E1861" s="18" t="n">
        <v>0</v>
      </c>
      <c r="F1861" s="18" t="inlineStr">
        <is>
          <t>auditoria_codigo</t>
        </is>
      </c>
      <c r="G1861" s="18" t="inlineStr">
        <is>
          <t>character varying(255)</t>
        </is>
      </c>
      <c r="H1861" s="18" t="inlineStr">
        <is>
          <t>No</t>
        </is>
      </c>
      <c r="I1861" s="18" t="inlineStr"/>
      <c r="J1861" s="18" t="inlineStr"/>
      <c r="K1861" s="18" t="inlineStr"/>
      <c r="L1861" s="18" t="inlineStr">
        <is>
          <t>No</t>
        </is>
      </c>
      <c r="M1861" s="18" t="inlineStr">
        <is>
          <t>No</t>
        </is>
      </c>
      <c r="N1861" s="18" t="inlineStr"/>
      <c r="O1861" s="18" t="inlineStr"/>
      <c r="P1861" s="18" t="inlineStr">
        <is>
          <t>Mapeada en internal-institutional-control-service/src/esap/plan-individual/entities/plan-individual.entity.ts:37 (PlanIndividual.auditoriaCodigo)</t>
        </is>
      </c>
      <c r="Q1861" s="18" t="inlineStr">
        <is>
          <t>Propuesta semántica</t>
        </is>
      </c>
      <c r="R1861" s="18" t="inlineStr">
        <is>
          <t>Código de la auditoría a la que corresponde el plan individual.</t>
        </is>
      </c>
      <c r="S1861" s="18" t="inlineStr">
        <is>
          <t>Media</t>
        </is>
      </c>
      <c r="T1861" s="18" t="inlineStr">
        <is>
          <t>nombre + tipo + columnas vecinas</t>
        </is>
      </c>
      <c r="U1861" s="18" t="inlineStr">
        <is>
          <t>¿Es una copia del código de la auditoría referenciada por auditoria_id?</t>
        </is>
      </c>
      <c r="V1861" s="19" t="inlineStr">
        <is>
          <t>Pendiente</t>
        </is>
      </c>
      <c r="W1861" s="19" t="inlineStr"/>
      <c r="X1861" s="19" t="inlineStr"/>
      <c r="Y1861" s="20" t="n"/>
      <c r="Z1861" s="19" t="inlineStr"/>
      <c r="AA1861" s="18">
        <f>IF(OR(V1861="Aprobada"),R1861,IF(AND(OR(V1861="Aprobada con ajuste",V1861="Rechazada"),W1861&lt;&gt;""),W1861,""))</f>
        <v/>
      </c>
    </row>
    <row r="1862">
      <c r="A1862" s="18" t="inlineStr">
        <is>
          <t>C1861</t>
        </is>
      </c>
      <c r="B1862" s="18" t="inlineStr">
        <is>
          <t>Control interno</t>
        </is>
      </c>
      <c r="C1862" s="18" t="inlineStr">
        <is>
          <t>control_interno</t>
        </is>
      </c>
      <c r="D1862" s="18" t="inlineStr">
        <is>
          <t>plan_individual</t>
        </is>
      </c>
      <c r="E1862" s="18" t="n">
        <v>0</v>
      </c>
      <c r="F1862" s="18" t="inlineStr">
        <is>
          <t>nombre</t>
        </is>
      </c>
      <c r="G1862" s="18" t="inlineStr">
        <is>
          <t>character varying(255)</t>
        </is>
      </c>
      <c r="H1862" s="18" t="inlineStr">
        <is>
          <t>No</t>
        </is>
      </c>
      <c r="I1862" s="18" t="inlineStr"/>
      <c r="J1862" s="18" t="inlineStr"/>
      <c r="K1862" s="18" t="inlineStr"/>
      <c r="L1862" s="18" t="inlineStr">
        <is>
          <t>No</t>
        </is>
      </c>
      <c r="M1862" s="18" t="inlineStr">
        <is>
          <t>No</t>
        </is>
      </c>
      <c r="N1862" s="18" t="inlineStr"/>
      <c r="O1862" s="18" t="inlineStr"/>
      <c r="P1862" s="18" t="inlineStr">
        <is>
          <t>Mapeada en internal-institutional-control-service/src/esap/plan-individual/entities/plan-individual.entity.ts:40 (PlanIndividual.nombre) | Validación: IsNotEmpty, IsNotEmpty({ message: 'El nombre del documento es obligatorio' }), IsOptional, IsString, Length(1, 500), MaxLength(120)</t>
        </is>
      </c>
      <c r="Q1862" s="18" t="inlineStr">
        <is>
          <t>Regla estructural</t>
        </is>
      </c>
      <c r="R1862" s="18" t="inlineStr">
        <is>
          <t>Nombre del registro de plan_individual.</t>
        </is>
      </c>
      <c r="S1862" s="18" t="inlineStr">
        <is>
          <t>Media</t>
        </is>
      </c>
      <c r="T1862" s="18" t="inlineStr">
        <is>
          <t>Convención de nombre de la columna.</t>
        </is>
      </c>
      <c r="U1862" s="18" t="inlineStr"/>
      <c r="V1862" s="19" t="inlineStr">
        <is>
          <t>Pendiente</t>
        </is>
      </c>
      <c r="W1862" s="19" t="inlineStr"/>
      <c r="X1862" s="19" t="inlineStr"/>
      <c r="Y1862" s="20" t="n"/>
      <c r="Z1862" s="19" t="inlineStr"/>
      <c r="AA1862" s="18">
        <f>IF(OR(V1862="Aprobada"),R1862,IF(AND(OR(V1862="Aprobada con ajuste",V1862="Rechazada"),W1862&lt;&gt;""),W1862,""))</f>
        <v/>
      </c>
    </row>
    <row r="1863">
      <c r="A1863" s="18" t="inlineStr">
        <is>
          <t>C1862</t>
        </is>
      </c>
      <c r="B1863" s="18" t="inlineStr">
        <is>
          <t>Control interno</t>
        </is>
      </c>
      <c r="C1863" s="18" t="inlineStr">
        <is>
          <t>control_interno</t>
        </is>
      </c>
      <c r="D1863" s="18" t="inlineStr">
        <is>
          <t>plan_individual</t>
        </is>
      </c>
      <c r="E1863" s="18" t="n">
        <v>0</v>
      </c>
      <c r="F1863" s="18" t="inlineStr">
        <is>
          <t>alcance</t>
        </is>
      </c>
      <c r="G1863" s="18" t="inlineStr">
        <is>
          <t>text</t>
        </is>
      </c>
      <c r="H1863" s="18" t="inlineStr">
        <is>
          <t>No</t>
        </is>
      </c>
      <c r="I1863" s="18" t="inlineStr"/>
      <c r="J1863" s="18" t="inlineStr"/>
      <c r="K1863" s="18" t="inlineStr"/>
      <c r="L1863" s="18" t="inlineStr">
        <is>
          <t>No</t>
        </is>
      </c>
      <c r="M1863" s="18" t="inlineStr">
        <is>
          <t>No</t>
        </is>
      </c>
      <c r="N1863" s="18" t="inlineStr"/>
      <c r="O1863" s="18" t="inlineStr"/>
      <c r="P1863" s="18" t="inlineStr">
        <is>
          <t>Mapeada en internal-institutional-control-service/src/esap/plan-individual/entities/plan-individual.entity.ts:43 (PlanIndividual.alcance) | Validación: IsNotEmpty, IsOptional, IsString</t>
        </is>
      </c>
      <c r="Q1863" s="18" t="inlineStr">
        <is>
          <t>Propuesta semántica</t>
        </is>
      </c>
      <c r="R1863" s="18" t="inlineStr">
        <is>
          <t>Alcance de la auditoría descrito en el plan individual.</t>
        </is>
      </c>
      <c r="S1863" s="18" t="inlineStr">
        <is>
          <t>Alta</t>
        </is>
      </c>
      <c r="T1863" s="18" t="inlineStr">
        <is>
          <t>nombre + tipo + columnas vecinas</t>
        </is>
      </c>
      <c r="U1863" s="18" t="inlineStr"/>
      <c r="V1863" s="19" t="inlineStr">
        <is>
          <t>Pendiente</t>
        </is>
      </c>
      <c r="W1863" s="19" t="inlineStr"/>
      <c r="X1863" s="19" t="inlineStr"/>
      <c r="Y1863" s="20" t="n"/>
      <c r="Z1863" s="19" t="inlineStr"/>
      <c r="AA1863" s="18">
        <f>IF(OR(V1863="Aprobada"),R1863,IF(AND(OR(V1863="Aprobada con ajuste",V1863="Rechazada"),W1863&lt;&gt;""),W1863,""))</f>
        <v/>
      </c>
    </row>
    <row r="1864">
      <c r="A1864" s="18" t="inlineStr">
        <is>
          <t>C1863</t>
        </is>
      </c>
      <c r="B1864" s="18" t="inlineStr">
        <is>
          <t>Control interno</t>
        </is>
      </c>
      <c r="C1864" s="18" t="inlineStr">
        <is>
          <t>control_interno</t>
        </is>
      </c>
      <c r="D1864" s="18" t="inlineStr">
        <is>
          <t>plan_individual</t>
        </is>
      </c>
      <c r="E1864" s="18" t="n">
        <v>0</v>
      </c>
      <c r="F1864" s="18" t="inlineStr">
        <is>
          <t>objetivo</t>
        </is>
      </c>
      <c r="G1864" s="18" t="inlineStr">
        <is>
          <t>text</t>
        </is>
      </c>
      <c r="H1864" s="18" t="inlineStr">
        <is>
          <t>No</t>
        </is>
      </c>
      <c r="I1864" s="18" t="inlineStr"/>
      <c r="J1864" s="18" t="inlineStr"/>
      <c r="K1864" s="18" t="inlineStr"/>
      <c r="L1864" s="18" t="inlineStr">
        <is>
          <t>No</t>
        </is>
      </c>
      <c r="M1864" s="18" t="inlineStr">
        <is>
          <t>No</t>
        </is>
      </c>
      <c r="N1864" s="18" t="inlineStr"/>
      <c r="O1864" s="18" t="inlineStr"/>
      <c r="P1864" s="18" t="inlineStr">
        <is>
          <t>Mapeada en internal-institutional-control-service/src/esap/plan-individual/entities/plan-individual.entity.ts:46 (PlanIndividual.objetivo) | Validación: IsNotEmpty, IsOptional, IsString</t>
        </is>
      </c>
      <c r="Q1864" s="18" t="inlineStr">
        <is>
          <t>Propuesta semántica</t>
        </is>
      </c>
      <c r="R1864" s="18" t="inlineStr">
        <is>
          <t>Objetivo de la auditoría descrito en el plan individual.</t>
        </is>
      </c>
      <c r="S1864" s="18" t="inlineStr">
        <is>
          <t>Alta</t>
        </is>
      </c>
      <c r="T1864" s="18" t="inlineStr">
        <is>
          <t>nombre + tipo + columnas vecinas</t>
        </is>
      </c>
      <c r="U1864" s="18" t="inlineStr"/>
      <c r="V1864" s="19" t="inlineStr">
        <is>
          <t>Pendiente</t>
        </is>
      </c>
      <c r="W1864" s="19" t="inlineStr"/>
      <c r="X1864" s="19" t="inlineStr"/>
      <c r="Y1864" s="20" t="n"/>
      <c r="Z1864" s="19" t="inlineStr"/>
      <c r="AA1864" s="18">
        <f>IF(OR(V1864="Aprobada"),R1864,IF(AND(OR(V1864="Aprobada con ajuste",V1864="Rechazada"),W1864&lt;&gt;""),W1864,""))</f>
        <v/>
      </c>
    </row>
    <row r="1865">
      <c r="A1865" s="18" t="inlineStr">
        <is>
          <t>C1864</t>
        </is>
      </c>
      <c r="B1865" s="18" t="inlineStr">
        <is>
          <t>Control interno</t>
        </is>
      </c>
      <c r="C1865" s="18" t="inlineStr">
        <is>
          <t>control_interno</t>
        </is>
      </c>
      <c r="D1865" s="18" t="inlineStr">
        <is>
          <t>plan_individual</t>
        </is>
      </c>
      <c r="E1865" s="18" t="n">
        <v>0</v>
      </c>
      <c r="F1865" s="18" t="inlineStr">
        <is>
          <t>proceso_auditar</t>
        </is>
      </c>
      <c r="G1865" s="18" t="inlineStr">
        <is>
          <t>character varying(255)</t>
        </is>
      </c>
      <c r="H1865" s="18" t="inlineStr">
        <is>
          <t>No</t>
        </is>
      </c>
      <c r="I1865" s="18" t="inlineStr"/>
      <c r="J1865" s="18" t="inlineStr"/>
      <c r="K1865" s="18" t="inlineStr"/>
      <c r="L1865" s="18" t="inlineStr">
        <is>
          <t>No</t>
        </is>
      </c>
      <c r="M1865" s="18" t="inlineStr">
        <is>
          <t>No</t>
        </is>
      </c>
      <c r="N1865" s="18" t="inlineStr"/>
      <c r="O1865" s="18" t="inlineStr"/>
      <c r="P1865" s="18" t="inlineStr">
        <is>
          <t>Mapeada en internal-institutional-control-service/src/esap/plan-individual/entities/plan-individual.entity.ts:49 (PlanIndividual.procesoAuditar) | Validación: IsNotEmpty, IsOptional, IsString</t>
        </is>
      </c>
      <c r="Q1865" s="18" t="inlineStr">
        <is>
          <t>Propuesta semántica</t>
        </is>
      </c>
      <c r="R1865" s="18" t="inlineStr">
        <is>
          <t>Proceso de la entidad que se audita.</t>
        </is>
      </c>
      <c r="S1865" s="18" t="inlineStr">
        <is>
          <t>Media</t>
        </is>
      </c>
      <c r="T1865" s="18" t="inlineStr">
        <is>
          <t>nombre + tipo + columnas vecinas</t>
        </is>
      </c>
      <c r="U1865" s="18" t="inlineStr">
        <is>
          <t>¿Se toma del catálogo control_interno.proceso_auditable?</t>
        </is>
      </c>
      <c r="V1865" s="19" t="inlineStr">
        <is>
          <t>Pendiente</t>
        </is>
      </c>
      <c r="W1865" s="19" t="inlineStr"/>
      <c r="X1865" s="19" t="inlineStr"/>
      <c r="Y1865" s="20" t="n"/>
      <c r="Z1865" s="19" t="inlineStr"/>
      <c r="AA1865" s="18">
        <f>IF(OR(V1865="Aprobada"),R1865,IF(AND(OR(V1865="Aprobada con ajuste",V1865="Rechazada"),W1865&lt;&gt;""),W1865,""))</f>
        <v/>
      </c>
    </row>
    <row r="1866">
      <c r="A1866" s="18" t="inlineStr">
        <is>
          <t>C1865</t>
        </is>
      </c>
      <c r="B1866" s="18" t="inlineStr">
        <is>
          <t>Control interno</t>
        </is>
      </c>
      <c r="C1866" s="18" t="inlineStr">
        <is>
          <t>control_interno</t>
        </is>
      </c>
      <c r="D1866" s="18" t="inlineStr">
        <is>
          <t>plan_individual</t>
        </is>
      </c>
      <c r="E1866" s="18" t="n">
        <v>0</v>
      </c>
      <c r="F1866" s="18" t="inlineStr">
        <is>
          <t>riesgos</t>
        </is>
      </c>
      <c r="G1866" s="18" t="inlineStr">
        <is>
          <t>jsonb</t>
        </is>
      </c>
      <c r="H1866" s="18" t="inlineStr">
        <is>
          <t>No</t>
        </is>
      </c>
      <c r="I1866" s="18" t="inlineStr"/>
      <c r="J1866" s="18" t="inlineStr"/>
      <c r="K1866" s="18" t="inlineStr"/>
      <c r="L1866" s="18" t="inlineStr">
        <is>
          <t>No</t>
        </is>
      </c>
      <c r="M1866" s="18" t="inlineStr">
        <is>
          <t>No</t>
        </is>
      </c>
      <c r="N1866" s="18" t="inlineStr"/>
      <c r="O1866" s="18" t="inlineStr"/>
      <c r="P1866" s="18" t="inlineStr">
        <is>
          <t>Mapeada en internal-institutional-control-service/src/esap/plan-individual/entities/plan-individual.entity.ts:52 (PlanIndividual.riesgos) | Validación: IsArray, IsOptional</t>
        </is>
      </c>
      <c r="Q1866" s="18" t="inlineStr">
        <is>
          <t>Propuesta semántica</t>
        </is>
      </c>
      <c r="R1866" s="18" t="inlineStr">
        <is>
          <t>Riesgos identificados para la auditoría, como arreglo JSON.</t>
        </is>
      </c>
      <c r="S1866" s="18" t="inlineStr">
        <is>
          <t>Media</t>
        </is>
      </c>
      <c r="T1866" s="18" t="inlineStr">
        <is>
          <t>nombre + tipo + validaciones del DTO</t>
        </is>
      </c>
      <c r="U1866" s="18" t="inlineStr">
        <is>
          <t>¿Qué datos se guardan de cada riesgo?</t>
        </is>
      </c>
      <c r="V1866" s="19" t="inlineStr">
        <is>
          <t>Pendiente</t>
        </is>
      </c>
      <c r="W1866" s="19" t="inlineStr"/>
      <c r="X1866" s="19" t="inlineStr"/>
      <c r="Y1866" s="20" t="n"/>
      <c r="Z1866" s="19" t="inlineStr"/>
      <c r="AA1866" s="18">
        <f>IF(OR(V1866="Aprobada"),R1866,IF(AND(OR(V1866="Aprobada con ajuste",V1866="Rechazada"),W1866&lt;&gt;""),W1866,""))</f>
        <v/>
      </c>
    </row>
    <row r="1867">
      <c r="A1867" s="18" t="inlineStr">
        <is>
          <t>C1866</t>
        </is>
      </c>
      <c r="B1867" s="18" t="inlineStr">
        <is>
          <t>Control interno</t>
        </is>
      </c>
      <c r="C1867" s="18" t="inlineStr">
        <is>
          <t>control_interno</t>
        </is>
      </c>
      <c r="D1867" s="18" t="inlineStr">
        <is>
          <t>plan_individual</t>
        </is>
      </c>
      <c r="E1867" s="18" t="n">
        <v>0</v>
      </c>
      <c r="F1867" s="18" t="inlineStr">
        <is>
          <t>criterios_auditoria</t>
        </is>
      </c>
      <c r="G1867" s="18" t="inlineStr">
        <is>
          <t>jsonb</t>
        </is>
      </c>
      <c r="H1867" s="18" t="inlineStr">
        <is>
          <t>No</t>
        </is>
      </c>
      <c r="I1867" s="18" t="inlineStr"/>
      <c r="J1867" s="18" t="inlineStr"/>
      <c r="K1867" s="18" t="inlineStr"/>
      <c r="L1867" s="18" t="inlineStr">
        <is>
          <t>No</t>
        </is>
      </c>
      <c r="M1867" s="18" t="inlineStr">
        <is>
          <t>No</t>
        </is>
      </c>
      <c r="N1867" s="18" t="inlineStr"/>
      <c r="O1867" s="18" t="inlineStr"/>
      <c r="P1867" s="18" t="inlineStr">
        <is>
          <t>Mapeada en internal-institutional-control-service/src/esap/plan-individual/entities/plan-individual.entity.ts:61 (PlanIndividual.criteriosAuditoria) | Validación: IsArray, IsOptional, IsString({ each: true })</t>
        </is>
      </c>
      <c r="Q1867" s="18" t="inlineStr">
        <is>
          <t>Propuesta semántica</t>
        </is>
      </c>
      <c r="R1867" s="18" t="inlineStr">
        <is>
          <t>Criterios de auditoría aplicables, como arreglo JSON de textos.</t>
        </is>
      </c>
      <c r="S1867" s="18" t="inlineStr">
        <is>
          <t>Alta</t>
        </is>
      </c>
      <c r="T1867" s="18" t="inlineStr">
        <is>
          <t>nombre + tipo + validaciones del DTO</t>
        </is>
      </c>
      <c r="U1867" s="18" t="inlineStr"/>
      <c r="V1867" s="19" t="inlineStr">
        <is>
          <t>Pendiente</t>
        </is>
      </c>
      <c r="W1867" s="19" t="inlineStr"/>
      <c r="X1867" s="19" t="inlineStr"/>
      <c r="Y1867" s="20" t="n"/>
      <c r="Z1867" s="19" t="inlineStr"/>
      <c r="AA1867" s="18">
        <f>IF(OR(V1867="Aprobada"),R1867,IF(AND(OR(V1867="Aprobada con ajuste",V1867="Rechazada"),W1867&lt;&gt;""),W1867,""))</f>
        <v/>
      </c>
    </row>
    <row r="1868">
      <c r="A1868" s="18" t="inlineStr">
        <is>
          <t>C1867</t>
        </is>
      </c>
      <c r="B1868" s="18" t="inlineStr">
        <is>
          <t>Control interno</t>
        </is>
      </c>
      <c r="C1868" s="18" t="inlineStr">
        <is>
          <t>control_interno</t>
        </is>
      </c>
      <c r="D1868" s="18" t="inlineStr">
        <is>
          <t>plan_individual</t>
        </is>
      </c>
      <c r="E1868" s="18" t="n">
        <v>0</v>
      </c>
      <c r="F1868" s="18" t="inlineStr">
        <is>
          <t>normativa_aplicable</t>
        </is>
      </c>
      <c r="G1868" s="18" t="inlineStr">
        <is>
          <t>jsonb</t>
        </is>
      </c>
      <c r="H1868" s="18" t="inlineStr">
        <is>
          <t>No</t>
        </is>
      </c>
      <c r="I1868" s="18" t="inlineStr"/>
      <c r="J1868" s="18" t="inlineStr"/>
      <c r="K1868" s="18" t="inlineStr"/>
      <c r="L1868" s="18" t="inlineStr">
        <is>
          <t>No</t>
        </is>
      </c>
      <c r="M1868" s="18" t="inlineStr">
        <is>
          <t>No</t>
        </is>
      </c>
      <c r="N1868" s="18" t="inlineStr"/>
      <c r="O1868" s="18" t="inlineStr"/>
      <c r="P1868" s="18" t="inlineStr">
        <is>
          <t>Mapeada en internal-institutional-control-service/src/esap/plan-individual/entities/plan-individual.entity.ts:69 (PlanIndividual.normativaAplicable) | Validación: IsArray, IsOptional</t>
        </is>
      </c>
      <c r="Q1868" s="18" t="inlineStr">
        <is>
          <t>Propuesta semántica</t>
        </is>
      </c>
      <c r="R1868" s="18" t="inlineStr">
        <is>
          <t>Normas aplicables a la auditoría, como arreglo JSON.</t>
        </is>
      </c>
      <c r="S1868" s="18" t="inlineStr">
        <is>
          <t>Media</t>
        </is>
      </c>
      <c r="T1868" s="18" t="inlineStr">
        <is>
          <t>nombre + tipo + validaciones del DTO</t>
        </is>
      </c>
      <c r="U1868" s="18" t="inlineStr">
        <is>
          <t>¿Cada elemento es un texto o un objeto con norma y artículo?</t>
        </is>
      </c>
      <c r="V1868" s="19" t="inlineStr">
        <is>
          <t>Pendiente</t>
        </is>
      </c>
      <c r="W1868" s="19" t="inlineStr"/>
      <c r="X1868" s="19" t="inlineStr"/>
      <c r="Y1868" s="20" t="n"/>
      <c r="Z1868" s="19" t="inlineStr"/>
      <c r="AA1868" s="18">
        <f>IF(OR(V1868="Aprobada"),R1868,IF(AND(OR(V1868="Aprobada con ajuste",V1868="Rechazada"),W1868&lt;&gt;""),W1868,""))</f>
        <v/>
      </c>
    </row>
    <row r="1869">
      <c r="A1869" s="18" t="inlineStr">
        <is>
          <t>C1868</t>
        </is>
      </c>
      <c r="B1869" s="18" t="inlineStr">
        <is>
          <t>Control interno</t>
        </is>
      </c>
      <c r="C1869" s="18" t="inlineStr">
        <is>
          <t>control_interno</t>
        </is>
      </c>
      <c r="D1869" s="18" t="inlineStr">
        <is>
          <t>plan_individual</t>
        </is>
      </c>
      <c r="E1869" s="18" t="n">
        <v>0</v>
      </c>
      <c r="F1869" s="18" t="inlineStr">
        <is>
          <t>equipo_auditor</t>
        </is>
      </c>
      <c r="G1869" s="18" t="inlineStr">
        <is>
          <t>jsonb</t>
        </is>
      </c>
      <c r="H1869" s="18" t="inlineStr">
        <is>
          <t>No</t>
        </is>
      </c>
      <c r="I1869" s="18" t="inlineStr"/>
      <c r="J1869" s="18" t="inlineStr"/>
      <c r="K1869" s="18" t="inlineStr"/>
      <c r="L1869" s="18" t="inlineStr">
        <is>
          <t>No</t>
        </is>
      </c>
      <c r="M1869" s="18" t="inlineStr">
        <is>
          <t>No</t>
        </is>
      </c>
      <c r="N1869" s="18" t="inlineStr"/>
      <c r="O1869" s="18" t="inlineStr"/>
      <c r="P1869" s="18" t="inlineStr">
        <is>
          <t>Mapeada en internal-institutional-control-service/src/esap/plan-individual/entities/plan-individual.entity.ts:77 (PlanIndividual.equipoAuditor) | Validación: IsObject, IsOptional</t>
        </is>
      </c>
      <c r="Q1869" s="18" t="inlineStr">
        <is>
          <t>Propuesta semántica</t>
        </is>
      </c>
      <c r="R1869" s="18" t="inlineStr">
        <is>
          <t>Equipo auditor asignado a la auditoría, como objeto JSON.</t>
        </is>
      </c>
      <c r="S1869" s="18" t="inlineStr">
        <is>
          <t>Media</t>
        </is>
      </c>
      <c r="T1869" s="18" t="inlineStr">
        <is>
          <t>nombre + tipo + validaciones del DTO</t>
        </is>
      </c>
      <c r="U1869" s="18" t="inlineStr">
        <is>
          <t>¿Qué estructura tiene el objeto (líder, auditores, expertos)?</t>
        </is>
      </c>
      <c r="V1869" s="19" t="inlineStr">
        <is>
          <t>Pendiente</t>
        </is>
      </c>
      <c r="W1869" s="19" t="inlineStr"/>
      <c r="X1869" s="19" t="inlineStr"/>
      <c r="Y1869" s="20" t="n"/>
      <c r="Z1869" s="19" t="inlineStr"/>
      <c r="AA1869" s="18">
        <f>IF(OR(V1869="Aprobada"),R1869,IF(AND(OR(V1869="Aprobada con ajuste",V1869="Rechazada"),W1869&lt;&gt;""),W1869,""))</f>
        <v/>
      </c>
    </row>
    <row r="1870">
      <c r="A1870" s="18" t="inlineStr">
        <is>
          <t>C1869</t>
        </is>
      </c>
      <c r="B1870" s="18" t="inlineStr">
        <is>
          <t>Control interno</t>
        </is>
      </c>
      <c r="C1870" s="18" t="inlineStr">
        <is>
          <t>control_interno</t>
        </is>
      </c>
      <c r="D1870" s="18" t="inlineStr">
        <is>
          <t>plan_individual</t>
        </is>
      </c>
      <c r="E1870" s="18" t="n">
        <v>0</v>
      </c>
      <c r="F1870" s="18" t="inlineStr">
        <is>
          <t>documentos</t>
        </is>
      </c>
      <c r="G1870" s="18" t="inlineStr">
        <is>
          <t>jsonb</t>
        </is>
      </c>
      <c r="H1870" s="18" t="inlineStr">
        <is>
          <t>No</t>
        </is>
      </c>
      <c r="I1870" s="18" t="inlineStr"/>
      <c r="J1870" s="18" t="inlineStr"/>
      <c r="K1870" s="18" t="inlineStr"/>
      <c r="L1870" s="18" t="inlineStr">
        <is>
          <t>No</t>
        </is>
      </c>
      <c r="M1870" s="18" t="inlineStr">
        <is>
          <t>No</t>
        </is>
      </c>
      <c r="N1870" s="18" t="inlineStr"/>
      <c r="O1870" s="18" t="inlineStr"/>
      <c r="P1870" s="18" t="inlineStr">
        <is>
          <t>Mapeada en internal-institutional-control-service/src/esap/plan-individual/entities/plan-individual.entity.ts:98 (PlanIndividual.documentos) | Validación: IsArray, IsOptional</t>
        </is>
      </c>
      <c r="Q1870" s="18" t="inlineStr">
        <is>
          <t>Propuesta semántica</t>
        </is>
      </c>
      <c r="R1870" s="18" t="inlineStr">
        <is>
          <t>Documentos asociados al plan individual, como arreglo JSON.</t>
        </is>
      </c>
      <c r="S1870" s="18" t="inlineStr">
        <is>
          <t>Media</t>
        </is>
      </c>
      <c r="T1870" s="18" t="inlineStr">
        <is>
          <t>nombre + tipo + validaciones del DTO</t>
        </is>
      </c>
      <c r="U1870" s="18" t="inlineStr">
        <is>
          <t>¿Cada documento guarda nombre, ruta o identificador de la biblioteca?</t>
        </is>
      </c>
      <c r="V1870" s="19" t="inlineStr">
        <is>
          <t>Pendiente</t>
        </is>
      </c>
      <c r="W1870" s="19" t="inlineStr"/>
      <c r="X1870" s="19" t="inlineStr"/>
      <c r="Y1870" s="20" t="n"/>
      <c r="Z1870" s="19" t="inlineStr"/>
      <c r="AA1870" s="18">
        <f>IF(OR(V1870="Aprobada"),R1870,IF(AND(OR(V1870="Aprobada con ajuste",V1870="Rechazada"),W1870&lt;&gt;""),W1870,""))</f>
        <v/>
      </c>
    </row>
    <row r="1871">
      <c r="A1871" s="18" t="inlineStr">
        <is>
          <t>C1870</t>
        </is>
      </c>
      <c r="B1871" s="18" t="inlineStr">
        <is>
          <t>Control interno</t>
        </is>
      </c>
      <c r="C1871" s="18" t="inlineStr">
        <is>
          <t>control_interno</t>
        </is>
      </c>
      <c r="D1871" s="18" t="inlineStr">
        <is>
          <t>plan_individual</t>
        </is>
      </c>
      <c r="E1871" s="18" t="n">
        <v>0</v>
      </c>
      <c r="F1871" s="18" t="inlineStr">
        <is>
          <t>estado</t>
        </is>
      </c>
      <c r="G1871" s="18" t="inlineStr">
        <is>
          <t>character varying(50)</t>
        </is>
      </c>
      <c r="H1871" s="18" t="inlineStr">
        <is>
          <t>No</t>
        </is>
      </c>
      <c r="I1871" s="18" t="inlineStr">
        <is>
          <t>CHECK</t>
        </is>
      </c>
      <c r="J1871" s="18" t="inlineStr">
        <is>
          <t>aceptado, borrador, enviado</t>
        </is>
      </c>
      <c r="K1871" s="18" t="inlineStr"/>
      <c r="L1871" s="18" t="inlineStr">
        <is>
          <t>Sí</t>
        </is>
      </c>
      <c r="M1871" s="18" t="inlineStr">
        <is>
          <t>No</t>
        </is>
      </c>
      <c r="N1871" s="18" t="inlineStr"/>
      <c r="O1871" s="18" t="inlineStr">
        <is>
          <t>idx_plan_individual_estado</t>
        </is>
      </c>
      <c r="P1871" s="18" t="inlineStr">
        <is>
          <t>Mapeada en internal-institutional-control-service/src/esap/plan-individual/entities/plan-individual.entity.ts:107 (PlanIndividual.estado) | Validación: IsEnum(AccionCorrectivaEstado), IsEnum(EstadoEtapa), IsEnum(EstadoPlanIndividual), IsEnum(EstadoTarea), IsEnum(HallazgoEstado), IsEnum(PlanMejoramientoEstado)</t>
        </is>
      </c>
      <c r="Q1871" s="18" t="inlineStr">
        <is>
          <t>Regla estructural</t>
        </is>
      </c>
      <c r="R1871" s="18" t="inlineStr">
        <is>
          <t>Estado del registro de plan_individual.</t>
        </is>
      </c>
      <c r="S1871" s="18" t="inlineStr">
        <is>
          <t>Media</t>
        </is>
      </c>
      <c r="T1871" s="18" t="inlineStr">
        <is>
          <t>Convención de nombre de la columna.</t>
        </is>
      </c>
      <c r="U1871" s="18" t="inlineStr"/>
      <c r="V1871" s="19" t="inlineStr">
        <is>
          <t>Pendiente</t>
        </is>
      </c>
      <c r="W1871" s="19" t="inlineStr"/>
      <c r="X1871" s="19" t="inlineStr"/>
      <c r="Y1871" s="20" t="n"/>
      <c r="Z1871" s="19" t="inlineStr"/>
      <c r="AA1871" s="18">
        <f>IF(OR(V1871="Aprobada"),R1871,IF(AND(OR(V1871="Aprobada con ajuste",V1871="Rechazada"),W1871&lt;&gt;""),W1871,""))</f>
        <v/>
      </c>
    </row>
    <row r="1872">
      <c r="A1872" s="18" t="inlineStr">
        <is>
          <t>C1871</t>
        </is>
      </c>
      <c r="B1872" s="18" t="inlineStr">
        <is>
          <t>Control interno</t>
        </is>
      </c>
      <c r="C1872" s="18" t="inlineStr">
        <is>
          <t>control_interno</t>
        </is>
      </c>
      <c r="D1872" s="18" t="inlineStr">
        <is>
          <t>plan_individual</t>
        </is>
      </c>
      <c r="E1872" s="18" t="n">
        <v>0</v>
      </c>
      <c r="F1872" s="18" t="inlineStr">
        <is>
          <t>fecha_envio</t>
        </is>
      </c>
      <c r="G1872" s="18" t="inlineStr">
        <is>
          <t>date</t>
        </is>
      </c>
      <c r="H1872" s="18" t="inlineStr">
        <is>
          <t>Sí</t>
        </is>
      </c>
      <c r="I1872" s="18" t="inlineStr"/>
      <c r="J1872" s="18" t="inlineStr"/>
      <c r="K1872" s="18" t="inlineStr"/>
      <c r="L1872" s="18" t="inlineStr">
        <is>
          <t>No</t>
        </is>
      </c>
      <c r="M1872" s="18" t="inlineStr">
        <is>
          <t>No</t>
        </is>
      </c>
      <c r="N1872" s="18" t="inlineStr"/>
      <c r="O1872" s="18" t="inlineStr"/>
      <c r="P1872" s="18" t="inlineStr">
        <is>
          <t>Mapeada en internal-institutional-control-service/src/esap/plan-individual/entities/plan-individual.entity.ts:118 (PlanIndividual.fechaEnvio)</t>
        </is>
      </c>
      <c r="Q1872" s="18" t="inlineStr">
        <is>
          <t>Regla estructural</t>
        </is>
      </c>
      <c r="R1872" s="18" t="inlineStr">
        <is>
          <t>Fecha de envio.</t>
        </is>
      </c>
      <c r="S1872" s="18" t="inlineStr">
        <is>
          <t>Media</t>
        </is>
      </c>
      <c r="T1872" s="18" t="inlineStr">
        <is>
          <t>Convención de nombre de la columna.</t>
        </is>
      </c>
      <c r="U1872" s="18" t="inlineStr"/>
      <c r="V1872" s="19" t="inlineStr">
        <is>
          <t>Pendiente</t>
        </is>
      </c>
      <c r="W1872" s="19" t="inlineStr"/>
      <c r="X1872" s="19" t="inlineStr"/>
      <c r="Y1872" s="20" t="n"/>
      <c r="Z1872" s="19" t="inlineStr"/>
      <c r="AA1872" s="18">
        <f>IF(OR(V1872="Aprobada"),R1872,IF(AND(OR(V1872="Aprobada con ajuste",V1872="Rechazada"),W1872&lt;&gt;""),W1872,""))</f>
        <v/>
      </c>
    </row>
    <row r="1873">
      <c r="A1873" s="18" t="inlineStr">
        <is>
          <t>C1872</t>
        </is>
      </c>
      <c r="B1873" s="18" t="inlineStr">
        <is>
          <t>Control interno</t>
        </is>
      </c>
      <c r="C1873" s="18" t="inlineStr">
        <is>
          <t>control_interno</t>
        </is>
      </c>
      <c r="D1873" s="18" t="inlineStr">
        <is>
          <t>plan_individual</t>
        </is>
      </c>
      <c r="E1873" s="18" t="n">
        <v>0</v>
      </c>
      <c r="F1873" s="18" t="inlineStr">
        <is>
          <t>enviado_por</t>
        </is>
      </c>
      <c r="G1873" s="18" t="inlineStr">
        <is>
          <t>character varying(255)</t>
        </is>
      </c>
      <c r="H1873" s="18" t="inlineStr">
        <is>
          <t>Sí</t>
        </is>
      </c>
      <c r="I1873" s="18" t="inlineStr"/>
      <c r="J1873" s="18" t="inlineStr"/>
      <c r="K1873" s="18" t="inlineStr"/>
      <c r="L1873" s="18" t="inlineStr">
        <is>
          <t>No</t>
        </is>
      </c>
      <c r="M1873" s="18" t="inlineStr">
        <is>
          <t>No</t>
        </is>
      </c>
      <c r="N1873" s="18" t="inlineStr"/>
      <c r="O1873" s="18" t="inlineStr"/>
      <c r="P1873" s="18" t="inlineStr">
        <is>
          <t>Mapeada en internal-institutional-control-service/src/esap/plan-individual/entities/plan-individual.entity.ts:121 (PlanIndividual.enviadoPor) | Validación: IsOptional, IsString, Length(0, 255)</t>
        </is>
      </c>
      <c r="Q1873" s="18" t="inlineStr">
        <is>
          <t>Regla estructural</t>
        </is>
      </c>
      <c r="R1873" s="18" t="inlineStr">
        <is>
          <t>Usuario que realizó el envío.</t>
        </is>
      </c>
      <c r="S1873" s="18" t="inlineStr">
        <is>
          <t>Media</t>
        </is>
      </c>
      <c r="T1873" s="18" t="inlineStr">
        <is>
          <t>Convención de nombre de la columna.</t>
        </is>
      </c>
      <c r="U1873" s="18" t="inlineStr"/>
      <c r="V1873" s="19" t="inlineStr">
        <is>
          <t>Pendiente</t>
        </is>
      </c>
      <c r="W1873" s="19" t="inlineStr"/>
      <c r="X1873" s="19" t="inlineStr"/>
      <c r="Y1873" s="20" t="n"/>
      <c r="Z1873" s="19" t="inlineStr"/>
      <c r="AA1873" s="18">
        <f>IF(OR(V1873="Aprobada"),R1873,IF(AND(OR(V1873="Aprobada con ajuste",V1873="Rechazada"),W1873&lt;&gt;""),W1873,""))</f>
        <v/>
      </c>
    </row>
    <row r="1874">
      <c r="A1874" s="18" t="inlineStr">
        <is>
          <t>C1873</t>
        </is>
      </c>
      <c r="B1874" s="18" t="inlineStr">
        <is>
          <t>Control interno</t>
        </is>
      </c>
      <c r="C1874" s="18" t="inlineStr">
        <is>
          <t>control_interno</t>
        </is>
      </c>
      <c r="D1874" s="18" t="inlineStr">
        <is>
          <t>plan_mejoramiento</t>
        </is>
      </c>
      <c r="E1874" s="18" t="n">
        <v>14</v>
      </c>
      <c r="F1874" s="18" t="inlineStr">
        <is>
          <t>codigo</t>
        </is>
      </c>
      <c r="G1874" s="18" t="inlineStr">
        <is>
          <t>character varying(255)</t>
        </is>
      </c>
      <c r="H1874" s="18" t="inlineStr">
        <is>
          <t>No</t>
        </is>
      </c>
      <c r="I1874" s="18" t="inlineStr">
        <is>
          <t>Única</t>
        </is>
      </c>
      <c r="J1874" s="18" t="inlineStr"/>
      <c r="K1874" s="18" t="inlineStr"/>
      <c r="L1874" s="18" t="inlineStr">
        <is>
          <t>No</t>
        </is>
      </c>
      <c r="M1874" s="18" t="inlineStr">
        <is>
          <t>No</t>
        </is>
      </c>
      <c r="N1874" s="18" t="inlineStr"/>
      <c r="O1874" s="18" t="inlineStr">
        <is>
          <t>plan_mejoramiento_codigo_key</t>
        </is>
      </c>
      <c r="P1874" s="18" t="inlineStr">
        <is>
          <t>Mapeada en internal-institutional-control-service/src/esap/planes-mejoramiento/entities/plan-mejoramiento.entity.ts:31 (PlanMejoramiento.codigo) | Validación: IsNotEmpty, IsOptional, IsString, Length(1, 50), MaxLength(80)</t>
        </is>
      </c>
      <c r="Q1874" s="18" t="inlineStr">
        <is>
          <t>Regla estructural</t>
        </is>
      </c>
      <c r="R1874" s="18" t="inlineStr">
        <is>
          <t>Código del registro de plan_mejoramiento. Único en la tabla.</t>
        </is>
      </c>
      <c r="S1874" s="18" t="inlineStr">
        <is>
          <t>Media</t>
        </is>
      </c>
      <c r="T1874" s="18" t="inlineStr">
        <is>
          <t>Convención de nombre de la columna.</t>
        </is>
      </c>
      <c r="U1874" s="18" t="inlineStr"/>
      <c r="V1874" s="19" t="inlineStr">
        <is>
          <t>Pendiente</t>
        </is>
      </c>
      <c r="W1874" s="19" t="inlineStr"/>
      <c r="X1874" s="19" t="inlineStr"/>
      <c r="Y1874" s="20" t="n"/>
      <c r="Z1874" s="19" t="inlineStr"/>
      <c r="AA1874" s="18">
        <f>IF(OR(V1874="Aprobada"),R1874,IF(AND(OR(V1874="Aprobada con ajuste",V1874="Rechazada"),W1874&lt;&gt;""),W1874,""))</f>
        <v/>
      </c>
    </row>
    <row r="1875">
      <c r="A1875" s="18" t="inlineStr">
        <is>
          <t>C1874</t>
        </is>
      </c>
      <c r="B1875" s="18" t="inlineStr">
        <is>
          <t>Control interno</t>
        </is>
      </c>
      <c r="C1875" s="18" t="inlineStr">
        <is>
          <t>control_interno</t>
        </is>
      </c>
      <c r="D1875" s="18" t="inlineStr">
        <is>
          <t>plan_mejoramiento</t>
        </is>
      </c>
      <c r="E1875" s="18" t="n">
        <v>14</v>
      </c>
      <c r="F1875" s="18" t="inlineStr">
        <is>
          <t>hallazgo_codigo</t>
        </is>
      </c>
      <c r="G1875" s="18" t="inlineStr">
        <is>
          <t>character varying(255)</t>
        </is>
      </c>
      <c r="H1875" s="18" t="inlineStr">
        <is>
          <t>Sí</t>
        </is>
      </c>
      <c r="I1875" s="18" t="inlineStr"/>
      <c r="J1875" s="18" t="inlineStr"/>
      <c r="K1875" s="18" t="inlineStr"/>
      <c r="L1875" s="18" t="inlineStr">
        <is>
          <t>No</t>
        </is>
      </c>
      <c r="M1875" s="18" t="inlineStr">
        <is>
          <t>No</t>
        </is>
      </c>
      <c r="N1875" s="18" t="inlineStr"/>
      <c r="O1875" s="18" t="inlineStr"/>
      <c r="P1875" s="18" t="inlineStr"/>
      <c r="Q1875" s="18" t="inlineStr">
        <is>
          <t>Propuesta semántica</t>
        </is>
      </c>
      <c r="R1875" s="18" t="inlineStr">
        <is>
          <t>Código del hallazgo que origina el plan de mejoramiento.</t>
        </is>
      </c>
      <c r="S1875" s="18" t="inlineStr">
        <is>
          <t>Media</t>
        </is>
      </c>
      <c r="T1875" s="18" t="inlineStr">
        <is>
          <t>nombre + tipo + columnas vecinas</t>
        </is>
      </c>
      <c r="U1875" s="18" t="inlineStr">
        <is>
          <t>¿Es una copia del código del hallazgo referenciado por hallazgo_id?</t>
        </is>
      </c>
      <c r="V1875" s="19" t="inlineStr">
        <is>
          <t>Pendiente</t>
        </is>
      </c>
      <c r="W1875" s="19" t="inlineStr"/>
      <c r="X1875" s="19" t="inlineStr"/>
      <c r="Y1875" s="20" t="n"/>
      <c r="Z1875" s="19" t="inlineStr"/>
      <c r="AA1875" s="18">
        <f>IF(OR(V1875="Aprobada"),R1875,IF(AND(OR(V1875="Aprobada con ajuste",V1875="Rechazada"),W1875&lt;&gt;""),W1875,""))</f>
        <v/>
      </c>
    </row>
    <row r="1876">
      <c r="A1876" s="18" t="inlineStr">
        <is>
          <t>C1875</t>
        </is>
      </c>
      <c r="B1876" s="18" t="inlineStr">
        <is>
          <t>Control interno</t>
        </is>
      </c>
      <c r="C1876" s="18" t="inlineStr">
        <is>
          <t>control_interno</t>
        </is>
      </c>
      <c r="D1876" s="18" t="inlineStr">
        <is>
          <t>plan_mejoramiento</t>
        </is>
      </c>
      <c r="E1876" s="18" t="n">
        <v>14</v>
      </c>
      <c r="F1876" s="18" t="inlineStr">
        <is>
          <t>titulo</t>
        </is>
      </c>
      <c r="G1876" s="18" t="inlineStr">
        <is>
          <t>character varying(255)</t>
        </is>
      </c>
      <c r="H1876" s="18" t="inlineStr">
        <is>
          <t>No</t>
        </is>
      </c>
      <c r="I1876" s="18" t="inlineStr"/>
      <c r="J1876" s="18" t="inlineStr"/>
      <c r="K1876" s="18" t="inlineStr"/>
      <c r="L1876" s="18" t="inlineStr">
        <is>
          <t>No</t>
        </is>
      </c>
      <c r="M1876" s="18" t="inlineStr">
        <is>
          <t>No</t>
        </is>
      </c>
      <c r="N1876" s="18" t="inlineStr"/>
      <c r="O1876" s="18" t="inlineStr"/>
      <c r="P1876" s="18" t="inlineStr">
        <is>
          <t>Mapeada en internal-institutional-control-service/src/esap/planes-mejoramiento/entities/plan-mejoramiento.entity.ts:34 (PlanMejoramiento.titulo) | Validación: IsNotEmpty, IsOptional, IsString, MaxLength(255), MaxLength(500)</t>
        </is>
      </c>
      <c r="Q1876" s="18" t="inlineStr">
        <is>
          <t>Propuesta semántica</t>
        </is>
      </c>
      <c r="R1876" s="18" t="inlineStr">
        <is>
          <t>Título del plan de mejoramiento.</t>
        </is>
      </c>
      <c r="S1876" s="18" t="inlineStr">
        <is>
          <t>Alta</t>
        </is>
      </c>
      <c r="T1876" s="18" t="inlineStr">
        <is>
          <t>nombre + tipo + columnas vecinas</t>
        </is>
      </c>
      <c r="U1876" s="18" t="inlineStr"/>
      <c r="V1876" s="19" t="inlineStr">
        <is>
          <t>Pendiente</t>
        </is>
      </c>
      <c r="W1876" s="19" t="inlineStr"/>
      <c r="X1876" s="19" t="inlineStr"/>
      <c r="Y1876" s="20" t="n"/>
      <c r="Z1876" s="19" t="inlineStr"/>
      <c r="AA1876" s="18">
        <f>IF(OR(V1876="Aprobada"),R1876,IF(AND(OR(V1876="Aprobada con ajuste",V1876="Rechazada"),W1876&lt;&gt;""),W1876,""))</f>
        <v/>
      </c>
    </row>
    <row r="1877">
      <c r="A1877" s="18" t="inlineStr">
        <is>
          <t>C1876</t>
        </is>
      </c>
      <c r="B1877" s="18" t="inlineStr">
        <is>
          <t>Control interno</t>
        </is>
      </c>
      <c r="C1877" s="18" t="inlineStr">
        <is>
          <t>control_interno</t>
        </is>
      </c>
      <c r="D1877" s="18" t="inlineStr">
        <is>
          <t>plan_mejoramiento</t>
        </is>
      </c>
      <c r="E1877" s="18" t="n">
        <v>14</v>
      </c>
      <c r="F1877" s="18" t="inlineStr">
        <is>
          <t>descripcion</t>
        </is>
      </c>
      <c r="G1877" s="18" t="inlineStr">
        <is>
          <t>text</t>
        </is>
      </c>
      <c r="H1877" s="18" t="inlineStr">
        <is>
          <t>Sí</t>
        </is>
      </c>
      <c r="I1877" s="18" t="inlineStr"/>
      <c r="J1877" s="18" t="inlineStr"/>
      <c r="K1877" s="18" t="inlineStr"/>
      <c r="L1877" s="18" t="inlineStr">
        <is>
          <t>No</t>
        </is>
      </c>
      <c r="M1877" s="18" t="inlineStr">
        <is>
          <t>No</t>
        </is>
      </c>
      <c r="N1877" s="18" t="inlineStr"/>
      <c r="O1877" s="18" t="inlineStr"/>
      <c r="P1877" s="18" t="inlineStr">
        <is>
          <t>Mapeada en internal-institutional-control-service/src/esap/planes-mejoramiento/entities/plan-mejoramiento.entity.ts:37 (PlanMejoramiento.descripcion) | Validación: IsNotEmpty, IsOptional, IsString</t>
        </is>
      </c>
      <c r="Q1877" s="18" t="inlineStr">
        <is>
          <t>Regla estructural</t>
        </is>
      </c>
      <c r="R1877" s="18" t="inlineStr">
        <is>
          <t>Descripción del registro de plan_mejoramiento.</t>
        </is>
      </c>
      <c r="S1877" s="18" t="inlineStr">
        <is>
          <t>Media</t>
        </is>
      </c>
      <c r="T1877" s="18" t="inlineStr">
        <is>
          <t>Convención de nombre de la columna.</t>
        </is>
      </c>
      <c r="U1877" s="18" t="inlineStr"/>
      <c r="V1877" s="19" t="inlineStr">
        <is>
          <t>Pendiente</t>
        </is>
      </c>
      <c r="W1877" s="19" t="inlineStr"/>
      <c r="X1877" s="19" t="inlineStr"/>
      <c r="Y1877" s="20" t="n"/>
      <c r="Z1877" s="19" t="inlineStr"/>
      <c r="AA1877" s="18">
        <f>IF(OR(V1877="Aprobada"),R1877,IF(AND(OR(V1877="Aprobada con ajuste",V1877="Rechazada"),W1877&lt;&gt;""),W1877,""))</f>
        <v/>
      </c>
    </row>
    <row r="1878">
      <c r="A1878" s="18" t="inlineStr">
        <is>
          <t>C1877</t>
        </is>
      </c>
      <c r="B1878" s="18" t="inlineStr">
        <is>
          <t>Control interno</t>
        </is>
      </c>
      <c r="C1878" s="18" t="inlineStr">
        <is>
          <t>control_interno</t>
        </is>
      </c>
      <c r="D1878" s="18" t="inlineStr">
        <is>
          <t>plan_mejoramiento</t>
        </is>
      </c>
      <c r="E1878" s="18" t="n">
        <v>14</v>
      </c>
      <c r="F1878" s="18" t="inlineStr">
        <is>
          <t>objetivos</t>
        </is>
      </c>
      <c r="G1878" s="18" t="inlineStr">
        <is>
          <t>jsonb</t>
        </is>
      </c>
      <c r="H1878" s="18" t="inlineStr">
        <is>
          <t>No</t>
        </is>
      </c>
      <c r="I1878" s="18" t="inlineStr"/>
      <c r="J1878" s="18" t="inlineStr"/>
      <c r="K1878" s="18" t="inlineStr"/>
      <c r="L1878" s="18" t="inlineStr">
        <is>
          <t>No</t>
        </is>
      </c>
      <c r="M1878" s="18" t="inlineStr">
        <is>
          <t>No</t>
        </is>
      </c>
      <c r="N1878" s="18" t="inlineStr"/>
      <c r="O1878" s="18" t="inlineStr"/>
      <c r="P1878" s="18" t="inlineStr">
        <is>
          <t>Mapeada en internal-institutional-control-service/src/esap/planes-mejoramiento/entities/plan-mejoramiento.entity.ts:40 (PlanMejoramiento.objetivos) | Validación: IsArray, IsOptional, IsString({ each: true })</t>
        </is>
      </c>
      <c r="Q1878" s="18" t="inlineStr">
        <is>
          <t>Propuesta semántica</t>
        </is>
      </c>
      <c r="R1878" s="18" t="inlineStr">
        <is>
          <t>Objetivos del plan de mejoramiento, como arreglo JSON de textos.</t>
        </is>
      </c>
      <c r="S1878" s="18" t="inlineStr">
        <is>
          <t>Alta</t>
        </is>
      </c>
      <c r="T1878" s="18" t="inlineStr">
        <is>
          <t>nombre + tipo + validaciones del DTO</t>
        </is>
      </c>
      <c r="U1878" s="18" t="inlineStr"/>
      <c r="V1878" s="19" t="inlineStr">
        <is>
          <t>Pendiente</t>
        </is>
      </c>
      <c r="W1878" s="19" t="inlineStr"/>
      <c r="X1878" s="19" t="inlineStr"/>
      <c r="Y1878" s="20" t="n"/>
      <c r="Z1878" s="19" t="inlineStr"/>
      <c r="AA1878" s="18">
        <f>IF(OR(V1878="Aprobada"),R1878,IF(AND(OR(V1878="Aprobada con ajuste",V1878="Rechazada"),W1878&lt;&gt;""),W1878,""))</f>
        <v/>
      </c>
    </row>
    <row r="1879">
      <c r="A1879" s="18" t="inlineStr">
        <is>
          <t>C1878</t>
        </is>
      </c>
      <c r="B1879" s="18" t="inlineStr">
        <is>
          <t>Control interno</t>
        </is>
      </c>
      <c r="C1879" s="18" t="inlineStr">
        <is>
          <t>control_interno</t>
        </is>
      </c>
      <c r="D1879" s="18" t="inlineStr">
        <is>
          <t>plan_mejoramiento</t>
        </is>
      </c>
      <c r="E1879" s="18" t="n">
        <v>14</v>
      </c>
      <c r="F1879" s="18" t="inlineStr">
        <is>
          <t>area_responsable</t>
        </is>
      </c>
      <c r="G1879" s="18" t="inlineStr">
        <is>
          <t>character varying(255)</t>
        </is>
      </c>
      <c r="H1879" s="18" t="inlineStr">
        <is>
          <t>No</t>
        </is>
      </c>
      <c r="I1879" s="18" t="inlineStr"/>
      <c r="J1879" s="18" t="inlineStr"/>
      <c r="K1879" s="18" t="inlineStr"/>
      <c r="L1879" s="18" t="inlineStr">
        <is>
          <t>No</t>
        </is>
      </c>
      <c r="M1879" s="18" t="inlineStr">
        <is>
          <t>Sí</t>
        </is>
      </c>
      <c r="N1879" s="18" t="inlineStr">
        <is>
          <t>Función control_interno.trigger_evento_creacion_plan — control_interno.trigger_evento_creacion_plan: 'area_responsable', NEW.area_responsable</t>
        </is>
      </c>
      <c r="O1879" s="18" t="inlineStr"/>
      <c r="P1879" s="18" t="inlineStr">
        <is>
          <t>Mapeada en internal-institutional-control-service/src/esap/planes-mejoramiento/entities/plan-mejoramiento.entity.ts:57 (PlanMejoramiento.areaResponsable) | Validación: IsNotEmpty, IsOptional, IsString, Length(1, 255), MaxLength(255)</t>
        </is>
      </c>
      <c r="Q1879" s="18" t="inlineStr">
        <is>
          <t>Propuesta semántica</t>
        </is>
      </c>
      <c r="R1879" s="18" t="inlineStr">
        <is>
          <t>Área responsable de implementar el plan de mejoramiento.</t>
        </is>
      </c>
      <c r="S1879" s="18" t="inlineStr">
        <is>
          <t>Alta</t>
        </is>
      </c>
      <c r="T1879" s="18" t="inlineStr">
        <is>
          <t>nombre + uso en trigger_evento_creacion_plan</t>
        </is>
      </c>
      <c r="U1879" s="18" t="inlineStr"/>
      <c r="V1879" s="19" t="inlineStr">
        <is>
          <t>Pendiente</t>
        </is>
      </c>
      <c r="W1879" s="19" t="inlineStr"/>
      <c r="X1879" s="19" t="inlineStr"/>
      <c r="Y1879" s="20" t="n"/>
      <c r="Z1879" s="19" t="inlineStr"/>
      <c r="AA1879" s="18">
        <f>IF(OR(V1879="Aprobada"),R1879,IF(AND(OR(V1879="Aprobada con ajuste",V1879="Rechazada"),W1879&lt;&gt;""),W1879,""))</f>
        <v/>
      </c>
    </row>
    <row r="1880">
      <c r="A1880" s="18" t="inlineStr">
        <is>
          <t>C1879</t>
        </is>
      </c>
      <c r="B1880" s="18" t="inlineStr">
        <is>
          <t>Control interno</t>
        </is>
      </c>
      <c r="C1880" s="18" t="inlineStr">
        <is>
          <t>control_interno</t>
        </is>
      </c>
      <c r="D1880" s="18" t="inlineStr">
        <is>
          <t>plan_mejoramiento</t>
        </is>
      </c>
      <c r="E1880" s="18" t="n">
        <v>14</v>
      </c>
      <c r="F1880" s="18" t="inlineStr">
        <is>
          <t>responsable_implementacion</t>
        </is>
      </c>
      <c r="G1880" s="18" t="inlineStr">
        <is>
          <t>character varying(255)</t>
        </is>
      </c>
      <c r="H1880" s="18" t="inlineStr">
        <is>
          <t>No</t>
        </is>
      </c>
      <c r="I1880" s="18" t="inlineStr"/>
      <c r="J1880" s="18" t="inlineStr"/>
      <c r="K1880" s="18" t="inlineStr"/>
      <c r="L1880" s="18" t="inlineStr">
        <is>
          <t>No</t>
        </is>
      </c>
      <c r="M1880" s="18" t="inlineStr">
        <is>
          <t>Sí</t>
        </is>
      </c>
      <c r="N1880" s="18" t="inlineStr">
        <is>
          <t>Función control_interno.trigger_evento_actualizacion_plan; Función control_interno.trigger_evento_creacion_plan — control_interno.trigger_evento_actualizacion_plan: COALESCE(NEW.aprobado_por, NEW.responsable_implementacion),  -- usar aprobado_por si es aprobación, sino responsable_imp | control_interno.trigger_evento_creacion_plan: NEW.responsable_implementacion,  -- usar responsable_implementacion</t>
        </is>
      </c>
      <c r="O1880" s="18" t="inlineStr"/>
      <c r="P1880" s="18" t="inlineStr">
        <is>
          <t>Mapeada en internal-institutional-control-service/src/esap/planes-mejoramiento/entities/plan-mejoramiento.entity.ts:60 (PlanMejoramiento.responsableImplementacion) | Validación: IsNotEmpty, IsOptional, IsString, MaxLength(255)</t>
        </is>
      </c>
      <c r="Q1880" s="18" t="inlineStr">
        <is>
          <t>Propuesta semántica</t>
        </is>
      </c>
      <c r="R1880" s="18" t="inlineStr">
        <is>
          <t>Persona responsable de implementar el plan de mejoramiento; se registra como actor del evento de creación.</t>
        </is>
      </c>
      <c r="S1880" s="18" t="inlineStr">
        <is>
          <t>Media</t>
        </is>
      </c>
      <c r="T1880" s="18" t="inlineStr">
        <is>
          <t>uso en trigger_evento_creacion_plan y trigger_evento_actualizacion_plan</t>
        </is>
      </c>
      <c r="U1880" s="18" t="inlineStr">
        <is>
          <t>¿Guarda el nombre, el correo o el identificador del responsable?</t>
        </is>
      </c>
      <c r="V1880" s="19" t="inlineStr">
        <is>
          <t>Pendiente</t>
        </is>
      </c>
      <c r="W1880" s="19" t="inlineStr"/>
      <c r="X1880" s="19" t="inlineStr"/>
      <c r="Y1880" s="20" t="n"/>
      <c r="Z1880" s="19" t="inlineStr"/>
      <c r="AA1880" s="18">
        <f>IF(OR(V1880="Aprobada"),R1880,IF(AND(OR(V1880="Aprobada con ajuste",V1880="Rechazada"),W1880&lt;&gt;""),W1880,""))</f>
        <v/>
      </c>
    </row>
    <row r="1881">
      <c r="A1881" s="18" t="inlineStr">
        <is>
          <t>C1880</t>
        </is>
      </c>
      <c r="B1881" s="18" t="inlineStr">
        <is>
          <t>Control interno</t>
        </is>
      </c>
      <c r="C1881" s="18" t="inlineStr">
        <is>
          <t>control_interno</t>
        </is>
      </c>
      <c r="D1881" s="18" t="inlineStr">
        <is>
          <t>plan_mejoramiento</t>
        </is>
      </c>
      <c r="E1881" s="18" t="n">
        <v>14</v>
      </c>
      <c r="F1881" s="18" t="inlineStr">
        <is>
          <t>estado</t>
        </is>
      </c>
      <c r="G1881" s="18" t="inlineStr">
        <is>
          <t>character varying(50)</t>
        </is>
      </c>
      <c r="H1881" s="18" t="inlineStr">
        <is>
          <t>No</t>
        </is>
      </c>
      <c r="I1881" s="18" t="inlineStr">
        <is>
          <t>CHECK</t>
        </is>
      </c>
      <c r="J1881" s="18" t="inlineStr">
        <is>
          <t>aprobado, borrador, completado, en_ejecucion, rechazado, revision, vencido</t>
        </is>
      </c>
      <c r="K1881" s="18" t="inlineStr"/>
      <c r="L1881" s="18" t="inlineStr">
        <is>
          <t>Sí</t>
        </is>
      </c>
      <c r="M1881" s="18" t="inlineStr">
        <is>
          <t>Sí</t>
        </is>
      </c>
      <c r="N1881" s="18" t="inlineStr">
        <is>
          <t>Función control_interno.trigger_evento_actualizacion_plan; Función control_interno.trigger_evento_creacion_plan — control_interno.trigger_evento_actualizacion_plan: -- Solo registrar si cambió el estado | control_interno.trigger_evento_creacion_plan: 'estado_inicial', NEW.estado,</t>
        </is>
      </c>
      <c r="O1881" s="18" t="inlineStr">
        <is>
          <t>idx_plan_mejoramiento_estado</t>
        </is>
      </c>
      <c r="P1881" s="18" t="inlineStr">
        <is>
          <t>Mapeada en internal-institutional-control-service/src/esap/planes-mejoramiento/entities/plan-mejoramiento.entity.ts:66 (PlanMejoramiento.estado) | Validación: IsEnum(AccionCorrectivaEstado), IsEnum(EstadoEtapa), IsEnum(EstadoPlanIndividual), IsEnum(EstadoTarea), IsEnum(HallazgoEstado), IsEnum(PlanMejoramientoEstado)</t>
        </is>
      </c>
      <c r="Q1881" s="18" t="inlineStr">
        <is>
          <t>Regla estructural</t>
        </is>
      </c>
      <c r="R1881" s="18" t="inlineStr">
        <is>
          <t>Estado del registro de plan_mejoramiento.</t>
        </is>
      </c>
      <c r="S1881" s="18" t="inlineStr">
        <is>
          <t>Media</t>
        </is>
      </c>
      <c r="T1881" s="18" t="inlineStr">
        <is>
          <t>Convención de nombre de la columna.</t>
        </is>
      </c>
      <c r="U1881" s="18" t="inlineStr"/>
      <c r="V1881" s="19" t="inlineStr">
        <is>
          <t>Pendiente</t>
        </is>
      </c>
      <c r="W1881" s="19" t="inlineStr"/>
      <c r="X1881" s="19" t="inlineStr"/>
      <c r="Y1881" s="20" t="n"/>
      <c r="Z1881" s="19" t="inlineStr"/>
      <c r="AA1881" s="18">
        <f>IF(OR(V1881="Aprobada"),R1881,IF(AND(OR(V1881="Aprobada con ajuste",V1881="Rechazada"),W1881&lt;&gt;""),W1881,""))</f>
        <v/>
      </c>
    </row>
    <row r="1882">
      <c r="A1882" s="18" t="inlineStr">
        <is>
          <t>C1881</t>
        </is>
      </c>
      <c r="B1882" s="18" t="inlineStr">
        <is>
          <t>Control interno</t>
        </is>
      </c>
      <c r="C1882" s="18" t="inlineStr">
        <is>
          <t>control_interno</t>
        </is>
      </c>
      <c r="D1882" s="18" t="inlineStr">
        <is>
          <t>plan_mejoramiento</t>
        </is>
      </c>
      <c r="E1882" s="18" t="n">
        <v>14</v>
      </c>
      <c r="F1882" s="18" t="inlineStr">
        <is>
          <t>fecha_aprobacion</t>
        </is>
      </c>
      <c r="G1882" s="18" t="inlineStr">
        <is>
          <t>date</t>
        </is>
      </c>
      <c r="H1882" s="18" t="inlineStr">
        <is>
          <t>Sí</t>
        </is>
      </c>
      <c r="I1882" s="18" t="inlineStr"/>
      <c r="J1882" s="18" t="inlineStr"/>
      <c r="K1882" s="18" t="inlineStr"/>
      <c r="L1882" s="18" t="inlineStr">
        <is>
          <t>No</t>
        </is>
      </c>
      <c r="M1882" s="18" t="inlineStr">
        <is>
          <t>No</t>
        </is>
      </c>
      <c r="N1882" s="18" t="inlineStr"/>
      <c r="O1882" s="18" t="inlineStr"/>
      <c r="P1882" s="18" t="inlineStr">
        <is>
          <t>Mapeada en internal-institutional-control-service/src/esap/planes-mejoramiento/entities/plan-mejoramiento.entity.ts:73 (PlanMejoramiento.fechaAprobacion) | Validación: IsDateString, IsOptional</t>
        </is>
      </c>
      <c r="Q1882" s="18" t="inlineStr">
        <is>
          <t>Regla estructural</t>
        </is>
      </c>
      <c r="R1882" s="18" t="inlineStr">
        <is>
          <t>Fecha de aprobación.</t>
        </is>
      </c>
      <c r="S1882" s="18" t="inlineStr">
        <is>
          <t>Media</t>
        </is>
      </c>
      <c r="T1882" s="18" t="inlineStr">
        <is>
          <t>Convención de nombre de la columna.</t>
        </is>
      </c>
      <c r="U1882" s="18" t="inlineStr"/>
      <c r="V1882" s="19" t="inlineStr">
        <is>
          <t>Pendiente</t>
        </is>
      </c>
      <c r="W1882" s="19" t="inlineStr"/>
      <c r="X1882" s="19" t="inlineStr"/>
      <c r="Y1882" s="20" t="n"/>
      <c r="Z1882" s="19" t="inlineStr"/>
      <c r="AA1882" s="18">
        <f>IF(OR(V1882="Aprobada"),R1882,IF(AND(OR(V1882="Aprobada con ajuste",V1882="Rechazada"),W1882&lt;&gt;""),W1882,""))</f>
        <v/>
      </c>
    </row>
    <row r="1883">
      <c r="A1883" s="18" t="inlineStr">
        <is>
          <t>C1882</t>
        </is>
      </c>
      <c r="B1883" s="18" t="inlineStr">
        <is>
          <t>Control interno</t>
        </is>
      </c>
      <c r="C1883" s="18" t="inlineStr">
        <is>
          <t>control_interno</t>
        </is>
      </c>
      <c r="D1883" s="18" t="inlineStr">
        <is>
          <t>plan_mejoramiento</t>
        </is>
      </c>
      <c r="E1883" s="18" t="n">
        <v>14</v>
      </c>
      <c r="F1883" s="18" t="inlineStr">
        <is>
          <t>fecha_inicio_ejecucion</t>
        </is>
      </c>
      <c r="G1883" s="18" t="inlineStr">
        <is>
          <t>date</t>
        </is>
      </c>
      <c r="H1883" s="18" t="inlineStr">
        <is>
          <t>Sí</t>
        </is>
      </c>
      <c r="I1883" s="18" t="inlineStr"/>
      <c r="J1883" s="18" t="inlineStr"/>
      <c r="K1883" s="18" t="inlineStr"/>
      <c r="L1883" s="18" t="inlineStr">
        <is>
          <t>No</t>
        </is>
      </c>
      <c r="M1883" s="18" t="inlineStr">
        <is>
          <t>No</t>
        </is>
      </c>
      <c r="N1883" s="18" t="inlineStr"/>
      <c r="O1883" s="18" t="inlineStr"/>
      <c r="P1883" s="18" t="inlineStr"/>
      <c r="Q1883" s="18" t="inlineStr">
        <is>
          <t>Regla estructural</t>
        </is>
      </c>
      <c r="R1883" s="18" t="inlineStr">
        <is>
          <t>Fecha de inicio ejecución.</t>
        </is>
      </c>
      <c r="S1883" s="18" t="inlineStr">
        <is>
          <t>Media</t>
        </is>
      </c>
      <c r="T1883" s="18" t="inlineStr">
        <is>
          <t>Convención de nombre de la columna.</t>
        </is>
      </c>
      <c r="U1883" s="18" t="inlineStr"/>
      <c r="V1883" s="19" t="inlineStr">
        <is>
          <t>Pendiente</t>
        </is>
      </c>
      <c r="W1883" s="19" t="inlineStr"/>
      <c r="X1883" s="19" t="inlineStr"/>
      <c r="Y1883" s="20" t="n"/>
      <c r="Z1883" s="19" t="inlineStr"/>
      <c r="AA1883" s="18">
        <f>IF(OR(V1883="Aprobada"),R1883,IF(AND(OR(V1883="Aprobada con ajuste",V1883="Rechazada"),W1883&lt;&gt;""),W1883,""))</f>
        <v/>
      </c>
    </row>
    <row r="1884">
      <c r="A1884" s="18" t="inlineStr">
        <is>
          <t>C1883</t>
        </is>
      </c>
      <c r="B1884" s="18" t="inlineStr">
        <is>
          <t>Control interno</t>
        </is>
      </c>
      <c r="C1884" s="18" t="inlineStr">
        <is>
          <t>control_interno</t>
        </is>
      </c>
      <c r="D1884" s="18" t="inlineStr">
        <is>
          <t>plan_mejoramiento</t>
        </is>
      </c>
      <c r="E1884" s="18" t="n">
        <v>14</v>
      </c>
      <c r="F1884" s="18" t="inlineStr">
        <is>
          <t>fecha_limite</t>
        </is>
      </c>
      <c r="G1884" s="18" t="inlineStr">
        <is>
          <t>date</t>
        </is>
      </c>
      <c r="H1884" s="18" t="inlineStr">
        <is>
          <t>No</t>
        </is>
      </c>
      <c r="I1884" s="18" t="inlineStr"/>
      <c r="J1884" s="18" t="inlineStr"/>
      <c r="K1884" s="18" t="inlineStr"/>
      <c r="L1884" s="18" t="inlineStr">
        <is>
          <t>No</t>
        </is>
      </c>
      <c r="M1884" s="18" t="inlineStr">
        <is>
          <t>Sí</t>
        </is>
      </c>
      <c r="N1884" s="18" t="inlineStr">
        <is>
          <t>Función control_interno.trigger_evento_creacion_plan — control_interno.trigger_evento_creacion_plan: 'fecha_limite', NEW.fecha_limite,</t>
        </is>
      </c>
      <c r="O1884" s="18" t="inlineStr"/>
      <c r="P1884" s="18" t="inlineStr">
        <is>
          <t>Mapeada en internal-institutional-control-service/src/esap/planes-mejoramiento/entities/plan-mejoramiento.entity.ts:63 (PlanMejoramiento.fechaLimite) | Validación: IsDateString, IsOptional</t>
        </is>
      </c>
      <c r="Q1884" s="18" t="inlineStr">
        <is>
          <t>Regla estructural</t>
        </is>
      </c>
      <c r="R1884" s="18" t="inlineStr">
        <is>
          <t>Fecha límite.</t>
        </is>
      </c>
      <c r="S1884" s="18" t="inlineStr">
        <is>
          <t>Media</t>
        </is>
      </c>
      <c r="T1884" s="18" t="inlineStr">
        <is>
          <t>Convención de nombre de la columna.</t>
        </is>
      </c>
      <c r="U1884" s="18" t="inlineStr"/>
      <c r="V1884" s="19" t="inlineStr">
        <is>
          <t>Pendiente</t>
        </is>
      </c>
      <c r="W1884" s="19" t="inlineStr"/>
      <c r="X1884" s="19" t="inlineStr"/>
      <c r="Y1884" s="20" t="n"/>
      <c r="Z1884" s="19" t="inlineStr"/>
      <c r="AA1884" s="18">
        <f>IF(OR(V1884="Aprobada"),R1884,IF(AND(OR(V1884="Aprobada con ajuste",V1884="Rechazada"),W1884&lt;&gt;""),W1884,""))</f>
        <v/>
      </c>
    </row>
    <row r="1885">
      <c r="A1885" s="18" t="inlineStr">
        <is>
          <t>C1884</t>
        </is>
      </c>
      <c r="B1885" s="18" t="inlineStr">
        <is>
          <t>Control interno</t>
        </is>
      </c>
      <c r="C1885" s="18" t="inlineStr">
        <is>
          <t>control_interno</t>
        </is>
      </c>
      <c r="D1885" s="18" t="inlineStr">
        <is>
          <t>plan_mejoramiento</t>
        </is>
      </c>
      <c r="E1885" s="18" t="n">
        <v>14</v>
      </c>
      <c r="F1885" s="18" t="inlineStr">
        <is>
          <t>fecha_cierre</t>
        </is>
      </c>
      <c r="G1885" s="18" t="inlineStr">
        <is>
          <t>date</t>
        </is>
      </c>
      <c r="H1885" s="18" t="inlineStr">
        <is>
          <t>Sí</t>
        </is>
      </c>
      <c r="I1885" s="18" t="inlineStr"/>
      <c r="J1885" s="18" t="inlineStr"/>
      <c r="K1885" s="18" t="inlineStr"/>
      <c r="L1885" s="18" t="inlineStr">
        <is>
          <t>No</t>
        </is>
      </c>
      <c r="M1885" s="18" t="inlineStr">
        <is>
          <t>No</t>
        </is>
      </c>
      <c r="N1885" s="18" t="inlineStr"/>
      <c r="O1885" s="18" t="inlineStr"/>
      <c r="P1885" s="18" t="inlineStr"/>
      <c r="Q1885" s="18" t="inlineStr">
        <is>
          <t>Regla estructural</t>
        </is>
      </c>
      <c r="R1885" s="18" t="inlineStr">
        <is>
          <t>Fecha de cierre.</t>
        </is>
      </c>
      <c r="S1885" s="18" t="inlineStr">
        <is>
          <t>Media</t>
        </is>
      </c>
      <c r="T1885" s="18" t="inlineStr">
        <is>
          <t>Convención de nombre de la columna.</t>
        </is>
      </c>
      <c r="U1885" s="18" t="inlineStr"/>
      <c r="V1885" s="19" t="inlineStr">
        <is>
          <t>Pendiente</t>
        </is>
      </c>
      <c r="W1885" s="19" t="inlineStr"/>
      <c r="X1885" s="19" t="inlineStr"/>
      <c r="Y1885" s="20" t="n"/>
      <c r="Z1885" s="19" t="inlineStr"/>
      <c r="AA1885" s="18">
        <f>IF(OR(V1885="Aprobada"),R1885,IF(AND(OR(V1885="Aprobada con ajuste",V1885="Rechazada"),W1885&lt;&gt;""),W1885,""))</f>
        <v/>
      </c>
    </row>
    <row r="1886">
      <c r="A1886" s="18" t="inlineStr">
        <is>
          <t>C1885</t>
        </is>
      </c>
      <c r="B1886" s="18" t="inlineStr">
        <is>
          <t>Control interno</t>
        </is>
      </c>
      <c r="C1886" s="18" t="inlineStr">
        <is>
          <t>control_interno</t>
        </is>
      </c>
      <c r="D1886" s="18" t="inlineStr">
        <is>
          <t>plan_mejoramiento</t>
        </is>
      </c>
      <c r="E1886" s="18" t="n">
        <v>14</v>
      </c>
      <c r="F1886" s="18" t="inlineStr">
        <is>
          <t>recursos</t>
        </is>
      </c>
      <c r="G1886" s="18" t="inlineStr">
        <is>
          <t>jsonb</t>
        </is>
      </c>
      <c r="H1886" s="18" t="inlineStr">
        <is>
          <t>Sí</t>
        </is>
      </c>
      <c r="I1886" s="18" t="inlineStr"/>
      <c r="J1886" s="18" t="inlineStr"/>
      <c r="K1886" s="18" t="inlineStr"/>
      <c r="L1886" s="18" t="inlineStr">
        <is>
          <t>No</t>
        </is>
      </c>
      <c r="M1886" s="18" t="inlineStr">
        <is>
          <t>No</t>
        </is>
      </c>
      <c r="N1886" s="18" t="inlineStr"/>
      <c r="O1886" s="18" t="inlineStr"/>
      <c r="P1886" s="18" t="inlineStr"/>
      <c r="Q1886" s="18" t="inlineStr">
        <is>
          <t>Propuesta semántica</t>
        </is>
      </c>
      <c r="R1886" s="18" t="inlineStr">
        <is>
          <t>Recursos requeridos para ejecutar el plan de mejoramiento, en formato JSON.</t>
        </is>
      </c>
      <c r="S1886" s="18" t="inlineStr">
        <is>
          <t>Media</t>
        </is>
      </c>
      <c r="T1886" s="18" t="inlineStr">
        <is>
          <t>nombre + tipo + columnas vecinas</t>
        </is>
      </c>
      <c r="U1886" s="18" t="inlineStr">
        <is>
          <t>¿Qué estructura tiene el JSON de recursos?</t>
        </is>
      </c>
      <c r="V1886" s="19" t="inlineStr">
        <is>
          <t>Pendiente</t>
        </is>
      </c>
      <c r="W1886" s="19" t="inlineStr"/>
      <c r="X1886" s="19" t="inlineStr"/>
      <c r="Y1886" s="20" t="n"/>
      <c r="Z1886" s="19" t="inlineStr"/>
      <c r="AA1886" s="18">
        <f>IF(OR(V1886="Aprobada"),R1886,IF(AND(OR(V1886="Aprobada con ajuste",V1886="Rechazada"),W1886&lt;&gt;""),W1886,""))</f>
        <v/>
      </c>
    </row>
    <row r="1887">
      <c r="A1887" s="18" t="inlineStr">
        <is>
          <t>C1886</t>
        </is>
      </c>
      <c r="B1887" s="18" t="inlineStr">
        <is>
          <t>Control interno</t>
        </is>
      </c>
      <c r="C1887" s="18" t="inlineStr">
        <is>
          <t>control_interno</t>
        </is>
      </c>
      <c r="D1887" s="18" t="inlineStr">
        <is>
          <t>plan_mejoramiento</t>
        </is>
      </c>
      <c r="E1887" s="18" t="n">
        <v>14</v>
      </c>
      <c r="F1887" s="18" t="inlineStr">
        <is>
          <t>indicadores</t>
        </is>
      </c>
      <c r="G1887" s="18" t="inlineStr">
        <is>
          <t>jsonb</t>
        </is>
      </c>
      <c r="H1887" s="18" t="inlineStr">
        <is>
          <t>Sí</t>
        </is>
      </c>
      <c r="I1887" s="18" t="inlineStr"/>
      <c r="J1887" s="18" t="inlineStr"/>
      <c r="K1887" s="18" t="inlineStr"/>
      <c r="L1887" s="18" t="inlineStr">
        <is>
          <t>No</t>
        </is>
      </c>
      <c r="M1887" s="18" t="inlineStr">
        <is>
          <t>No</t>
        </is>
      </c>
      <c r="N1887" s="18" t="inlineStr"/>
      <c r="O1887" s="18" t="inlineStr"/>
      <c r="P1887" s="18" t="inlineStr"/>
      <c r="Q1887" s="18" t="inlineStr">
        <is>
          <t>Propuesta semántica</t>
        </is>
      </c>
      <c r="R1887" s="18" t="inlineStr">
        <is>
          <t>Indicadores para medir el avance o la efectividad del plan de mejoramiento, en formato JSON.</t>
        </is>
      </c>
      <c r="S1887" s="18" t="inlineStr">
        <is>
          <t>Media</t>
        </is>
      </c>
      <c r="T1887" s="18" t="inlineStr">
        <is>
          <t>nombre + tipo + columnas vecinas</t>
        </is>
      </c>
      <c r="U1887" s="18" t="inlineStr">
        <is>
          <t>¿Qué datos se guardan de cada indicador (nombre, fórmula, meta)?</t>
        </is>
      </c>
      <c r="V1887" s="19" t="inlineStr">
        <is>
          <t>Pendiente</t>
        </is>
      </c>
      <c r="W1887" s="19" t="inlineStr"/>
      <c r="X1887" s="19" t="inlineStr"/>
      <c r="Y1887" s="20" t="n"/>
      <c r="Z1887" s="19" t="inlineStr"/>
      <c r="AA1887" s="18">
        <f>IF(OR(V1887="Aprobada"),R1887,IF(AND(OR(V1887="Aprobada con ajuste",V1887="Rechazada"),W1887&lt;&gt;""),W1887,""))</f>
        <v/>
      </c>
    </row>
    <row r="1888">
      <c r="A1888" s="18" t="inlineStr">
        <is>
          <t>C1887</t>
        </is>
      </c>
      <c r="B1888" s="18" t="inlineStr">
        <is>
          <t>Control interno</t>
        </is>
      </c>
      <c r="C1888" s="18" t="inlineStr">
        <is>
          <t>control_interno</t>
        </is>
      </c>
      <c r="D1888" s="18" t="inlineStr">
        <is>
          <t>plan_mejoramiento</t>
        </is>
      </c>
      <c r="E1888" s="18" t="n">
        <v>14</v>
      </c>
      <c r="F1888" s="18" t="inlineStr">
        <is>
          <t>avance_global</t>
        </is>
      </c>
      <c r="G1888" s="18" t="inlineStr">
        <is>
          <t>integer</t>
        </is>
      </c>
      <c r="H1888" s="18" t="inlineStr">
        <is>
          <t>Sí</t>
        </is>
      </c>
      <c r="I1888" s="18" t="inlineStr"/>
      <c r="J1888" s="18" t="inlineStr"/>
      <c r="K1888" s="18" t="inlineStr"/>
      <c r="L1888" s="18" t="inlineStr">
        <is>
          <t>No</t>
        </is>
      </c>
      <c r="M1888" s="18" t="inlineStr">
        <is>
          <t>No</t>
        </is>
      </c>
      <c r="N1888" s="18" t="inlineStr"/>
      <c r="O1888" s="18" t="inlineStr"/>
      <c r="P1888" s="18" t="inlineStr"/>
      <c r="Q1888" s="18" t="inlineStr">
        <is>
          <t>Propuesta semántica</t>
        </is>
      </c>
      <c r="R1888" s="18" t="inlineStr">
        <is>
          <t>Porcentaje de avance global del plan de mejoramiento.</t>
        </is>
      </c>
      <c r="S1888" s="18" t="inlineStr">
        <is>
          <t>Media</t>
        </is>
      </c>
      <c r="T1888" s="18" t="inlineStr">
        <is>
          <t>nombre + tipo + columnas vecinas</t>
        </is>
      </c>
      <c r="U1888" s="18" t="inlineStr">
        <is>
          <t>¿Es un porcentaje de 0 a 100? ¿Se calcula a partir de los seguimientos?</t>
        </is>
      </c>
      <c r="V1888" s="19" t="inlineStr">
        <is>
          <t>Pendiente</t>
        </is>
      </c>
      <c r="W1888" s="19" t="inlineStr"/>
      <c r="X1888" s="19" t="inlineStr"/>
      <c r="Y1888" s="20" t="n"/>
      <c r="Z1888" s="19" t="inlineStr"/>
      <c r="AA1888" s="18">
        <f>IF(OR(V1888="Aprobada"),R1888,IF(AND(OR(V1888="Aprobada con ajuste",V1888="Rechazada"),W1888&lt;&gt;""),W1888,""))</f>
        <v/>
      </c>
    </row>
    <row r="1889">
      <c r="A1889" s="18" t="inlineStr">
        <is>
          <t>C1888</t>
        </is>
      </c>
      <c r="B1889" s="18" t="inlineStr">
        <is>
          <t>Control interno</t>
        </is>
      </c>
      <c r="C1889" s="18" t="inlineStr">
        <is>
          <t>control_interno</t>
        </is>
      </c>
      <c r="D1889" s="18" t="inlineStr">
        <is>
          <t>plan_mejoramiento</t>
        </is>
      </c>
      <c r="E1889" s="18" t="n">
        <v>14</v>
      </c>
      <c r="F1889" s="18" t="inlineStr">
        <is>
          <t>aprobado_por</t>
        </is>
      </c>
      <c r="G1889" s="18" t="inlineStr">
        <is>
          <t>character varying(255)</t>
        </is>
      </c>
      <c r="H1889" s="18" t="inlineStr">
        <is>
          <t>Sí</t>
        </is>
      </c>
      <c r="I1889" s="18" t="inlineStr"/>
      <c r="J1889" s="18" t="inlineStr"/>
      <c r="K1889" s="18" t="inlineStr"/>
      <c r="L1889" s="18" t="inlineStr">
        <is>
          <t>No</t>
        </is>
      </c>
      <c r="M1889" s="18" t="inlineStr">
        <is>
          <t>Sí</t>
        </is>
      </c>
      <c r="N1889" s="18" t="inlineStr">
        <is>
          <t>Función control_interno.trigger_evento_actualizacion_plan — control_interno.trigger_evento_actualizacion_plan: COALESCE(NEW.aprobado_por, NEW.responsable_implementacion),  -- usar aprobado_por si es aprobación, sino responsable_imp</t>
        </is>
      </c>
      <c r="O1889" s="18" t="inlineStr"/>
      <c r="P1889" s="18" t="inlineStr">
        <is>
          <t>Mapeada en internal-institutional-control-service/src/esap/planes-mejoramiento/entities/plan-mejoramiento.entity.ts:76 (PlanMejoramiento.aprobadoPor) | Validación: IsOptional, IsString, Length(0, 255)</t>
        </is>
      </c>
      <c r="Q1889" s="18" t="inlineStr">
        <is>
          <t>Regla estructural</t>
        </is>
      </c>
      <c r="R1889" s="18" t="inlineStr">
        <is>
          <t>Usuario que realizó la aprobación.</t>
        </is>
      </c>
      <c r="S1889" s="18" t="inlineStr">
        <is>
          <t>Media</t>
        </is>
      </c>
      <c r="T1889" s="18" t="inlineStr">
        <is>
          <t>Convención de nombre de la columna.</t>
        </is>
      </c>
      <c r="U1889" s="18" t="inlineStr"/>
      <c r="V1889" s="19" t="inlineStr">
        <is>
          <t>Pendiente</t>
        </is>
      </c>
      <c r="W1889" s="19" t="inlineStr"/>
      <c r="X1889" s="19" t="inlineStr"/>
      <c r="Y1889" s="20" t="n"/>
      <c r="Z1889" s="19" t="inlineStr"/>
      <c r="AA1889" s="18">
        <f>IF(OR(V1889="Aprobada"),R1889,IF(AND(OR(V1889="Aprobada con ajuste",V1889="Rechazada"),W1889&lt;&gt;""),W1889,""))</f>
        <v/>
      </c>
    </row>
    <row r="1890">
      <c r="A1890" s="18" t="inlineStr">
        <is>
          <t>C1889</t>
        </is>
      </c>
      <c r="B1890" s="18" t="inlineStr">
        <is>
          <t>Control interno</t>
        </is>
      </c>
      <c r="C1890" s="18" t="inlineStr">
        <is>
          <t>control_interno</t>
        </is>
      </c>
      <c r="D1890" s="18" t="inlineStr">
        <is>
          <t>plan_mejoramiento</t>
        </is>
      </c>
      <c r="E1890" s="18" t="n">
        <v>14</v>
      </c>
      <c r="F1890" s="18" t="inlineStr">
        <is>
          <t>observaciones</t>
        </is>
      </c>
      <c r="G1890" s="18" t="inlineStr">
        <is>
          <t>text</t>
        </is>
      </c>
      <c r="H1890" s="18" t="inlineStr">
        <is>
          <t>Sí</t>
        </is>
      </c>
      <c r="I1890" s="18" t="inlineStr"/>
      <c r="J1890" s="18" t="inlineStr"/>
      <c r="K1890" s="18" t="inlineStr"/>
      <c r="L1890" s="18" t="inlineStr">
        <is>
          <t>No</t>
        </is>
      </c>
      <c r="M1890" s="18" t="inlineStr">
        <is>
          <t>No</t>
        </is>
      </c>
      <c r="N1890" s="18" t="inlineStr"/>
      <c r="O1890" s="18" t="inlineStr"/>
      <c r="P1890" s="18" t="inlineStr"/>
      <c r="Q1890" s="18" t="inlineStr">
        <is>
          <t>Regla estructural</t>
        </is>
      </c>
      <c r="R1890" s="18" t="inlineStr">
        <is>
          <t>Observaciones registradas sobre el registro.</t>
        </is>
      </c>
      <c r="S1890" s="18" t="inlineStr">
        <is>
          <t>Media</t>
        </is>
      </c>
      <c r="T1890" s="18" t="inlineStr">
        <is>
          <t>Convención de nombre de la columna.</t>
        </is>
      </c>
      <c r="U1890" s="18" t="inlineStr"/>
      <c r="V1890" s="19" t="inlineStr">
        <is>
          <t>Pendiente</t>
        </is>
      </c>
      <c r="W1890" s="19" t="inlineStr"/>
      <c r="X1890" s="19" t="inlineStr"/>
      <c r="Y1890" s="20" t="n"/>
      <c r="Z1890" s="19" t="inlineStr"/>
      <c r="AA1890" s="18">
        <f>IF(OR(V1890="Aprobada"),R1890,IF(AND(OR(V1890="Aprobada con ajuste",V1890="Rechazada"),W1890&lt;&gt;""),W1890,""))</f>
        <v/>
      </c>
    </row>
    <row r="1891">
      <c r="A1891" s="18" t="inlineStr">
        <is>
          <t>C1890</t>
        </is>
      </c>
      <c r="B1891" s="18" t="inlineStr">
        <is>
          <t>Control interno</t>
        </is>
      </c>
      <c r="C1891" s="18" t="inlineStr">
        <is>
          <t>control_interno</t>
        </is>
      </c>
      <c r="D1891" s="18" t="inlineStr">
        <is>
          <t>plan_mejoramiento</t>
        </is>
      </c>
      <c r="E1891" s="18" t="n">
        <v>14</v>
      </c>
      <c r="F1891" s="18" t="inlineStr">
        <is>
          <t>observaciones_aprobacion</t>
        </is>
      </c>
      <c r="G1891" s="18" t="inlineStr">
        <is>
          <t>text</t>
        </is>
      </c>
      <c r="H1891" s="18" t="inlineStr">
        <is>
          <t>Sí</t>
        </is>
      </c>
      <c r="I1891" s="18" t="inlineStr"/>
      <c r="J1891" s="18" t="inlineStr"/>
      <c r="K1891" s="18" t="inlineStr"/>
      <c r="L1891" s="18" t="inlineStr">
        <is>
          <t>No</t>
        </is>
      </c>
      <c r="M1891" s="18" t="inlineStr">
        <is>
          <t>No</t>
        </is>
      </c>
      <c r="N1891" s="18" t="inlineStr"/>
      <c r="O1891" s="18" t="inlineStr"/>
      <c r="P1891" s="18" t="inlineStr">
        <is>
          <t>Mapeada en internal-institutional-control-service/src/esap/planes-mejoramiento/entities/plan-mejoramiento.entity.ts:79 (PlanMejoramiento.observacionesAprobacion) | Validación: IsOptional, IsString</t>
        </is>
      </c>
      <c r="Q1891" s="18" t="inlineStr">
        <is>
          <t>Propuesta semántica</t>
        </is>
      </c>
      <c r="R1891" s="18" t="inlineStr">
        <is>
          <t>Observaciones registradas al aprobar el plan de mejoramiento.</t>
        </is>
      </c>
      <c r="S1891" s="18" t="inlineStr">
        <is>
          <t>Alta</t>
        </is>
      </c>
      <c r="T1891" s="18" t="inlineStr">
        <is>
          <t>nombre + tipo + columnas vecinas</t>
        </is>
      </c>
      <c r="U1891" s="18" t="inlineStr"/>
      <c r="V1891" s="19" t="inlineStr">
        <is>
          <t>Pendiente</t>
        </is>
      </c>
      <c r="W1891" s="19" t="inlineStr"/>
      <c r="X1891" s="19" t="inlineStr"/>
      <c r="Y1891" s="20" t="n"/>
      <c r="Z1891" s="19" t="inlineStr"/>
      <c r="AA1891" s="18">
        <f>IF(OR(V1891="Aprobada"),R1891,IF(AND(OR(V1891="Aprobada con ajuste",V1891="Rechazada"),W1891&lt;&gt;""),W1891,""))</f>
        <v/>
      </c>
    </row>
    <row r="1892">
      <c r="A1892" s="18" t="inlineStr">
        <is>
          <t>C1891</t>
        </is>
      </c>
      <c r="B1892" s="18" t="inlineStr">
        <is>
          <t>Control interno</t>
        </is>
      </c>
      <c r="C1892" s="18" t="inlineStr">
        <is>
          <t>control_interno</t>
        </is>
      </c>
      <c r="D1892" s="18" t="inlineStr">
        <is>
          <t>plan_mejoramiento</t>
        </is>
      </c>
      <c r="E1892" s="18" t="n">
        <v>14</v>
      </c>
      <c r="F1892" s="18" t="inlineStr">
        <is>
          <t>motivo_rechazo</t>
        </is>
      </c>
      <c r="G1892" s="18" t="inlineStr">
        <is>
          <t>text</t>
        </is>
      </c>
      <c r="H1892" s="18" t="inlineStr">
        <is>
          <t>Sí</t>
        </is>
      </c>
      <c r="I1892" s="18" t="inlineStr"/>
      <c r="J1892" s="18" t="inlineStr"/>
      <c r="K1892" s="18" t="inlineStr"/>
      <c r="L1892" s="18" t="inlineStr">
        <is>
          <t>No</t>
        </is>
      </c>
      <c r="M1892" s="18" t="inlineStr">
        <is>
          <t>No</t>
        </is>
      </c>
      <c r="N1892" s="18" t="inlineStr"/>
      <c r="O1892" s="18" t="inlineStr"/>
      <c r="P1892" s="18" t="inlineStr">
        <is>
          <t>Mapeada en internal-institutional-control-service/src/esap/planes-mejoramiento/entities/plan-mejoramiento.entity.ts:82 (PlanMejoramiento.motivoRechazo) | Validación: IsNotEmpty, IsOptional, IsString</t>
        </is>
      </c>
      <c r="Q1892" s="18" t="inlineStr">
        <is>
          <t>Regla estructural</t>
        </is>
      </c>
      <c r="R1892" s="18" t="inlineStr">
        <is>
          <t>Motivo del rechazo.</t>
        </is>
      </c>
      <c r="S1892" s="18" t="inlineStr">
        <is>
          <t>Media</t>
        </is>
      </c>
      <c r="T1892" s="18" t="inlineStr">
        <is>
          <t>Convención de nombre de la columna.</t>
        </is>
      </c>
      <c r="U1892" s="18" t="inlineStr"/>
      <c r="V1892" s="19" t="inlineStr">
        <is>
          <t>Pendiente</t>
        </is>
      </c>
      <c r="W1892" s="19" t="inlineStr"/>
      <c r="X1892" s="19" t="inlineStr"/>
      <c r="Y1892" s="20" t="n"/>
      <c r="Z1892" s="19" t="inlineStr"/>
      <c r="AA1892" s="18">
        <f>IF(OR(V1892="Aprobada"),R1892,IF(AND(OR(V1892="Aprobada con ajuste",V1892="Rechazada"),W1892&lt;&gt;""),W1892,""))</f>
        <v/>
      </c>
    </row>
    <row r="1893">
      <c r="A1893" s="18" t="inlineStr">
        <is>
          <t>C1892</t>
        </is>
      </c>
      <c r="B1893" s="18" t="inlineStr">
        <is>
          <t>Control interno</t>
        </is>
      </c>
      <c r="C1893" s="18" t="inlineStr">
        <is>
          <t>control_interno</t>
        </is>
      </c>
      <c r="D1893" s="18" t="inlineStr">
        <is>
          <t>plan_mejoramiento</t>
        </is>
      </c>
      <c r="E1893" s="18" t="n">
        <v>14</v>
      </c>
      <c r="F1893" s="18" t="inlineStr">
        <is>
          <t>seguimientos</t>
        </is>
      </c>
      <c r="G1893" s="18" t="inlineStr">
        <is>
          <t>jsonb</t>
        </is>
      </c>
      <c r="H1893" s="18" t="inlineStr">
        <is>
          <t>Sí</t>
        </is>
      </c>
      <c r="I1893" s="18" t="inlineStr"/>
      <c r="J1893" s="18" t="inlineStr"/>
      <c r="K1893" s="18" t="inlineStr"/>
      <c r="L1893" s="18" t="inlineStr">
        <is>
          <t>No</t>
        </is>
      </c>
      <c r="M1893" s="18" t="inlineStr">
        <is>
          <t>No</t>
        </is>
      </c>
      <c r="N1893" s="18" t="inlineStr"/>
      <c r="O1893" s="18" t="inlineStr"/>
      <c r="P1893" s="18" t="inlineStr"/>
      <c r="Q1893" s="18" t="inlineStr">
        <is>
          <t>Propuesta semántica</t>
        </is>
      </c>
      <c r="R1893" s="18" t="inlineStr">
        <is>
          <t>Seguimientos realizados al plan de mejoramiento, en formato JSON.</t>
        </is>
      </c>
      <c r="S1893" s="18" t="inlineStr">
        <is>
          <t>Media</t>
        </is>
      </c>
      <c r="T1893" s="18" t="inlineStr">
        <is>
          <t>nombre + tipo + columnas vecinas</t>
        </is>
      </c>
      <c r="U1893" s="18" t="inlineStr">
        <is>
          <t>¿Duplica la información de seguimiento_plan_mejoramiento o es la fuente principal?</t>
        </is>
      </c>
      <c r="V1893" s="19" t="inlineStr">
        <is>
          <t>Pendiente</t>
        </is>
      </c>
      <c r="W1893" s="19" t="inlineStr"/>
      <c r="X1893" s="19" t="inlineStr"/>
      <c r="Y1893" s="20" t="n"/>
      <c r="Z1893" s="19" t="inlineStr"/>
      <c r="AA1893" s="18">
        <f>IF(OR(V1893="Aprobada"),R1893,IF(AND(OR(V1893="Aprobada con ajuste",V1893="Rechazada"),W1893&lt;&gt;""),W1893,""))</f>
        <v/>
      </c>
    </row>
    <row r="1894">
      <c r="A1894" s="18" t="inlineStr">
        <is>
          <t>C1893</t>
        </is>
      </c>
      <c r="B1894" s="18" t="inlineStr">
        <is>
          <t>Control interno</t>
        </is>
      </c>
      <c r="C1894" s="18" t="inlineStr">
        <is>
          <t>control_interno</t>
        </is>
      </c>
      <c r="D1894" s="18" t="inlineStr">
        <is>
          <t>plan_mejoramiento</t>
        </is>
      </c>
      <c r="E1894" s="18" t="n">
        <v>14</v>
      </c>
      <c r="F1894" s="18" t="inlineStr">
        <is>
          <t>codigo_auditoria</t>
        </is>
      </c>
      <c r="G1894" s="18" t="inlineStr">
        <is>
          <t>character varying(255)</t>
        </is>
      </c>
      <c r="H1894" s="18" t="inlineStr">
        <is>
          <t>Sí</t>
        </is>
      </c>
      <c r="I1894" s="18" t="inlineStr"/>
      <c r="J1894" s="18" t="inlineStr"/>
      <c r="K1894" s="18" t="inlineStr"/>
      <c r="L1894" s="18" t="inlineStr">
        <is>
          <t>No</t>
        </is>
      </c>
      <c r="M1894" s="18" t="inlineStr">
        <is>
          <t>No</t>
        </is>
      </c>
      <c r="N1894" s="18" t="inlineStr"/>
      <c r="O1894" s="18" t="inlineStr"/>
      <c r="P1894" s="18" t="inlineStr"/>
      <c r="Q1894" s="18" t="inlineStr">
        <is>
          <t>Propuesta semántica</t>
        </is>
      </c>
      <c r="R1894" s="18" t="inlineStr">
        <is>
          <t>Código de la auditoría de la que proviene el plan de mejoramiento.</t>
        </is>
      </c>
      <c r="S1894" s="18" t="inlineStr">
        <is>
          <t>Media</t>
        </is>
      </c>
      <c r="T1894" s="18" t="inlineStr">
        <is>
          <t>nombre + tipo + columnas vecinas</t>
        </is>
      </c>
      <c r="U1894" s="18" t="inlineStr">
        <is>
          <t>¿Es una copia del código de la auditoría referenciada por auditoria_id?</t>
        </is>
      </c>
      <c r="V1894" s="19" t="inlineStr">
        <is>
          <t>Pendiente</t>
        </is>
      </c>
      <c r="W1894" s="19" t="inlineStr"/>
      <c r="X1894" s="19" t="inlineStr"/>
      <c r="Y1894" s="20" t="n"/>
      <c r="Z1894" s="19" t="inlineStr"/>
      <c r="AA1894" s="18">
        <f>IF(OR(V1894="Aprobada"),R1894,IF(AND(OR(V1894="Aprobada con ajuste",V1894="Rechazada"),W1894&lt;&gt;""),W1894,""))</f>
        <v/>
      </c>
    </row>
    <row r="1895">
      <c r="A1895" s="18" t="inlineStr">
        <is>
          <t>C1894</t>
        </is>
      </c>
      <c r="B1895" s="18" t="inlineStr">
        <is>
          <t>Control interno</t>
        </is>
      </c>
      <c r="C1895" s="18" t="inlineStr">
        <is>
          <t>control_interno</t>
        </is>
      </c>
      <c r="D1895" s="18" t="inlineStr">
        <is>
          <t>plan_mejoramiento</t>
        </is>
      </c>
      <c r="E1895" s="18" t="n">
        <v>14</v>
      </c>
      <c r="F1895" s="18" t="inlineStr">
        <is>
          <t>porcentaje_efectividad</t>
        </is>
      </c>
      <c r="G1895" s="18" t="inlineStr">
        <is>
          <t>integer</t>
        </is>
      </c>
      <c r="H1895" s="18" t="inlineStr">
        <is>
          <t>Sí</t>
        </is>
      </c>
      <c r="I1895" s="18" t="inlineStr">
        <is>
          <t>CHECK</t>
        </is>
      </c>
      <c r="J1895" s="18" t="inlineStr"/>
      <c r="K1895" s="18" t="inlineStr"/>
      <c r="L1895" s="18" t="inlineStr">
        <is>
          <t>No</t>
        </is>
      </c>
      <c r="M1895" s="18" t="inlineStr">
        <is>
          <t>No</t>
        </is>
      </c>
      <c r="N1895" s="18" t="inlineStr"/>
      <c r="O1895" s="18" t="inlineStr"/>
      <c r="P1895" s="18" t="inlineStr"/>
      <c r="Q1895" s="18" t="inlineStr">
        <is>
          <t>Propuesta semántica</t>
        </is>
      </c>
      <c r="R1895" s="18" t="inlineStr">
        <is>
          <t>Porcentaje de efectividad del plan de mejoramiento.</t>
        </is>
      </c>
      <c r="S1895" s="18" t="inlineStr">
        <is>
          <t>Media</t>
        </is>
      </c>
      <c r="T1895" s="18" t="inlineStr">
        <is>
          <t>nombre + tipo + columnas vecinas</t>
        </is>
      </c>
      <c r="U1895" s="18" t="inlineStr">
        <is>
          <t>¿Cómo se calcula la efectividad y en qué escala?</t>
        </is>
      </c>
      <c r="V1895" s="19" t="inlineStr">
        <is>
          <t>Pendiente</t>
        </is>
      </c>
      <c r="W1895" s="19" t="inlineStr"/>
      <c r="X1895" s="19" t="inlineStr"/>
      <c r="Y1895" s="20" t="n"/>
      <c r="Z1895" s="19" t="inlineStr"/>
      <c r="AA1895" s="18">
        <f>IF(OR(V1895="Aprobada"),R1895,IF(AND(OR(V1895="Aprobada con ajuste",V1895="Rechazada"),W1895&lt;&gt;""),W1895,""))</f>
        <v/>
      </c>
    </row>
    <row r="1896">
      <c r="A1896" s="18" t="inlineStr">
        <is>
          <t>C1895</t>
        </is>
      </c>
      <c r="B1896" s="18" t="inlineStr">
        <is>
          <t>Control interno</t>
        </is>
      </c>
      <c r="C1896" s="18" t="inlineStr">
        <is>
          <t>control_interno</t>
        </is>
      </c>
      <c r="D1896" s="18" t="inlineStr">
        <is>
          <t>plan_mejoramiento</t>
        </is>
      </c>
      <c r="E1896" s="18" t="n">
        <v>14</v>
      </c>
      <c r="F1896" s="18" t="inlineStr">
        <is>
          <t>seguimientos_realizados</t>
        </is>
      </c>
      <c r="G1896" s="18" t="inlineStr">
        <is>
          <t>integer</t>
        </is>
      </c>
      <c r="H1896" s="18" t="inlineStr">
        <is>
          <t>Sí</t>
        </is>
      </c>
      <c r="I1896" s="18" t="inlineStr"/>
      <c r="J1896" s="18" t="inlineStr"/>
      <c r="K1896" s="18" t="inlineStr"/>
      <c r="L1896" s="18" t="inlineStr">
        <is>
          <t>No</t>
        </is>
      </c>
      <c r="M1896" s="18" t="inlineStr">
        <is>
          <t>No</t>
        </is>
      </c>
      <c r="N1896" s="18" t="inlineStr"/>
      <c r="O1896" s="18" t="inlineStr"/>
      <c r="P1896" s="18" t="inlineStr"/>
      <c r="Q1896" s="18" t="inlineStr">
        <is>
          <t>Propuesta semántica</t>
        </is>
      </c>
      <c r="R1896" s="18" t="inlineStr">
        <is>
          <t>Cantidad de seguimientos realizados al plan de mejoramiento.</t>
        </is>
      </c>
      <c r="S1896" s="18" t="inlineStr">
        <is>
          <t>Alta</t>
        </is>
      </c>
      <c r="T1896" s="18" t="inlineStr">
        <is>
          <t>nombre + tipo + columnas vecinas</t>
        </is>
      </c>
      <c r="U1896" s="18" t="inlineStr"/>
      <c r="V1896" s="19" t="inlineStr">
        <is>
          <t>Pendiente</t>
        </is>
      </c>
      <c r="W1896" s="19" t="inlineStr"/>
      <c r="X1896" s="19" t="inlineStr"/>
      <c r="Y1896" s="20" t="n"/>
      <c r="Z1896" s="19" t="inlineStr"/>
      <c r="AA1896" s="18">
        <f>IF(OR(V1896="Aprobada"),R1896,IF(AND(OR(V1896="Aprobada con ajuste",V1896="Rechazada"),W1896&lt;&gt;""),W1896,""))</f>
        <v/>
      </c>
    </row>
    <row r="1897">
      <c r="A1897" s="18" t="inlineStr">
        <is>
          <t>C1896</t>
        </is>
      </c>
      <c r="B1897" s="18" t="inlineStr">
        <is>
          <t>Control interno</t>
        </is>
      </c>
      <c r="C1897" s="18" t="inlineStr">
        <is>
          <t>control_interno</t>
        </is>
      </c>
      <c r="D1897" s="18" t="inlineStr">
        <is>
          <t>plan_mejoramiento</t>
        </is>
      </c>
      <c r="E1897" s="18" t="n">
        <v>14</v>
      </c>
      <c r="F1897" s="18" t="inlineStr">
        <is>
          <t>seguimientos_totales</t>
        </is>
      </c>
      <c r="G1897" s="18" t="inlineStr">
        <is>
          <t>integer</t>
        </is>
      </c>
      <c r="H1897" s="18" t="inlineStr">
        <is>
          <t>Sí</t>
        </is>
      </c>
      <c r="I1897" s="18" t="inlineStr"/>
      <c r="J1897" s="18" t="inlineStr"/>
      <c r="K1897" s="18" t="inlineStr"/>
      <c r="L1897" s="18" t="inlineStr">
        <is>
          <t>No</t>
        </is>
      </c>
      <c r="M1897" s="18" t="inlineStr">
        <is>
          <t>No</t>
        </is>
      </c>
      <c r="N1897" s="18" t="inlineStr"/>
      <c r="O1897" s="18" t="inlineStr"/>
      <c r="P1897" s="18" t="inlineStr"/>
      <c r="Q1897" s="18" t="inlineStr">
        <is>
          <t>Propuesta semántica</t>
        </is>
      </c>
      <c r="R1897" s="18" t="inlineStr">
        <is>
          <t>Cantidad total de seguimientos programados para el plan de mejoramiento. Valor por defecto: 4.</t>
        </is>
      </c>
      <c r="S1897" s="18" t="inlineStr">
        <is>
          <t>Alta</t>
        </is>
      </c>
      <c r="T1897" s="18" t="inlineStr">
        <is>
          <t>nombre + defecto + seguimientos trimestrales</t>
        </is>
      </c>
      <c r="U1897" s="18" t="inlineStr"/>
      <c r="V1897" s="19" t="inlineStr">
        <is>
          <t>Pendiente</t>
        </is>
      </c>
      <c r="W1897" s="19" t="inlineStr"/>
      <c r="X1897" s="19" t="inlineStr"/>
      <c r="Y1897" s="20" t="n"/>
      <c r="Z1897" s="19" t="inlineStr"/>
      <c r="AA1897" s="18">
        <f>IF(OR(V1897="Aprobada"),R1897,IF(AND(OR(V1897="Aprobada con ajuste",V1897="Rechazada"),W1897&lt;&gt;""),W1897,""))</f>
        <v/>
      </c>
    </row>
    <row r="1898">
      <c r="A1898" s="18" t="inlineStr">
        <is>
          <t>C1897</t>
        </is>
      </c>
      <c r="B1898" s="18" t="inlineStr">
        <is>
          <t>Control interno</t>
        </is>
      </c>
      <c r="C1898" s="18" t="inlineStr">
        <is>
          <t>control_interno</t>
        </is>
      </c>
      <c r="D1898" s="18" t="inlineStr">
        <is>
          <t>plan_mejoramiento</t>
        </is>
      </c>
      <c r="E1898" s="18" t="n">
        <v>14</v>
      </c>
      <c r="F1898" s="18" t="inlineStr">
        <is>
          <t>proximo_seguimiento</t>
        </is>
      </c>
      <c r="G1898" s="18" t="inlineStr">
        <is>
          <t>date</t>
        </is>
      </c>
      <c r="H1898" s="18" t="inlineStr">
        <is>
          <t>Sí</t>
        </is>
      </c>
      <c r="I1898" s="18" t="inlineStr"/>
      <c r="J1898" s="18" t="inlineStr"/>
      <c r="K1898" s="18" t="inlineStr"/>
      <c r="L1898" s="18" t="inlineStr">
        <is>
          <t>No</t>
        </is>
      </c>
      <c r="M1898" s="18" t="inlineStr">
        <is>
          <t>No</t>
        </is>
      </c>
      <c r="N1898" s="18" t="inlineStr"/>
      <c r="O1898" s="18" t="inlineStr"/>
      <c r="P1898" s="18" t="inlineStr"/>
      <c r="Q1898" s="18" t="inlineStr">
        <is>
          <t>Propuesta semántica</t>
        </is>
      </c>
      <c r="R1898" s="18" t="inlineStr">
        <is>
          <t>Fecha programada para el próximo seguimiento del plan de mejoramiento.</t>
        </is>
      </c>
      <c r="S1898" s="18" t="inlineStr">
        <is>
          <t>Alta</t>
        </is>
      </c>
      <c r="T1898" s="18" t="inlineStr">
        <is>
          <t>nombre + tipo + columnas vecinas</t>
        </is>
      </c>
      <c r="U1898" s="18" t="inlineStr"/>
      <c r="V1898" s="19" t="inlineStr">
        <is>
          <t>Pendiente</t>
        </is>
      </c>
      <c r="W1898" s="19" t="inlineStr"/>
      <c r="X1898" s="19" t="inlineStr"/>
      <c r="Y1898" s="20" t="n"/>
      <c r="Z1898" s="19" t="inlineStr"/>
      <c r="AA1898" s="18">
        <f>IF(OR(V1898="Aprobada"),R1898,IF(AND(OR(V1898="Aprobada con ajuste",V1898="Rechazada"),W1898&lt;&gt;""),W1898,""))</f>
        <v/>
      </c>
    </row>
    <row r="1899">
      <c r="A1899" s="18" t="inlineStr">
        <is>
          <t>C1898</t>
        </is>
      </c>
      <c r="B1899" s="18" t="inlineStr">
        <is>
          <t>Control interno</t>
        </is>
      </c>
      <c r="C1899" s="18" t="inlineStr">
        <is>
          <t>control_interno</t>
        </is>
      </c>
      <c r="D1899" s="18" t="inlineStr">
        <is>
          <t>plantilla_email</t>
        </is>
      </c>
      <c r="E1899" s="18" t="n">
        <v>0</v>
      </c>
      <c r="F1899" s="18" t="inlineStr">
        <is>
          <t>codigo</t>
        </is>
      </c>
      <c r="G1899" s="18" t="inlineStr">
        <is>
          <t>character varying(255)</t>
        </is>
      </c>
      <c r="H1899" s="18" t="inlineStr">
        <is>
          <t>No</t>
        </is>
      </c>
      <c r="I1899" s="18" t="inlineStr">
        <is>
          <t>Única</t>
        </is>
      </c>
      <c r="J1899" s="18" t="inlineStr"/>
      <c r="K1899" s="18" t="inlineStr"/>
      <c r="L1899" s="18" t="inlineStr">
        <is>
          <t>No</t>
        </is>
      </c>
      <c r="M1899" s="18" t="inlineStr">
        <is>
          <t>No</t>
        </is>
      </c>
      <c r="N1899" s="18" t="inlineStr"/>
      <c r="O1899" s="18" t="inlineStr">
        <is>
          <t>idx_plantilla_codigo, plantilla_email_codigo_key</t>
        </is>
      </c>
      <c r="P1899" s="18" t="inlineStr"/>
      <c r="Q1899" s="18" t="inlineStr">
        <is>
          <t>Regla estructural</t>
        </is>
      </c>
      <c r="R1899" s="18" t="inlineStr">
        <is>
          <t>Código del registro de plantilla_email. Único en la tabla.</t>
        </is>
      </c>
      <c r="S1899" s="18" t="inlineStr">
        <is>
          <t>Media</t>
        </is>
      </c>
      <c r="T1899" s="18" t="inlineStr">
        <is>
          <t>Convención de nombre de la columna.</t>
        </is>
      </c>
      <c r="U1899" s="18" t="inlineStr"/>
      <c r="V1899" s="19" t="inlineStr">
        <is>
          <t>Pendiente</t>
        </is>
      </c>
      <c r="W1899" s="19" t="inlineStr"/>
      <c r="X1899" s="19" t="inlineStr"/>
      <c r="Y1899" s="20" t="n"/>
      <c r="Z1899" s="19" t="inlineStr"/>
      <c r="AA1899" s="18">
        <f>IF(OR(V1899="Aprobada"),R1899,IF(AND(OR(V1899="Aprobada con ajuste",V1899="Rechazada"),W1899&lt;&gt;""),W1899,""))</f>
        <v/>
      </c>
    </row>
    <row r="1900">
      <c r="A1900" s="18" t="inlineStr">
        <is>
          <t>C1899</t>
        </is>
      </c>
      <c r="B1900" s="18" t="inlineStr">
        <is>
          <t>Control interno</t>
        </is>
      </c>
      <c r="C1900" s="18" t="inlineStr">
        <is>
          <t>control_interno</t>
        </is>
      </c>
      <c r="D1900" s="18" t="inlineStr">
        <is>
          <t>plantilla_email</t>
        </is>
      </c>
      <c r="E1900" s="18" t="n">
        <v>0</v>
      </c>
      <c r="F1900" s="18" t="inlineStr">
        <is>
          <t>nombre</t>
        </is>
      </c>
      <c r="G1900" s="18" t="inlineStr">
        <is>
          <t>character varying(255)</t>
        </is>
      </c>
      <c r="H1900" s="18" t="inlineStr">
        <is>
          <t>No</t>
        </is>
      </c>
      <c r="I1900" s="18" t="inlineStr"/>
      <c r="J1900" s="18" t="inlineStr"/>
      <c r="K1900" s="18" t="inlineStr"/>
      <c r="L1900" s="18" t="inlineStr">
        <is>
          <t>No</t>
        </is>
      </c>
      <c r="M1900" s="18" t="inlineStr">
        <is>
          <t>No</t>
        </is>
      </c>
      <c r="N1900" s="18" t="inlineStr"/>
      <c r="O1900" s="18" t="inlineStr"/>
      <c r="P1900" s="18" t="inlineStr"/>
      <c r="Q1900" s="18" t="inlineStr">
        <is>
          <t>Regla estructural</t>
        </is>
      </c>
      <c r="R1900" s="18" t="inlineStr">
        <is>
          <t>Nombre del registro de plantilla_email.</t>
        </is>
      </c>
      <c r="S1900" s="18" t="inlineStr">
        <is>
          <t>Media</t>
        </is>
      </c>
      <c r="T1900" s="18" t="inlineStr">
        <is>
          <t>Convención de nombre de la columna.</t>
        </is>
      </c>
      <c r="U1900" s="18" t="inlineStr"/>
      <c r="V1900" s="19" t="inlineStr">
        <is>
          <t>Pendiente</t>
        </is>
      </c>
      <c r="W1900" s="19" t="inlineStr"/>
      <c r="X1900" s="19" t="inlineStr"/>
      <c r="Y1900" s="20" t="n"/>
      <c r="Z1900" s="19" t="inlineStr"/>
      <c r="AA1900" s="18">
        <f>IF(OR(V1900="Aprobada"),R1900,IF(AND(OR(V1900="Aprobada con ajuste",V1900="Rechazada"),W1900&lt;&gt;""),W1900,""))</f>
        <v/>
      </c>
    </row>
    <row r="1901">
      <c r="A1901" s="18" t="inlineStr">
        <is>
          <t>C1900</t>
        </is>
      </c>
      <c r="B1901" s="18" t="inlineStr">
        <is>
          <t>Control interno</t>
        </is>
      </c>
      <c r="C1901" s="18" t="inlineStr">
        <is>
          <t>control_interno</t>
        </is>
      </c>
      <c r="D1901" s="18" t="inlineStr">
        <is>
          <t>plantilla_email</t>
        </is>
      </c>
      <c r="E1901" s="18" t="n">
        <v>0</v>
      </c>
      <c r="F1901" s="18" t="inlineStr">
        <is>
          <t>asunto</t>
        </is>
      </c>
      <c r="G1901" s="18" t="inlineStr">
        <is>
          <t>character varying(500)</t>
        </is>
      </c>
      <c r="H1901" s="18" t="inlineStr">
        <is>
          <t>No</t>
        </is>
      </c>
      <c r="I1901" s="18" t="inlineStr"/>
      <c r="J1901" s="18" t="inlineStr"/>
      <c r="K1901" s="18" t="inlineStr"/>
      <c r="L1901" s="18" t="inlineStr">
        <is>
          <t>No</t>
        </is>
      </c>
      <c r="M1901" s="18" t="inlineStr">
        <is>
          <t>No</t>
        </is>
      </c>
      <c r="N1901" s="18" t="inlineStr"/>
      <c r="O1901" s="18" t="inlineStr"/>
      <c r="P1901" s="18" t="inlineStr"/>
      <c r="Q1901" s="18" t="inlineStr">
        <is>
          <t>Propuesta semántica</t>
        </is>
      </c>
      <c r="R1901" s="18" t="inlineStr">
        <is>
          <t>Asunto del correo electrónico de la plantilla.</t>
        </is>
      </c>
      <c r="S1901" s="18" t="inlineStr">
        <is>
          <t>Alta</t>
        </is>
      </c>
      <c r="T1901" s="18" t="inlineStr">
        <is>
          <t>nombre + tipo + columnas vecinas</t>
        </is>
      </c>
      <c r="U1901" s="18" t="inlineStr"/>
      <c r="V1901" s="19" t="inlineStr">
        <is>
          <t>Pendiente</t>
        </is>
      </c>
      <c r="W1901" s="19" t="inlineStr"/>
      <c r="X1901" s="19" t="inlineStr"/>
      <c r="Y1901" s="20" t="n"/>
      <c r="Z1901" s="19" t="inlineStr"/>
      <c r="AA1901" s="18">
        <f>IF(OR(V1901="Aprobada"),R1901,IF(AND(OR(V1901="Aprobada con ajuste",V1901="Rechazada"),W1901&lt;&gt;""),W1901,""))</f>
        <v/>
      </c>
    </row>
    <row r="1902">
      <c r="A1902" s="18" t="inlineStr">
        <is>
          <t>C1901</t>
        </is>
      </c>
      <c r="B1902" s="18" t="inlineStr">
        <is>
          <t>Control interno</t>
        </is>
      </c>
      <c r="C1902" s="18" t="inlineStr">
        <is>
          <t>control_interno</t>
        </is>
      </c>
      <c r="D1902" s="18" t="inlineStr">
        <is>
          <t>plantilla_email</t>
        </is>
      </c>
      <c r="E1902" s="18" t="n">
        <v>0</v>
      </c>
      <c r="F1902" s="18" t="inlineStr">
        <is>
          <t>cuerpo</t>
        </is>
      </c>
      <c r="G1902" s="18" t="inlineStr">
        <is>
          <t>text</t>
        </is>
      </c>
      <c r="H1902" s="18" t="inlineStr">
        <is>
          <t>No</t>
        </is>
      </c>
      <c r="I1902" s="18" t="inlineStr"/>
      <c r="J1902" s="18" t="inlineStr"/>
      <c r="K1902" s="18" t="inlineStr"/>
      <c r="L1902" s="18" t="inlineStr">
        <is>
          <t>No</t>
        </is>
      </c>
      <c r="M1902" s="18" t="inlineStr">
        <is>
          <t>No</t>
        </is>
      </c>
      <c r="N1902" s="18" t="inlineStr"/>
      <c r="O1902" s="18" t="inlineStr"/>
      <c r="P1902" s="18" t="inlineStr"/>
      <c r="Q1902" s="18" t="inlineStr">
        <is>
          <t>Propuesta semántica</t>
        </is>
      </c>
      <c r="R1902" s="18" t="inlineStr">
        <is>
          <t>Cuerpo del correo electrónico de la plantilla.</t>
        </is>
      </c>
      <c r="S1902" s="18" t="inlineStr">
        <is>
          <t>Media</t>
        </is>
      </c>
      <c r="T1902" s="18" t="inlineStr">
        <is>
          <t>nombre + tipo + columnas vecinas</t>
        </is>
      </c>
      <c r="U1902" s="18" t="inlineStr">
        <is>
          <t>¿El cuerpo está en HTML o texto plano?</t>
        </is>
      </c>
      <c r="V1902" s="19" t="inlineStr">
        <is>
          <t>Pendiente</t>
        </is>
      </c>
      <c r="W1902" s="19" t="inlineStr"/>
      <c r="X1902" s="19" t="inlineStr"/>
      <c r="Y1902" s="20" t="n"/>
      <c r="Z1902" s="19" t="inlineStr"/>
      <c r="AA1902" s="18">
        <f>IF(OR(V1902="Aprobada"),R1902,IF(AND(OR(V1902="Aprobada con ajuste",V1902="Rechazada"),W1902&lt;&gt;""),W1902,""))</f>
        <v/>
      </c>
    </row>
    <row r="1903">
      <c r="A1903" s="18" t="inlineStr">
        <is>
          <t>C1902</t>
        </is>
      </c>
      <c r="B1903" s="18" t="inlineStr">
        <is>
          <t>Control interno</t>
        </is>
      </c>
      <c r="C1903" s="18" t="inlineStr">
        <is>
          <t>control_interno</t>
        </is>
      </c>
      <c r="D1903" s="18" t="inlineStr">
        <is>
          <t>plantilla_email</t>
        </is>
      </c>
      <c r="E1903" s="18" t="n">
        <v>0</v>
      </c>
      <c r="F1903" s="18" t="inlineStr">
        <is>
          <t>variables_disponibles</t>
        </is>
      </c>
      <c r="G1903" s="18" t="inlineStr">
        <is>
          <t>jsonb</t>
        </is>
      </c>
      <c r="H1903" s="18" t="inlineStr">
        <is>
          <t>Sí</t>
        </is>
      </c>
      <c r="I1903" s="18" t="inlineStr"/>
      <c r="J1903" s="18" t="inlineStr"/>
      <c r="K1903" s="18" t="inlineStr"/>
      <c r="L1903" s="18" t="inlineStr">
        <is>
          <t>No</t>
        </is>
      </c>
      <c r="M1903" s="18" t="inlineStr">
        <is>
          <t>No</t>
        </is>
      </c>
      <c r="N1903" s="18" t="inlineStr"/>
      <c r="O1903" s="18" t="inlineStr"/>
      <c r="P1903" s="18" t="inlineStr"/>
      <c r="Q1903" s="18" t="inlineStr">
        <is>
          <t>Propuesta semántica</t>
        </is>
      </c>
      <c r="R1903" s="18" t="inlineStr">
        <is>
          <t>Variables que se pueden usar en el asunto y el cuerpo de la plantilla, en formato JSON.</t>
        </is>
      </c>
      <c r="S1903" s="18" t="inlineStr">
        <is>
          <t>Media</t>
        </is>
      </c>
      <c r="T1903" s="18" t="inlineStr">
        <is>
          <t>nombre + tipo + columnas vecinas</t>
        </is>
      </c>
      <c r="U1903" s="18" t="inlineStr">
        <is>
          <t>¿Con qué sintaxis se insertan las variables en la plantilla?</t>
        </is>
      </c>
      <c r="V1903" s="19" t="inlineStr">
        <is>
          <t>Pendiente</t>
        </is>
      </c>
      <c r="W1903" s="19" t="inlineStr"/>
      <c r="X1903" s="19" t="inlineStr"/>
      <c r="Y1903" s="20" t="n"/>
      <c r="Z1903" s="19" t="inlineStr"/>
      <c r="AA1903" s="18">
        <f>IF(OR(V1903="Aprobada"),R1903,IF(AND(OR(V1903="Aprobada con ajuste",V1903="Rechazada"),W1903&lt;&gt;""),W1903,""))</f>
        <v/>
      </c>
    </row>
    <row r="1904">
      <c r="A1904" s="18" t="inlineStr">
        <is>
          <t>C1903</t>
        </is>
      </c>
      <c r="B1904" s="18" t="inlineStr">
        <is>
          <t>Control interno</t>
        </is>
      </c>
      <c r="C1904" s="18" t="inlineStr">
        <is>
          <t>control_interno</t>
        </is>
      </c>
      <c r="D1904" s="18" t="inlineStr">
        <is>
          <t>plantilla_email</t>
        </is>
      </c>
      <c r="E1904" s="18" t="n">
        <v>0</v>
      </c>
      <c r="F1904" s="18" t="inlineStr">
        <is>
          <t>activa</t>
        </is>
      </c>
      <c r="G1904" s="18" t="inlineStr">
        <is>
          <t>boolean</t>
        </is>
      </c>
      <c r="H1904" s="18" t="inlineStr">
        <is>
          <t>Sí</t>
        </is>
      </c>
      <c r="I1904" s="18" t="inlineStr"/>
      <c r="J1904" s="18" t="inlineStr"/>
      <c r="K1904" s="18" t="inlineStr"/>
      <c r="L1904" s="18" t="inlineStr">
        <is>
          <t>No</t>
        </is>
      </c>
      <c r="M1904" s="18" t="inlineStr">
        <is>
          <t>No</t>
        </is>
      </c>
      <c r="N1904" s="18" t="inlineStr"/>
      <c r="O1904" s="18" t="inlineStr">
        <is>
          <t>idx_plantilla_activa</t>
        </is>
      </c>
      <c r="P1904" s="18" t="inlineStr"/>
      <c r="Q1904" s="18" t="inlineStr">
        <is>
          <t>Regla estructural</t>
        </is>
      </c>
      <c r="R1904" s="18" t="inlineStr">
        <is>
          <t>Indica si el registro está activo.</t>
        </is>
      </c>
      <c r="S1904" s="18" t="inlineStr">
        <is>
          <t>Media</t>
        </is>
      </c>
      <c r="T1904" s="18" t="inlineStr">
        <is>
          <t>Convención de nombre de la columna.</t>
        </is>
      </c>
      <c r="U1904" s="18" t="inlineStr"/>
      <c r="V1904" s="19" t="inlineStr">
        <is>
          <t>Pendiente</t>
        </is>
      </c>
      <c r="W1904" s="19" t="inlineStr"/>
      <c r="X1904" s="19" t="inlineStr"/>
      <c r="Y1904" s="20" t="n"/>
      <c r="Z1904" s="19" t="inlineStr"/>
      <c r="AA1904" s="18">
        <f>IF(OR(V1904="Aprobada"),R1904,IF(AND(OR(V1904="Aprobada con ajuste",V1904="Rechazada"),W1904&lt;&gt;""),W1904,""))</f>
        <v/>
      </c>
    </row>
    <row r="1905">
      <c r="A1905" s="18" t="inlineStr">
        <is>
          <t>C1904</t>
        </is>
      </c>
      <c r="B1905" s="18" t="inlineStr">
        <is>
          <t>Control interno</t>
        </is>
      </c>
      <c r="C1905" s="18" t="inlineStr">
        <is>
          <t>control_interno</t>
        </is>
      </c>
      <c r="D1905" s="18" t="inlineStr">
        <is>
          <t>plantilla_informe_ley</t>
        </is>
      </c>
      <c r="E1905" s="18" t="n">
        <v>16</v>
      </c>
      <c r="F1905" s="18" t="inlineStr">
        <is>
          <t>codigo</t>
        </is>
      </c>
      <c r="G1905" s="18" t="inlineStr">
        <is>
          <t>character varying(255)</t>
        </is>
      </c>
      <c r="H1905" s="18" t="inlineStr">
        <is>
          <t>No</t>
        </is>
      </c>
      <c r="I1905" s="18" t="inlineStr">
        <is>
          <t>Única</t>
        </is>
      </c>
      <c r="J1905" s="18" t="inlineStr"/>
      <c r="K1905" s="18" t="inlineStr"/>
      <c r="L1905" s="18" t="inlineStr">
        <is>
          <t>No</t>
        </is>
      </c>
      <c r="M1905" s="18" t="inlineStr">
        <is>
          <t>No</t>
        </is>
      </c>
      <c r="N1905" s="18" t="inlineStr"/>
      <c r="O1905" s="18" t="inlineStr">
        <is>
          <t>plantilla_informe_ley_codigo_key</t>
        </is>
      </c>
      <c r="P1905" s="18" t="inlineStr">
        <is>
          <t>Mapeada en internal-institutional-control-service/src/esap/informes-ley/entities/plantilla-informe-ley.entity.ts:17 (PlantillaInformeLey.codigo) | Validación: IsNotEmpty, IsOptional, IsString, Length(1, 50), MaxLength(80)</t>
        </is>
      </c>
      <c r="Q1905" s="18" t="inlineStr">
        <is>
          <t>Regla estructural</t>
        </is>
      </c>
      <c r="R1905" s="18" t="inlineStr">
        <is>
          <t>Código del registro de plantilla_informe_ley. Único en la tabla.</t>
        </is>
      </c>
      <c r="S1905" s="18" t="inlineStr">
        <is>
          <t>Media</t>
        </is>
      </c>
      <c r="T1905" s="18" t="inlineStr">
        <is>
          <t>Convención de nombre de la columna.</t>
        </is>
      </c>
      <c r="U1905" s="18" t="inlineStr"/>
      <c r="V1905" s="19" t="inlineStr">
        <is>
          <t>Pendiente</t>
        </is>
      </c>
      <c r="W1905" s="19" t="inlineStr"/>
      <c r="X1905" s="19" t="inlineStr"/>
      <c r="Y1905" s="20" t="n"/>
      <c r="Z1905" s="19" t="inlineStr"/>
      <c r="AA1905" s="18">
        <f>IF(OR(V1905="Aprobada"),R1905,IF(AND(OR(V1905="Aprobada con ajuste",V1905="Rechazada"),W1905&lt;&gt;""),W1905,""))</f>
        <v/>
      </c>
    </row>
    <row r="1906">
      <c r="A1906" s="18" t="inlineStr">
        <is>
          <t>C1905</t>
        </is>
      </c>
      <c r="B1906" s="18" t="inlineStr">
        <is>
          <t>Control interno</t>
        </is>
      </c>
      <c r="C1906" s="18" t="inlineStr">
        <is>
          <t>control_interno</t>
        </is>
      </c>
      <c r="D1906" s="18" t="inlineStr">
        <is>
          <t>plantilla_informe_ley</t>
        </is>
      </c>
      <c r="E1906" s="18" t="n">
        <v>16</v>
      </c>
      <c r="F1906" s="18" t="inlineStr">
        <is>
          <t>nombre</t>
        </is>
      </c>
      <c r="G1906" s="18" t="inlineStr">
        <is>
          <t>character varying(255)</t>
        </is>
      </c>
      <c r="H1906" s="18" t="inlineStr">
        <is>
          <t>No</t>
        </is>
      </c>
      <c r="I1906" s="18" t="inlineStr"/>
      <c r="J1906" s="18" t="inlineStr"/>
      <c r="K1906" s="18" t="inlineStr"/>
      <c r="L1906" s="18" t="inlineStr">
        <is>
          <t>No</t>
        </is>
      </c>
      <c r="M1906" s="18" t="inlineStr">
        <is>
          <t>No</t>
        </is>
      </c>
      <c r="N1906" s="18" t="inlineStr"/>
      <c r="O1906" s="18" t="inlineStr"/>
      <c r="P1906" s="18" t="inlineStr">
        <is>
          <t>Mapeada en internal-institutional-control-service/src/esap/informes-ley/entities/plantilla-informe-ley.entity.ts:20 (PlantillaInformeLey.nombre) | Validación: IsNotEmpty, IsNotEmpty({ message: 'El nombre del documento es obligatorio' }), IsOptional, IsString, Length(1, 500), MaxLength(120)</t>
        </is>
      </c>
      <c r="Q1906" s="18" t="inlineStr">
        <is>
          <t>Regla estructural</t>
        </is>
      </c>
      <c r="R1906" s="18" t="inlineStr">
        <is>
          <t>Nombre del registro de plantilla_informe_ley.</t>
        </is>
      </c>
      <c r="S1906" s="18" t="inlineStr">
        <is>
          <t>Media</t>
        </is>
      </c>
      <c r="T1906" s="18" t="inlineStr">
        <is>
          <t>Convención de nombre de la columna.</t>
        </is>
      </c>
      <c r="U1906" s="18" t="inlineStr"/>
      <c r="V1906" s="19" t="inlineStr">
        <is>
          <t>Pendiente</t>
        </is>
      </c>
      <c r="W1906" s="19" t="inlineStr"/>
      <c r="X1906" s="19" t="inlineStr"/>
      <c r="Y1906" s="20" t="n"/>
      <c r="Z1906" s="19" t="inlineStr"/>
      <c r="AA1906" s="18">
        <f>IF(OR(V1906="Aprobada"),R1906,IF(AND(OR(V1906="Aprobada con ajuste",V1906="Rechazada"),W1906&lt;&gt;""),W1906,""))</f>
        <v/>
      </c>
    </row>
    <row r="1907">
      <c r="A1907" s="18" t="inlineStr">
        <is>
          <t>C1906</t>
        </is>
      </c>
      <c r="B1907" s="18" t="inlineStr">
        <is>
          <t>Control interno</t>
        </is>
      </c>
      <c r="C1907" s="18" t="inlineStr">
        <is>
          <t>control_interno</t>
        </is>
      </c>
      <c r="D1907" s="18" t="inlineStr">
        <is>
          <t>plantilla_informe_ley</t>
        </is>
      </c>
      <c r="E1907" s="18" t="n">
        <v>16</v>
      </c>
      <c r="F1907" s="18" t="inlineStr">
        <is>
          <t>descripcion</t>
        </is>
      </c>
      <c r="G1907" s="18" t="inlineStr">
        <is>
          <t>text</t>
        </is>
      </c>
      <c r="H1907" s="18" t="inlineStr">
        <is>
          <t>Sí</t>
        </is>
      </c>
      <c r="I1907" s="18" t="inlineStr"/>
      <c r="J1907" s="18" t="inlineStr"/>
      <c r="K1907" s="18" t="inlineStr"/>
      <c r="L1907" s="18" t="inlineStr">
        <is>
          <t>No</t>
        </is>
      </c>
      <c r="M1907" s="18" t="inlineStr">
        <is>
          <t>No</t>
        </is>
      </c>
      <c r="N1907" s="18" t="inlineStr"/>
      <c r="O1907" s="18" t="inlineStr"/>
      <c r="P1907" s="18" t="inlineStr">
        <is>
          <t>Mapeada en internal-institutional-control-service/src/esap/informes-ley/entities/plantilla-informe-ley.entity.ts:23 (PlantillaInformeLey.descripcion) | Validación: IsNotEmpty, IsOptional, IsString</t>
        </is>
      </c>
      <c r="Q1907" s="18" t="inlineStr">
        <is>
          <t>Regla estructural</t>
        </is>
      </c>
      <c r="R1907" s="18" t="inlineStr">
        <is>
          <t>Descripción del registro de plantilla_informe_ley.</t>
        </is>
      </c>
      <c r="S1907" s="18" t="inlineStr">
        <is>
          <t>Media</t>
        </is>
      </c>
      <c r="T1907" s="18" t="inlineStr">
        <is>
          <t>Convención de nombre de la columna.</t>
        </is>
      </c>
      <c r="U1907" s="18" t="inlineStr"/>
      <c r="V1907" s="19" t="inlineStr">
        <is>
          <t>Pendiente</t>
        </is>
      </c>
      <c r="W1907" s="19" t="inlineStr"/>
      <c r="X1907" s="19" t="inlineStr"/>
      <c r="Y1907" s="20" t="n"/>
      <c r="Z1907" s="19" t="inlineStr"/>
      <c r="AA1907" s="18">
        <f>IF(OR(V1907="Aprobada"),R1907,IF(AND(OR(V1907="Aprobada con ajuste",V1907="Rechazada"),W1907&lt;&gt;""),W1907,""))</f>
        <v/>
      </c>
    </row>
    <row r="1908">
      <c r="A1908" s="18" t="inlineStr">
        <is>
          <t>C1907</t>
        </is>
      </c>
      <c r="B1908" s="18" t="inlineStr">
        <is>
          <t>Control interno</t>
        </is>
      </c>
      <c r="C1908" s="18" t="inlineStr">
        <is>
          <t>control_interno</t>
        </is>
      </c>
      <c r="D1908" s="18" t="inlineStr">
        <is>
          <t>plantilla_informe_ley</t>
        </is>
      </c>
      <c r="E1908" s="18" t="n">
        <v>16</v>
      </c>
      <c r="F1908" s="18" t="inlineStr">
        <is>
          <t>tipo_formato</t>
        </is>
      </c>
      <c r="G1908" s="18" t="inlineStr">
        <is>
          <t>character varying(50)</t>
        </is>
      </c>
      <c r="H1908" s="18" t="inlineStr">
        <is>
          <t>No</t>
        </is>
      </c>
      <c r="I1908" s="18" t="inlineStr">
        <is>
          <t>CHECK</t>
        </is>
      </c>
      <c r="J1908" s="18" t="inlineStr">
        <is>
          <t>Excel, HTML, PDF, Word</t>
        </is>
      </c>
      <c r="K1908" s="18" t="inlineStr"/>
      <c r="L1908" s="18" t="inlineStr">
        <is>
          <t>Sí</t>
        </is>
      </c>
      <c r="M1908" s="18" t="inlineStr">
        <is>
          <t>No</t>
        </is>
      </c>
      <c r="N1908" s="18" t="inlineStr"/>
      <c r="O1908" s="18" t="inlineStr"/>
      <c r="P1908" s="18" t="inlineStr">
        <is>
          <t>Mapeada en internal-institutional-control-service/src/esap/informes-ley/entities/plantilla-informe-ley.entity.ts:26 (PlantillaInformeLey.tipoFormato)</t>
        </is>
      </c>
      <c r="Q1908" s="18" t="inlineStr">
        <is>
          <t>Propuesta semántica</t>
        </is>
      </c>
      <c r="R1908" s="18" t="inlineStr">
        <is>
          <t>Formato del archivo de la plantilla del informe de ley. Valores permitidos: Word, Excel, PDF, HTML.</t>
        </is>
      </c>
      <c r="S1908" s="18" t="inlineStr">
        <is>
          <t>Alta</t>
        </is>
      </c>
      <c r="T1908" s="18" t="inlineStr">
        <is>
          <t>valores permitidos del CHECK</t>
        </is>
      </c>
      <c r="U1908" s="18" t="inlineStr"/>
      <c r="V1908" s="19" t="inlineStr">
        <is>
          <t>Pendiente</t>
        </is>
      </c>
      <c r="W1908" s="19" t="inlineStr"/>
      <c r="X1908" s="19" t="inlineStr"/>
      <c r="Y1908" s="20" t="n"/>
      <c r="Z1908" s="19" t="inlineStr"/>
      <c r="AA1908" s="18">
        <f>IF(OR(V1908="Aprobada"),R1908,IF(AND(OR(V1908="Aprobada con ajuste",V1908="Rechazada"),W1908&lt;&gt;""),W1908,""))</f>
        <v/>
      </c>
    </row>
    <row r="1909">
      <c r="A1909" s="18" t="inlineStr">
        <is>
          <t>C1908</t>
        </is>
      </c>
      <c r="B1909" s="18" t="inlineStr">
        <is>
          <t>Control interno</t>
        </is>
      </c>
      <c r="C1909" s="18" t="inlineStr">
        <is>
          <t>control_interno</t>
        </is>
      </c>
      <c r="D1909" s="18" t="inlineStr">
        <is>
          <t>plantilla_informe_ley</t>
        </is>
      </c>
      <c r="E1909" s="18" t="n">
        <v>16</v>
      </c>
      <c r="F1909" s="18" t="inlineStr">
        <is>
          <t>ruta_plantilla</t>
        </is>
      </c>
      <c r="G1909" s="18" t="inlineStr">
        <is>
          <t>character varying(500)</t>
        </is>
      </c>
      <c r="H1909" s="18" t="inlineStr">
        <is>
          <t>No</t>
        </is>
      </c>
      <c r="I1909" s="18" t="inlineStr"/>
      <c r="J1909" s="18" t="inlineStr"/>
      <c r="K1909" s="18" t="inlineStr"/>
      <c r="L1909" s="18" t="inlineStr">
        <is>
          <t>No</t>
        </is>
      </c>
      <c r="M1909" s="18" t="inlineStr">
        <is>
          <t>No</t>
        </is>
      </c>
      <c r="N1909" s="18" t="inlineStr"/>
      <c r="O1909" s="18" t="inlineStr"/>
      <c r="P1909" s="18" t="inlineStr">
        <is>
          <t>Mapeada en internal-institutional-control-service/src/esap/informes-ley/entities/plantilla-informe-ley.entity.ts:34 (PlantillaInformeLey.rutaPlantilla)</t>
        </is>
      </c>
      <c r="Q1909" s="18" t="inlineStr">
        <is>
          <t>Propuesta semántica</t>
        </is>
      </c>
      <c r="R1909" s="18" t="inlineStr">
        <is>
          <t>Ruta del archivo de la plantilla del informe de ley.</t>
        </is>
      </c>
      <c r="S1909" s="18" t="inlineStr">
        <is>
          <t>Media</t>
        </is>
      </c>
      <c r="T1909" s="18" t="inlineStr">
        <is>
          <t>nombre + tipo + columnas vecinas</t>
        </is>
      </c>
      <c r="U1909" s="18" t="inlineStr">
        <is>
          <t>¿Es una ruta local, de almacenamiento en la nube o una URL?</t>
        </is>
      </c>
      <c r="V1909" s="19" t="inlineStr">
        <is>
          <t>Pendiente</t>
        </is>
      </c>
      <c r="W1909" s="19" t="inlineStr"/>
      <c r="X1909" s="19" t="inlineStr"/>
      <c r="Y1909" s="20" t="n"/>
      <c r="Z1909" s="19" t="inlineStr"/>
      <c r="AA1909" s="18">
        <f>IF(OR(V1909="Aprobada"),R1909,IF(AND(OR(V1909="Aprobada con ajuste",V1909="Rechazada"),W1909&lt;&gt;""),W1909,""))</f>
        <v/>
      </c>
    </row>
    <row r="1910">
      <c r="A1910" s="18" t="inlineStr">
        <is>
          <t>C1909</t>
        </is>
      </c>
      <c r="B1910" s="18" t="inlineStr">
        <is>
          <t>Control interno</t>
        </is>
      </c>
      <c r="C1910" s="18" t="inlineStr">
        <is>
          <t>control_interno</t>
        </is>
      </c>
      <c r="D1910" s="18" t="inlineStr">
        <is>
          <t>plantilla_informe_ley</t>
        </is>
      </c>
      <c r="E1910" s="18" t="n">
        <v>16</v>
      </c>
      <c r="F1910" s="18" t="inlineStr">
        <is>
          <t>activa</t>
        </is>
      </c>
      <c r="G1910" s="18" t="inlineStr">
        <is>
          <t>boolean</t>
        </is>
      </c>
      <c r="H1910" s="18" t="inlineStr">
        <is>
          <t>Sí</t>
        </is>
      </c>
      <c r="I1910" s="18" t="inlineStr"/>
      <c r="J1910" s="18" t="inlineStr"/>
      <c r="K1910" s="18" t="inlineStr"/>
      <c r="L1910" s="18" t="inlineStr">
        <is>
          <t>No</t>
        </is>
      </c>
      <c r="M1910" s="18" t="inlineStr">
        <is>
          <t>No</t>
        </is>
      </c>
      <c r="N1910" s="18" t="inlineStr"/>
      <c r="O1910" s="18" t="inlineStr"/>
      <c r="P1910" s="18" t="inlineStr">
        <is>
          <t>Mapeada en internal-institutional-control-service/src/esap/informes-ley/entities/plantilla-informe-ley.entity.ts:43 (PlantillaInformeLey.activa) | Validación: IsBoolean, IsOptional</t>
        </is>
      </c>
      <c r="Q1910" s="18" t="inlineStr">
        <is>
          <t>Regla estructural</t>
        </is>
      </c>
      <c r="R1910" s="18" t="inlineStr">
        <is>
          <t>Indica si el registro está activo.</t>
        </is>
      </c>
      <c r="S1910" s="18" t="inlineStr">
        <is>
          <t>Media</t>
        </is>
      </c>
      <c r="T1910" s="18" t="inlineStr">
        <is>
          <t>Convención de nombre de la columna.</t>
        </is>
      </c>
      <c r="U1910" s="18" t="inlineStr"/>
      <c r="V1910" s="19" t="inlineStr">
        <is>
          <t>Pendiente</t>
        </is>
      </c>
      <c r="W1910" s="19" t="inlineStr"/>
      <c r="X1910" s="19" t="inlineStr"/>
      <c r="Y1910" s="20" t="n"/>
      <c r="Z1910" s="19" t="inlineStr"/>
      <c r="AA1910" s="18">
        <f>IF(OR(V1910="Aprobada"),R1910,IF(AND(OR(V1910="Aprobada con ajuste",V1910="Rechazada"),W1910&lt;&gt;""),W1910,""))</f>
        <v/>
      </c>
    </row>
    <row r="1911">
      <c r="A1911" s="18" t="inlineStr">
        <is>
          <t>C1910</t>
        </is>
      </c>
      <c r="B1911" s="18" t="inlineStr">
        <is>
          <t>Control interno</t>
        </is>
      </c>
      <c r="C1911" s="18" t="inlineStr">
        <is>
          <t>control_interno</t>
        </is>
      </c>
      <c r="D1911" s="18" t="inlineStr">
        <is>
          <t>plantilla_informe_ley</t>
        </is>
      </c>
      <c r="E1911" s="18" t="n">
        <v>16</v>
      </c>
      <c r="F1911" s="18" t="inlineStr">
        <is>
          <t>version</t>
        </is>
      </c>
      <c r="G1911" s="18" t="inlineStr">
        <is>
          <t>character varying(50)</t>
        </is>
      </c>
      <c r="H1911" s="18" t="inlineStr">
        <is>
          <t>Sí</t>
        </is>
      </c>
      <c r="I1911" s="18" t="inlineStr"/>
      <c r="J1911" s="18" t="inlineStr"/>
      <c r="K1911" s="18" t="inlineStr"/>
      <c r="L1911" s="18" t="inlineStr">
        <is>
          <t>No</t>
        </is>
      </c>
      <c r="M1911" s="18" t="inlineStr">
        <is>
          <t>No</t>
        </is>
      </c>
      <c r="N1911" s="18" t="inlineStr"/>
      <c r="O1911" s="18" t="inlineStr"/>
      <c r="P1911" s="18" t="inlineStr">
        <is>
          <t>Mapeada en internal-institutional-control-service/src/esap/informes-ley/entities/plantilla-informe-ley.entity.ts:46 (PlantillaInformeLey.version) | Validación: IsOptional, IsString</t>
        </is>
      </c>
      <c r="Q1911" s="18" t="inlineStr">
        <is>
          <t>Regla estructural</t>
        </is>
      </c>
      <c r="R1911" s="18" t="inlineStr">
        <is>
          <t>Número de versión del registro.</t>
        </is>
      </c>
      <c r="S1911" s="18" t="inlineStr">
        <is>
          <t>Media</t>
        </is>
      </c>
      <c r="T1911" s="18" t="inlineStr">
        <is>
          <t>Convención de nombre de la columna.</t>
        </is>
      </c>
      <c r="U1911" s="18" t="inlineStr"/>
      <c r="V1911" s="19" t="inlineStr">
        <is>
          <t>Pendiente</t>
        </is>
      </c>
      <c r="W1911" s="19" t="inlineStr"/>
      <c r="X1911" s="19" t="inlineStr"/>
      <c r="Y1911" s="20" t="n"/>
      <c r="Z1911" s="19" t="inlineStr"/>
      <c r="AA1911" s="18">
        <f>IF(OR(V1911="Aprobada"),R1911,IF(AND(OR(V1911="Aprobada con ajuste",V1911="Rechazada"),W1911&lt;&gt;""),W1911,""))</f>
        <v/>
      </c>
    </row>
    <row r="1912">
      <c r="A1912" s="18" t="inlineStr">
        <is>
          <t>C1911</t>
        </is>
      </c>
      <c r="B1912" s="18" t="inlineStr">
        <is>
          <t>Control interno</t>
        </is>
      </c>
      <c r="C1912" s="18" t="inlineStr">
        <is>
          <t>control_interno</t>
        </is>
      </c>
      <c r="D1912" s="18" t="inlineStr">
        <is>
          <t>plantilla_reporte</t>
        </is>
      </c>
      <c r="E1912" s="18" t="n">
        <v>0</v>
      </c>
      <c r="F1912" s="18" t="inlineStr">
        <is>
          <t>codigo</t>
        </is>
      </c>
      <c r="G1912" s="18" t="inlineStr">
        <is>
          <t>character varying(255)</t>
        </is>
      </c>
      <c r="H1912" s="18" t="inlineStr">
        <is>
          <t>No</t>
        </is>
      </c>
      <c r="I1912" s="18" t="inlineStr">
        <is>
          <t>Única</t>
        </is>
      </c>
      <c r="J1912" s="18" t="inlineStr"/>
      <c r="K1912" s="18" t="inlineStr"/>
      <c r="L1912" s="18" t="inlineStr">
        <is>
          <t>No</t>
        </is>
      </c>
      <c r="M1912" s="18" t="inlineStr">
        <is>
          <t>No</t>
        </is>
      </c>
      <c r="N1912" s="18" t="inlineStr"/>
      <c r="O1912" s="18" t="inlineStr">
        <is>
          <t>plantilla_reporte_codigo_key</t>
        </is>
      </c>
      <c r="P1912" s="18" t="inlineStr"/>
      <c r="Q1912" s="18" t="inlineStr">
        <is>
          <t>Regla estructural</t>
        </is>
      </c>
      <c r="R1912" s="18" t="inlineStr">
        <is>
          <t>Código del registro de plantilla_reporte. Único en la tabla.</t>
        </is>
      </c>
      <c r="S1912" s="18" t="inlineStr">
        <is>
          <t>Media</t>
        </is>
      </c>
      <c r="T1912" s="18" t="inlineStr">
        <is>
          <t>Convención de nombre de la columna.</t>
        </is>
      </c>
      <c r="U1912" s="18" t="inlineStr"/>
      <c r="V1912" s="19" t="inlineStr">
        <is>
          <t>Pendiente</t>
        </is>
      </c>
      <c r="W1912" s="19" t="inlineStr"/>
      <c r="X1912" s="19" t="inlineStr"/>
      <c r="Y1912" s="20" t="n"/>
      <c r="Z1912" s="19" t="inlineStr"/>
      <c r="AA1912" s="18">
        <f>IF(OR(V1912="Aprobada"),R1912,IF(AND(OR(V1912="Aprobada con ajuste",V1912="Rechazada"),W1912&lt;&gt;""),W1912,""))</f>
        <v/>
      </c>
    </row>
    <row r="1913">
      <c r="A1913" s="18" t="inlineStr">
        <is>
          <t>C1912</t>
        </is>
      </c>
      <c r="B1913" s="18" t="inlineStr">
        <is>
          <t>Control interno</t>
        </is>
      </c>
      <c r="C1913" s="18" t="inlineStr">
        <is>
          <t>control_interno</t>
        </is>
      </c>
      <c r="D1913" s="18" t="inlineStr">
        <is>
          <t>plantilla_reporte</t>
        </is>
      </c>
      <c r="E1913" s="18" t="n">
        <v>0</v>
      </c>
      <c r="F1913" s="18" t="inlineStr">
        <is>
          <t>nombre</t>
        </is>
      </c>
      <c r="G1913" s="18" t="inlineStr">
        <is>
          <t>character varying(255)</t>
        </is>
      </c>
      <c r="H1913" s="18" t="inlineStr">
        <is>
          <t>No</t>
        </is>
      </c>
      <c r="I1913" s="18" t="inlineStr"/>
      <c r="J1913" s="18" t="inlineStr"/>
      <c r="K1913" s="18" t="inlineStr"/>
      <c r="L1913" s="18" t="inlineStr">
        <is>
          <t>No</t>
        </is>
      </c>
      <c r="M1913" s="18" t="inlineStr">
        <is>
          <t>No</t>
        </is>
      </c>
      <c r="N1913" s="18" t="inlineStr"/>
      <c r="O1913" s="18" t="inlineStr"/>
      <c r="P1913" s="18" t="inlineStr"/>
      <c r="Q1913" s="18" t="inlineStr">
        <is>
          <t>Regla estructural</t>
        </is>
      </c>
      <c r="R1913" s="18" t="inlineStr">
        <is>
          <t>Nombre del registro de plantilla_reporte.</t>
        </is>
      </c>
      <c r="S1913" s="18" t="inlineStr">
        <is>
          <t>Media</t>
        </is>
      </c>
      <c r="T1913" s="18" t="inlineStr">
        <is>
          <t>Convención de nombre de la columna.</t>
        </is>
      </c>
      <c r="U1913" s="18" t="inlineStr"/>
      <c r="V1913" s="19" t="inlineStr">
        <is>
          <t>Pendiente</t>
        </is>
      </c>
      <c r="W1913" s="19" t="inlineStr"/>
      <c r="X1913" s="19" t="inlineStr"/>
      <c r="Y1913" s="20" t="n"/>
      <c r="Z1913" s="19" t="inlineStr"/>
      <c r="AA1913" s="18">
        <f>IF(OR(V1913="Aprobada"),R1913,IF(AND(OR(V1913="Aprobada con ajuste",V1913="Rechazada"),W1913&lt;&gt;""),W1913,""))</f>
        <v/>
      </c>
    </row>
    <row r="1914">
      <c r="A1914" s="18" t="inlineStr">
        <is>
          <t>C1913</t>
        </is>
      </c>
      <c r="B1914" s="18" t="inlineStr">
        <is>
          <t>Control interno</t>
        </is>
      </c>
      <c r="C1914" s="18" t="inlineStr">
        <is>
          <t>control_interno</t>
        </is>
      </c>
      <c r="D1914" s="18" t="inlineStr">
        <is>
          <t>plantilla_reporte</t>
        </is>
      </c>
      <c r="E1914" s="18" t="n">
        <v>0</v>
      </c>
      <c r="F1914" s="18" t="inlineStr">
        <is>
          <t>tipo</t>
        </is>
      </c>
      <c r="G1914" s="18" t="inlineStr">
        <is>
          <t>character varying(100)</t>
        </is>
      </c>
      <c r="H1914" s="18" t="inlineStr">
        <is>
          <t>No</t>
        </is>
      </c>
      <c r="I1914" s="18" t="inlineStr"/>
      <c r="J1914" s="18" t="inlineStr"/>
      <c r="K1914" s="18" t="inlineStr"/>
      <c r="L1914" s="18" t="inlineStr">
        <is>
          <t>No</t>
        </is>
      </c>
      <c r="M1914" s="18" t="inlineStr">
        <is>
          <t>No</t>
        </is>
      </c>
      <c r="N1914" s="18" t="inlineStr"/>
      <c r="O1914" s="18" t="inlineStr">
        <is>
          <t>idx_plantilla_tipo</t>
        </is>
      </c>
      <c r="P1914" s="18" t="inlineStr"/>
      <c r="Q1914" s="18" t="inlineStr">
        <is>
          <t>Regla estructural</t>
        </is>
      </c>
      <c r="R1914" s="18" t="inlineStr">
        <is>
          <t>Tipo del registro de plantilla_reporte.</t>
        </is>
      </c>
      <c r="S1914" s="18" t="inlineStr">
        <is>
          <t>Media</t>
        </is>
      </c>
      <c r="T1914" s="18" t="inlineStr">
        <is>
          <t>Convención de nombre de la columna.</t>
        </is>
      </c>
      <c r="U1914" s="18" t="inlineStr"/>
      <c r="V1914" s="19" t="inlineStr">
        <is>
          <t>Pendiente</t>
        </is>
      </c>
      <c r="W1914" s="19" t="inlineStr"/>
      <c r="X1914" s="19" t="inlineStr"/>
      <c r="Y1914" s="20" t="n"/>
      <c r="Z1914" s="19" t="inlineStr"/>
      <c r="AA1914" s="18">
        <f>IF(OR(V1914="Aprobada"),R1914,IF(AND(OR(V1914="Aprobada con ajuste",V1914="Rechazada"),W1914&lt;&gt;""),W1914,""))</f>
        <v/>
      </c>
    </row>
    <row r="1915">
      <c r="A1915" s="18" t="inlineStr">
        <is>
          <t>C1914</t>
        </is>
      </c>
      <c r="B1915" s="18" t="inlineStr">
        <is>
          <t>Control interno</t>
        </is>
      </c>
      <c r="C1915" s="18" t="inlineStr">
        <is>
          <t>control_interno</t>
        </is>
      </c>
      <c r="D1915" s="18" t="inlineStr">
        <is>
          <t>plantilla_reporte</t>
        </is>
      </c>
      <c r="E1915" s="18" t="n">
        <v>0</v>
      </c>
      <c r="F1915" s="18" t="inlineStr">
        <is>
          <t>descripcion</t>
        </is>
      </c>
      <c r="G1915" s="18" t="inlineStr">
        <is>
          <t>text</t>
        </is>
      </c>
      <c r="H1915" s="18" t="inlineStr">
        <is>
          <t>Sí</t>
        </is>
      </c>
      <c r="I1915" s="18" t="inlineStr"/>
      <c r="J1915" s="18" t="inlineStr"/>
      <c r="K1915" s="18" t="inlineStr"/>
      <c r="L1915" s="18" t="inlineStr">
        <is>
          <t>No</t>
        </is>
      </c>
      <c r="M1915" s="18" t="inlineStr">
        <is>
          <t>No</t>
        </is>
      </c>
      <c r="N1915" s="18" t="inlineStr"/>
      <c r="O1915" s="18" t="inlineStr"/>
      <c r="P1915" s="18" t="inlineStr"/>
      <c r="Q1915" s="18" t="inlineStr">
        <is>
          <t>Regla estructural</t>
        </is>
      </c>
      <c r="R1915" s="18" t="inlineStr">
        <is>
          <t>Descripción del registro de plantilla_reporte.</t>
        </is>
      </c>
      <c r="S1915" s="18" t="inlineStr">
        <is>
          <t>Media</t>
        </is>
      </c>
      <c r="T1915" s="18" t="inlineStr">
        <is>
          <t>Convención de nombre de la columna.</t>
        </is>
      </c>
      <c r="U1915" s="18" t="inlineStr"/>
      <c r="V1915" s="19" t="inlineStr">
        <is>
          <t>Pendiente</t>
        </is>
      </c>
      <c r="W1915" s="19" t="inlineStr"/>
      <c r="X1915" s="19" t="inlineStr"/>
      <c r="Y1915" s="20" t="n"/>
      <c r="Z1915" s="19" t="inlineStr"/>
      <c r="AA1915" s="18">
        <f>IF(OR(V1915="Aprobada"),R1915,IF(AND(OR(V1915="Aprobada con ajuste",V1915="Rechazada"),W1915&lt;&gt;""),W1915,""))</f>
        <v/>
      </c>
    </row>
    <row r="1916">
      <c r="A1916" s="18" t="inlineStr">
        <is>
          <t>C1915</t>
        </is>
      </c>
      <c r="B1916" s="18" t="inlineStr">
        <is>
          <t>Control interno</t>
        </is>
      </c>
      <c r="C1916" s="18" t="inlineStr">
        <is>
          <t>control_interno</t>
        </is>
      </c>
      <c r="D1916" s="18" t="inlineStr">
        <is>
          <t>plantilla_reporte</t>
        </is>
      </c>
      <c r="E1916" s="18" t="n">
        <v>0</v>
      </c>
      <c r="F1916" s="18" t="inlineStr">
        <is>
          <t>formato</t>
        </is>
      </c>
      <c r="G1916" s="18" t="inlineStr">
        <is>
          <t>character varying(50)</t>
        </is>
      </c>
      <c r="H1916" s="18" t="inlineStr">
        <is>
          <t>No</t>
        </is>
      </c>
      <c r="I1916" s="18" t="inlineStr">
        <is>
          <t>CHECK</t>
        </is>
      </c>
      <c r="J1916" s="18" t="inlineStr">
        <is>
          <t>Excel, PDF, PowerPoint, Word</t>
        </is>
      </c>
      <c r="K1916" s="18" t="inlineStr"/>
      <c r="L1916" s="18" t="inlineStr">
        <is>
          <t>Sí</t>
        </is>
      </c>
      <c r="M1916" s="18" t="inlineStr">
        <is>
          <t>No</t>
        </is>
      </c>
      <c r="N1916" s="18" t="inlineStr"/>
      <c r="O1916" s="18" t="inlineStr"/>
      <c r="P1916" s="18" t="inlineStr"/>
      <c r="Q1916" s="18" t="inlineStr">
        <is>
          <t>Propuesta semántica</t>
        </is>
      </c>
      <c r="R1916" s="18" t="inlineStr">
        <is>
          <t>Formato del reporte generado. Valores permitidos: PDF, Excel, Word, PowerPoint.</t>
        </is>
      </c>
      <c r="S1916" s="18" t="inlineStr">
        <is>
          <t>Alta</t>
        </is>
      </c>
      <c r="T1916" s="18" t="inlineStr">
        <is>
          <t>valores permitidos del CHECK</t>
        </is>
      </c>
      <c r="U1916" s="18" t="inlineStr"/>
      <c r="V1916" s="19" t="inlineStr">
        <is>
          <t>Pendiente</t>
        </is>
      </c>
      <c r="W1916" s="19" t="inlineStr"/>
      <c r="X1916" s="19" t="inlineStr"/>
      <c r="Y1916" s="20" t="n"/>
      <c r="Z1916" s="19" t="inlineStr"/>
      <c r="AA1916" s="18">
        <f>IF(OR(V1916="Aprobada"),R1916,IF(AND(OR(V1916="Aprobada con ajuste",V1916="Rechazada"),W1916&lt;&gt;""),W1916,""))</f>
        <v/>
      </c>
    </row>
    <row r="1917">
      <c r="A1917" s="18" t="inlineStr">
        <is>
          <t>C1916</t>
        </is>
      </c>
      <c r="B1917" s="18" t="inlineStr">
        <is>
          <t>Control interno</t>
        </is>
      </c>
      <c r="C1917" s="18" t="inlineStr">
        <is>
          <t>control_interno</t>
        </is>
      </c>
      <c r="D1917" s="18" t="inlineStr">
        <is>
          <t>plantilla_reporte</t>
        </is>
      </c>
      <c r="E1917" s="18" t="n">
        <v>0</v>
      </c>
      <c r="F1917" s="18" t="inlineStr">
        <is>
          <t>ruta_template</t>
        </is>
      </c>
      <c r="G1917" s="18" t="inlineStr">
        <is>
          <t>character varying(500)</t>
        </is>
      </c>
      <c r="H1917" s="18" t="inlineStr">
        <is>
          <t>Sí</t>
        </is>
      </c>
      <c r="I1917" s="18" t="inlineStr"/>
      <c r="J1917" s="18" t="inlineStr"/>
      <c r="K1917" s="18" t="inlineStr"/>
      <c r="L1917" s="18" t="inlineStr">
        <is>
          <t>No</t>
        </is>
      </c>
      <c r="M1917" s="18" t="inlineStr">
        <is>
          <t>No</t>
        </is>
      </c>
      <c r="N1917" s="18" t="inlineStr"/>
      <c r="O1917" s="18" t="inlineStr"/>
      <c r="P1917" s="18" t="inlineStr"/>
      <c r="Q1917" s="18" t="inlineStr">
        <is>
          <t>Propuesta semántica</t>
        </is>
      </c>
      <c r="R1917" s="18" t="inlineStr">
        <is>
          <t>Ruta del archivo de la plantilla del reporte.</t>
        </is>
      </c>
      <c r="S1917" s="18" t="inlineStr">
        <is>
          <t>Media</t>
        </is>
      </c>
      <c r="T1917" s="18" t="inlineStr">
        <is>
          <t>nombre + tipo + columnas vecinas</t>
        </is>
      </c>
      <c r="U1917" s="18" t="inlineStr">
        <is>
          <t>¿Es una ruta local, de almacenamiento en la nube o una URL?</t>
        </is>
      </c>
      <c r="V1917" s="19" t="inlineStr">
        <is>
          <t>Pendiente</t>
        </is>
      </c>
      <c r="W1917" s="19" t="inlineStr"/>
      <c r="X1917" s="19" t="inlineStr"/>
      <c r="Y1917" s="20" t="n"/>
      <c r="Z1917" s="19" t="inlineStr"/>
      <c r="AA1917" s="18">
        <f>IF(OR(V1917="Aprobada"),R1917,IF(AND(OR(V1917="Aprobada con ajuste",V1917="Rechazada"),W1917&lt;&gt;""),W1917,""))</f>
        <v/>
      </c>
    </row>
    <row r="1918">
      <c r="A1918" s="18" t="inlineStr">
        <is>
          <t>C1917</t>
        </is>
      </c>
      <c r="B1918" s="18" t="inlineStr">
        <is>
          <t>Control interno</t>
        </is>
      </c>
      <c r="C1918" s="18" t="inlineStr">
        <is>
          <t>control_interno</t>
        </is>
      </c>
      <c r="D1918" s="18" t="inlineStr">
        <is>
          <t>plantilla_reporte</t>
        </is>
      </c>
      <c r="E1918" s="18" t="n">
        <v>0</v>
      </c>
      <c r="F1918" s="18" t="inlineStr">
        <is>
          <t>variables_disponibles</t>
        </is>
      </c>
      <c r="G1918" s="18" t="inlineStr">
        <is>
          <t>jsonb</t>
        </is>
      </c>
      <c r="H1918" s="18" t="inlineStr">
        <is>
          <t>Sí</t>
        </is>
      </c>
      <c r="I1918" s="18" t="inlineStr"/>
      <c r="J1918" s="18" t="inlineStr"/>
      <c r="K1918" s="18" t="inlineStr"/>
      <c r="L1918" s="18" t="inlineStr">
        <is>
          <t>No</t>
        </is>
      </c>
      <c r="M1918" s="18" t="inlineStr">
        <is>
          <t>No</t>
        </is>
      </c>
      <c r="N1918" s="18" t="inlineStr"/>
      <c r="O1918" s="18" t="inlineStr"/>
      <c r="P1918" s="18" t="inlineStr"/>
      <c r="Q1918" s="18" t="inlineStr">
        <is>
          <t>Propuesta semántica</t>
        </is>
      </c>
      <c r="R1918" s="18" t="inlineStr">
        <is>
          <t>Variables que se pueden usar en la plantilla del reporte, en formato JSON.</t>
        </is>
      </c>
      <c r="S1918" s="18" t="inlineStr">
        <is>
          <t>Media</t>
        </is>
      </c>
      <c r="T1918" s="18" t="inlineStr">
        <is>
          <t>nombre + tipo + columnas vecinas</t>
        </is>
      </c>
      <c r="U1918" s="18" t="inlineStr">
        <is>
          <t>¿Qué estructura tiene el JSON de variables?</t>
        </is>
      </c>
      <c r="V1918" s="19" t="inlineStr">
        <is>
          <t>Pendiente</t>
        </is>
      </c>
      <c r="W1918" s="19" t="inlineStr"/>
      <c r="X1918" s="19" t="inlineStr"/>
      <c r="Y1918" s="20" t="n"/>
      <c r="Z1918" s="19" t="inlineStr"/>
      <c r="AA1918" s="18">
        <f>IF(OR(V1918="Aprobada"),R1918,IF(AND(OR(V1918="Aprobada con ajuste",V1918="Rechazada"),W1918&lt;&gt;""),W1918,""))</f>
        <v/>
      </c>
    </row>
    <row r="1919">
      <c r="A1919" s="18" t="inlineStr">
        <is>
          <t>C1918</t>
        </is>
      </c>
      <c r="B1919" s="18" t="inlineStr">
        <is>
          <t>Control interno</t>
        </is>
      </c>
      <c r="C1919" s="18" t="inlineStr">
        <is>
          <t>control_interno</t>
        </is>
      </c>
      <c r="D1919" s="18" t="inlineStr">
        <is>
          <t>plantilla_reporte</t>
        </is>
      </c>
      <c r="E1919" s="18" t="n">
        <v>0</v>
      </c>
      <c r="F1919" s="18" t="inlineStr">
        <is>
          <t>activa</t>
        </is>
      </c>
      <c r="G1919" s="18" t="inlineStr">
        <is>
          <t>boolean</t>
        </is>
      </c>
      <c r="H1919" s="18" t="inlineStr">
        <is>
          <t>Sí</t>
        </is>
      </c>
      <c r="I1919" s="18" t="inlineStr"/>
      <c r="J1919" s="18" t="inlineStr"/>
      <c r="K1919" s="18" t="inlineStr"/>
      <c r="L1919" s="18" t="inlineStr">
        <is>
          <t>No</t>
        </is>
      </c>
      <c r="M1919" s="18" t="inlineStr">
        <is>
          <t>No</t>
        </is>
      </c>
      <c r="N1919" s="18" t="inlineStr"/>
      <c r="O1919" s="18" t="inlineStr"/>
      <c r="P1919" s="18" t="inlineStr"/>
      <c r="Q1919" s="18" t="inlineStr">
        <is>
          <t>Regla estructural</t>
        </is>
      </c>
      <c r="R1919" s="18" t="inlineStr">
        <is>
          <t>Indica si el registro está activo.</t>
        </is>
      </c>
      <c r="S1919" s="18" t="inlineStr">
        <is>
          <t>Media</t>
        </is>
      </c>
      <c r="T1919" s="18" t="inlineStr">
        <is>
          <t>Convención de nombre de la columna.</t>
        </is>
      </c>
      <c r="U1919" s="18" t="inlineStr"/>
      <c r="V1919" s="19" t="inlineStr">
        <is>
          <t>Pendiente</t>
        </is>
      </c>
      <c r="W1919" s="19" t="inlineStr"/>
      <c r="X1919" s="19" t="inlineStr"/>
      <c r="Y1919" s="20" t="n"/>
      <c r="Z1919" s="19" t="inlineStr"/>
      <c r="AA1919" s="18">
        <f>IF(OR(V1919="Aprobada"),R1919,IF(AND(OR(V1919="Aprobada con ajuste",V1919="Rechazada"),W1919&lt;&gt;""),W1919,""))</f>
        <v/>
      </c>
    </row>
    <row r="1920">
      <c r="A1920" s="18" t="inlineStr">
        <is>
          <t>C1919</t>
        </is>
      </c>
      <c r="B1920" s="18" t="inlineStr">
        <is>
          <t>Control interno</t>
        </is>
      </c>
      <c r="C1920" s="18" t="inlineStr">
        <is>
          <t>control_interno</t>
        </is>
      </c>
      <c r="D1920" s="18" t="inlineStr">
        <is>
          <t>plantillas_documentos_esap</t>
        </is>
      </c>
      <c r="E1920" s="18" t="n">
        <v>0</v>
      </c>
      <c r="F1920" s="18" t="inlineStr">
        <is>
          <t>codigo</t>
        </is>
      </c>
      <c r="G1920" s="18" t="inlineStr">
        <is>
          <t>character varying(255)</t>
        </is>
      </c>
      <c r="H1920" s="18" t="inlineStr">
        <is>
          <t>No</t>
        </is>
      </c>
      <c r="I1920" s="18" t="inlineStr">
        <is>
          <t>Única</t>
        </is>
      </c>
      <c r="J1920" s="18" t="inlineStr"/>
      <c r="K1920" s="18" t="inlineStr"/>
      <c r="L1920" s="18" t="inlineStr">
        <is>
          <t>No</t>
        </is>
      </c>
      <c r="M1920" s="18" t="inlineStr">
        <is>
          <t>No</t>
        </is>
      </c>
      <c r="N1920" s="18" t="inlineStr"/>
      <c r="O1920" s="18" t="inlineStr">
        <is>
          <t>idx_plantillas_codigo, plantillas_documentos_esap_codigo_key</t>
        </is>
      </c>
      <c r="P1920" s="18" t="inlineStr"/>
      <c r="Q1920" s="18" t="inlineStr">
        <is>
          <t>Regla estructural</t>
        </is>
      </c>
      <c r="R1920" s="18" t="inlineStr">
        <is>
          <t>Código del registro de plantillas_documentos_esap. Único en la tabla.</t>
        </is>
      </c>
      <c r="S1920" s="18" t="inlineStr">
        <is>
          <t>Media</t>
        </is>
      </c>
      <c r="T1920" s="18" t="inlineStr">
        <is>
          <t>Convención de nombre de la columna.</t>
        </is>
      </c>
      <c r="U1920" s="18" t="inlineStr"/>
      <c r="V1920" s="19" t="inlineStr">
        <is>
          <t>Pendiente</t>
        </is>
      </c>
      <c r="W1920" s="19" t="inlineStr"/>
      <c r="X1920" s="19" t="inlineStr"/>
      <c r="Y1920" s="20" t="n"/>
      <c r="Z1920" s="19" t="inlineStr"/>
      <c r="AA1920" s="18">
        <f>IF(OR(V1920="Aprobada"),R1920,IF(AND(OR(V1920="Aprobada con ajuste",V1920="Rechazada"),W1920&lt;&gt;""),W1920,""))</f>
        <v/>
      </c>
    </row>
    <row r="1921">
      <c r="A1921" s="18" t="inlineStr">
        <is>
          <t>C1920</t>
        </is>
      </c>
      <c r="B1921" s="18" t="inlineStr">
        <is>
          <t>Control interno</t>
        </is>
      </c>
      <c r="C1921" s="18" t="inlineStr">
        <is>
          <t>control_interno</t>
        </is>
      </c>
      <c r="D1921" s="18" t="inlineStr">
        <is>
          <t>plantillas_documentos_esap</t>
        </is>
      </c>
      <c r="E1921" s="18" t="n">
        <v>0</v>
      </c>
      <c r="F1921" s="18" t="inlineStr">
        <is>
          <t>nombre</t>
        </is>
      </c>
      <c r="G1921" s="18" t="inlineStr">
        <is>
          <t>character varying(255)</t>
        </is>
      </c>
      <c r="H1921" s="18" t="inlineStr">
        <is>
          <t>No</t>
        </is>
      </c>
      <c r="I1921" s="18" t="inlineStr"/>
      <c r="J1921" s="18" t="inlineStr"/>
      <c r="K1921" s="18" t="inlineStr"/>
      <c r="L1921" s="18" t="inlineStr">
        <is>
          <t>No</t>
        </is>
      </c>
      <c r="M1921" s="18" t="inlineStr">
        <is>
          <t>No</t>
        </is>
      </c>
      <c r="N1921" s="18" t="inlineStr"/>
      <c r="O1921" s="18" t="inlineStr"/>
      <c r="P1921" s="18" t="inlineStr"/>
      <c r="Q1921" s="18" t="inlineStr">
        <is>
          <t>Regla estructural</t>
        </is>
      </c>
      <c r="R1921" s="18" t="inlineStr">
        <is>
          <t>Nombre del registro de plantillas_documentos_esap.</t>
        </is>
      </c>
      <c r="S1921" s="18" t="inlineStr">
        <is>
          <t>Media</t>
        </is>
      </c>
      <c r="T1921" s="18" t="inlineStr">
        <is>
          <t>Convención de nombre de la columna.</t>
        </is>
      </c>
      <c r="U1921" s="18" t="inlineStr"/>
      <c r="V1921" s="19" t="inlineStr">
        <is>
          <t>Pendiente</t>
        </is>
      </c>
      <c r="W1921" s="19" t="inlineStr"/>
      <c r="X1921" s="19" t="inlineStr"/>
      <c r="Y1921" s="20" t="n"/>
      <c r="Z1921" s="19" t="inlineStr"/>
      <c r="AA1921" s="18">
        <f>IF(OR(V1921="Aprobada"),R1921,IF(AND(OR(V1921="Aprobada con ajuste",V1921="Rechazada"),W1921&lt;&gt;""),W1921,""))</f>
        <v/>
      </c>
    </row>
    <row r="1922">
      <c r="A1922" s="18" t="inlineStr">
        <is>
          <t>C1921</t>
        </is>
      </c>
      <c r="B1922" s="18" t="inlineStr">
        <is>
          <t>Control interno</t>
        </is>
      </c>
      <c r="C1922" s="18" t="inlineStr">
        <is>
          <t>control_interno</t>
        </is>
      </c>
      <c r="D1922" s="18" t="inlineStr">
        <is>
          <t>plantillas_documentos_esap</t>
        </is>
      </c>
      <c r="E1922" s="18" t="n">
        <v>0</v>
      </c>
      <c r="F1922" s="18" t="inlineStr">
        <is>
          <t>descripcion</t>
        </is>
      </c>
      <c r="G1922" s="18" t="inlineStr">
        <is>
          <t>text</t>
        </is>
      </c>
      <c r="H1922" s="18" t="inlineStr">
        <is>
          <t>Sí</t>
        </is>
      </c>
      <c r="I1922" s="18" t="inlineStr"/>
      <c r="J1922" s="18" t="inlineStr"/>
      <c r="K1922" s="18" t="inlineStr"/>
      <c r="L1922" s="18" t="inlineStr">
        <is>
          <t>No</t>
        </is>
      </c>
      <c r="M1922" s="18" t="inlineStr">
        <is>
          <t>No</t>
        </is>
      </c>
      <c r="N1922" s="18" t="inlineStr"/>
      <c r="O1922" s="18" t="inlineStr"/>
      <c r="P1922" s="18" t="inlineStr"/>
      <c r="Q1922" s="18" t="inlineStr">
        <is>
          <t>Regla estructural</t>
        </is>
      </c>
      <c r="R1922" s="18" t="inlineStr">
        <is>
          <t>Descripción del registro de plantillas_documentos_esap.</t>
        </is>
      </c>
      <c r="S1922" s="18" t="inlineStr">
        <is>
          <t>Media</t>
        </is>
      </c>
      <c r="T1922" s="18" t="inlineStr">
        <is>
          <t>Convención de nombre de la columna.</t>
        </is>
      </c>
      <c r="U1922" s="18" t="inlineStr"/>
      <c r="V1922" s="19" t="inlineStr">
        <is>
          <t>Pendiente</t>
        </is>
      </c>
      <c r="W1922" s="19" t="inlineStr"/>
      <c r="X1922" s="19" t="inlineStr"/>
      <c r="Y1922" s="20" t="n"/>
      <c r="Z1922" s="19" t="inlineStr"/>
      <c r="AA1922" s="18">
        <f>IF(OR(V1922="Aprobada"),R1922,IF(AND(OR(V1922="Aprobada con ajuste",V1922="Rechazada"),W1922&lt;&gt;""),W1922,""))</f>
        <v/>
      </c>
    </row>
    <row r="1923">
      <c r="A1923" s="18" t="inlineStr">
        <is>
          <t>C1922</t>
        </is>
      </c>
      <c r="B1923" s="18" t="inlineStr">
        <is>
          <t>Control interno</t>
        </is>
      </c>
      <c r="C1923" s="18" t="inlineStr">
        <is>
          <t>control_interno</t>
        </is>
      </c>
      <c r="D1923" s="18" t="inlineStr">
        <is>
          <t>plantillas_documentos_esap</t>
        </is>
      </c>
      <c r="E1923" s="18" t="n">
        <v>0</v>
      </c>
      <c r="F1923" s="18" t="inlineStr">
        <is>
          <t>tipo_documento</t>
        </is>
      </c>
      <c r="G1923" s="18" t="inlineStr">
        <is>
          <t>character varying(100)</t>
        </is>
      </c>
      <c r="H1923" s="18" t="inlineStr">
        <is>
          <t>No</t>
        </is>
      </c>
      <c r="I1923" s="18" t="inlineStr"/>
      <c r="J1923" s="18" t="inlineStr"/>
      <c r="K1923" s="18" t="inlineStr"/>
      <c r="L1923" s="18" t="inlineStr">
        <is>
          <t>No</t>
        </is>
      </c>
      <c r="M1923" s="18" t="inlineStr">
        <is>
          <t>No</t>
        </is>
      </c>
      <c r="N1923" s="18" t="inlineStr"/>
      <c r="O1923" s="18" t="inlineStr">
        <is>
          <t>idx_plantillas_tipo</t>
        </is>
      </c>
      <c r="P1923" s="18" t="inlineStr"/>
      <c r="Q1923" s="18" t="inlineStr">
        <is>
          <t>Propuesta semántica</t>
        </is>
      </c>
      <c r="R1923" s="18" t="inlineStr">
        <is>
          <t>Tipo de documento que genera la plantilla.</t>
        </is>
      </c>
      <c r="S1923" s="18" t="inlineStr">
        <is>
          <t>Media</t>
        </is>
      </c>
      <c r="T1923" s="18" t="inlineStr">
        <is>
          <t>nombre + tipo + columnas vecinas</t>
        </is>
      </c>
      <c r="U1923" s="18" t="inlineStr">
        <is>
          <t>¿Qué tipos de documento existen?</t>
        </is>
      </c>
      <c r="V1923" s="19" t="inlineStr">
        <is>
          <t>Pendiente</t>
        </is>
      </c>
      <c r="W1923" s="19" t="inlineStr"/>
      <c r="X1923" s="19" t="inlineStr"/>
      <c r="Y1923" s="20" t="n"/>
      <c r="Z1923" s="19" t="inlineStr"/>
      <c r="AA1923" s="18">
        <f>IF(OR(V1923="Aprobada"),R1923,IF(AND(OR(V1923="Aprobada con ajuste",V1923="Rechazada"),W1923&lt;&gt;""),W1923,""))</f>
        <v/>
      </c>
    </row>
    <row r="1924">
      <c r="A1924" s="18" t="inlineStr">
        <is>
          <t>C1923</t>
        </is>
      </c>
      <c r="B1924" s="18" t="inlineStr">
        <is>
          <t>Control interno</t>
        </is>
      </c>
      <c r="C1924" s="18" t="inlineStr">
        <is>
          <t>control_interno</t>
        </is>
      </c>
      <c r="D1924" s="18" t="inlineStr">
        <is>
          <t>plantillas_documentos_esap</t>
        </is>
      </c>
      <c r="E1924" s="18" t="n">
        <v>0</v>
      </c>
      <c r="F1924" s="18" t="inlineStr">
        <is>
          <t>contenido</t>
        </is>
      </c>
      <c r="G1924" s="18" t="inlineStr">
        <is>
          <t>text</t>
        </is>
      </c>
      <c r="H1924" s="18" t="inlineStr">
        <is>
          <t>No</t>
        </is>
      </c>
      <c r="I1924" s="18" t="inlineStr"/>
      <c r="J1924" s="18" t="inlineStr"/>
      <c r="K1924" s="18" t="inlineStr"/>
      <c r="L1924" s="18" t="inlineStr">
        <is>
          <t>No</t>
        </is>
      </c>
      <c r="M1924" s="18" t="inlineStr">
        <is>
          <t>No</t>
        </is>
      </c>
      <c r="N1924" s="18" t="inlineStr"/>
      <c r="O1924" s="18" t="inlineStr"/>
      <c r="P1924" s="18" t="inlineStr"/>
      <c r="Q1924" s="18" t="inlineStr">
        <is>
          <t>Propuesta semántica</t>
        </is>
      </c>
      <c r="R1924" s="18" t="inlineStr">
        <is>
          <t>Contenido de la plantilla del documento.</t>
        </is>
      </c>
      <c r="S1924" s="18" t="inlineStr">
        <is>
          <t>Media</t>
        </is>
      </c>
      <c r="T1924" s="18" t="inlineStr">
        <is>
          <t>nombre + tipo + columnas vecinas</t>
        </is>
      </c>
      <c r="U1924" s="18" t="inlineStr">
        <is>
          <t>¿El contenido está en HTML, Markdown o texto plano?</t>
        </is>
      </c>
      <c r="V1924" s="19" t="inlineStr">
        <is>
          <t>Pendiente</t>
        </is>
      </c>
      <c r="W1924" s="19" t="inlineStr"/>
      <c r="X1924" s="19" t="inlineStr"/>
      <c r="Y1924" s="20" t="n"/>
      <c r="Z1924" s="19" t="inlineStr"/>
      <c r="AA1924" s="18">
        <f>IF(OR(V1924="Aprobada"),R1924,IF(AND(OR(V1924="Aprobada con ajuste",V1924="Rechazada"),W1924&lt;&gt;""),W1924,""))</f>
        <v/>
      </c>
    </row>
    <row r="1925">
      <c r="A1925" s="18" t="inlineStr">
        <is>
          <t>C1924</t>
        </is>
      </c>
      <c r="B1925" s="18" t="inlineStr">
        <is>
          <t>Control interno</t>
        </is>
      </c>
      <c r="C1925" s="18" t="inlineStr">
        <is>
          <t>control_interno</t>
        </is>
      </c>
      <c r="D1925" s="18" t="inlineStr">
        <is>
          <t>plantillas_documentos_esap</t>
        </is>
      </c>
      <c r="E1925" s="18" t="n">
        <v>0</v>
      </c>
      <c r="F1925" s="18" t="inlineStr">
        <is>
          <t>variables_disponibles</t>
        </is>
      </c>
      <c r="G1925" s="18" t="inlineStr">
        <is>
          <t>jsonb</t>
        </is>
      </c>
      <c r="H1925" s="18" t="inlineStr">
        <is>
          <t>Sí</t>
        </is>
      </c>
      <c r="I1925" s="18" t="inlineStr"/>
      <c r="J1925" s="18" t="inlineStr"/>
      <c r="K1925" s="18" t="inlineStr"/>
      <c r="L1925" s="18" t="inlineStr">
        <is>
          <t>No</t>
        </is>
      </c>
      <c r="M1925" s="18" t="inlineStr">
        <is>
          <t>No</t>
        </is>
      </c>
      <c r="N1925" s="18" t="inlineStr"/>
      <c r="O1925" s="18" t="inlineStr"/>
      <c r="P1925" s="18" t="inlineStr"/>
      <c r="Q1925" s="18" t="inlineStr">
        <is>
          <t>Propuesta semántica</t>
        </is>
      </c>
      <c r="R1925" s="18" t="inlineStr">
        <is>
          <t>Variables que se pueden usar en la plantilla del documento, en formato JSON.</t>
        </is>
      </c>
      <c r="S1925" s="18" t="inlineStr">
        <is>
          <t>Media</t>
        </is>
      </c>
      <c r="T1925" s="18" t="inlineStr">
        <is>
          <t>nombre + tipo + columnas vecinas</t>
        </is>
      </c>
      <c r="U1925" s="18" t="inlineStr">
        <is>
          <t>¿Qué estructura tiene el JSON de variables?</t>
        </is>
      </c>
      <c r="V1925" s="19" t="inlineStr">
        <is>
          <t>Pendiente</t>
        </is>
      </c>
      <c r="W1925" s="19" t="inlineStr"/>
      <c r="X1925" s="19" t="inlineStr"/>
      <c r="Y1925" s="20" t="n"/>
      <c r="Z1925" s="19" t="inlineStr"/>
      <c r="AA1925" s="18">
        <f>IF(OR(V1925="Aprobada"),R1925,IF(AND(OR(V1925="Aprobada con ajuste",V1925="Rechazada"),W1925&lt;&gt;""),W1925,""))</f>
        <v/>
      </c>
    </row>
    <row r="1926">
      <c r="A1926" s="18" t="inlineStr">
        <is>
          <t>C1925</t>
        </is>
      </c>
      <c r="B1926" s="18" t="inlineStr">
        <is>
          <t>Control interno</t>
        </is>
      </c>
      <c r="C1926" s="18" t="inlineStr">
        <is>
          <t>control_interno</t>
        </is>
      </c>
      <c r="D1926" s="18" t="inlineStr">
        <is>
          <t>plantillas_documentos_esap</t>
        </is>
      </c>
      <c r="E1926" s="18" t="n">
        <v>0</v>
      </c>
      <c r="F1926" s="18" t="inlineStr">
        <is>
          <t>activa</t>
        </is>
      </c>
      <c r="G1926" s="18" t="inlineStr">
        <is>
          <t>boolean</t>
        </is>
      </c>
      <c r="H1926" s="18" t="inlineStr">
        <is>
          <t>Sí</t>
        </is>
      </c>
      <c r="I1926" s="18" t="inlineStr"/>
      <c r="J1926" s="18" t="inlineStr"/>
      <c r="K1926" s="18" t="inlineStr"/>
      <c r="L1926" s="18" t="inlineStr">
        <is>
          <t>No</t>
        </is>
      </c>
      <c r="M1926" s="18" t="inlineStr">
        <is>
          <t>No</t>
        </is>
      </c>
      <c r="N1926" s="18" t="inlineStr"/>
      <c r="O1926" s="18" t="inlineStr">
        <is>
          <t>idx_plantillas_activa</t>
        </is>
      </c>
      <c r="P1926" s="18" t="inlineStr"/>
      <c r="Q1926" s="18" t="inlineStr">
        <is>
          <t>Regla estructural</t>
        </is>
      </c>
      <c r="R1926" s="18" t="inlineStr">
        <is>
          <t>Indica si el registro está activo.</t>
        </is>
      </c>
      <c r="S1926" s="18" t="inlineStr">
        <is>
          <t>Media</t>
        </is>
      </c>
      <c r="T1926" s="18" t="inlineStr">
        <is>
          <t>Convención de nombre de la columna.</t>
        </is>
      </c>
      <c r="U1926" s="18" t="inlineStr"/>
      <c r="V1926" s="19" t="inlineStr">
        <is>
          <t>Pendiente</t>
        </is>
      </c>
      <c r="W1926" s="19" t="inlineStr"/>
      <c r="X1926" s="19" t="inlineStr"/>
      <c r="Y1926" s="20" t="n"/>
      <c r="Z1926" s="19" t="inlineStr"/>
      <c r="AA1926" s="18">
        <f>IF(OR(V1926="Aprobada"),R1926,IF(AND(OR(V1926="Aprobada con ajuste",V1926="Rechazada"),W1926&lt;&gt;""),W1926,""))</f>
        <v/>
      </c>
    </row>
    <row r="1927">
      <c r="A1927" s="18" t="inlineStr">
        <is>
          <t>C1926</t>
        </is>
      </c>
      <c r="B1927" s="18" t="inlineStr">
        <is>
          <t>Control interno</t>
        </is>
      </c>
      <c r="C1927" s="18" t="inlineStr">
        <is>
          <t>control_interno</t>
        </is>
      </c>
      <c r="D1927" s="18" t="inlineStr">
        <is>
          <t>plantillas_documentos_esap</t>
        </is>
      </c>
      <c r="E1927" s="18" t="n">
        <v>0</v>
      </c>
      <c r="F1927" s="18" t="inlineStr">
        <is>
          <t>version</t>
        </is>
      </c>
      <c r="G1927" s="18" t="inlineStr">
        <is>
          <t>integer</t>
        </is>
      </c>
      <c r="H1927" s="18" t="inlineStr">
        <is>
          <t>Sí</t>
        </is>
      </c>
      <c r="I1927" s="18" t="inlineStr"/>
      <c r="J1927" s="18" t="inlineStr"/>
      <c r="K1927" s="18" t="inlineStr"/>
      <c r="L1927" s="18" t="inlineStr">
        <is>
          <t>No</t>
        </is>
      </c>
      <c r="M1927" s="18" t="inlineStr">
        <is>
          <t>No</t>
        </is>
      </c>
      <c r="N1927" s="18" t="inlineStr"/>
      <c r="O1927" s="18" t="inlineStr"/>
      <c r="P1927" s="18" t="inlineStr"/>
      <c r="Q1927" s="18" t="inlineStr">
        <is>
          <t>Regla estructural</t>
        </is>
      </c>
      <c r="R1927" s="18" t="inlineStr">
        <is>
          <t>Número de versión del registro.</t>
        </is>
      </c>
      <c r="S1927" s="18" t="inlineStr">
        <is>
          <t>Media</t>
        </is>
      </c>
      <c r="T1927" s="18" t="inlineStr">
        <is>
          <t>Convención de nombre de la columna.</t>
        </is>
      </c>
      <c r="U1927" s="18" t="inlineStr"/>
      <c r="V1927" s="19" t="inlineStr">
        <is>
          <t>Pendiente</t>
        </is>
      </c>
      <c r="W1927" s="19" t="inlineStr"/>
      <c r="X1927" s="19" t="inlineStr"/>
      <c r="Y1927" s="20" t="n"/>
      <c r="Z1927" s="19" t="inlineStr"/>
      <c r="AA1927" s="18">
        <f>IF(OR(V1927="Aprobada"),R1927,IF(AND(OR(V1927="Aprobada con ajuste",V1927="Rechazada"),W1927&lt;&gt;""),W1927,""))</f>
        <v/>
      </c>
    </row>
    <row r="1928">
      <c r="A1928" s="18" t="inlineStr">
        <is>
          <t>C1927</t>
        </is>
      </c>
      <c r="B1928" s="18" t="inlineStr">
        <is>
          <t>Control interno</t>
        </is>
      </c>
      <c r="C1928" s="18" t="inlineStr">
        <is>
          <t>control_interno</t>
        </is>
      </c>
      <c r="D1928" s="18" t="inlineStr">
        <is>
          <t>preferencia_notificacion</t>
        </is>
      </c>
      <c r="E1928" s="18" t="n">
        <v>1</v>
      </c>
      <c r="F1928" s="18" t="inlineStr">
        <is>
          <t>usuario_id</t>
        </is>
      </c>
      <c r="G1928" s="18" t="inlineStr">
        <is>
          <t>character varying(255)</t>
        </is>
      </c>
      <c r="H1928" s="18" t="inlineStr">
        <is>
          <t>No</t>
        </is>
      </c>
      <c r="I1928" s="18" t="inlineStr">
        <is>
          <t>Única</t>
        </is>
      </c>
      <c r="J1928" s="18" t="inlineStr"/>
      <c r="K1928" s="18" t="inlineStr"/>
      <c r="L1928" s="18" t="inlineStr">
        <is>
          <t>No</t>
        </is>
      </c>
      <c r="M1928" s="18" t="inlineStr">
        <is>
          <t>No</t>
        </is>
      </c>
      <c r="N1928" s="18" t="inlineStr"/>
      <c r="O1928" s="18" t="inlineStr">
        <is>
          <t>idx_preferencia_usuario, preferencia_notificacion_usuario_id_key</t>
        </is>
      </c>
      <c r="P1928" s="18" t="inlineStr">
        <is>
          <t>Mapeada en internal-institutional-control-service/src/esap/notificaciones/entities/preferencia-notificacion.entity.ts:16 (PreferenciaNotificacion.usuarioId) | Validación: IsNotEmpty, IsOptional, IsString, IsUUID</t>
        </is>
      </c>
      <c r="Q1928" s="18" t="inlineStr">
        <is>
          <t>Propuesta semántica</t>
        </is>
      </c>
      <c r="R1928" s="18" t="inlineStr">
        <is>
          <t>Identificador del usuario al que pertenecen las preferencias; cada usuario tiene un solo registro.</t>
        </is>
      </c>
      <c r="S1928" s="18" t="inlineStr">
        <is>
          <t>Alta</t>
        </is>
      </c>
      <c r="T1928" s="18" t="inlineStr">
        <is>
          <t>nombre + restricción única</t>
        </is>
      </c>
      <c r="U1928" s="18" t="inlineStr"/>
      <c r="V1928" s="19" t="inlineStr">
        <is>
          <t>Pendiente</t>
        </is>
      </c>
      <c r="W1928" s="19" t="inlineStr"/>
      <c r="X1928" s="19" t="inlineStr"/>
      <c r="Y1928" s="20" t="n"/>
      <c r="Z1928" s="19" t="inlineStr"/>
      <c r="AA1928" s="18">
        <f>IF(OR(V1928="Aprobada"),R1928,IF(AND(OR(V1928="Aprobada con ajuste",V1928="Rechazada"),W1928&lt;&gt;""),W1928,""))</f>
        <v/>
      </c>
    </row>
    <row r="1929">
      <c r="A1929" s="18" t="inlineStr">
        <is>
          <t>C1928</t>
        </is>
      </c>
      <c r="B1929" s="18" t="inlineStr">
        <is>
          <t>Control interno</t>
        </is>
      </c>
      <c r="C1929" s="18" t="inlineStr">
        <is>
          <t>control_interno</t>
        </is>
      </c>
      <c r="D1929" s="18" t="inlineStr">
        <is>
          <t>preferencia_notificacion</t>
        </is>
      </c>
      <c r="E1929" s="18" t="n">
        <v>1</v>
      </c>
      <c r="F1929" s="18" t="inlineStr">
        <is>
          <t>notificaciones_email</t>
        </is>
      </c>
      <c r="G1929" s="18" t="inlineStr">
        <is>
          <t>boolean</t>
        </is>
      </c>
      <c r="H1929" s="18" t="inlineStr">
        <is>
          <t>Sí</t>
        </is>
      </c>
      <c r="I1929" s="18" t="inlineStr"/>
      <c r="J1929" s="18" t="inlineStr"/>
      <c r="K1929" s="18" t="inlineStr"/>
      <c r="L1929" s="18" t="inlineStr">
        <is>
          <t>No</t>
        </is>
      </c>
      <c r="M1929" s="18" t="inlineStr">
        <is>
          <t>No</t>
        </is>
      </c>
      <c r="N1929" s="18" t="inlineStr"/>
      <c r="O1929" s="18" t="inlineStr"/>
      <c r="P1929" s="18" t="inlineStr">
        <is>
          <t>Mapeada en internal-institutional-control-service/src/esap/notificaciones/entities/preferencia-notificacion.entity.ts:19 (PreferenciaNotificacion.recibirEmail)</t>
        </is>
      </c>
      <c r="Q1929" s="18" t="inlineStr">
        <is>
          <t>Regla estructural</t>
        </is>
      </c>
      <c r="R1929" s="18" t="inlineStr">
        <is>
          <t>Indica si aplica: notificaciones email.</t>
        </is>
      </c>
      <c r="S1929" s="18" t="inlineStr">
        <is>
          <t>Media</t>
        </is>
      </c>
      <c r="T1929" s="18" t="inlineStr">
        <is>
          <t>Convención de nombre de la columna.</t>
        </is>
      </c>
      <c r="U1929" s="18" t="inlineStr"/>
      <c r="V1929" s="19" t="inlineStr">
        <is>
          <t>Pendiente</t>
        </is>
      </c>
      <c r="W1929" s="19" t="inlineStr"/>
      <c r="X1929" s="19" t="inlineStr"/>
      <c r="Y1929" s="20" t="n"/>
      <c r="Z1929" s="19" t="inlineStr"/>
      <c r="AA1929" s="18">
        <f>IF(OR(V1929="Aprobada"),R1929,IF(AND(OR(V1929="Aprobada con ajuste",V1929="Rechazada"),W1929&lt;&gt;""),W1929,""))</f>
        <v/>
      </c>
    </row>
    <row r="1930">
      <c r="A1930" s="18" t="inlineStr">
        <is>
          <t>C1929</t>
        </is>
      </c>
      <c r="B1930" s="18" t="inlineStr">
        <is>
          <t>Control interno</t>
        </is>
      </c>
      <c r="C1930" s="18" t="inlineStr">
        <is>
          <t>control_interno</t>
        </is>
      </c>
      <c r="D1930" s="18" t="inlineStr">
        <is>
          <t>preferencia_notificacion</t>
        </is>
      </c>
      <c r="E1930" s="18" t="n">
        <v>1</v>
      </c>
      <c r="F1930" s="18" t="inlineStr">
        <is>
          <t>notificaciones_sistema</t>
        </is>
      </c>
      <c r="G1930" s="18" t="inlineStr">
        <is>
          <t>boolean</t>
        </is>
      </c>
      <c r="H1930" s="18" t="inlineStr">
        <is>
          <t>Sí</t>
        </is>
      </c>
      <c r="I1930" s="18" t="inlineStr"/>
      <c r="J1930" s="18" t="inlineStr"/>
      <c r="K1930" s="18" t="inlineStr"/>
      <c r="L1930" s="18" t="inlineStr">
        <is>
          <t>No</t>
        </is>
      </c>
      <c r="M1930" s="18" t="inlineStr">
        <is>
          <t>No</t>
        </is>
      </c>
      <c r="N1930" s="18" t="inlineStr"/>
      <c r="O1930" s="18" t="inlineStr"/>
      <c r="P1930" s="18" t="inlineStr">
        <is>
          <t>Mapeada en internal-institutional-control-service/src/esap/notificaciones/entities/preferencia-notificacion.entity.ts:22 (PreferenciaNotificacion.recibirSistema)</t>
        </is>
      </c>
      <c r="Q1930" s="18" t="inlineStr">
        <is>
          <t>Regla estructural</t>
        </is>
      </c>
      <c r="R1930" s="18" t="inlineStr">
        <is>
          <t>Indica si aplica: notificaciones sistema.</t>
        </is>
      </c>
      <c r="S1930" s="18" t="inlineStr">
        <is>
          <t>Media</t>
        </is>
      </c>
      <c r="T1930" s="18" t="inlineStr">
        <is>
          <t>Convención de nombre de la columna.</t>
        </is>
      </c>
      <c r="U1930" s="18" t="inlineStr"/>
      <c r="V1930" s="19" t="inlineStr">
        <is>
          <t>Pendiente</t>
        </is>
      </c>
      <c r="W1930" s="19" t="inlineStr"/>
      <c r="X1930" s="19" t="inlineStr"/>
      <c r="Y1930" s="20" t="n"/>
      <c r="Z1930" s="19" t="inlineStr"/>
      <c r="AA1930" s="18">
        <f>IF(OR(V1930="Aprobada"),R1930,IF(AND(OR(V1930="Aprobada con ajuste",V1930="Rechazada"),W1930&lt;&gt;""),W1930,""))</f>
        <v/>
      </c>
    </row>
    <row r="1931">
      <c r="A1931" s="18" t="inlineStr">
        <is>
          <t>C1930</t>
        </is>
      </c>
      <c r="B1931" s="18" t="inlineStr">
        <is>
          <t>Control interno</t>
        </is>
      </c>
      <c r="C1931" s="18" t="inlineStr">
        <is>
          <t>control_interno</t>
        </is>
      </c>
      <c r="D1931" s="18" t="inlineStr">
        <is>
          <t>preferencia_notificacion</t>
        </is>
      </c>
      <c r="E1931" s="18" t="n">
        <v>1</v>
      </c>
      <c r="F1931" s="18" t="inlineStr">
        <is>
          <t>tipos_notificacion</t>
        </is>
      </c>
      <c r="G1931" s="18" t="inlineStr">
        <is>
          <t>jsonb</t>
        </is>
      </c>
      <c r="H1931" s="18" t="inlineStr">
        <is>
          <t>Sí</t>
        </is>
      </c>
      <c r="I1931" s="18" t="inlineStr"/>
      <c r="J1931" s="18" t="inlineStr"/>
      <c r="K1931" s="18" t="inlineStr"/>
      <c r="L1931" s="18" t="inlineStr">
        <is>
          <t>No</t>
        </is>
      </c>
      <c r="M1931" s="18" t="inlineStr">
        <is>
          <t>No</t>
        </is>
      </c>
      <c r="N1931" s="18" t="inlineStr"/>
      <c r="O1931" s="18" t="inlineStr"/>
      <c r="P1931" s="18" t="inlineStr">
        <is>
          <t>Mapeada en internal-institutional-control-service/src/esap/notificaciones/entities/preferencia-notificacion.entity.ts:28 (PreferenciaNotificacion.tiposNotificacion)</t>
        </is>
      </c>
      <c r="Q1931" s="18" t="inlineStr">
        <is>
          <t>Propuesta semántica</t>
        </is>
      </c>
      <c r="R1931" s="18" t="inlineStr">
        <is>
          <t>Tipos de notificación que el usuario elige recibir, en formato JSON.</t>
        </is>
      </c>
      <c r="S1931" s="18" t="inlineStr">
        <is>
          <t>Media</t>
        </is>
      </c>
      <c r="T1931" s="18" t="inlineStr">
        <is>
          <t>nombre + tipo + columnas vecinas</t>
        </is>
      </c>
      <c r="U1931" s="18" t="inlineStr">
        <is>
          <t>¿El JSON lista los tipos habilitados o un mapa tipo → activo?</t>
        </is>
      </c>
      <c r="V1931" s="19" t="inlineStr">
        <is>
          <t>Pendiente</t>
        </is>
      </c>
      <c r="W1931" s="19" t="inlineStr"/>
      <c r="X1931" s="19" t="inlineStr"/>
      <c r="Y1931" s="20" t="n"/>
      <c r="Z1931" s="19" t="inlineStr"/>
      <c r="AA1931" s="18">
        <f>IF(OR(V1931="Aprobada"),R1931,IF(AND(OR(V1931="Aprobada con ajuste",V1931="Rechazada"),W1931&lt;&gt;""),W1931,""))</f>
        <v/>
      </c>
    </row>
    <row r="1932">
      <c r="A1932" s="18" t="inlineStr">
        <is>
          <t>C1931</t>
        </is>
      </c>
      <c r="B1932" s="18" t="inlineStr">
        <is>
          <t>Control interno</t>
        </is>
      </c>
      <c r="C1932" s="18" t="inlineStr">
        <is>
          <t>control_interno</t>
        </is>
      </c>
      <c r="D1932" s="18" t="inlineStr">
        <is>
          <t>preferencia_notificacion</t>
        </is>
      </c>
      <c r="E1932" s="18" t="n">
        <v>1</v>
      </c>
      <c r="F1932" s="18" t="inlineStr">
        <is>
          <t>frecuencia_recordatorios</t>
        </is>
      </c>
      <c r="G1932" s="18" t="inlineStr">
        <is>
          <t>character varying(50)</t>
        </is>
      </c>
      <c r="H1932" s="18" t="inlineStr">
        <is>
          <t>Sí</t>
        </is>
      </c>
      <c r="I1932" s="18" t="inlineStr"/>
      <c r="J1932" s="18" t="inlineStr"/>
      <c r="K1932" s="18" t="inlineStr"/>
      <c r="L1932" s="18" t="inlineStr">
        <is>
          <t>No</t>
        </is>
      </c>
      <c r="M1932" s="18" t="inlineStr">
        <is>
          <t>No</t>
        </is>
      </c>
      <c r="N1932" s="18" t="inlineStr"/>
      <c r="O1932" s="18" t="inlineStr"/>
      <c r="P1932" s="18" t="inlineStr">
        <is>
          <t>Mapeada en internal-institutional-control-service/src/esap/notificaciones/entities/preferencia-notificacion.entity.ts:25 (PreferenciaNotificacion.diasAnticipacion)</t>
        </is>
      </c>
      <c r="Q1932" s="18" t="inlineStr">
        <is>
          <t>Propuesta semántica</t>
        </is>
      </c>
      <c r="R1932" s="18" t="inlineStr">
        <is>
          <t>Frecuencia de los recordatorios enviados al usuario. Valor por defecto: 7.</t>
        </is>
      </c>
      <c r="S1932" s="18" t="inlineStr">
        <is>
          <t>Baja</t>
        </is>
      </c>
      <c r="T1932" s="18" t="inlineStr">
        <is>
          <t>nombre + defecto</t>
        </is>
      </c>
      <c r="U1932" s="18" t="inlineStr">
        <is>
          <t>¿El valor está en días? ¿Por qué se guarda como texto?</t>
        </is>
      </c>
      <c r="V1932" s="19" t="inlineStr">
        <is>
          <t>Pendiente</t>
        </is>
      </c>
      <c r="W1932" s="19" t="inlineStr"/>
      <c r="X1932" s="19" t="inlineStr"/>
      <c r="Y1932" s="20" t="n"/>
      <c r="Z1932" s="19" t="inlineStr"/>
      <c r="AA1932" s="18">
        <f>IF(OR(V1932="Aprobada"),R1932,IF(AND(OR(V1932="Aprobada con ajuste",V1932="Rechazada"),W1932&lt;&gt;""),W1932,""))</f>
        <v/>
      </c>
    </row>
    <row r="1933">
      <c r="A1933" s="18" t="inlineStr">
        <is>
          <t>C1932</t>
        </is>
      </c>
      <c r="B1933" s="18" t="inlineStr">
        <is>
          <t>Control interno</t>
        </is>
      </c>
      <c r="C1933" s="18" t="inlineStr">
        <is>
          <t>control_interno</t>
        </is>
      </c>
      <c r="D1933" s="18" t="inlineStr">
        <is>
          <t>proceso_auditable</t>
        </is>
      </c>
      <c r="E1933" s="18" t="n">
        <v>36</v>
      </c>
      <c r="F1933" s="18" t="inlineStr">
        <is>
          <t>codigo</t>
        </is>
      </c>
      <c r="G1933" s="18" t="inlineStr">
        <is>
          <t>character varying(255)</t>
        </is>
      </c>
      <c r="H1933" s="18" t="inlineStr">
        <is>
          <t>No</t>
        </is>
      </c>
      <c r="I1933" s="18" t="inlineStr">
        <is>
          <t>Única</t>
        </is>
      </c>
      <c r="J1933" s="18" t="inlineStr"/>
      <c r="K1933" s="18" t="inlineStr"/>
      <c r="L1933" s="18" t="inlineStr">
        <is>
          <t>No</t>
        </is>
      </c>
      <c r="M1933" s="18" t="inlineStr">
        <is>
          <t>No</t>
        </is>
      </c>
      <c r="N1933" s="18" t="inlineStr"/>
      <c r="O1933" s="18" t="inlineStr">
        <is>
          <t>idx_proceso_auditable_codigo, proceso_auditable_codigo_key</t>
        </is>
      </c>
      <c r="P1933" s="18" t="inlineStr">
        <is>
          <t>Mapeada en internal-institutional-control-service/src/esap/universo-auditorias/entities/proceso-auditable.entity.ts:30 (ProcesoAuditable.codigo) | Validación: IsNotEmpty, IsOptional, IsString, Length(1, 50), MaxLength(80)</t>
        </is>
      </c>
      <c r="Q1933" s="18" t="inlineStr">
        <is>
          <t>Regla estructural</t>
        </is>
      </c>
      <c r="R1933" s="18" t="inlineStr">
        <is>
          <t>Código del registro de proceso_auditable. Único en la tabla.</t>
        </is>
      </c>
      <c r="S1933" s="18" t="inlineStr">
        <is>
          <t>Media</t>
        </is>
      </c>
      <c r="T1933" s="18" t="inlineStr">
        <is>
          <t>Convención de nombre de la columna.</t>
        </is>
      </c>
      <c r="U1933" s="18" t="inlineStr"/>
      <c r="V1933" s="19" t="inlineStr">
        <is>
          <t>Pendiente</t>
        </is>
      </c>
      <c r="W1933" s="19" t="inlineStr"/>
      <c r="X1933" s="19" t="inlineStr"/>
      <c r="Y1933" s="20" t="n"/>
      <c r="Z1933" s="19" t="inlineStr"/>
      <c r="AA1933" s="18">
        <f>IF(OR(V1933="Aprobada"),R1933,IF(AND(OR(V1933="Aprobada con ajuste",V1933="Rechazada"),W1933&lt;&gt;""),W1933,""))</f>
        <v/>
      </c>
    </row>
    <row r="1934">
      <c r="A1934" s="18" t="inlineStr">
        <is>
          <t>C1933</t>
        </is>
      </c>
      <c r="B1934" s="18" t="inlineStr">
        <is>
          <t>Control interno</t>
        </is>
      </c>
      <c r="C1934" s="18" t="inlineStr">
        <is>
          <t>control_interno</t>
        </is>
      </c>
      <c r="D1934" s="18" t="inlineStr">
        <is>
          <t>proceso_auditable</t>
        </is>
      </c>
      <c r="E1934" s="18" t="n">
        <v>36</v>
      </c>
      <c r="F1934" s="18" t="inlineStr">
        <is>
          <t>nombre</t>
        </is>
      </c>
      <c r="G1934" s="18" t="inlineStr">
        <is>
          <t>character varying(255)</t>
        </is>
      </c>
      <c r="H1934" s="18" t="inlineStr">
        <is>
          <t>No</t>
        </is>
      </c>
      <c r="I1934" s="18" t="inlineStr"/>
      <c r="J1934" s="18" t="inlineStr"/>
      <c r="K1934" s="18" t="inlineStr"/>
      <c r="L1934" s="18" t="inlineStr">
        <is>
          <t>No</t>
        </is>
      </c>
      <c r="M1934" s="18" t="inlineStr">
        <is>
          <t>No</t>
        </is>
      </c>
      <c r="N1934" s="18" t="inlineStr"/>
      <c r="O1934" s="18" t="inlineStr"/>
      <c r="P1934" s="18" t="inlineStr">
        <is>
          <t>Mapeada en internal-institutional-control-service/src/esap/universo-auditorias/entities/proceso-auditable.entity.ts:33 (ProcesoAuditable.nombre) | Validación: IsNotEmpty, IsNotEmpty({ message: 'El nombre del documento es obligatorio' }), IsOptional, IsString, Length(1, 500), MaxLength(120)</t>
        </is>
      </c>
      <c r="Q1934" s="18" t="inlineStr">
        <is>
          <t>Regla estructural</t>
        </is>
      </c>
      <c r="R1934" s="18" t="inlineStr">
        <is>
          <t>Nombre del registro de proceso_auditable.</t>
        </is>
      </c>
      <c r="S1934" s="18" t="inlineStr">
        <is>
          <t>Media</t>
        </is>
      </c>
      <c r="T1934" s="18" t="inlineStr">
        <is>
          <t>Convención de nombre de la columna.</t>
        </is>
      </c>
      <c r="U1934" s="18" t="inlineStr"/>
      <c r="V1934" s="19" t="inlineStr">
        <is>
          <t>Pendiente</t>
        </is>
      </c>
      <c r="W1934" s="19" t="inlineStr"/>
      <c r="X1934" s="19" t="inlineStr"/>
      <c r="Y1934" s="20" t="n"/>
      <c r="Z1934" s="19" t="inlineStr"/>
      <c r="AA1934" s="18">
        <f>IF(OR(V1934="Aprobada"),R1934,IF(AND(OR(V1934="Aprobada con ajuste",V1934="Rechazada"),W1934&lt;&gt;""),W1934,""))</f>
        <v/>
      </c>
    </row>
    <row r="1935">
      <c r="A1935" s="18" t="inlineStr">
        <is>
          <t>C1934</t>
        </is>
      </c>
      <c r="B1935" s="18" t="inlineStr">
        <is>
          <t>Control interno</t>
        </is>
      </c>
      <c r="C1935" s="18" t="inlineStr">
        <is>
          <t>control_interno</t>
        </is>
      </c>
      <c r="D1935" s="18" t="inlineStr">
        <is>
          <t>proceso_auditable</t>
        </is>
      </c>
      <c r="E1935" s="18" t="n">
        <v>36</v>
      </c>
      <c r="F1935" s="18" t="inlineStr">
        <is>
          <t>descripcion</t>
        </is>
      </c>
      <c r="G1935" s="18" t="inlineStr">
        <is>
          <t>text</t>
        </is>
      </c>
      <c r="H1935" s="18" t="inlineStr">
        <is>
          <t>No</t>
        </is>
      </c>
      <c r="I1935" s="18" t="inlineStr"/>
      <c r="J1935" s="18" t="inlineStr"/>
      <c r="K1935" s="18" t="inlineStr"/>
      <c r="L1935" s="18" t="inlineStr">
        <is>
          <t>No</t>
        </is>
      </c>
      <c r="M1935" s="18" t="inlineStr">
        <is>
          <t>No</t>
        </is>
      </c>
      <c r="N1935" s="18" t="inlineStr"/>
      <c r="O1935" s="18" t="inlineStr"/>
      <c r="P1935" s="18" t="inlineStr">
        <is>
          <t>Mapeada en internal-institutional-control-service/src/esap/universo-auditorias/entities/proceso-auditable.entity.ts:36 (ProcesoAuditable.descripcion) | Validación: IsNotEmpty, IsOptional, IsString</t>
        </is>
      </c>
      <c r="Q1935" s="18" t="inlineStr">
        <is>
          <t>Regla estructural</t>
        </is>
      </c>
      <c r="R1935" s="18" t="inlineStr">
        <is>
          <t>Descripción del registro de proceso_auditable.</t>
        </is>
      </c>
      <c r="S1935" s="18" t="inlineStr">
        <is>
          <t>Media</t>
        </is>
      </c>
      <c r="T1935" s="18" t="inlineStr">
        <is>
          <t>Convención de nombre de la columna.</t>
        </is>
      </c>
      <c r="U1935" s="18" t="inlineStr"/>
      <c r="V1935" s="19" t="inlineStr">
        <is>
          <t>Pendiente</t>
        </is>
      </c>
      <c r="W1935" s="19" t="inlineStr"/>
      <c r="X1935" s="19" t="inlineStr"/>
      <c r="Y1935" s="20" t="n"/>
      <c r="Z1935" s="19" t="inlineStr"/>
      <c r="AA1935" s="18">
        <f>IF(OR(V1935="Aprobada"),R1935,IF(AND(OR(V1935="Aprobada con ajuste",V1935="Rechazada"),W1935&lt;&gt;""),W1935,""))</f>
        <v/>
      </c>
    </row>
    <row r="1936">
      <c r="A1936" s="18" t="inlineStr">
        <is>
          <t>C1935</t>
        </is>
      </c>
      <c r="B1936" s="18" t="inlineStr">
        <is>
          <t>Control interno</t>
        </is>
      </c>
      <c r="C1936" s="18" t="inlineStr">
        <is>
          <t>control_interno</t>
        </is>
      </c>
      <c r="D1936" s="18" t="inlineStr">
        <is>
          <t>proceso_auditable</t>
        </is>
      </c>
      <c r="E1936" s="18" t="n">
        <v>36</v>
      </c>
      <c r="F1936" s="18" t="inlineStr">
        <is>
          <t>tipo</t>
        </is>
      </c>
      <c r="G1936" s="18" t="inlineStr">
        <is>
          <t>character varying(50)</t>
        </is>
      </c>
      <c r="H1936" s="18" t="inlineStr">
        <is>
          <t>No</t>
        </is>
      </c>
      <c r="I1936" s="18" t="inlineStr"/>
      <c r="J1936" s="18" t="inlineStr"/>
      <c r="K1936" s="18" t="inlineStr"/>
      <c r="L1936" s="18" t="inlineStr">
        <is>
          <t>No</t>
        </is>
      </c>
      <c r="M1936" s="18" t="inlineStr">
        <is>
          <t>No</t>
        </is>
      </c>
      <c r="N1936" s="18" t="inlineStr"/>
      <c r="O1936" s="18" t="inlineStr">
        <is>
          <t>idx_proceso_auditable_tipo</t>
        </is>
      </c>
      <c r="P1936" s="18" t="inlineStr">
        <is>
          <t>Mapeada en internal-institutional-control-service/src/esap/universo-auditorias/entities/proceso-auditable.entity.ts:39 (ProcesoAuditable.tipo) | Validación: IsEnum(AccionCorrectivaTipo), IsEnum(TipoAuditoriaProgramada), IsEnum(TipoEventoTimeline), IsEnum(TipoTablero), IsEnum(['cumplimiento', 'eficiencia', 'eficacia', 'economia']), IsEnum(['plan-auditoria', 'plan-mejora', 'informe', 'documento'])</t>
        </is>
      </c>
      <c r="Q1936" s="18" t="inlineStr">
        <is>
          <t>Regla estructural</t>
        </is>
      </c>
      <c r="R1936" s="18" t="inlineStr">
        <is>
          <t>Tipo del registro de proceso_auditable.</t>
        </is>
      </c>
      <c r="S1936" s="18" t="inlineStr">
        <is>
          <t>Media</t>
        </is>
      </c>
      <c r="T1936" s="18" t="inlineStr">
        <is>
          <t>Convención de nombre de la columna.</t>
        </is>
      </c>
      <c r="U1936" s="18" t="inlineStr"/>
      <c r="V1936" s="19" t="inlineStr">
        <is>
          <t>Pendiente</t>
        </is>
      </c>
      <c r="W1936" s="19" t="inlineStr"/>
      <c r="X1936" s="19" t="inlineStr"/>
      <c r="Y1936" s="20" t="n"/>
      <c r="Z1936" s="19" t="inlineStr"/>
      <c r="AA1936" s="18">
        <f>IF(OR(V1936="Aprobada"),R1936,IF(AND(OR(V1936="Aprobada con ajuste",V1936="Rechazada"),W1936&lt;&gt;""),W1936,""))</f>
        <v/>
      </c>
    </row>
    <row r="1937">
      <c r="A1937" s="18" t="inlineStr">
        <is>
          <t>C1936</t>
        </is>
      </c>
      <c r="B1937" s="18" t="inlineStr">
        <is>
          <t>Control interno</t>
        </is>
      </c>
      <c r="C1937" s="18" t="inlineStr">
        <is>
          <t>control_interno</t>
        </is>
      </c>
      <c r="D1937" s="18" t="inlineStr">
        <is>
          <t>proceso_auditable</t>
        </is>
      </c>
      <c r="E1937" s="18" t="n">
        <v>36</v>
      </c>
      <c r="F1937" s="18" t="inlineStr">
        <is>
          <t>macroproceso</t>
        </is>
      </c>
      <c r="G1937" s="18" t="inlineStr">
        <is>
          <t>character varying(255)</t>
        </is>
      </c>
      <c r="H1937" s="18" t="inlineStr">
        <is>
          <t>Sí</t>
        </is>
      </c>
      <c r="I1937" s="18" t="inlineStr"/>
      <c r="J1937" s="18" t="inlineStr"/>
      <c r="K1937" s="18" t="inlineStr"/>
      <c r="L1937" s="18" t="inlineStr">
        <is>
          <t>No</t>
        </is>
      </c>
      <c r="M1937" s="18" t="inlineStr">
        <is>
          <t>No</t>
        </is>
      </c>
      <c r="N1937" s="18" t="inlineStr"/>
      <c r="O1937" s="18" t="inlineStr">
        <is>
          <t>idx_proceso_auditable_macroproceso</t>
        </is>
      </c>
      <c r="P1937" s="18" t="inlineStr">
        <is>
          <t>Mapeada en internal-institutional-control-service/src/esap/universo-auditorias/entities/proceso-auditable.entity.ts:59 (ProcesoAuditable.macroproceso) | Validación: IsNotEmpty, IsOptional, IsString</t>
        </is>
      </c>
      <c r="Q1937" s="18" t="inlineStr">
        <is>
          <t>Propuesta semántica</t>
        </is>
      </c>
      <c r="R1937" s="18" t="inlineStr">
        <is>
          <t>Macroproceso al que pertenece el proceso auditable.</t>
        </is>
      </c>
      <c r="S1937" s="18" t="inlineStr">
        <is>
          <t>Alta</t>
        </is>
      </c>
      <c r="T1937" s="18" t="inlineStr">
        <is>
          <t>nombre + tipo + columnas vecinas</t>
        </is>
      </c>
      <c r="U1937" s="18" t="inlineStr"/>
      <c r="V1937" s="19" t="inlineStr">
        <is>
          <t>Pendiente</t>
        </is>
      </c>
      <c r="W1937" s="19" t="inlineStr"/>
      <c r="X1937" s="19" t="inlineStr"/>
      <c r="Y1937" s="20" t="n"/>
      <c r="Z1937" s="19" t="inlineStr"/>
      <c r="AA1937" s="18">
        <f>IF(OR(V1937="Aprobada"),R1937,IF(AND(OR(V1937="Aprobada con ajuste",V1937="Rechazada"),W1937&lt;&gt;""),W1937,""))</f>
        <v/>
      </c>
    </row>
    <row r="1938">
      <c r="A1938" s="18" t="inlineStr">
        <is>
          <t>C1937</t>
        </is>
      </c>
      <c r="B1938" s="18" t="inlineStr">
        <is>
          <t>Control interno</t>
        </is>
      </c>
      <c r="C1938" s="18" t="inlineStr">
        <is>
          <t>control_interno</t>
        </is>
      </c>
      <c r="D1938" s="18" t="inlineStr">
        <is>
          <t>proceso_auditable</t>
        </is>
      </c>
      <c r="E1938" s="18" t="n">
        <v>36</v>
      </c>
      <c r="F1938" s="18" t="inlineStr">
        <is>
          <t>responsable</t>
        </is>
      </c>
      <c r="G1938" s="18" t="inlineStr">
        <is>
          <t>character varying(255)</t>
        </is>
      </c>
      <c r="H1938" s="18" t="inlineStr">
        <is>
          <t>No</t>
        </is>
      </c>
      <c r="I1938" s="18" t="inlineStr"/>
      <c r="J1938" s="18" t="inlineStr"/>
      <c r="K1938" s="18" t="inlineStr"/>
      <c r="L1938" s="18" t="inlineStr">
        <is>
          <t>No</t>
        </is>
      </c>
      <c r="M1938" s="18" t="inlineStr">
        <is>
          <t>No</t>
        </is>
      </c>
      <c r="N1938" s="18" t="inlineStr"/>
      <c r="O1938" s="18" t="inlineStr"/>
      <c r="P1938" s="18" t="inlineStr">
        <is>
          <t>Mapeada en internal-institutional-control-service/src/esap/universo-auditorias/entities/proceso-auditable.entity.ts:65 (ProcesoAuditable.responsable) | Validación: IsNotEmpty, IsOptional, IsString, Length(1, 255)</t>
        </is>
      </c>
      <c r="Q1938" s="18" t="inlineStr">
        <is>
          <t>Propuesta semántica</t>
        </is>
      </c>
      <c r="R1938" s="18" t="inlineStr">
        <is>
          <t>Responsable del proceso auditable.</t>
        </is>
      </c>
      <c r="S1938" s="18" t="inlineStr">
        <is>
          <t>Media</t>
        </is>
      </c>
      <c r="T1938" s="18" t="inlineStr">
        <is>
          <t>nombre + tipo + columnas vecinas</t>
        </is>
      </c>
      <c r="U1938" s="18" t="inlineStr">
        <is>
          <t>¿Guarda el nombre, el cargo o el identificador del responsable?</t>
        </is>
      </c>
      <c r="V1938" s="19" t="inlineStr">
        <is>
          <t>Pendiente</t>
        </is>
      </c>
      <c r="W1938" s="19" t="inlineStr"/>
      <c r="X1938" s="19" t="inlineStr"/>
      <c r="Y1938" s="20" t="n"/>
      <c r="Z1938" s="19" t="inlineStr"/>
      <c r="AA1938" s="18">
        <f>IF(OR(V1938="Aprobada"),R1938,IF(AND(OR(V1938="Aprobada con ajuste",V1938="Rechazada"),W1938&lt;&gt;""),W1938,""))</f>
        <v/>
      </c>
    </row>
    <row r="1939">
      <c r="A1939" s="18" t="inlineStr">
        <is>
          <t>C1938</t>
        </is>
      </c>
      <c r="B1939" s="18" t="inlineStr">
        <is>
          <t>Control interno</t>
        </is>
      </c>
      <c r="C1939" s="18" t="inlineStr">
        <is>
          <t>control_interno</t>
        </is>
      </c>
      <c r="D1939" s="18" t="inlineStr">
        <is>
          <t>proceso_auditable</t>
        </is>
      </c>
      <c r="E1939" s="18" t="n">
        <v>36</v>
      </c>
      <c r="F1939" s="18" t="inlineStr">
        <is>
          <t>dependencia</t>
        </is>
      </c>
      <c r="G1939" s="18" t="inlineStr">
        <is>
          <t>character varying(255)</t>
        </is>
      </c>
      <c r="H1939" s="18" t="inlineStr">
        <is>
          <t>No</t>
        </is>
      </c>
      <c r="I1939" s="18" t="inlineStr"/>
      <c r="J1939" s="18" t="inlineStr"/>
      <c r="K1939" s="18" t="inlineStr"/>
      <c r="L1939" s="18" t="inlineStr">
        <is>
          <t>No</t>
        </is>
      </c>
      <c r="M1939" s="18" t="inlineStr">
        <is>
          <t>No</t>
        </is>
      </c>
      <c r="N1939" s="18" t="inlineStr"/>
      <c r="O1939" s="18" t="inlineStr"/>
      <c r="P1939" s="18" t="inlineStr">
        <is>
          <t>Mapeada en internal-institutional-control-service/src/esap/universo-auditorias/entities/proceso-auditable.entity.ts:68 (ProcesoAuditable.dependencia) | Validación: IsNotEmpty, IsOptional, IsString</t>
        </is>
      </c>
      <c r="Q1939" s="18" t="inlineStr">
        <is>
          <t>Propuesta semántica</t>
        </is>
      </c>
      <c r="R1939" s="18" t="inlineStr">
        <is>
          <t>Dependencia de la ESAP a cargo del proceso auditable.</t>
        </is>
      </c>
      <c r="S1939" s="18" t="inlineStr">
        <is>
          <t>Alta</t>
        </is>
      </c>
      <c r="T1939" s="18" t="inlineStr">
        <is>
          <t>nombre + tipo + columnas vecinas</t>
        </is>
      </c>
      <c r="U1939" s="18" t="inlineStr"/>
      <c r="V1939" s="19" t="inlineStr">
        <is>
          <t>Pendiente</t>
        </is>
      </c>
      <c r="W1939" s="19" t="inlineStr"/>
      <c r="X1939" s="19" t="inlineStr"/>
      <c r="Y1939" s="20" t="n"/>
      <c r="Z1939" s="19" t="inlineStr"/>
      <c r="AA1939" s="18">
        <f>IF(OR(V1939="Aprobada"),R1939,IF(AND(OR(V1939="Aprobada con ajuste",V1939="Rechazada"),W1939&lt;&gt;""),W1939,""))</f>
        <v/>
      </c>
    </row>
    <row r="1940">
      <c r="A1940" s="18" t="inlineStr">
        <is>
          <t>C1939</t>
        </is>
      </c>
      <c r="B1940" s="18" t="inlineStr">
        <is>
          <t>Control interno</t>
        </is>
      </c>
      <c r="C1940" s="18" t="inlineStr">
        <is>
          <t>control_interno</t>
        </is>
      </c>
      <c r="D1940" s="18" t="inlineStr">
        <is>
          <t>proceso_auditable</t>
        </is>
      </c>
      <c r="E1940" s="18" t="n">
        <v>36</v>
      </c>
      <c r="F1940" s="18" t="inlineStr">
        <is>
          <t>territorial</t>
        </is>
      </c>
      <c r="G1940" s="18" t="inlineStr">
        <is>
          <t>character varying(255)</t>
        </is>
      </c>
      <c r="H1940" s="18" t="inlineStr">
        <is>
          <t>Sí</t>
        </is>
      </c>
      <c r="I1940" s="18" t="inlineStr"/>
      <c r="J1940" s="18" t="inlineStr"/>
      <c r="K1940" s="18" t="inlineStr"/>
      <c r="L1940" s="18" t="inlineStr">
        <is>
          <t>No</t>
        </is>
      </c>
      <c r="M1940" s="18" t="inlineStr">
        <is>
          <t>No</t>
        </is>
      </c>
      <c r="N1940" s="18" t="inlineStr"/>
      <c r="O1940" s="18" t="inlineStr"/>
      <c r="P1940" s="18" t="inlineStr">
        <is>
          <t>Mapeada en internal-institutional-control-service/src/esap/universo-auditorias/entities/proceso-auditable.entity.ts:71 (ProcesoAuditable.territorial) | Validación: IsNotEmpty, IsOptional, IsString</t>
        </is>
      </c>
      <c r="Q1940" s="18" t="inlineStr">
        <is>
          <t>Propuesta semántica</t>
        </is>
      </c>
      <c r="R1940" s="18" t="inlineStr">
        <is>
          <t>Dirección territorial a la que corresponde el proceso auditable.</t>
        </is>
      </c>
      <c r="S1940" s="18" t="inlineStr">
        <is>
          <t>Media</t>
        </is>
      </c>
      <c r="T1940" s="18" t="inlineStr">
        <is>
          <t>nombre + tipo + columnas vecinas</t>
        </is>
      </c>
      <c r="U1940" s="18" t="inlineStr">
        <is>
          <t>¿Se toma de un catálogo de territoriales? ¿Queda vacía para procesos del nivel central?</t>
        </is>
      </c>
      <c r="V1940" s="19" t="inlineStr">
        <is>
          <t>Pendiente</t>
        </is>
      </c>
      <c r="W1940" s="19" t="inlineStr"/>
      <c r="X1940" s="19" t="inlineStr"/>
      <c r="Y1940" s="20" t="n"/>
      <c r="Z1940" s="19" t="inlineStr"/>
      <c r="AA1940" s="18">
        <f>IF(OR(V1940="Aprobada"),R1940,IF(AND(OR(V1940="Aprobada con ajuste",V1940="Rechazada"),W1940&lt;&gt;""),W1940,""))</f>
        <v/>
      </c>
    </row>
    <row r="1941">
      <c r="A1941" s="18" t="inlineStr">
        <is>
          <t>C1940</t>
        </is>
      </c>
      <c r="B1941" s="18" t="inlineStr">
        <is>
          <t>Control interno</t>
        </is>
      </c>
      <c r="C1941" s="18" t="inlineStr">
        <is>
          <t>control_interno</t>
        </is>
      </c>
      <c r="D1941" s="18" t="inlineStr">
        <is>
          <t>proceso_auditable</t>
        </is>
      </c>
      <c r="E1941" s="18" t="n">
        <v>36</v>
      </c>
      <c r="F1941" s="18" t="inlineStr">
        <is>
          <t>evaluacion_riesgo</t>
        </is>
      </c>
      <c r="G1941" s="18" t="inlineStr">
        <is>
          <t>jsonb</t>
        </is>
      </c>
      <c r="H1941" s="18" t="inlineStr">
        <is>
          <t>No</t>
        </is>
      </c>
      <c r="I1941" s="18" t="inlineStr"/>
      <c r="J1941" s="18" t="inlineStr"/>
      <c r="K1941" s="18" t="inlineStr"/>
      <c r="L1941" s="18" t="inlineStr">
        <is>
          <t>No</t>
        </is>
      </c>
      <c r="M1941" s="18" t="inlineStr">
        <is>
          <t>No</t>
        </is>
      </c>
      <c r="N1941" s="18" t="inlineStr"/>
      <c r="O1941" s="18" t="inlineStr"/>
      <c r="P1941" s="18" t="inlineStr">
        <is>
          <t>Mapeada en internal-institutional-control-service/src/esap/universo-auditorias/entities/proceso-auditable.entity.ts:74 (ProcesoAuditable.evaluacionRiesgo) | Validación: IsObject</t>
        </is>
      </c>
      <c r="Q1941" s="18" t="inlineStr">
        <is>
          <t>Propuesta semántica</t>
        </is>
      </c>
      <c r="R1941" s="18" t="inlineStr">
        <is>
          <t>Evaluación de riesgo del proceso auditable, como objeto JSON.</t>
        </is>
      </c>
      <c r="S1941" s="18" t="inlineStr">
        <is>
          <t>Media</t>
        </is>
      </c>
      <c r="T1941" s="18" t="inlineStr">
        <is>
          <t>nombre + tipo + validaciones del DTO</t>
        </is>
      </c>
      <c r="U1941" s="18" t="inlineStr">
        <is>
          <t>¿Qué campos tiene la evaluación de riesgo (probabilidad, impacto, nivel)?</t>
        </is>
      </c>
      <c r="V1941" s="19" t="inlineStr">
        <is>
          <t>Pendiente</t>
        </is>
      </c>
      <c r="W1941" s="19" t="inlineStr"/>
      <c r="X1941" s="19" t="inlineStr"/>
      <c r="Y1941" s="20" t="n"/>
      <c r="Z1941" s="19" t="inlineStr"/>
      <c r="AA1941" s="18">
        <f>IF(OR(V1941="Aprobada"),R1941,IF(AND(OR(V1941="Aprobada con ajuste",V1941="Rechazada"),W1941&lt;&gt;""),W1941,""))</f>
        <v/>
      </c>
    </row>
    <row r="1942">
      <c r="A1942" s="18" t="inlineStr">
        <is>
          <t>C1941</t>
        </is>
      </c>
      <c r="B1942" s="18" t="inlineStr">
        <is>
          <t>Control interno</t>
        </is>
      </c>
      <c r="C1942" s="18" t="inlineStr">
        <is>
          <t>control_interno</t>
        </is>
      </c>
      <c r="D1942" s="18" t="inlineStr">
        <is>
          <t>proceso_auditable</t>
        </is>
      </c>
      <c r="E1942" s="18" t="n">
        <v>36</v>
      </c>
      <c r="F1942" s="18" t="inlineStr">
        <is>
          <t>frecuencia_auditoria</t>
        </is>
      </c>
      <c r="G1942" s="18" t="inlineStr">
        <is>
          <t>character varying(255)</t>
        </is>
      </c>
      <c r="H1942" s="18" t="inlineStr">
        <is>
          <t>No</t>
        </is>
      </c>
      <c r="I1942" s="18" t="inlineStr"/>
      <c r="J1942" s="18" t="inlineStr"/>
      <c r="K1942" s="18" t="inlineStr"/>
      <c r="L1942" s="18" t="inlineStr">
        <is>
          <t>No</t>
        </is>
      </c>
      <c r="M1942" s="18" t="inlineStr">
        <is>
          <t>No</t>
        </is>
      </c>
      <c r="N1942" s="18" t="inlineStr"/>
      <c r="O1942" s="18" t="inlineStr"/>
      <c r="P1942" s="18" t="inlineStr">
        <is>
          <t>Mapeada en internal-institutional-control-service/src/esap/universo-auditorias/entities/proceso-auditable.entity.ts:120 (ProcesoAuditable.frecuenciaAuditoria) | Validación: IsOptional, IsString</t>
        </is>
      </c>
      <c r="Q1942" s="18" t="inlineStr">
        <is>
          <t>Propuesta semántica</t>
        </is>
      </c>
      <c r="R1942" s="18" t="inlineStr">
        <is>
          <t>Frecuencia con que debe auditarse el proceso.</t>
        </is>
      </c>
      <c r="S1942" s="18" t="inlineStr">
        <is>
          <t>Media</t>
        </is>
      </c>
      <c r="T1942" s="18" t="inlineStr">
        <is>
          <t>nombre + tipo + columnas vecinas</t>
        </is>
      </c>
      <c r="U1942" s="18" t="inlineStr">
        <is>
          <t>¿Qué valores toma (anual, bienal…)?</t>
        </is>
      </c>
      <c r="V1942" s="19" t="inlineStr">
        <is>
          <t>Pendiente</t>
        </is>
      </c>
      <c r="W1942" s="19" t="inlineStr"/>
      <c r="X1942" s="19" t="inlineStr"/>
      <c r="Y1942" s="20" t="n"/>
      <c r="Z1942" s="19" t="inlineStr"/>
      <c r="AA1942" s="18">
        <f>IF(OR(V1942="Aprobada"),R1942,IF(AND(OR(V1942="Aprobada con ajuste",V1942="Rechazada"),W1942&lt;&gt;""),W1942,""))</f>
        <v/>
      </c>
    </row>
    <row r="1943">
      <c r="A1943" s="18" t="inlineStr">
        <is>
          <t>C1942</t>
        </is>
      </c>
      <c r="B1943" s="18" t="inlineStr">
        <is>
          <t>Control interno</t>
        </is>
      </c>
      <c r="C1943" s="18" t="inlineStr">
        <is>
          <t>control_interno</t>
        </is>
      </c>
      <c r="D1943" s="18" t="inlineStr">
        <is>
          <t>proceso_auditable</t>
        </is>
      </c>
      <c r="E1943" s="18" t="n">
        <v>36</v>
      </c>
      <c r="F1943" s="18" t="inlineStr">
        <is>
          <t>ultima_auditoria</t>
        </is>
      </c>
      <c r="G1943" s="18" t="inlineStr">
        <is>
          <t>date</t>
        </is>
      </c>
      <c r="H1943" s="18" t="inlineStr">
        <is>
          <t>Sí</t>
        </is>
      </c>
      <c r="I1943" s="18" t="inlineStr"/>
      <c r="J1943" s="18" t="inlineStr"/>
      <c r="K1943" s="18" t="inlineStr"/>
      <c r="L1943" s="18" t="inlineStr">
        <is>
          <t>No</t>
        </is>
      </c>
      <c r="M1943" s="18" t="inlineStr">
        <is>
          <t>No</t>
        </is>
      </c>
      <c r="N1943" s="18" t="inlineStr"/>
      <c r="O1943" s="18" t="inlineStr"/>
      <c r="P1943" s="18" t="inlineStr">
        <is>
          <t>Mapeada en internal-institutional-control-service/src/esap/universo-auditorias/entities/proceso-auditable.entity.ts:123 (ProcesoAuditable.ultimaAuditoria) | Validación: IsOptional</t>
        </is>
      </c>
      <c r="Q1943" s="18" t="inlineStr">
        <is>
          <t>Propuesta semántica</t>
        </is>
      </c>
      <c r="R1943" s="18" t="inlineStr">
        <is>
          <t>Fecha de la última auditoría realizada al proceso.</t>
        </is>
      </c>
      <c r="S1943" s="18" t="inlineStr">
        <is>
          <t>Alta</t>
        </is>
      </c>
      <c r="T1943" s="18" t="inlineStr">
        <is>
          <t>nombre + tipo + columnas vecinas</t>
        </is>
      </c>
      <c r="U1943" s="18" t="inlineStr"/>
      <c r="V1943" s="19" t="inlineStr">
        <is>
          <t>Pendiente</t>
        </is>
      </c>
      <c r="W1943" s="19" t="inlineStr"/>
      <c r="X1943" s="19" t="inlineStr"/>
      <c r="Y1943" s="20" t="n"/>
      <c r="Z1943" s="19" t="inlineStr"/>
      <c r="AA1943" s="18">
        <f>IF(OR(V1943="Aprobada"),R1943,IF(AND(OR(V1943="Aprobada con ajuste",V1943="Rechazada"),W1943&lt;&gt;""),W1943,""))</f>
        <v/>
      </c>
    </row>
    <row r="1944">
      <c r="A1944" s="18" t="inlineStr">
        <is>
          <t>C1943</t>
        </is>
      </c>
      <c r="B1944" s="18" t="inlineStr">
        <is>
          <t>Control interno</t>
        </is>
      </c>
      <c r="C1944" s="18" t="inlineStr">
        <is>
          <t>control_interno</t>
        </is>
      </c>
      <c r="D1944" s="18" t="inlineStr">
        <is>
          <t>proceso_auditable</t>
        </is>
      </c>
      <c r="E1944" s="18" t="n">
        <v>36</v>
      </c>
      <c r="F1944" s="18" t="inlineStr">
        <is>
          <t>proxima_auditoria</t>
        </is>
      </c>
      <c r="G1944" s="18" t="inlineStr">
        <is>
          <t>date</t>
        </is>
      </c>
      <c r="H1944" s="18" t="inlineStr">
        <is>
          <t>Sí</t>
        </is>
      </c>
      <c r="I1944" s="18" t="inlineStr"/>
      <c r="J1944" s="18" t="inlineStr"/>
      <c r="K1944" s="18" t="inlineStr"/>
      <c r="L1944" s="18" t="inlineStr">
        <is>
          <t>No</t>
        </is>
      </c>
      <c r="M1944" s="18" t="inlineStr">
        <is>
          <t>No</t>
        </is>
      </c>
      <c r="N1944" s="18" t="inlineStr"/>
      <c r="O1944" s="18" t="inlineStr"/>
      <c r="P1944" s="18" t="inlineStr">
        <is>
          <t>Mapeada en internal-institutional-control-service/src/esap/universo-auditorias/entities/proceso-auditable.entity.ts:129 (ProcesoAuditable.proximaAuditoria) | Validación: IsOptional</t>
        </is>
      </c>
      <c r="Q1944" s="18" t="inlineStr">
        <is>
          <t>Propuesta semántica</t>
        </is>
      </c>
      <c r="R1944" s="18" t="inlineStr">
        <is>
          <t>Fecha programada para la próxima auditoría del proceso.</t>
        </is>
      </c>
      <c r="S1944" s="18" t="inlineStr">
        <is>
          <t>Alta</t>
        </is>
      </c>
      <c r="T1944" s="18" t="inlineStr">
        <is>
          <t>nombre + tipo + columnas vecinas</t>
        </is>
      </c>
      <c r="U1944" s="18" t="inlineStr"/>
      <c r="V1944" s="19" t="inlineStr">
        <is>
          <t>Pendiente</t>
        </is>
      </c>
      <c r="W1944" s="19" t="inlineStr"/>
      <c r="X1944" s="19" t="inlineStr"/>
      <c r="Y1944" s="20" t="n"/>
      <c r="Z1944" s="19" t="inlineStr"/>
      <c r="AA1944" s="18">
        <f>IF(OR(V1944="Aprobada"),R1944,IF(AND(OR(V1944="Aprobada con ajuste",V1944="Rechazada"),W1944&lt;&gt;""),W1944,""))</f>
        <v/>
      </c>
    </row>
    <row r="1945">
      <c r="A1945" s="18" t="inlineStr">
        <is>
          <t>C1944</t>
        </is>
      </c>
      <c r="B1945" s="18" t="inlineStr">
        <is>
          <t>Control interno</t>
        </is>
      </c>
      <c r="C1945" s="18" t="inlineStr">
        <is>
          <t>control_interno</t>
        </is>
      </c>
      <c r="D1945" s="18" t="inlineStr">
        <is>
          <t>proceso_auditable</t>
        </is>
      </c>
      <c r="E1945" s="18" t="n">
        <v>36</v>
      </c>
      <c r="F1945" s="18" t="inlineStr">
        <is>
          <t>prioridad</t>
        </is>
      </c>
      <c r="G1945" s="18" t="inlineStr">
        <is>
          <t>integer</t>
        </is>
      </c>
      <c r="H1945" s="18" t="inlineStr">
        <is>
          <t>No</t>
        </is>
      </c>
      <c r="I1945" s="18" t="inlineStr"/>
      <c r="J1945" s="18" t="inlineStr"/>
      <c r="K1945" s="18" t="inlineStr"/>
      <c r="L1945" s="18" t="inlineStr">
        <is>
          <t>No</t>
        </is>
      </c>
      <c r="M1945" s="18" t="inlineStr">
        <is>
          <t>No</t>
        </is>
      </c>
      <c r="N1945" s="18" t="inlineStr"/>
      <c r="O1945" s="18" t="inlineStr">
        <is>
          <t>idx_proceso_auditable_prioridad</t>
        </is>
      </c>
      <c r="P1945" s="18" t="inlineStr">
        <is>
          <t>Mapeada en internal-institutional-control-service/src/esap/universo-auditorias/entities/proceso-auditable.entity.ts:132 (ProcesoAuditable.prioridad) | Validación: IsEnum(PrioridadAuditoria), IsEnum(PrioridadAuditoriaProgramada), IsEnum(PrioridadNotificacion), IsEnum(PrioridadTarea), IsEnum(['Alta', 'Media', 'Baja']), IsInt</t>
        </is>
      </c>
      <c r="Q1945" s="18" t="inlineStr">
        <is>
          <t>Propuesta semántica</t>
        </is>
      </c>
      <c r="R1945" s="18" t="inlineStr">
        <is>
          <t>Prioridad del proceso auditable, expresada como número entero.</t>
        </is>
      </c>
      <c r="S1945" s="18" t="inlineStr">
        <is>
          <t>Baja</t>
        </is>
      </c>
      <c r="T1945" s="18" t="inlineStr">
        <is>
          <t>nombre + tipo + validaciones</t>
        </is>
      </c>
      <c r="U1945" s="18" t="inlineStr">
        <is>
          <t>¿Qué escala usa el número de prioridad y cómo se relaciona con los valores Alta, Media, Baja?</t>
        </is>
      </c>
      <c r="V1945" s="19" t="inlineStr">
        <is>
          <t>Pendiente</t>
        </is>
      </c>
      <c r="W1945" s="19" t="inlineStr"/>
      <c r="X1945" s="19" t="inlineStr"/>
      <c r="Y1945" s="20" t="n"/>
      <c r="Z1945" s="19" t="inlineStr"/>
      <c r="AA1945" s="18">
        <f>IF(OR(V1945="Aprobada"),R1945,IF(AND(OR(V1945="Aprobada con ajuste",V1945="Rechazada"),W1945&lt;&gt;""),W1945,""))</f>
        <v/>
      </c>
    </row>
    <row r="1946">
      <c r="A1946" s="18" t="inlineStr">
        <is>
          <t>C1945</t>
        </is>
      </c>
      <c r="B1946" s="18" t="inlineStr">
        <is>
          <t>Control interno</t>
        </is>
      </c>
      <c r="C1946" s="18" t="inlineStr">
        <is>
          <t>control_interno</t>
        </is>
      </c>
      <c r="D1946" s="18" t="inlineStr">
        <is>
          <t>proceso_auditable</t>
        </is>
      </c>
      <c r="E1946" s="18" t="n">
        <v>36</v>
      </c>
      <c r="F1946" s="18" t="inlineStr">
        <is>
          <t>priorizacion_anos</t>
        </is>
      </c>
      <c r="G1946" s="18" t="inlineStr">
        <is>
          <t>integer</t>
        </is>
      </c>
      <c r="H1946" s="18" t="inlineStr">
        <is>
          <t>No</t>
        </is>
      </c>
      <c r="I1946" s="18" t="inlineStr"/>
      <c r="J1946" s="18" t="inlineStr"/>
      <c r="K1946" s="18" t="inlineStr"/>
      <c r="L1946" s="18" t="inlineStr">
        <is>
          <t>No</t>
        </is>
      </c>
      <c r="M1946" s="18" t="inlineStr">
        <is>
          <t>No</t>
        </is>
      </c>
      <c r="N1946" s="18" t="inlineStr"/>
      <c r="O1946" s="18" t="inlineStr"/>
      <c r="P1946" s="18" t="inlineStr">
        <is>
          <t>internal-institutional-control-service/src/esap/universo-auditorias/entities/proceso-auditable.entity.ts:135: 1-4 años según nivel de riesgo</t>
        </is>
      </c>
      <c r="Q1946" s="18" t="inlineStr">
        <is>
          <t>Código fuente</t>
        </is>
      </c>
      <c r="R1946" s="18" t="inlineStr">
        <is>
          <t>Periodicidad de auditoría del proceso, en años (1 a 4), según su nivel de riesgo.</t>
        </is>
      </c>
      <c r="S1946" s="18" t="inlineStr">
        <is>
          <t>Alta</t>
        </is>
      </c>
      <c r="T1946" s="18" t="inlineStr">
        <is>
          <t>código: internal-institutional-control-service/src/esap/universo-auditorias/entities/proceso-auditable.entity.ts:135</t>
        </is>
      </c>
      <c r="U1946" s="18" t="inlineStr"/>
      <c r="V1946" s="19" t="inlineStr">
        <is>
          <t>Pendiente</t>
        </is>
      </c>
      <c r="W1946" s="19" t="inlineStr"/>
      <c r="X1946" s="19" t="inlineStr"/>
      <c r="Y1946" s="20" t="n"/>
      <c r="Z1946" s="19" t="inlineStr"/>
      <c r="AA1946" s="18">
        <f>IF(OR(V1946="Aprobada"),R1946,IF(AND(OR(V1946="Aprobada con ajuste",V1946="Rechazada"),W1946&lt;&gt;""),W1946,""))</f>
        <v/>
      </c>
    </row>
    <row r="1947">
      <c r="A1947" s="18" t="inlineStr">
        <is>
          <t>C1946</t>
        </is>
      </c>
      <c r="B1947" s="18" t="inlineStr">
        <is>
          <t>Control interno</t>
        </is>
      </c>
      <c r="C1947" s="18" t="inlineStr">
        <is>
          <t>control_interno</t>
        </is>
      </c>
      <c r="D1947" s="18" t="inlineStr">
        <is>
          <t>proceso_auditable</t>
        </is>
      </c>
      <c r="E1947" s="18" t="n">
        <v>36</v>
      </c>
      <c r="F1947" s="18" t="inlineStr">
        <is>
          <t>activo</t>
        </is>
      </c>
      <c r="G1947" s="18" t="inlineStr">
        <is>
          <t>boolean</t>
        </is>
      </c>
      <c r="H1947" s="18" t="inlineStr">
        <is>
          <t>Sí</t>
        </is>
      </c>
      <c r="I1947" s="18" t="inlineStr"/>
      <c r="J1947" s="18" t="inlineStr"/>
      <c r="K1947" s="18" t="inlineStr"/>
      <c r="L1947" s="18" t="inlineStr">
        <is>
          <t>No</t>
        </is>
      </c>
      <c r="M1947" s="18" t="inlineStr">
        <is>
          <t>No</t>
        </is>
      </c>
      <c r="N1947" s="18" t="inlineStr"/>
      <c r="O1947" s="18" t="inlineStr"/>
      <c r="P1947" s="18" t="inlineStr">
        <is>
          <t>Mapeada en internal-institutional-control-service/src/esap/universo-auditorias/entities/proceso-auditable.entity.ts:138 (ProcesoAuditable.activo) | Validación: IsBoolean, IsOptional</t>
        </is>
      </c>
      <c r="Q1947" s="18" t="inlineStr">
        <is>
          <t>Regla estructural</t>
        </is>
      </c>
      <c r="R1947" s="18" t="inlineStr">
        <is>
          <t>Indica si el registro está activo.</t>
        </is>
      </c>
      <c r="S1947" s="18" t="inlineStr">
        <is>
          <t>Media</t>
        </is>
      </c>
      <c r="T1947" s="18" t="inlineStr">
        <is>
          <t>Convención de nombre de la columna.</t>
        </is>
      </c>
      <c r="U1947" s="18" t="inlineStr"/>
      <c r="V1947" s="19" t="inlineStr">
        <is>
          <t>Pendiente</t>
        </is>
      </c>
      <c r="W1947" s="19" t="inlineStr"/>
      <c r="X1947" s="19" t="inlineStr"/>
      <c r="Y1947" s="20" t="n"/>
      <c r="Z1947" s="19" t="inlineStr"/>
      <c r="AA1947" s="18">
        <f>IF(OR(V1947="Aprobada"),R1947,IF(AND(OR(V1947="Aprobada con ajuste",V1947="Rechazada"),W1947&lt;&gt;""),W1947,""))</f>
        <v/>
      </c>
    </row>
    <row r="1948">
      <c r="A1948" s="18" t="inlineStr">
        <is>
          <t>C1947</t>
        </is>
      </c>
      <c r="B1948" s="18" t="inlineStr">
        <is>
          <t>Control interno</t>
        </is>
      </c>
      <c r="C1948" s="18" t="inlineStr">
        <is>
          <t>control_interno</t>
        </is>
      </c>
      <c r="D1948" s="18" t="inlineStr">
        <is>
          <t>proceso_auditable</t>
        </is>
      </c>
      <c r="E1948" s="18" t="n">
        <v>36</v>
      </c>
      <c r="F1948" s="18" t="inlineStr">
        <is>
          <t>unidades_auditables</t>
        </is>
      </c>
      <c r="G1948" s="18" t="inlineStr">
        <is>
          <t>jsonb</t>
        </is>
      </c>
      <c r="H1948" s="18" t="inlineStr">
        <is>
          <t>Sí</t>
        </is>
      </c>
      <c r="I1948" s="18" t="inlineStr"/>
      <c r="J1948" s="18" t="inlineStr"/>
      <c r="K1948" s="18" t="inlineStr"/>
      <c r="L1948" s="18" t="inlineStr">
        <is>
          <t>No</t>
        </is>
      </c>
      <c r="M1948" s="18" t="inlineStr">
        <is>
          <t>No</t>
        </is>
      </c>
      <c r="N1948" s="18" t="inlineStr"/>
      <c r="O1948" s="18" t="inlineStr"/>
      <c r="P1948" s="18" t="inlineStr">
        <is>
          <t>Mapeada en internal-institutional-control-service/src/esap/universo-auditorias/entities/proceso-auditable.entity.ts:62 (ProcesoAuditable.unidadesAuditables) | Validación: IsArray, IsOptional, IsString({ each: true })</t>
        </is>
      </c>
      <c r="Q1948" s="18" t="inlineStr">
        <is>
          <t>Propuesta semántica</t>
        </is>
      </c>
      <c r="R1948" s="18" t="inlineStr">
        <is>
          <t>Unidades auditables que componen el proceso, como arreglo JSON de textos.</t>
        </is>
      </c>
      <c r="S1948" s="18" t="inlineStr">
        <is>
          <t>Alta</t>
        </is>
      </c>
      <c r="T1948" s="18" t="inlineStr">
        <is>
          <t>nombre + tipo + validaciones del DTO</t>
        </is>
      </c>
      <c r="U1948" s="18" t="inlineStr"/>
      <c r="V1948" s="19" t="inlineStr">
        <is>
          <t>Pendiente</t>
        </is>
      </c>
      <c r="W1948" s="19" t="inlineStr"/>
      <c r="X1948" s="19" t="inlineStr"/>
      <c r="Y1948" s="20" t="n"/>
      <c r="Z1948" s="19" t="inlineStr"/>
      <c r="AA1948" s="18">
        <f>IF(OR(V1948="Aprobada"),R1948,IF(AND(OR(V1948="Aprobada con ajuste",V1948="Rechazada"),W1948&lt;&gt;""),W1948,""))</f>
        <v/>
      </c>
    </row>
    <row r="1949">
      <c r="A1949" s="18" t="inlineStr">
        <is>
          <t>C1948</t>
        </is>
      </c>
      <c r="B1949" s="18" t="inlineStr">
        <is>
          <t>Control interno</t>
        </is>
      </c>
      <c r="C1949" s="18" t="inlineStr">
        <is>
          <t>control_interno</t>
        </is>
      </c>
      <c r="D1949" s="18" t="inlineStr">
        <is>
          <t>programa_anual_ajuste</t>
        </is>
      </c>
      <c r="E1949" s="18" t="n">
        <v>3</v>
      </c>
      <c r="F1949" s="18" t="inlineStr">
        <is>
          <t>vigencia</t>
        </is>
      </c>
      <c r="G1949" s="18" t="inlineStr">
        <is>
          <t>integer</t>
        </is>
      </c>
      <c r="H1949" s="18" t="inlineStr">
        <is>
          <t>No</t>
        </is>
      </c>
      <c r="I1949" s="18" t="inlineStr"/>
      <c r="J1949" s="18" t="inlineStr"/>
      <c r="K1949" s="18" t="inlineStr"/>
      <c r="L1949" s="18" t="inlineStr">
        <is>
          <t>No</t>
        </is>
      </c>
      <c r="M1949" s="18" t="inlineStr">
        <is>
          <t>No</t>
        </is>
      </c>
      <c r="N1949" s="18" t="inlineStr"/>
      <c r="O1949" s="18" t="inlineStr">
        <is>
          <t>uq_programa_anual_ajuste_abierto</t>
        </is>
      </c>
      <c r="P1949" s="18" t="inlineStr"/>
      <c r="Q1949" s="18" t="inlineStr">
        <is>
          <t>Regla estructural</t>
        </is>
      </c>
      <c r="R1949" s="18" t="inlineStr">
        <is>
          <t>Vigencia (año).</t>
        </is>
      </c>
      <c r="S1949" s="18" t="inlineStr">
        <is>
          <t>Media</t>
        </is>
      </c>
      <c r="T1949" s="18" t="inlineStr">
        <is>
          <t>Convención de nombre de la columna.</t>
        </is>
      </c>
      <c r="U1949" s="18" t="inlineStr"/>
      <c r="V1949" s="19" t="inlineStr">
        <is>
          <t>Pendiente</t>
        </is>
      </c>
      <c r="W1949" s="19" t="inlineStr"/>
      <c r="X1949" s="19" t="inlineStr"/>
      <c r="Y1949" s="20" t="n"/>
      <c r="Z1949" s="19" t="inlineStr"/>
      <c r="AA1949" s="18">
        <f>IF(OR(V1949="Aprobada"),R1949,IF(AND(OR(V1949="Aprobada con ajuste",V1949="Rechazada"),W1949&lt;&gt;""),W1949,""))</f>
        <v/>
      </c>
    </row>
    <row r="1950">
      <c r="A1950" s="18" t="inlineStr">
        <is>
          <t>C1949</t>
        </is>
      </c>
      <c r="B1950" s="18" t="inlineStr">
        <is>
          <t>Control interno</t>
        </is>
      </c>
      <c r="C1950" s="18" t="inlineStr">
        <is>
          <t>control_interno</t>
        </is>
      </c>
      <c r="D1950" s="18" t="inlineStr">
        <is>
          <t>programa_anual_ajuste</t>
        </is>
      </c>
      <c r="E1950" s="18" t="n">
        <v>3</v>
      </c>
      <c r="F1950" s="18" t="inlineStr">
        <is>
          <t>iniciado_por</t>
        </is>
      </c>
      <c r="G1950" s="18" t="inlineStr">
        <is>
          <t>character varying(255)</t>
        </is>
      </c>
      <c r="H1950" s="18" t="inlineStr">
        <is>
          <t>No</t>
        </is>
      </c>
      <c r="I1950" s="18" t="inlineStr"/>
      <c r="J1950" s="18" t="inlineStr"/>
      <c r="K1950" s="18" t="inlineStr"/>
      <c r="L1950" s="18" t="inlineStr">
        <is>
          <t>No</t>
        </is>
      </c>
      <c r="M1950" s="18" t="inlineStr">
        <is>
          <t>No</t>
        </is>
      </c>
      <c r="N1950" s="18" t="inlineStr"/>
      <c r="O1950" s="18" t="inlineStr"/>
      <c r="P1950" s="18" t="inlineStr"/>
      <c r="Q1950" s="18" t="inlineStr">
        <is>
          <t>Regla estructural</t>
        </is>
      </c>
      <c r="R1950" s="18" t="inlineStr">
        <is>
          <t>Usuario que realizó el inicio.</t>
        </is>
      </c>
      <c r="S1950" s="18" t="inlineStr">
        <is>
          <t>Media</t>
        </is>
      </c>
      <c r="T1950" s="18" t="inlineStr">
        <is>
          <t>Convención de nombre de la columna.</t>
        </is>
      </c>
      <c r="U1950" s="18" t="inlineStr"/>
      <c r="V1950" s="19" t="inlineStr">
        <is>
          <t>Pendiente</t>
        </is>
      </c>
      <c r="W1950" s="19" t="inlineStr"/>
      <c r="X1950" s="19" t="inlineStr"/>
      <c r="Y1950" s="20" t="n"/>
      <c r="Z1950" s="19" t="inlineStr"/>
      <c r="AA1950" s="18">
        <f>IF(OR(V1950="Aprobada"),R1950,IF(AND(OR(V1950="Aprobada con ajuste",V1950="Rechazada"),W1950&lt;&gt;""),W1950,""))</f>
        <v/>
      </c>
    </row>
    <row r="1951">
      <c r="A1951" s="18" t="inlineStr">
        <is>
          <t>C1950</t>
        </is>
      </c>
      <c r="B1951" s="18" t="inlineStr">
        <is>
          <t>Control interno</t>
        </is>
      </c>
      <c r="C1951" s="18" t="inlineStr">
        <is>
          <t>control_interno</t>
        </is>
      </c>
      <c r="D1951" s="18" t="inlineStr">
        <is>
          <t>programa_anual_ajuste</t>
        </is>
      </c>
      <c r="E1951" s="18" t="n">
        <v>3</v>
      </c>
      <c r="F1951" s="18" t="inlineStr">
        <is>
          <t>iniciado_por_id</t>
        </is>
      </c>
      <c r="G1951" s="18" t="inlineStr">
        <is>
          <t>character varying(64)</t>
        </is>
      </c>
      <c r="H1951" s="18" t="inlineStr">
        <is>
          <t>Sí</t>
        </is>
      </c>
      <c r="I1951" s="18" t="inlineStr"/>
      <c r="J1951" s="18" t="inlineStr"/>
      <c r="K1951" s="18" t="inlineStr"/>
      <c r="L1951" s="18" t="inlineStr">
        <is>
          <t>No</t>
        </is>
      </c>
      <c r="M1951" s="18" t="inlineStr">
        <is>
          <t>No</t>
        </is>
      </c>
      <c r="N1951" s="18" t="inlineStr"/>
      <c r="O1951" s="18" t="inlineStr"/>
      <c r="P1951" s="18" t="inlineStr"/>
      <c r="Q1951" s="18" t="inlineStr">
        <is>
          <t>Propuesta semántica</t>
        </is>
      </c>
      <c r="R1951" s="18" t="inlineStr">
        <is>
          <t>Identificador del usuario que inició el ajuste del Programa Anual (EFDS-1919).</t>
        </is>
      </c>
      <c r="S1951" s="18" t="inlineStr">
        <is>
          <t>Media</t>
        </is>
      </c>
      <c r="T1951" s="18" t="inlineStr">
        <is>
          <t>nombre + descripción de la tabla</t>
        </is>
      </c>
      <c r="U1951" s="18" t="inlineStr">
        <is>
          <t>¿Es el id de auth."user" u otro identificador de usuario?</t>
        </is>
      </c>
      <c r="V1951" s="19" t="inlineStr">
        <is>
          <t>Pendiente</t>
        </is>
      </c>
      <c r="W1951" s="19" t="inlineStr"/>
      <c r="X1951" s="19" t="inlineStr"/>
      <c r="Y1951" s="20" t="n"/>
      <c r="Z1951" s="19" t="inlineStr"/>
      <c r="AA1951" s="18">
        <f>IF(OR(V1951="Aprobada"),R1951,IF(AND(OR(V1951="Aprobada con ajuste",V1951="Rechazada"),W1951&lt;&gt;""),W1951,""))</f>
        <v/>
      </c>
    </row>
    <row r="1952">
      <c r="A1952" s="18" t="inlineStr">
        <is>
          <t>C1951</t>
        </is>
      </c>
      <c r="B1952" s="18" t="inlineStr">
        <is>
          <t>Control interno</t>
        </is>
      </c>
      <c r="C1952" s="18" t="inlineStr">
        <is>
          <t>control_interno</t>
        </is>
      </c>
      <c r="D1952" s="18" t="inlineStr">
        <is>
          <t>programa_anual_ajuste</t>
        </is>
      </c>
      <c r="E1952" s="18" t="n">
        <v>3</v>
      </c>
      <c r="F1952" s="18" t="inlineStr">
        <is>
          <t>iniciado_at</t>
        </is>
      </c>
      <c r="G1952" s="18" t="inlineStr">
        <is>
          <t>timestamp with time zone</t>
        </is>
      </c>
      <c r="H1952" s="18" t="inlineStr">
        <is>
          <t>No</t>
        </is>
      </c>
      <c r="I1952" s="18" t="inlineStr"/>
      <c r="J1952" s="18" t="inlineStr"/>
      <c r="K1952" s="18" t="inlineStr"/>
      <c r="L1952" s="18" t="inlineStr">
        <is>
          <t>No</t>
        </is>
      </c>
      <c r="M1952" s="18" t="inlineStr">
        <is>
          <t>No</t>
        </is>
      </c>
      <c r="N1952" s="18" t="inlineStr"/>
      <c r="O1952" s="18" t="inlineStr"/>
      <c r="P1952" s="18" t="inlineStr"/>
      <c r="Q1952" s="18" t="inlineStr">
        <is>
          <t>Regla estructural</t>
        </is>
      </c>
      <c r="R1952" s="18" t="inlineStr">
        <is>
          <t>Fecha y hora del inicio.</t>
        </is>
      </c>
      <c r="S1952" s="18" t="inlineStr">
        <is>
          <t>Media</t>
        </is>
      </c>
      <c r="T1952" s="18" t="inlineStr">
        <is>
          <t>Convención de nombre de la columna.</t>
        </is>
      </c>
      <c r="U1952" s="18" t="inlineStr"/>
      <c r="V1952" s="19" t="inlineStr">
        <is>
          <t>Pendiente</t>
        </is>
      </c>
      <c r="W1952" s="19" t="inlineStr"/>
      <c r="X1952" s="19" t="inlineStr"/>
      <c r="Y1952" s="20" t="n"/>
      <c r="Z1952" s="19" t="inlineStr"/>
      <c r="AA1952" s="18">
        <f>IF(OR(V1952="Aprobada"),R1952,IF(AND(OR(V1952="Aprobada con ajuste",V1952="Rechazada"),W1952&lt;&gt;""),W1952,""))</f>
        <v/>
      </c>
    </row>
    <row r="1953">
      <c r="A1953" s="18" t="inlineStr">
        <is>
          <t>C1952</t>
        </is>
      </c>
      <c r="B1953" s="18" t="inlineStr">
        <is>
          <t>Control interno</t>
        </is>
      </c>
      <c r="C1953" s="18" t="inlineStr">
        <is>
          <t>control_interno</t>
        </is>
      </c>
      <c r="D1953" s="18" t="inlineStr">
        <is>
          <t>programa_anual_ajuste</t>
        </is>
      </c>
      <c r="E1953" s="18" t="n">
        <v>3</v>
      </c>
      <c r="F1953" s="18" t="inlineStr">
        <is>
          <t>cerrado_at</t>
        </is>
      </c>
      <c r="G1953" s="18" t="inlineStr">
        <is>
          <t>timestamp with time zone</t>
        </is>
      </c>
      <c r="H1953" s="18" t="inlineStr">
        <is>
          <t>Sí</t>
        </is>
      </c>
      <c r="I1953" s="18" t="inlineStr"/>
      <c r="J1953" s="18" t="inlineStr"/>
      <c r="K1953" s="18" t="inlineStr"/>
      <c r="L1953" s="18" t="inlineStr">
        <is>
          <t>No</t>
        </is>
      </c>
      <c r="M1953" s="18" t="inlineStr">
        <is>
          <t>No</t>
        </is>
      </c>
      <c r="N1953" s="18" t="inlineStr"/>
      <c r="O1953" s="18" t="inlineStr"/>
      <c r="P1953" s="18" t="inlineStr"/>
      <c r="Q1953" s="18" t="inlineStr">
        <is>
          <t>Regla estructural</t>
        </is>
      </c>
      <c r="R1953" s="18" t="inlineStr">
        <is>
          <t>Fecha y hora del cierre.</t>
        </is>
      </c>
      <c r="S1953" s="18" t="inlineStr">
        <is>
          <t>Media</t>
        </is>
      </c>
      <c r="T1953" s="18" t="inlineStr">
        <is>
          <t>Convención de nombre de la columna.</t>
        </is>
      </c>
      <c r="U1953" s="18" t="inlineStr"/>
      <c r="V1953" s="19" t="inlineStr">
        <is>
          <t>Pendiente</t>
        </is>
      </c>
      <c r="W1953" s="19" t="inlineStr"/>
      <c r="X1953" s="19" t="inlineStr"/>
      <c r="Y1953" s="20" t="n"/>
      <c r="Z1953" s="19" t="inlineStr"/>
      <c r="AA1953" s="18">
        <f>IF(OR(V1953="Aprobada"),R1953,IF(AND(OR(V1953="Aprobada con ajuste",V1953="Rechazada"),W1953&lt;&gt;""),W1953,""))</f>
        <v/>
      </c>
    </row>
    <row r="1954">
      <c r="A1954" s="18" t="inlineStr">
        <is>
          <t>C1953</t>
        </is>
      </c>
      <c r="B1954" s="18" t="inlineStr">
        <is>
          <t>Control interno</t>
        </is>
      </c>
      <c r="C1954" s="18" t="inlineStr">
        <is>
          <t>control_interno</t>
        </is>
      </c>
      <c r="D1954" s="18" t="inlineStr">
        <is>
          <t>programa_anual_ajuste</t>
        </is>
      </c>
      <c r="E1954" s="18" t="n">
        <v>3</v>
      </c>
      <c r="F1954" s="18" t="inlineStr">
        <is>
          <t>version_resultante</t>
        </is>
      </c>
      <c r="G1954" s="18" t="inlineStr">
        <is>
          <t>integer</t>
        </is>
      </c>
      <c r="H1954" s="18" t="inlineStr">
        <is>
          <t>Sí</t>
        </is>
      </c>
      <c r="I1954" s="18" t="inlineStr"/>
      <c r="J1954" s="18" t="inlineStr"/>
      <c r="K1954" s="18" t="inlineStr"/>
      <c r="L1954" s="18" t="inlineStr">
        <is>
          <t>No</t>
        </is>
      </c>
      <c r="M1954" s="18" t="inlineStr">
        <is>
          <t>No</t>
        </is>
      </c>
      <c r="N1954" s="18" t="inlineStr"/>
      <c r="O1954" s="18" t="inlineStr"/>
      <c r="P1954" s="18" t="inlineStr">
        <is>
          <t>db/migrations/657_ajustes_programa_anual.sql:19: Versión que cerró el ajuste; vacío si se cerró sin cambios.</t>
        </is>
      </c>
      <c r="Q1954" s="18" t="inlineStr">
        <is>
          <t>Código fuente</t>
        </is>
      </c>
      <c r="R1954" s="18" t="inlineStr">
        <is>
          <t>Número de la versión del Programa Anual con la que se cerró el ajuste; vacío si el ajuste se cerró sin cambios (EFDS-1919).</t>
        </is>
      </c>
      <c r="S1954" s="18" t="inlineStr">
        <is>
          <t>Alta</t>
        </is>
      </c>
      <c r="T1954" s="18" t="inlineStr">
        <is>
          <t>código: db/migrations/657_ajustes_programa_anual.sql:19</t>
        </is>
      </c>
      <c r="U1954" s="18" t="inlineStr"/>
      <c r="V1954" s="19" t="inlineStr">
        <is>
          <t>Pendiente</t>
        </is>
      </c>
      <c r="W1954" s="19" t="inlineStr"/>
      <c r="X1954" s="19" t="inlineStr"/>
      <c r="Y1954" s="20" t="n"/>
      <c r="Z1954" s="19" t="inlineStr"/>
      <c r="AA1954" s="18">
        <f>IF(OR(V1954="Aprobada"),R1954,IF(AND(OR(V1954="Aprobada con ajuste",V1954="Rechazada"),W1954&lt;&gt;""),W1954,""))</f>
        <v/>
      </c>
    </row>
    <row r="1955">
      <c r="A1955" s="18" t="inlineStr">
        <is>
          <t>C1954</t>
        </is>
      </c>
      <c r="B1955" s="18" t="inlineStr">
        <is>
          <t>Control interno</t>
        </is>
      </c>
      <c r="C1955" s="18" t="inlineStr">
        <is>
          <t>control_interno</t>
        </is>
      </c>
      <c r="D1955" s="18" t="inlineStr">
        <is>
          <t>registro_seguimiento</t>
        </is>
      </c>
      <c r="E1955" s="18" t="n">
        <v>0</v>
      </c>
      <c r="F1955" s="18" t="inlineStr">
        <is>
          <t>accion_descripcion</t>
        </is>
      </c>
      <c r="G1955" s="18" t="inlineStr">
        <is>
          <t>text</t>
        </is>
      </c>
      <c r="H1955" s="18" t="inlineStr">
        <is>
          <t>No</t>
        </is>
      </c>
      <c r="I1955" s="18" t="inlineStr"/>
      <c r="J1955" s="18" t="inlineStr"/>
      <c r="K1955" s="18" t="inlineStr"/>
      <c r="L1955" s="18" t="inlineStr">
        <is>
          <t>No</t>
        </is>
      </c>
      <c r="M1955" s="18" t="inlineStr">
        <is>
          <t>No</t>
        </is>
      </c>
      <c r="N1955" s="18" t="inlineStr"/>
      <c r="O1955" s="18" t="inlineStr"/>
      <c r="P1955" s="18" t="inlineStr">
        <is>
          <t>Mapeada en internal-institutional-control-service/src/esap/planes-mejoramiento/entities/registro-seguimiento.entity.ts:32 (RegistroSeguimiento.accionDescripcion) | Validación: IsNotEmpty, IsString</t>
        </is>
      </c>
      <c r="Q1955" s="18" t="inlineStr">
        <is>
          <t>Propuesta semántica</t>
        </is>
      </c>
      <c r="R1955" s="18" t="inlineStr">
        <is>
          <t>Descripción de la acción de mejora objeto del seguimiento.</t>
        </is>
      </c>
      <c r="S1955" s="18" t="inlineStr">
        <is>
          <t>Alta</t>
        </is>
      </c>
      <c r="T1955" s="18" t="inlineStr">
        <is>
          <t>nombre + tipo + columnas vecinas</t>
        </is>
      </c>
      <c r="U1955" s="18" t="inlineStr"/>
      <c r="V1955" s="19" t="inlineStr">
        <is>
          <t>Pendiente</t>
        </is>
      </c>
      <c r="W1955" s="19" t="inlineStr"/>
      <c r="X1955" s="19" t="inlineStr"/>
      <c r="Y1955" s="20" t="n"/>
      <c r="Z1955" s="19" t="inlineStr"/>
      <c r="AA1955" s="18">
        <f>IF(OR(V1955="Aprobada"),R1955,IF(AND(OR(V1955="Aprobada con ajuste",V1955="Rechazada"),W1955&lt;&gt;""),W1955,""))</f>
        <v/>
      </c>
    </row>
    <row r="1956">
      <c r="A1956" s="18" t="inlineStr">
        <is>
          <t>C1955</t>
        </is>
      </c>
      <c r="B1956" s="18" t="inlineStr">
        <is>
          <t>Control interno</t>
        </is>
      </c>
      <c r="C1956" s="18" t="inlineStr">
        <is>
          <t>control_interno</t>
        </is>
      </c>
      <c r="D1956" s="18" t="inlineStr">
        <is>
          <t>registro_seguimiento</t>
        </is>
      </c>
      <c r="E1956" s="18" t="n">
        <v>0</v>
      </c>
      <c r="F1956" s="18" t="inlineStr">
        <is>
          <t>acciones_programadas</t>
        </is>
      </c>
      <c r="G1956" s="18" t="inlineStr">
        <is>
          <t>integer</t>
        </is>
      </c>
      <c r="H1956" s="18" t="inlineStr">
        <is>
          <t>Sí</t>
        </is>
      </c>
      <c r="I1956" s="18" t="inlineStr"/>
      <c r="J1956" s="18" t="inlineStr"/>
      <c r="K1956" s="18" t="inlineStr"/>
      <c r="L1956" s="18" t="inlineStr">
        <is>
          <t>No</t>
        </is>
      </c>
      <c r="M1956" s="18" t="inlineStr">
        <is>
          <t>No</t>
        </is>
      </c>
      <c r="N1956" s="18" t="inlineStr"/>
      <c r="O1956" s="18" t="inlineStr"/>
      <c r="P1956" s="18" t="inlineStr">
        <is>
          <t>Mapeada en internal-institutional-control-service/src/esap/planes-mejoramiento/entities/registro-seguimiento.entity.ts:35 (RegistroSeguimiento.accionesProgramadas) | Validación: IsInt, Min(1)</t>
        </is>
      </c>
      <c r="Q1956" s="18" t="inlineStr">
        <is>
          <t>Propuesta semántica</t>
        </is>
      </c>
      <c r="R1956" s="18" t="inlineStr">
        <is>
          <t>Cantidad de acciones programadas, mínimo 1.</t>
        </is>
      </c>
      <c r="S1956" s="18" t="inlineStr">
        <is>
          <t>Alta</t>
        </is>
      </c>
      <c r="T1956" s="18" t="inlineStr">
        <is>
          <t>nombre + validación Min(1)</t>
        </is>
      </c>
      <c r="U1956" s="18" t="inlineStr"/>
      <c r="V1956" s="19" t="inlineStr">
        <is>
          <t>Pendiente</t>
        </is>
      </c>
      <c r="W1956" s="19" t="inlineStr"/>
      <c r="X1956" s="19" t="inlineStr"/>
      <c r="Y1956" s="20" t="n"/>
      <c r="Z1956" s="19" t="inlineStr"/>
      <c r="AA1956" s="18">
        <f>IF(OR(V1956="Aprobada"),R1956,IF(AND(OR(V1956="Aprobada con ajuste",V1956="Rechazada"),W1956&lt;&gt;""),W1956,""))</f>
        <v/>
      </c>
    </row>
    <row r="1957">
      <c r="A1957" s="18" t="inlineStr">
        <is>
          <t>C1956</t>
        </is>
      </c>
      <c r="B1957" s="18" t="inlineStr">
        <is>
          <t>Control interno</t>
        </is>
      </c>
      <c r="C1957" s="18" t="inlineStr">
        <is>
          <t>control_interno</t>
        </is>
      </c>
      <c r="D1957" s="18" t="inlineStr">
        <is>
          <t>registro_seguimiento</t>
        </is>
      </c>
      <c r="E1957" s="18" t="n">
        <v>0</v>
      </c>
      <c r="F1957" s="18" t="inlineStr">
        <is>
          <t>acciones_implementadas</t>
        </is>
      </c>
      <c r="G1957" s="18" t="inlineStr">
        <is>
          <t>integer</t>
        </is>
      </c>
      <c r="H1957" s="18" t="inlineStr">
        <is>
          <t>Sí</t>
        </is>
      </c>
      <c r="I1957" s="18" t="inlineStr"/>
      <c r="J1957" s="18" t="inlineStr"/>
      <c r="K1957" s="18" t="inlineStr"/>
      <c r="L1957" s="18" t="inlineStr">
        <is>
          <t>No</t>
        </is>
      </c>
      <c r="M1957" s="18" t="inlineStr">
        <is>
          <t>No</t>
        </is>
      </c>
      <c r="N1957" s="18" t="inlineStr"/>
      <c r="O1957" s="18" t="inlineStr"/>
      <c r="P1957" s="18" t="inlineStr">
        <is>
          <t>Mapeada en internal-institutional-control-service/src/esap/planes-mejoramiento/entities/registro-seguimiento.entity.ts:38 (RegistroSeguimiento.accionesImplementadas) | Validación: IsInt, Min(0)</t>
        </is>
      </c>
      <c r="Q1957" s="18" t="inlineStr">
        <is>
          <t>Propuesta semántica</t>
        </is>
      </c>
      <c r="R1957" s="18" t="inlineStr">
        <is>
          <t>Cantidad de acciones implementadas.</t>
        </is>
      </c>
      <c r="S1957" s="18" t="inlineStr">
        <is>
          <t>Alta</t>
        </is>
      </c>
      <c r="T1957" s="18" t="inlineStr">
        <is>
          <t>nombre + validación Min(0)</t>
        </is>
      </c>
      <c r="U1957" s="18" t="inlineStr"/>
      <c r="V1957" s="19" t="inlineStr">
        <is>
          <t>Pendiente</t>
        </is>
      </c>
      <c r="W1957" s="19" t="inlineStr"/>
      <c r="X1957" s="19" t="inlineStr"/>
      <c r="Y1957" s="20" t="n"/>
      <c r="Z1957" s="19" t="inlineStr"/>
      <c r="AA1957" s="18">
        <f>IF(OR(V1957="Aprobada"),R1957,IF(AND(OR(V1957="Aprobada con ajuste",V1957="Rechazada"),W1957&lt;&gt;""),W1957,""))</f>
        <v/>
      </c>
    </row>
    <row r="1958">
      <c r="A1958" s="18" t="inlineStr">
        <is>
          <t>C1957</t>
        </is>
      </c>
      <c r="B1958" s="18" t="inlineStr">
        <is>
          <t>Control interno</t>
        </is>
      </c>
      <c r="C1958" s="18" t="inlineStr">
        <is>
          <t>control_interno</t>
        </is>
      </c>
      <c r="D1958" s="18" t="inlineStr">
        <is>
          <t>registro_seguimiento</t>
        </is>
      </c>
      <c r="E1958" s="18" t="n">
        <v>0</v>
      </c>
      <c r="F1958" s="18" t="inlineStr">
        <is>
          <t>puntaje_cumplimiento</t>
        </is>
      </c>
      <c r="G1958" s="18" t="inlineStr">
        <is>
          <t>integer</t>
        </is>
      </c>
      <c r="H1958" s="18" t="inlineStr">
        <is>
          <t>Sí</t>
        </is>
      </c>
      <c r="I1958" s="18" t="inlineStr">
        <is>
          <t>CHECK</t>
        </is>
      </c>
      <c r="J1958" s="18" t="inlineStr"/>
      <c r="K1958" s="18" t="inlineStr"/>
      <c r="L1958" s="18" t="inlineStr">
        <is>
          <t>No</t>
        </is>
      </c>
      <c r="M1958" s="18" t="inlineStr">
        <is>
          <t>No</t>
        </is>
      </c>
      <c r="N1958" s="18" t="inlineStr"/>
      <c r="O1958" s="18" t="inlineStr"/>
      <c r="P1958" s="18" t="inlineStr">
        <is>
          <t>Mapeada en internal-institutional-control-service/src/esap/planes-mejoramiento/entities/registro-seguimiento.entity.ts:41 (RegistroSeguimiento.puntajeCumplimiento)</t>
        </is>
      </c>
      <c r="Q1958" s="18" t="inlineStr">
        <is>
          <t>Propuesta semántica</t>
        </is>
      </c>
      <c r="R1958" s="18" t="inlineStr">
        <is>
          <t>Puntaje de cumplimiento de la acción en el seguimiento.</t>
        </is>
      </c>
      <c r="S1958" s="18" t="inlineStr">
        <is>
          <t>Media</t>
        </is>
      </c>
      <c r="T1958" s="18" t="inlineStr">
        <is>
          <t>nombre + tipo + columnas vecinas</t>
        </is>
      </c>
      <c r="U1958" s="18" t="inlineStr">
        <is>
          <t>¿Cómo se calcula y en qué escala (0–100)?</t>
        </is>
      </c>
      <c r="V1958" s="19" t="inlineStr">
        <is>
          <t>Pendiente</t>
        </is>
      </c>
      <c r="W1958" s="19" t="inlineStr"/>
      <c r="X1958" s="19" t="inlineStr"/>
      <c r="Y1958" s="20" t="n"/>
      <c r="Z1958" s="19" t="inlineStr"/>
      <c r="AA1958" s="18">
        <f>IF(OR(V1958="Aprobada"),R1958,IF(AND(OR(V1958="Aprobada con ajuste",V1958="Rechazada"),W1958&lt;&gt;""),W1958,""))</f>
        <v/>
      </c>
    </row>
    <row r="1959">
      <c r="A1959" s="18" t="inlineStr">
        <is>
          <t>C1958</t>
        </is>
      </c>
      <c r="B1959" s="18" t="inlineStr">
        <is>
          <t>Control interno</t>
        </is>
      </c>
      <c r="C1959" s="18" t="inlineStr">
        <is>
          <t>control_interno</t>
        </is>
      </c>
      <c r="D1959" s="18" t="inlineStr">
        <is>
          <t>registro_seguimiento</t>
        </is>
      </c>
      <c r="E1959" s="18" t="n">
        <v>0</v>
      </c>
      <c r="F1959" s="18" t="inlineStr">
        <is>
          <t>controles_implementados</t>
        </is>
      </c>
      <c r="G1959" s="18" t="inlineStr">
        <is>
          <t>character varying(20)</t>
        </is>
      </c>
      <c r="H1959" s="18" t="inlineStr">
        <is>
          <t>No</t>
        </is>
      </c>
      <c r="I1959" s="18" t="inlineStr">
        <is>
          <t>CHECK</t>
        </is>
      </c>
      <c r="J1959" s="18" t="inlineStr">
        <is>
          <t>NO, PARCIAL, SI</t>
        </is>
      </c>
      <c r="K1959" s="18" t="inlineStr"/>
      <c r="L1959" s="18" t="inlineStr">
        <is>
          <t>Sí</t>
        </is>
      </c>
      <c r="M1959" s="18" t="inlineStr">
        <is>
          <t>No</t>
        </is>
      </c>
      <c r="N1959" s="18" t="inlineStr"/>
      <c r="O1959" s="18" t="inlineStr"/>
      <c r="P1959" s="18" t="inlineStr">
        <is>
          <t>Mapeada en internal-institutional-control-service/src/esap/planes-mejoramiento/entities/registro-seguimiento.entity.ts:44 (RegistroSeguimiento.controlesImplementados) | Validación: IsEnum(['SI', 'NO', 'PARCIAL'])</t>
        </is>
      </c>
      <c r="Q1959" s="18" t="inlineStr">
        <is>
          <t>Propuesta semántica</t>
        </is>
      </c>
      <c r="R1959" s="18" t="inlineStr">
        <is>
          <t>Indica si se implementaron los controles. Valores permitidos: SI, NO, PARCIAL.</t>
        </is>
      </c>
      <c r="S1959" s="18" t="inlineStr">
        <is>
          <t>Alta</t>
        </is>
      </c>
      <c r="T1959" s="18" t="inlineStr">
        <is>
          <t>valores permitidos del CHECK</t>
        </is>
      </c>
      <c r="U1959" s="18" t="inlineStr"/>
      <c r="V1959" s="19" t="inlineStr">
        <is>
          <t>Pendiente</t>
        </is>
      </c>
      <c r="W1959" s="19" t="inlineStr"/>
      <c r="X1959" s="19" t="inlineStr"/>
      <c r="Y1959" s="20" t="n"/>
      <c r="Z1959" s="19" t="inlineStr"/>
      <c r="AA1959" s="18">
        <f>IF(OR(V1959="Aprobada"),R1959,IF(AND(OR(V1959="Aprobada con ajuste",V1959="Rechazada"),W1959&lt;&gt;""),W1959,""))</f>
        <v/>
      </c>
    </row>
    <row r="1960">
      <c r="A1960" s="18" t="inlineStr">
        <is>
          <t>C1959</t>
        </is>
      </c>
      <c r="B1960" s="18" t="inlineStr">
        <is>
          <t>Control interno</t>
        </is>
      </c>
      <c r="C1960" s="18" t="inlineStr">
        <is>
          <t>control_interno</t>
        </is>
      </c>
      <c r="D1960" s="18" t="inlineStr">
        <is>
          <t>registro_seguimiento</t>
        </is>
      </c>
      <c r="E1960" s="18" t="n">
        <v>0</v>
      </c>
      <c r="F1960" s="18" t="inlineStr">
        <is>
          <t>hallazgo_se_repite</t>
        </is>
      </c>
      <c r="G1960" s="18" t="inlineStr">
        <is>
          <t>character varying(20)</t>
        </is>
      </c>
      <c r="H1960" s="18" t="inlineStr">
        <is>
          <t>No</t>
        </is>
      </c>
      <c r="I1960" s="18" t="inlineStr">
        <is>
          <t>CHECK</t>
        </is>
      </c>
      <c r="J1960" s="18" t="inlineStr">
        <is>
          <t>NO, SI</t>
        </is>
      </c>
      <c r="K1960" s="18" t="inlineStr"/>
      <c r="L1960" s="18" t="inlineStr">
        <is>
          <t>Sí</t>
        </is>
      </c>
      <c r="M1960" s="18" t="inlineStr">
        <is>
          <t>No</t>
        </is>
      </c>
      <c r="N1960" s="18" t="inlineStr"/>
      <c r="O1960" s="18" t="inlineStr"/>
      <c r="P1960" s="18" t="inlineStr">
        <is>
          <t>Mapeada en internal-institutional-control-service/src/esap/planes-mejoramiento/entities/registro-seguimiento.entity.ts:47 (RegistroSeguimiento.hallazgoSeRepite) | Validación: IsEnum(['SI', 'NO'])</t>
        </is>
      </c>
      <c r="Q1960" s="18" t="inlineStr">
        <is>
          <t>Propuesta semántica</t>
        </is>
      </c>
      <c r="R1960" s="18" t="inlineStr">
        <is>
          <t>Indica si el hallazgo se repite. Valores permitidos: SI, NO.</t>
        </is>
      </c>
      <c r="S1960" s="18" t="inlineStr">
        <is>
          <t>Alta</t>
        </is>
      </c>
      <c r="T1960" s="18" t="inlineStr">
        <is>
          <t>valores permitidos del CHECK</t>
        </is>
      </c>
      <c r="U1960" s="18" t="inlineStr"/>
      <c r="V1960" s="19" t="inlineStr">
        <is>
          <t>Pendiente</t>
        </is>
      </c>
      <c r="W1960" s="19" t="inlineStr"/>
      <c r="X1960" s="19" t="inlineStr"/>
      <c r="Y1960" s="20" t="n"/>
      <c r="Z1960" s="19" t="inlineStr"/>
      <c r="AA1960" s="18">
        <f>IF(OR(V1960="Aprobada"),R1960,IF(AND(OR(V1960="Aprobada con ajuste",V1960="Rechazada"),W1960&lt;&gt;""),W1960,""))</f>
        <v/>
      </c>
    </row>
    <row r="1961">
      <c r="A1961" s="18" t="inlineStr">
        <is>
          <t>C1960</t>
        </is>
      </c>
      <c r="B1961" s="18" t="inlineStr">
        <is>
          <t>Control interno</t>
        </is>
      </c>
      <c r="C1961" s="18" t="inlineStr">
        <is>
          <t>control_interno</t>
        </is>
      </c>
      <c r="D1961" s="18" t="inlineStr">
        <is>
          <t>registro_seguimiento</t>
        </is>
      </c>
      <c r="E1961" s="18" t="n">
        <v>0</v>
      </c>
      <c r="F1961" s="18" t="inlineStr">
        <is>
          <t>puntaje_efectividad</t>
        </is>
      </c>
      <c r="G1961" s="18" t="inlineStr">
        <is>
          <t>integer</t>
        </is>
      </c>
      <c r="H1961" s="18" t="inlineStr">
        <is>
          <t>Sí</t>
        </is>
      </c>
      <c r="I1961" s="18" t="inlineStr">
        <is>
          <t>CHECK</t>
        </is>
      </c>
      <c r="J1961" s="18" t="inlineStr"/>
      <c r="K1961" s="18" t="inlineStr"/>
      <c r="L1961" s="18" t="inlineStr">
        <is>
          <t>No</t>
        </is>
      </c>
      <c r="M1961" s="18" t="inlineStr">
        <is>
          <t>No</t>
        </is>
      </c>
      <c r="N1961" s="18" t="inlineStr"/>
      <c r="O1961" s="18" t="inlineStr"/>
      <c r="P1961" s="18" t="inlineStr">
        <is>
          <t>Mapeada en internal-institutional-control-service/src/esap/planes-mejoramiento/entities/registro-seguimiento.entity.ts:50 (RegistroSeguimiento.puntajeEfectividad)</t>
        </is>
      </c>
      <c r="Q1961" s="18" t="inlineStr">
        <is>
          <t>Propuesta semántica</t>
        </is>
      </c>
      <c r="R1961" s="18" t="inlineStr">
        <is>
          <t>Puntaje de efectividad de la acción en el seguimiento.</t>
        </is>
      </c>
      <c r="S1961" s="18" t="inlineStr">
        <is>
          <t>Media</t>
        </is>
      </c>
      <c r="T1961" s="18" t="inlineStr">
        <is>
          <t>nombre + tipo + columnas vecinas</t>
        </is>
      </c>
      <c r="U1961" s="18" t="inlineStr">
        <is>
          <t>¿Cómo se calcula y en qué escala (0–100)?</t>
        </is>
      </c>
      <c r="V1961" s="19" t="inlineStr">
        <is>
          <t>Pendiente</t>
        </is>
      </c>
      <c r="W1961" s="19" t="inlineStr"/>
      <c r="X1961" s="19" t="inlineStr"/>
      <c r="Y1961" s="20" t="n"/>
      <c r="Z1961" s="19" t="inlineStr"/>
      <c r="AA1961" s="18">
        <f>IF(OR(V1961="Aprobada"),R1961,IF(AND(OR(V1961="Aprobada con ajuste",V1961="Rechazada"),W1961&lt;&gt;""),W1961,""))</f>
        <v/>
      </c>
    </row>
    <row r="1962">
      <c r="A1962" s="18" t="inlineStr">
        <is>
          <t>C1961</t>
        </is>
      </c>
      <c r="B1962" s="18" t="inlineStr">
        <is>
          <t>Control interno</t>
        </is>
      </c>
      <c r="C1962" s="18" t="inlineStr">
        <is>
          <t>control_interno</t>
        </is>
      </c>
      <c r="D1962" s="18" t="inlineStr">
        <is>
          <t>registro_seguimiento</t>
        </is>
      </c>
      <c r="E1962" s="18" t="n">
        <v>0</v>
      </c>
      <c r="F1962" s="18" t="inlineStr">
        <is>
          <t>observaciones</t>
        </is>
      </c>
      <c r="G1962" s="18" t="inlineStr">
        <is>
          <t>text</t>
        </is>
      </c>
      <c r="H1962" s="18" t="inlineStr">
        <is>
          <t>Sí</t>
        </is>
      </c>
      <c r="I1962" s="18" t="inlineStr"/>
      <c r="J1962" s="18" t="inlineStr"/>
      <c r="K1962" s="18" t="inlineStr"/>
      <c r="L1962" s="18" t="inlineStr">
        <is>
          <t>No</t>
        </is>
      </c>
      <c r="M1962" s="18" t="inlineStr">
        <is>
          <t>No</t>
        </is>
      </c>
      <c r="N1962" s="18" t="inlineStr"/>
      <c r="O1962" s="18" t="inlineStr"/>
      <c r="P1962" s="18" t="inlineStr">
        <is>
          <t>Mapeada en internal-institutional-control-service/src/esap/planes-mejoramiento/entities/registro-seguimiento.entity.ts:53 (RegistroSeguimiento.observaciones) | Validación: IsOptional, IsString</t>
        </is>
      </c>
      <c r="Q1962" s="18" t="inlineStr">
        <is>
          <t>Regla estructural</t>
        </is>
      </c>
      <c r="R1962" s="18" t="inlineStr">
        <is>
          <t>Observaciones registradas sobre el registro.</t>
        </is>
      </c>
      <c r="S1962" s="18" t="inlineStr">
        <is>
          <t>Media</t>
        </is>
      </c>
      <c r="T1962" s="18" t="inlineStr">
        <is>
          <t>Convención de nombre de la columna.</t>
        </is>
      </c>
      <c r="U1962" s="18" t="inlineStr"/>
      <c r="V1962" s="19" t="inlineStr">
        <is>
          <t>Pendiente</t>
        </is>
      </c>
      <c r="W1962" s="19" t="inlineStr"/>
      <c r="X1962" s="19" t="inlineStr"/>
      <c r="Y1962" s="20" t="n"/>
      <c r="Z1962" s="19" t="inlineStr"/>
      <c r="AA1962" s="18">
        <f>IF(OR(V1962="Aprobada"),R1962,IF(AND(OR(V1962="Aprobada con ajuste",V1962="Rechazada"),W1962&lt;&gt;""),W1962,""))</f>
        <v/>
      </c>
    </row>
    <row r="1963">
      <c r="A1963" s="18" t="inlineStr">
        <is>
          <t>C1962</t>
        </is>
      </c>
      <c r="B1963" s="18" t="inlineStr">
        <is>
          <t>Control interno</t>
        </is>
      </c>
      <c r="C1963" s="18" t="inlineStr">
        <is>
          <t>control_interno</t>
        </is>
      </c>
      <c r="D1963" s="18" t="inlineStr">
        <is>
          <t>registro_seguimiento</t>
        </is>
      </c>
      <c r="E1963" s="18" t="n">
        <v>0</v>
      </c>
      <c r="F1963" s="18" t="inlineStr">
        <is>
          <t>evidencias</t>
        </is>
      </c>
      <c r="G1963" s="18" t="inlineStr">
        <is>
          <t>jsonb</t>
        </is>
      </c>
      <c r="H1963" s="18" t="inlineStr">
        <is>
          <t>Sí</t>
        </is>
      </c>
      <c r="I1963" s="18" t="inlineStr"/>
      <c r="J1963" s="18" t="inlineStr"/>
      <c r="K1963" s="18" t="inlineStr"/>
      <c r="L1963" s="18" t="inlineStr">
        <is>
          <t>No</t>
        </is>
      </c>
      <c r="M1963" s="18" t="inlineStr">
        <is>
          <t>No</t>
        </is>
      </c>
      <c r="N1963" s="18" t="inlineStr"/>
      <c r="O1963" s="18" t="inlineStr"/>
      <c r="P1963" s="18" t="inlineStr">
        <is>
          <t>Mapeada en internal-institutional-control-service/src/esap/planes-mejoramiento/entities/registro-seguimiento.entity.ts:56 (RegistroSeguimiento.evidencias) | Validación: IsArray, IsOptional, IsString({ each: true })</t>
        </is>
      </c>
      <c r="Q1963" s="18" t="inlineStr">
        <is>
          <t>Propuesta semántica</t>
        </is>
      </c>
      <c r="R1963" s="18" t="inlineStr">
        <is>
          <t>Evidencias del seguimiento, como arreglo JSON de textos.</t>
        </is>
      </c>
      <c r="S1963" s="18" t="inlineStr">
        <is>
          <t>Media</t>
        </is>
      </c>
      <c r="T1963" s="18" t="inlineStr">
        <is>
          <t>nombre + tipo + validaciones del DTO</t>
        </is>
      </c>
      <c r="U1963" s="18" t="inlineStr">
        <is>
          <t>¿Cada elemento es una ruta, una URL o un identificador de documento?</t>
        </is>
      </c>
      <c r="V1963" s="19" t="inlineStr">
        <is>
          <t>Pendiente</t>
        </is>
      </c>
      <c r="W1963" s="19" t="inlineStr"/>
      <c r="X1963" s="19" t="inlineStr"/>
      <c r="Y1963" s="20" t="n"/>
      <c r="Z1963" s="19" t="inlineStr"/>
      <c r="AA1963" s="18">
        <f>IF(OR(V1963="Aprobada"),R1963,IF(AND(OR(V1963="Aprobada con ajuste",V1963="Rechazada"),W1963&lt;&gt;""),W1963,""))</f>
        <v/>
      </c>
    </row>
    <row r="1964">
      <c r="A1964" s="18" t="inlineStr">
        <is>
          <t>C1963</t>
        </is>
      </c>
      <c r="B1964" s="18" t="inlineStr">
        <is>
          <t>Control interno</t>
        </is>
      </c>
      <c r="C1964" s="18" t="inlineStr">
        <is>
          <t>control_interno</t>
        </is>
      </c>
      <c r="D1964" s="18" t="inlineStr">
        <is>
          <t>reunion_apertura</t>
        </is>
      </c>
      <c r="E1964" s="18" t="n">
        <v>15</v>
      </c>
      <c r="F1964" s="18" t="inlineStr">
        <is>
          <t>fecha</t>
        </is>
      </c>
      <c r="G1964" s="18" t="inlineStr">
        <is>
          <t>timestamp without time zone</t>
        </is>
      </c>
      <c r="H1964" s="18" t="inlineStr">
        <is>
          <t>No</t>
        </is>
      </c>
      <c r="I1964" s="18" t="inlineStr"/>
      <c r="J1964" s="18" t="inlineStr"/>
      <c r="K1964" s="18" t="inlineStr"/>
      <c r="L1964" s="18" t="inlineStr">
        <is>
          <t>No</t>
        </is>
      </c>
      <c r="M1964" s="18" t="inlineStr">
        <is>
          <t>No</t>
        </is>
      </c>
      <c r="N1964" s="18" t="inlineStr"/>
      <c r="O1964" s="18" t="inlineStr">
        <is>
          <t>idx_reunion_fecha</t>
        </is>
      </c>
      <c r="P1964" s="18" t="inlineStr">
        <is>
          <t>Mapeada en internal-institutional-control-service/src/esap/auditorias/entities/reunion-apertura.entity.ts:30 (ReunionApertura.fecha) | Validación: IsDateString, IsString</t>
        </is>
      </c>
      <c r="Q1964" s="18" t="inlineStr">
        <is>
          <t>Propuesta semántica</t>
        </is>
      </c>
      <c r="R1964" s="18" t="inlineStr">
        <is>
          <t>Fecha y hora de la reunión de apertura de la auditoría.</t>
        </is>
      </c>
      <c r="S1964" s="18" t="inlineStr">
        <is>
          <t>Alta</t>
        </is>
      </c>
      <c r="T1964" s="18" t="inlineStr">
        <is>
          <t>nombre + tipo + columnas vecinas</t>
        </is>
      </c>
      <c r="U1964" s="18" t="inlineStr"/>
      <c r="V1964" s="19" t="inlineStr">
        <is>
          <t>Pendiente</t>
        </is>
      </c>
      <c r="W1964" s="19" t="inlineStr"/>
      <c r="X1964" s="19" t="inlineStr"/>
      <c r="Y1964" s="20" t="n"/>
      <c r="Z1964" s="19" t="inlineStr"/>
      <c r="AA1964" s="18">
        <f>IF(OR(V1964="Aprobada"),R1964,IF(AND(OR(V1964="Aprobada con ajuste",V1964="Rechazada"),W1964&lt;&gt;""),W1964,""))</f>
        <v/>
      </c>
    </row>
    <row r="1965">
      <c r="A1965" s="18" t="inlineStr">
        <is>
          <t>C1964</t>
        </is>
      </c>
      <c r="B1965" s="18" t="inlineStr">
        <is>
          <t>Control interno</t>
        </is>
      </c>
      <c r="C1965" s="18" t="inlineStr">
        <is>
          <t>control_interno</t>
        </is>
      </c>
      <c r="D1965" s="18" t="inlineStr">
        <is>
          <t>reunion_apertura</t>
        </is>
      </c>
      <c r="E1965" s="18" t="n">
        <v>15</v>
      </c>
      <c r="F1965" s="18" t="inlineStr">
        <is>
          <t>modalidad</t>
        </is>
      </c>
      <c r="G1965" s="18" t="inlineStr">
        <is>
          <t>character varying(50)</t>
        </is>
      </c>
      <c r="H1965" s="18" t="inlineStr">
        <is>
          <t>No</t>
        </is>
      </c>
      <c r="I1965" s="18" t="inlineStr">
        <is>
          <t>CHECK</t>
        </is>
      </c>
      <c r="J1965" s="18" t="inlineStr">
        <is>
          <t>hibrida, presencial, virtual</t>
        </is>
      </c>
      <c r="K1965" s="18" t="inlineStr"/>
      <c r="L1965" s="18" t="inlineStr">
        <is>
          <t>Sí</t>
        </is>
      </c>
      <c r="M1965" s="18" t="inlineStr">
        <is>
          <t>Sí</t>
        </is>
      </c>
      <c r="N1965" s="18" t="inlineStr">
        <is>
          <t>Vista control_interno.v_auditorias_kanban_completo</t>
        </is>
      </c>
      <c r="O1965" s="18" t="inlineStr"/>
      <c r="P1965" s="18" t="inlineStr">
        <is>
          <t>Mapeada en internal-institutional-control-service/src/esap/auditorias/entities/reunion-apertura.entity.ts:33 (ReunionApertura.modalidad) | Validación: IsIn(['presencial', 'virtual', 'hibrida']), IsString</t>
        </is>
      </c>
      <c r="Q1965" s="18" t="inlineStr">
        <is>
          <t>Propuesta semántica</t>
        </is>
      </c>
      <c r="R1965" s="18" t="inlineStr">
        <is>
          <t>Modalidad de la reunión de apertura. Valores permitidos: presencial, virtual, hibrida.</t>
        </is>
      </c>
      <c r="S1965" s="18" t="inlineStr">
        <is>
          <t>Alta</t>
        </is>
      </c>
      <c r="T1965" s="18" t="inlineStr">
        <is>
          <t>valores permitidos del CHECK</t>
        </is>
      </c>
      <c r="U1965" s="18" t="inlineStr"/>
      <c r="V1965" s="19" t="inlineStr">
        <is>
          <t>Pendiente</t>
        </is>
      </c>
      <c r="W1965" s="19" t="inlineStr"/>
      <c r="X1965" s="19" t="inlineStr"/>
      <c r="Y1965" s="20" t="n"/>
      <c r="Z1965" s="19" t="inlineStr"/>
      <c r="AA1965" s="18">
        <f>IF(OR(V1965="Aprobada"),R1965,IF(AND(OR(V1965="Aprobada con ajuste",V1965="Rechazada"),W1965&lt;&gt;""),W1965,""))</f>
        <v/>
      </c>
    </row>
    <row r="1966">
      <c r="A1966" s="18" t="inlineStr">
        <is>
          <t>C1965</t>
        </is>
      </c>
      <c r="B1966" s="18" t="inlineStr">
        <is>
          <t>Control interno</t>
        </is>
      </c>
      <c r="C1966" s="18" t="inlineStr">
        <is>
          <t>control_interno</t>
        </is>
      </c>
      <c r="D1966" s="18" t="inlineStr">
        <is>
          <t>reunion_apertura</t>
        </is>
      </c>
      <c r="E1966" s="18" t="n">
        <v>15</v>
      </c>
      <c r="F1966" s="18" t="inlineStr">
        <is>
          <t>lugar</t>
        </is>
      </c>
      <c r="G1966" s="18" t="inlineStr">
        <is>
          <t>character varying(255)</t>
        </is>
      </c>
      <c r="H1966" s="18" t="inlineStr">
        <is>
          <t>Sí</t>
        </is>
      </c>
      <c r="I1966" s="18" t="inlineStr"/>
      <c r="J1966" s="18" t="inlineStr"/>
      <c r="K1966" s="18" t="inlineStr"/>
      <c r="L1966" s="18" t="inlineStr">
        <is>
          <t>No</t>
        </is>
      </c>
      <c r="M1966" s="18" t="inlineStr">
        <is>
          <t>No</t>
        </is>
      </c>
      <c r="N1966" s="18" t="inlineStr"/>
      <c r="O1966" s="18" t="inlineStr"/>
      <c r="P1966" s="18" t="inlineStr">
        <is>
          <t>db/migrations/old/036_add_auditorias_kanban_completo.sql:929: Para presencial | Validación: IsOptional, IsString</t>
        </is>
      </c>
      <c r="Q1966" s="18" t="inlineStr">
        <is>
          <t>Código fuente</t>
        </is>
      </c>
      <c r="R1966" s="18" t="inlineStr">
        <is>
          <t>Lugar de la reunión de apertura cuando la modalidad es presencial.</t>
        </is>
      </c>
      <c r="S1966" s="18" t="inlineStr">
        <is>
          <t>Alta</t>
        </is>
      </c>
      <c r="T1966" s="18" t="inlineStr">
        <is>
          <t>código: db/migrations/old/036_add_auditorias_kanban_completo.sql:929</t>
        </is>
      </c>
      <c r="U1966" s="18" t="inlineStr"/>
      <c r="V1966" s="19" t="inlineStr">
        <is>
          <t>Pendiente</t>
        </is>
      </c>
      <c r="W1966" s="19" t="inlineStr"/>
      <c r="X1966" s="19" t="inlineStr"/>
      <c r="Y1966" s="20" t="n"/>
      <c r="Z1966" s="19" t="inlineStr"/>
      <c r="AA1966" s="18">
        <f>IF(OR(V1966="Aprobada"),R1966,IF(AND(OR(V1966="Aprobada con ajuste",V1966="Rechazada"),W1966&lt;&gt;""),W1966,""))</f>
        <v/>
      </c>
    </row>
    <row r="1967">
      <c r="A1967" s="18" t="inlineStr">
        <is>
          <t>C1966</t>
        </is>
      </c>
      <c r="B1967" s="18" t="inlineStr">
        <is>
          <t>Control interno</t>
        </is>
      </c>
      <c r="C1967" s="18" t="inlineStr">
        <is>
          <t>control_interno</t>
        </is>
      </c>
      <c r="D1967" s="18" t="inlineStr">
        <is>
          <t>reunion_apertura</t>
        </is>
      </c>
      <c r="E1967" s="18" t="n">
        <v>15</v>
      </c>
      <c r="F1967" s="18" t="inlineStr">
        <is>
          <t>enlace_virtual</t>
        </is>
      </c>
      <c r="G1967" s="18" t="inlineStr">
        <is>
          <t>character varying(500)</t>
        </is>
      </c>
      <c r="H1967" s="18" t="inlineStr">
        <is>
          <t>Sí</t>
        </is>
      </c>
      <c r="I1967" s="18" t="inlineStr"/>
      <c r="J1967" s="18" t="inlineStr"/>
      <c r="K1967" s="18" t="inlineStr"/>
      <c r="L1967" s="18" t="inlineStr">
        <is>
          <t>No</t>
        </is>
      </c>
      <c r="M1967" s="18" t="inlineStr">
        <is>
          <t>No</t>
        </is>
      </c>
      <c r="N1967" s="18" t="inlineStr"/>
      <c r="O1967" s="18" t="inlineStr"/>
      <c r="P1967" s="18" t="inlineStr">
        <is>
          <t>db/migrations/old/036_add_auditorias_kanban_completo.sql:930: Para virtual/híbrida</t>
        </is>
      </c>
      <c r="Q1967" s="18" t="inlineStr">
        <is>
          <t>Código fuente</t>
        </is>
      </c>
      <c r="R1967" s="18" t="inlineStr">
        <is>
          <t>Enlace de conexión a la reunión de apertura cuando la modalidad es virtual o híbrida.</t>
        </is>
      </c>
      <c r="S1967" s="18" t="inlineStr">
        <is>
          <t>Alta</t>
        </is>
      </c>
      <c r="T1967" s="18" t="inlineStr">
        <is>
          <t>código: db/migrations/old/036_add_auditorias_kanban_completo.sql:930</t>
        </is>
      </c>
      <c r="U1967" s="18" t="inlineStr"/>
      <c r="V1967" s="19" t="inlineStr">
        <is>
          <t>Pendiente</t>
        </is>
      </c>
      <c r="W1967" s="19" t="inlineStr"/>
      <c r="X1967" s="19" t="inlineStr"/>
      <c r="Y1967" s="20" t="n"/>
      <c r="Z1967" s="19" t="inlineStr"/>
      <c r="AA1967" s="18">
        <f>IF(OR(V1967="Aprobada"),R1967,IF(AND(OR(V1967="Aprobada con ajuste",V1967="Rechazada"),W1967&lt;&gt;""),W1967,""))</f>
        <v/>
      </c>
    </row>
    <row r="1968">
      <c r="A1968" s="18" t="inlineStr">
        <is>
          <t>C1967</t>
        </is>
      </c>
      <c r="B1968" s="18" t="inlineStr">
        <is>
          <t>Control interno</t>
        </is>
      </c>
      <c r="C1968" s="18" t="inlineStr">
        <is>
          <t>control_interno</t>
        </is>
      </c>
      <c r="D1968" s="18" t="inlineStr">
        <is>
          <t>reunion_apertura</t>
        </is>
      </c>
      <c r="E1968" s="18" t="n">
        <v>15</v>
      </c>
      <c r="F1968" s="18" t="inlineStr">
        <is>
          <t>agenda</t>
        </is>
      </c>
      <c r="G1968" s="18" t="inlineStr">
        <is>
          <t>jsonb</t>
        </is>
      </c>
      <c r="H1968" s="18" t="inlineStr">
        <is>
          <t>Sí</t>
        </is>
      </c>
      <c r="I1968" s="18" t="inlineStr"/>
      <c r="J1968" s="18" t="inlineStr"/>
      <c r="K1968" s="18" t="inlineStr"/>
      <c r="L1968" s="18" t="inlineStr">
        <is>
          <t>No</t>
        </is>
      </c>
      <c r="M1968" s="18" t="inlineStr">
        <is>
          <t>No</t>
        </is>
      </c>
      <c r="N1968" s="18" t="inlineStr"/>
      <c r="O1968" s="18" t="inlineStr"/>
      <c r="P1968" s="18" t="inlineStr">
        <is>
          <t>db/migrations/old/036_add_auditorias_kanban_completo.sql:931: Array de temas a tratar</t>
        </is>
      </c>
      <c r="Q1968" s="18" t="inlineStr">
        <is>
          <t>Código fuente</t>
        </is>
      </c>
      <c r="R1968" s="18" t="inlineStr">
        <is>
          <t>Temas a tratar en la reunión de apertura, como arreglo JSON.</t>
        </is>
      </c>
      <c r="S1968" s="18" t="inlineStr">
        <is>
          <t>Alta</t>
        </is>
      </c>
      <c r="T1968" s="18" t="inlineStr">
        <is>
          <t>código: db/migrations/old/036_add_auditorias_kanban_completo.sql:931</t>
        </is>
      </c>
      <c r="U1968" s="18" t="inlineStr"/>
      <c r="V1968" s="19" t="inlineStr">
        <is>
          <t>Pendiente</t>
        </is>
      </c>
      <c r="W1968" s="19" t="inlineStr"/>
      <c r="X1968" s="19" t="inlineStr"/>
      <c r="Y1968" s="20" t="n"/>
      <c r="Z1968" s="19" t="inlineStr"/>
      <c r="AA1968" s="18">
        <f>IF(OR(V1968="Aprobada"),R1968,IF(AND(OR(V1968="Aprobada con ajuste",V1968="Rechazada"),W1968&lt;&gt;""),W1968,""))</f>
        <v/>
      </c>
    </row>
    <row r="1969">
      <c r="A1969" s="18" t="inlineStr">
        <is>
          <t>C1968</t>
        </is>
      </c>
      <c r="B1969" s="18" t="inlineStr">
        <is>
          <t>Control interno</t>
        </is>
      </c>
      <c r="C1969" s="18" t="inlineStr">
        <is>
          <t>control_interno</t>
        </is>
      </c>
      <c r="D1969" s="18" t="inlineStr">
        <is>
          <t>reunion_apertura</t>
        </is>
      </c>
      <c r="E1969" s="18" t="n">
        <v>15</v>
      </c>
      <c r="F1969" s="18" t="inlineStr">
        <is>
          <t>participantes</t>
        </is>
      </c>
      <c r="G1969" s="18" t="inlineStr">
        <is>
          <t>jsonb</t>
        </is>
      </c>
      <c r="H1969" s="18" t="inlineStr">
        <is>
          <t>Sí</t>
        </is>
      </c>
      <c r="I1969" s="18" t="inlineStr"/>
      <c r="J1969" s="18" t="inlineStr"/>
      <c r="K1969" s="18" t="inlineStr"/>
      <c r="L1969" s="18" t="inlineStr">
        <is>
          <t>No</t>
        </is>
      </c>
      <c r="M1969" s="18" t="inlineStr">
        <is>
          <t>No</t>
        </is>
      </c>
      <c r="N1969" s="18" t="inlineStr"/>
      <c r="O1969" s="18" t="inlineStr"/>
      <c r="P1969" s="18" t="inlineStr">
        <is>
          <t>db/migrations/old/036_add_auditorias_kanban_completo.sql:932: Array de participantes con sus roles | Validación: IsOptional, IsString</t>
        </is>
      </c>
      <c r="Q1969" s="18" t="inlineStr">
        <is>
          <t>Código fuente</t>
        </is>
      </c>
      <c r="R1969" s="18" t="inlineStr">
        <is>
          <t>Participantes de la reunión de apertura con sus roles, como arreglo JSON.</t>
        </is>
      </c>
      <c r="S1969" s="18" t="inlineStr">
        <is>
          <t>Alta</t>
        </is>
      </c>
      <c r="T1969" s="18" t="inlineStr">
        <is>
          <t>código: db/migrations/old/036_add_auditorias_kanban_completo.sql:932</t>
        </is>
      </c>
      <c r="U1969" s="18" t="inlineStr"/>
      <c r="V1969" s="19" t="inlineStr">
        <is>
          <t>Pendiente</t>
        </is>
      </c>
      <c r="W1969" s="19" t="inlineStr"/>
      <c r="X1969" s="19" t="inlineStr"/>
      <c r="Y1969" s="20" t="n"/>
      <c r="Z1969" s="19" t="inlineStr"/>
      <c r="AA1969" s="18">
        <f>IF(OR(V1969="Aprobada"),R1969,IF(AND(OR(V1969="Aprobada con ajuste",V1969="Rechazada"),W1969&lt;&gt;""),W1969,""))</f>
        <v/>
      </c>
    </row>
    <row r="1970">
      <c r="A1970" s="18" t="inlineStr">
        <is>
          <t>C1969</t>
        </is>
      </c>
      <c r="B1970" s="18" t="inlineStr">
        <is>
          <t>Control interno</t>
        </is>
      </c>
      <c r="C1970" s="18" t="inlineStr">
        <is>
          <t>control_interno</t>
        </is>
      </c>
      <c r="D1970" s="18" t="inlineStr">
        <is>
          <t>reunion_apertura</t>
        </is>
      </c>
      <c r="E1970" s="18" t="n">
        <v>15</v>
      </c>
      <c r="F1970" s="18" t="inlineStr">
        <is>
          <t>estado_acta</t>
        </is>
      </c>
      <c r="G1970" s="18" t="inlineStr">
        <is>
          <t>character varying(50)</t>
        </is>
      </c>
      <c r="H1970" s="18" t="inlineStr">
        <is>
          <t>Sí</t>
        </is>
      </c>
      <c r="I1970" s="18" t="inlineStr">
        <is>
          <t>CHECK</t>
        </is>
      </c>
      <c r="J1970" s="18" t="inlineStr">
        <is>
          <t>aprobada, en_elaboracion, firmada, pendiente</t>
        </is>
      </c>
      <c r="K1970" s="18" t="inlineStr"/>
      <c r="L1970" s="18" t="inlineStr">
        <is>
          <t>Sí</t>
        </is>
      </c>
      <c r="M1970" s="18" t="inlineStr">
        <is>
          <t>Sí</t>
        </is>
      </c>
      <c r="N1970" s="18" t="inlineStr">
        <is>
          <t>Vista control_interno.v_auditorias_kanban_completo</t>
        </is>
      </c>
      <c r="O1970" s="18" t="inlineStr"/>
      <c r="P1970" s="18" t="inlineStr">
        <is>
          <t>Mapeada en internal-institutional-control-service/src/esap/auditorias/entities/reunion-apertura.entity.ts:48 (ReunionApertura.estadoActa)</t>
        </is>
      </c>
      <c r="Q1970" s="18" t="inlineStr">
        <is>
          <t>Propuesta semántica</t>
        </is>
      </c>
      <c r="R1970" s="18" t="inlineStr">
        <is>
          <t>Estado del acta de la reunión de apertura. Valores permitidos: pendiente, en_elaboracion, aprobada, firmada.</t>
        </is>
      </c>
      <c r="S1970" s="18" t="inlineStr">
        <is>
          <t>Alta</t>
        </is>
      </c>
      <c r="T1970" s="18" t="inlineStr">
        <is>
          <t>valores permitidos del CHECK</t>
        </is>
      </c>
      <c r="U1970" s="18" t="inlineStr"/>
      <c r="V1970" s="19" t="inlineStr">
        <is>
          <t>Pendiente</t>
        </is>
      </c>
      <c r="W1970" s="19" t="inlineStr"/>
      <c r="X1970" s="19" t="inlineStr"/>
      <c r="Y1970" s="20" t="n"/>
      <c r="Z1970" s="19" t="inlineStr"/>
      <c r="AA1970" s="18">
        <f>IF(OR(V1970="Aprobada"),R1970,IF(AND(OR(V1970="Aprobada con ajuste",V1970="Rechazada"),W1970&lt;&gt;""),W1970,""))</f>
        <v/>
      </c>
    </row>
    <row r="1971">
      <c r="A1971" s="18" t="inlineStr">
        <is>
          <t>C1970</t>
        </is>
      </c>
      <c r="B1971" s="18" t="inlineStr">
        <is>
          <t>Control interno</t>
        </is>
      </c>
      <c r="C1971" s="18" t="inlineStr">
        <is>
          <t>control_interno</t>
        </is>
      </c>
      <c r="D1971" s="18" t="inlineStr">
        <is>
          <t>reunion_apertura</t>
        </is>
      </c>
      <c r="E1971" s="18" t="n">
        <v>15</v>
      </c>
      <c r="F1971" s="18" t="inlineStr">
        <is>
          <t>acta_ruta</t>
        </is>
      </c>
      <c r="G1971" s="18" t="inlineStr">
        <is>
          <t>character varying(500)</t>
        </is>
      </c>
      <c r="H1971" s="18" t="inlineStr">
        <is>
          <t>Sí</t>
        </is>
      </c>
      <c r="I1971" s="18" t="inlineStr"/>
      <c r="J1971" s="18" t="inlineStr"/>
      <c r="K1971" s="18" t="inlineStr"/>
      <c r="L1971" s="18" t="inlineStr">
        <is>
          <t>No</t>
        </is>
      </c>
      <c r="M1971" s="18" t="inlineStr">
        <is>
          <t>No</t>
        </is>
      </c>
      <c r="N1971" s="18" t="inlineStr"/>
      <c r="O1971" s="18" t="inlineStr"/>
      <c r="P1971" s="18" t="inlineStr">
        <is>
          <t>db/migrations/old/036_add_auditorias_kanban_completo.sql:934: Ruta al archivo del acta</t>
        </is>
      </c>
      <c r="Q1971" s="18" t="inlineStr">
        <is>
          <t>Código fuente</t>
        </is>
      </c>
      <c r="R1971" s="18" t="inlineStr">
        <is>
          <t>Ruta del archivo del acta de la reunión de apertura.</t>
        </is>
      </c>
      <c r="S1971" s="18" t="inlineStr">
        <is>
          <t>Alta</t>
        </is>
      </c>
      <c r="T1971" s="18" t="inlineStr">
        <is>
          <t>código: db/migrations/old/036_add_auditorias_kanban_completo.sql:934</t>
        </is>
      </c>
      <c r="U1971" s="18" t="inlineStr"/>
      <c r="V1971" s="19" t="inlineStr">
        <is>
          <t>Pendiente</t>
        </is>
      </c>
      <c r="W1971" s="19" t="inlineStr"/>
      <c r="X1971" s="19" t="inlineStr"/>
      <c r="Y1971" s="20" t="n"/>
      <c r="Z1971" s="19" t="inlineStr"/>
      <c r="AA1971" s="18">
        <f>IF(OR(V1971="Aprobada"),R1971,IF(AND(OR(V1971="Aprobada con ajuste",V1971="Rechazada"),W1971&lt;&gt;""),W1971,""))</f>
        <v/>
      </c>
    </row>
    <row r="1972">
      <c r="A1972" s="18" t="inlineStr">
        <is>
          <t>C1971</t>
        </is>
      </c>
      <c r="B1972" s="18" t="inlineStr">
        <is>
          <t>Control interno</t>
        </is>
      </c>
      <c r="C1972" s="18" t="inlineStr">
        <is>
          <t>control_interno</t>
        </is>
      </c>
      <c r="D1972" s="18" t="inlineStr">
        <is>
          <t>reunion_apertura</t>
        </is>
      </c>
      <c r="E1972" s="18" t="n">
        <v>15</v>
      </c>
      <c r="F1972" s="18" t="inlineStr">
        <is>
          <t>observaciones</t>
        </is>
      </c>
      <c r="G1972" s="18" t="inlineStr">
        <is>
          <t>text</t>
        </is>
      </c>
      <c r="H1972" s="18" t="inlineStr">
        <is>
          <t>Sí</t>
        </is>
      </c>
      <c r="I1972" s="18" t="inlineStr"/>
      <c r="J1972" s="18" t="inlineStr"/>
      <c r="K1972" s="18" t="inlineStr"/>
      <c r="L1972" s="18" t="inlineStr">
        <is>
          <t>No</t>
        </is>
      </c>
      <c r="M1972" s="18" t="inlineStr">
        <is>
          <t>No</t>
        </is>
      </c>
      <c r="N1972" s="18" t="inlineStr"/>
      <c r="O1972" s="18" t="inlineStr"/>
      <c r="P1972" s="18" t="inlineStr">
        <is>
          <t>Mapeada en internal-institutional-control-service/src/esap/auditorias/entities/reunion-apertura.entity.ts:54 (ReunionApertura.observaciones) | Validación: IsOptional, IsString</t>
        </is>
      </c>
      <c r="Q1972" s="18" t="inlineStr">
        <is>
          <t>Regla estructural</t>
        </is>
      </c>
      <c r="R1972" s="18" t="inlineStr">
        <is>
          <t>Observaciones registradas sobre el registro.</t>
        </is>
      </c>
      <c r="S1972" s="18" t="inlineStr">
        <is>
          <t>Media</t>
        </is>
      </c>
      <c r="T1972" s="18" t="inlineStr">
        <is>
          <t>Convención de nombre de la columna.</t>
        </is>
      </c>
      <c r="U1972" s="18" t="inlineStr"/>
      <c r="V1972" s="19" t="inlineStr">
        <is>
          <t>Pendiente</t>
        </is>
      </c>
      <c r="W1972" s="19" t="inlineStr"/>
      <c r="X1972" s="19" t="inlineStr"/>
      <c r="Y1972" s="20" t="n"/>
      <c r="Z1972" s="19" t="inlineStr"/>
      <c r="AA1972" s="18">
        <f>IF(OR(V1972="Aprobada"),R1972,IF(AND(OR(V1972="Aprobada con ajuste",V1972="Rechazada"),W1972&lt;&gt;""),W1972,""))</f>
        <v/>
      </c>
    </row>
    <row r="1973">
      <c r="A1973" s="18" t="inlineStr">
        <is>
          <t>C1972</t>
        </is>
      </c>
      <c r="B1973" s="18" t="inlineStr">
        <is>
          <t>Control interno</t>
        </is>
      </c>
      <c r="C1973" s="18" t="inlineStr">
        <is>
          <t>control_interno</t>
        </is>
      </c>
      <c r="D1973" s="18" t="inlineStr">
        <is>
          <t>reunion_apertura</t>
        </is>
      </c>
      <c r="E1973" s="18" t="n">
        <v>15</v>
      </c>
      <c r="F1973" s="18" t="inlineStr">
        <is>
          <t>elaborado_por</t>
        </is>
      </c>
      <c r="G1973" s="18" t="inlineStr">
        <is>
          <t>character varying(255)</t>
        </is>
      </c>
      <c r="H1973" s="18" t="inlineStr">
        <is>
          <t>Sí</t>
        </is>
      </c>
      <c r="I1973" s="18" t="inlineStr"/>
      <c r="J1973" s="18" t="inlineStr"/>
      <c r="K1973" s="18" t="inlineStr"/>
      <c r="L1973" s="18" t="inlineStr">
        <is>
          <t>No</t>
        </is>
      </c>
      <c r="M1973" s="18" t="inlineStr">
        <is>
          <t>No</t>
        </is>
      </c>
      <c r="N1973" s="18" t="inlineStr"/>
      <c r="O1973" s="18" t="inlineStr"/>
      <c r="P1973" s="18" t="inlineStr">
        <is>
          <t>Mapeada en internal-institutional-control-service/src/esap/auditorias/entities/reunion-apertura.entity.ts:57 (ReunionApertura.elaboradoPor) | Validación: IsOptional, IsString, Length(0, 255)</t>
        </is>
      </c>
      <c r="Q1973" s="18" t="inlineStr">
        <is>
          <t>Propuesta semántica</t>
        </is>
      </c>
      <c r="R1973" s="18" t="inlineStr">
        <is>
          <t>Persona que elaboró el acta de la reunión de apertura.</t>
        </is>
      </c>
      <c r="S1973" s="18" t="inlineStr">
        <is>
          <t>Media</t>
        </is>
      </c>
      <c r="T1973" s="18" t="inlineStr">
        <is>
          <t>nombre + tipo + columnas vecinas</t>
        </is>
      </c>
      <c r="U1973" s="18" t="inlineStr">
        <is>
          <t>¿Guarda el nombre o el identificador de la persona?</t>
        </is>
      </c>
      <c r="V1973" s="19" t="inlineStr">
        <is>
          <t>Pendiente</t>
        </is>
      </c>
      <c r="W1973" s="19" t="inlineStr"/>
      <c r="X1973" s="19" t="inlineStr"/>
      <c r="Y1973" s="20" t="n"/>
      <c r="Z1973" s="19" t="inlineStr"/>
      <c r="AA1973" s="18">
        <f>IF(OR(V1973="Aprobada"),R1973,IF(AND(OR(V1973="Aprobada con ajuste",V1973="Rechazada"),W1973&lt;&gt;""),W1973,""))</f>
        <v/>
      </c>
    </row>
    <row r="1974">
      <c r="A1974" s="18" t="inlineStr">
        <is>
          <t>C1973</t>
        </is>
      </c>
      <c r="B1974" s="18" t="inlineStr">
        <is>
          <t>Control interno</t>
        </is>
      </c>
      <c r="C1974" s="18" t="inlineStr">
        <is>
          <t>control_interno</t>
        </is>
      </c>
      <c r="D1974" s="18" t="inlineStr">
        <is>
          <t>reunion_apertura</t>
        </is>
      </c>
      <c r="E1974" s="18" t="n">
        <v>15</v>
      </c>
      <c r="F1974" s="18" t="inlineStr">
        <is>
          <t>revisado_por</t>
        </is>
      </c>
      <c r="G1974" s="18" t="inlineStr">
        <is>
          <t>character varying(255)</t>
        </is>
      </c>
      <c r="H1974" s="18" t="inlineStr">
        <is>
          <t>Sí</t>
        </is>
      </c>
      <c r="I1974" s="18" t="inlineStr"/>
      <c r="J1974" s="18" t="inlineStr"/>
      <c r="K1974" s="18" t="inlineStr"/>
      <c r="L1974" s="18" t="inlineStr">
        <is>
          <t>No</t>
        </is>
      </c>
      <c r="M1974" s="18" t="inlineStr">
        <is>
          <t>No</t>
        </is>
      </c>
      <c r="N1974" s="18" t="inlineStr"/>
      <c r="O1974" s="18" t="inlineStr"/>
      <c r="P1974" s="18" t="inlineStr">
        <is>
          <t>Mapeada en internal-institutional-control-service/src/esap/auditorias/entities/reunion-apertura.entity.ts:60 (ReunionApertura.revisadoPor) | Validación: IsOptional, IsString</t>
        </is>
      </c>
      <c r="Q1974" s="18" t="inlineStr">
        <is>
          <t>Regla estructural</t>
        </is>
      </c>
      <c r="R1974" s="18" t="inlineStr">
        <is>
          <t>Usuario que realizó la revisión.</t>
        </is>
      </c>
      <c r="S1974" s="18" t="inlineStr">
        <is>
          <t>Media</t>
        </is>
      </c>
      <c r="T1974" s="18" t="inlineStr">
        <is>
          <t>Convención de nombre de la columna.</t>
        </is>
      </c>
      <c r="U1974" s="18" t="inlineStr"/>
      <c r="V1974" s="19" t="inlineStr">
        <is>
          <t>Pendiente</t>
        </is>
      </c>
      <c r="W1974" s="19" t="inlineStr"/>
      <c r="X1974" s="19" t="inlineStr"/>
      <c r="Y1974" s="20" t="n"/>
      <c r="Z1974" s="19" t="inlineStr"/>
      <c r="AA1974" s="18">
        <f>IF(OR(V1974="Aprobada"),R1974,IF(AND(OR(V1974="Aprobada con ajuste",V1974="Rechazada"),W1974&lt;&gt;""),W1974,""))</f>
        <v/>
      </c>
    </row>
    <row r="1975">
      <c r="A1975" s="18" t="inlineStr">
        <is>
          <t>C1974</t>
        </is>
      </c>
      <c r="B1975" s="18" t="inlineStr">
        <is>
          <t>Control interno</t>
        </is>
      </c>
      <c r="C1975" s="18" t="inlineStr">
        <is>
          <t>control_interno</t>
        </is>
      </c>
      <c r="D1975" s="18" t="inlineStr">
        <is>
          <t>reunion_cierre</t>
        </is>
      </c>
      <c r="E1975" s="18" t="n">
        <v>11</v>
      </c>
      <c r="F1975" s="18" t="inlineStr">
        <is>
          <t>fecha</t>
        </is>
      </c>
      <c r="G1975" s="18" t="inlineStr">
        <is>
          <t>timestamp without time zone</t>
        </is>
      </c>
      <c r="H1975" s="18" t="inlineStr">
        <is>
          <t>No</t>
        </is>
      </c>
      <c r="I1975" s="18" t="inlineStr"/>
      <c r="J1975" s="18" t="inlineStr"/>
      <c r="K1975" s="18" t="inlineStr"/>
      <c r="L1975" s="18" t="inlineStr">
        <is>
          <t>No</t>
        </is>
      </c>
      <c r="M1975" s="18" t="inlineStr">
        <is>
          <t>No</t>
        </is>
      </c>
      <c r="N1975" s="18" t="inlineStr"/>
      <c r="O1975" s="18" t="inlineStr"/>
      <c r="P1975" s="18" t="inlineStr">
        <is>
          <t>Mapeada en internal-institutional-control-service/src/esap/auditorias/entities/reunion-cierre.entity.ts:30 (ReunionCierre.fecha) | Validación: IsDateString, IsString</t>
        </is>
      </c>
      <c r="Q1975" s="18" t="inlineStr">
        <is>
          <t>Propuesta semántica</t>
        </is>
      </c>
      <c r="R1975" s="18" t="inlineStr">
        <is>
          <t>Fecha y hora de la reunión de cierre de la auditoría.</t>
        </is>
      </c>
      <c r="S1975" s="18" t="inlineStr">
        <is>
          <t>Alta</t>
        </is>
      </c>
      <c r="T1975" s="18" t="inlineStr">
        <is>
          <t>nombre + tipo + columnas vecinas</t>
        </is>
      </c>
      <c r="U1975" s="18" t="inlineStr"/>
      <c r="V1975" s="19" t="inlineStr">
        <is>
          <t>Pendiente</t>
        </is>
      </c>
      <c r="W1975" s="19" t="inlineStr"/>
      <c r="X1975" s="19" t="inlineStr"/>
      <c r="Y1975" s="20" t="n"/>
      <c r="Z1975" s="19" t="inlineStr"/>
      <c r="AA1975" s="18">
        <f>IF(OR(V1975="Aprobada"),R1975,IF(AND(OR(V1975="Aprobada con ajuste",V1975="Rechazada"),W1975&lt;&gt;""),W1975,""))</f>
        <v/>
      </c>
    </row>
    <row r="1976">
      <c r="A1976" s="18" t="inlineStr">
        <is>
          <t>C1975</t>
        </is>
      </c>
      <c r="B1976" s="18" t="inlineStr">
        <is>
          <t>Control interno</t>
        </is>
      </c>
      <c r="C1976" s="18" t="inlineStr">
        <is>
          <t>control_interno</t>
        </is>
      </c>
      <c r="D1976" s="18" t="inlineStr">
        <is>
          <t>reunion_cierre</t>
        </is>
      </c>
      <c r="E1976" s="18" t="n">
        <v>11</v>
      </c>
      <c r="F1976" s="18" t="inlineStr">
        <is>
          <t>modalidad</t>
        </is>
      </c>
      <c r="G1976" s="18" t="inlineStr">
        <is>
          <t>character varying(50)</t>
        </is>
      </c>
      <c r="H1976" s="18" t="inlineStr">
        <is>
          <t>No</t>
        </is>
      </c>
      <c r="I1976" s="18" t="inlineStr">
        <is>
          <t>CHECK</t>
        </is>
      </c>
      <c r="J1976" s="18" t="inlineStr">
        <is>
          <t>hibrida, presencial, virtual</t>
        </is>
      </c>
      <c r="K1976" s="18" t="inlineStr"/>
      <c r="L1976" s="18" t="inlineStr">
        <is>
          <t>Sí</t>
        </is>
      </c>
      <c r="M1976" s="18" t="inlineStr">
        <is>
          <t>No</t>
        </is>
      </c>
      <c r="N1976" s="18" t="inlineStr"/>
      <c r="O1976" s="18" t="inlineStr"/>
      <c r="P1976" s="18" t="inlineStr">
        <is>
          <t>Mapeada en internal-institutional-control-service/src/esap/auditorias/entities/reunion-cierre.entity.ts:33 (ReunionCierre.modalidad) | Validación: IsIn(['presencial', 'virtual', 'hibrida']), IsString</t>
        </is>
      </c>
      <c r="Q1976" s="18" t="inlineStr">
        <is>
          <t>Propuesta semántica</t>
        </is>
      </c>
      <c r="R1976" s="18" t="inlineStr">
        <is>
          <t>Modalidad de la reunión de cierre. Valores permitidos: presencial, virtual, hibrida.</t>
        </is>
      </c>
      <c r="S1976" s="18" t="inlineStr">
        <is>
          <t>Alta</t>
        </is>
      </c>
      <c r="T1976" s="18" t="inlineStr">
        <is>
          <t>valores permitidos del CHECK</t>
        </is>
      </c>
      <c r="U1976" s="18" t="inlineStr"/>
      <c r="V1976" s="19" t="inlineStr">
        <is>
          <t>Pendiente</t>
        </is>
      </c>
      <c r="W1976" s="19" t="inlineStr"/>
      <c r="X1976" s="19" t="inlineStr"/>
      <c r="Y1976" s="20" t="n"/>
      <c r="Z1976" s="19" t="inlineStr"/>
      <c r="AA1976" s="18">
        <f>IF(OR(V1976="Aprobada"),R1976,IF(AND(OR(V1976="Aprobada con ajuste",V1976="Rechazada"),W1976&lt;&gt;""),W1976,""))</f>
        <v/>
      </c>
    </row>
    <row r="1977">
      <c r="A1977" s="18" t="inlineStr">
        <is>
          <t>C1976</t>
        </is>
      </c>
      <c r="B1977" s="18" t="inlineStr">
        <is>
          <t>Control interno</t>
        </is>
      </c>
      <c r="C1977" s="18" t="inlineStr">
        <is>
          <t>control_interno</t>
        </is>
      </c>
      <c r="D1977" s="18" t="inlineStr">
        <is>
          <t>reunion_cierre</t>
        </is>
      </c>
      <c r="E1977" s="18" t="n">
        <v>11</v>
      </c>
      <c r="F1977" s="18" t="inlineStr">
        <is>
          <t>lugar</t>
        </is>
      </c>
      <c r="G1977" s="18" t="inlineStr">
        <is>
          <t>character varying(255)</t>
        </is>
      </c>
      <c r="H1977" s="18" t="inlineStr">
        <is>
          <t>Sí</t>
        </is>
      </c>
      <c r="I1977" s="18" t="inlineStr"/>
      <c r="J1977" s="18" t="inlineStr"/>
      <c r="K1977" s="18" t="inlineStr"/>
      <c r="L1977" s="18" t="inlineStr">
        <is>
          <t>No</t>
        </is>
      </c>
      <c r="M1977" s="18" t="inlineStr">
        <is>
          <t>No</t>
        </is>
      </c>
      <c r="N1977" s="18" t="inlineStr"/>
      <c r="O1977" s="18" t="inlineStr"/>
      <c r="P1977" s="18" t="inlineStr">
        <is>
          <t>Mapeada en internal-institutional-control-service/src/esap/auditorias/entities/reunion-cierre.entity.ts:36 (ReunionCierre.lugar) | Validación: IsOptional, IsString</t>
        </is>
      </c>
      <c r="Q1977" s="18" t="inlineStr">
        <is>
          <t>Propuesta semántica</t>
        </is>
      </c>
      <c r="R1977" s="18" t="inlineStr">
        <is>
          <t>Lugar donde se realiza la reunión de cierre.</t>
        </is>
      </c>
      <c r="S1977" s="18" t="inlineStr">
        <is>
          <t>Alta</t>
        </is>
      </c>
      <c r="T1977" s="18" t="inlineStr">
        <is>
          <t>nombre + tipo + columnas vecinas</t>
        </is>
      </c>
      <c r="U1977" s="18" t="inlineStr"/>
      <c r="V1977" s="19" t="inlineStr">
        <is>
          <t>Pendiente</t>
        </is>
      </c>
      <c r="W1977" s="19" t="inlineStr"/>
      <c r="X1977" s="19" t="inlineStr"/>
      <c r="Y1977" s="20" t="n"/>
      <c r="Z1977" s="19" t="inlineStr"/>
      <c r="AA1977" s="18">
        <f>IF(OR(V1977="Aprobada"),R1977,IF(AND(OR(V1977="Aprobada con ajuste",V1977="Rechazada"),W1977&lt;&gt;""),W1977,""))</f>
        <v/>
      </c>
    </row>
    <row r="1978">
      <c r="A1978" s="18" t="inlineStr">
        <is>
          <t>C1977</t>
        </is>
      </c>
      <c r="B1978" s="18" t="inlineStr">
        <is>
          <t>Control interno</t>
        </is>
      </c>
      <c r="C1978" s="18" t="inlineStr">
        <is>
          <t>control_interno</t>
        </is>
      </c>
      <c r="D1978" s="18" t="inlineStr">
        <is>
          <t>reunion_cierre</t>
        </is>
      </c>
      <c r="E1978" s="18" t="n">
        <v>11</v>
      </c>
      <c r="F1978" s="18" t="inlineStr">
        <is>
          <t>enlace_virtual</t>
        </is>
      </c>
      <c r="G1978" s="18" t="inlineStr">
        <is>
          <t>character varying(500)</t>
        </is>
      </c>
      <c r="H1978" s="18" t="inlineStr">
        <is>
          <t>Sí</t>
        </is>
      </c>
      <c r="I1978" s="18" t="inlineStr"/>
      <c r="J1978" s="18" t="inlineStr"/>
      <c r="K1978" s="18" t="inlineStr"/>
      <c r="L1978" s="18" t="inlineStr">
        <is>
          <t>No</t>
        </is>
      </c>
      <c r="M1978" s="18" t="inlineStr">
        <is>
          <t>No</t>
        </is>
      </c>
      <c r="N1978" s="18" t="inlineStr"/>
      <c r="O1978" s="18" t="inlineStr"/>
      <c r="P1978" s="18" t="inlineStr">
        <is>
          <t>Mapeada en internal-institutional-control-service/src/esap/auditorias/entities/reunion-cierre.entity.ts:39 (ReunionCierre.enlaceVirtual)</t>
        </is>
      </c>
      <c r="Q1978" s="18" t="inlineStr">
        <is>
          <t>Propuesta semántica</t>
        </is>
      </c>
      <c r="R1978" s="18" t="inlineStr">
        <is>
          <t>Enlace de conexión a la reunión de cierre virtual o híbrida.</t>
        </is>
      </c>
      <c r="S1978" s="18" t="inlineStr">
        <is>
          <t>Alta</t>
        </is>
      </c>
      <c r="T1978" s="18" t="inlineStr">
        <is>
          <t>nombre + tipo + columnas vecinas</t>
        </is>
      </c>
      <c r="U1978" s="18" t="inlineStr"/>
      <c r="V1978" s="19" t="inlineStr">
        <is>
          <t>Pendiente</t>
        </is>
      </c>
      <c r="W1978" s="19" t="inlineStr"/>
      <c r="X1978" s="19" t="inlineStr"/>
      <c r="Y1978" s="20" t="n"/>
      <c r="Z1978" s="19" t="inlineStr"/>
      <c r="AA1978" s="18">
        <f>IF(OR(V1978="Aprobada"),R1978,IF(AND(OR(V1978="Aprobada con ajuste",V1978="Rechazada"),W1978&lt;&gt;""),W1978,""))</f>
        <v/>
      </c>
    </row>
    <row r="1979">
      <c r="A1979" s="18" t="inlineStr">
        <is>
          <t>C1978</t>
        </is>
      </c>
      <c r="B1979" s="18" t="inlineStr">
        <is>
          <t>Control interno</t>
        </is>
      </c>
      <c r="C1979" s="18" t="inlineStr">
        <is>
          <t>control_interno</t>
        </is>
      </c>
      <c r="D1979" s="18" t="inlineStr">
        <is>
          <t>reunion_cierre</t>
        </is>
      </c>
      <c r="E1979" s="18" t="n">
        <v>11</v>
      </c>
      <c r="F1979" s="18" t="inlineStr">
        <is>
          <t>agenda</t>
        </is>
      </c>
      <c r="G1979" s="18" t="inlineStr">
        <is>
          <t>jsonb</t>
        </is>
      </c>
      <c r="H1979" s="18" t="inlineStr">
        <is>
          <t>Sí</t>
        </is>
      </c>
      <c r="I1979" s="18" t="inlineStr"/>
      <c r="J1979" s="18" t="inlineStr"/>
      <c r="K1979" s="18" t="inlineStr"/>
      <c r="L1979" s="18" t="inlineStr">
        <is>
          <t>No</t>
        </is>
      </c>
      <c r="M1979" s="18" t="inlineStr">
        <is>
          <t>No</t>
        </is>
      </c>
      <c r="N1979" s="18" t="inlineStr"/>
      <c r="O1979" s="18" t="inlineStr"/>
      <c r="P1979" s="18" t="inlineStr">
        <is>
          <t>Mapeada en internal-institutional-control-service/src/esap/auditorias/entities/reunion-cierre.entity.ts:42 (ReunionCierre.agenda)</t>
        </is>
      </c>
      <c r="Q1979" s="18" t="inlineStr">
        <is>
          <t>Propuesta semántica</t>
        </is>
      </c>
      <c r="R1979" s="18" t="inlineStr">
        <is>
          <t>Agenda de la reunión de cierre, en formato JSON.</t>
        </is>
      </c>
      <c r="S1979" s="18" t="inlineStr">
        <is>
          <t>Media</t>
        </is>
      </c>
      <c r="T1979" s="18" t="inlineStr">
        <is>
          <t>nombre + tipo + columnas vecinas</t>
        </is>
      </c>
      <c r="U1979" s="18" t="inlineStr">
        <is>
          <t>¿Qué estructura tiene cada punto de la agenda?</t>
        </is>
      </c>
      <c r="V1979" s="19" t="inlineStr">
        <is>
          <t>Pendiente</t>
        </is>
      </c>
      <c r="W1979" s="19" t="inlineStr"/>
      <c r="X1979" s="19" t="inlineStr"/>
      <c r="Y1979" s="20" t="n"/>
      <c r="Z1979" s="19" t="inlineStr"/>
      <c r="AA1979" s="18">
        <f>IF(OR(V1979="Aprobada"),R1979,IF(AND(OR(V1979="Aprobada con ajuste",V1979="Rechazada"),W1979&lt;&gt;""),W1979,""))</f>
        <v/>
      </c>
    </row>
    <row r="1980">
      <c r="A1980" s="18" t="inlineStr">
        <is>
          <t>C1979</t>
        </is>
      </c>
      <c r="B1980" s="18" t="inlineStr">
        <is>
          <t>Control interno</t>
        </is>
      </c>
      <c r="C1980" s="18" t="inlineStr">
        <is>
          <t>control_interno</t>
        </is>
      </c>
      <c r="D1980" s="18" t="inlineStr">
        <is>
          <t>reunion_cierre</t>
        </is>
      </c>
      <c r="E1980" s="18" t="n">
        <v>11</v>
      </c>
      <c r="F1980" s="18" t="inlineStr">
        <is>
          <t>participantes</t>
        </is>
      </c>
      <c r="G1980" s="18" t="inlineStr">
        <is>
          <t>jsonb</t>
        </is>
      </c>
      <c r="H1980" s="18" t="inlineStr">
        <is>
          <t>Sí</t>
        </is>
      </c>
      <c r="I1980" s="18" t="inlineStr"/>
      <c r="J1980" s="18" t="inlineStr"/>
      <c r="K1980" s="18" t="inlineStr"/>
      <c r="L1980" s="18" t="inlineStr">
        <is>
          <t>No</t>
        </is>
      </c>
      <c r="M1980" s="18" t="inlineStr">
        <is>
          <t>No</t>
        </is>
      </c>
      <c r="N1980" s="18" t="inlineStr"/>
      <c r="O1980" s="18" t="inlineStr"/>
      <c r="P1980" s="18" t="inlineStr">
        <is>
          <t>Mapeada en internal-institutional-control-service/src/esap/auditorias/entities/reunion-cierre.entity.ts:45 (ReunionCierre.participantes) | Validación: IsOptional, IsString</t>
        </is>
      </c>
      <c r="Q1980" s="18" t="inlineStr">
        <is>
          <t>Propuesta semántica</t>
        </is>
      </c>
      <c r="R1980" s="18" t="inlineStr">
        <is>
          <t>Participantes de la reunión de cierre, en formato JSON.</t>
        </is>
      </c>
      <c r="S1980" s="18" t="inlineStr">
        <is>
          <t>Media</t>
        </is>
      </c>
      <c r="T1980" s="18" t="inlineStr">
        <is>
          <t>nombre + tipo + columnas vecinas</t>
        </is>
      </c>
      <c r="U1980" s="18" t="inlineStr">
        <is>
          <t>La validación espera texto y la columna es jsonb: ¿qué datos se guardan de cada participante?</t>
        </is>
      </c>
      <c r="V1980" s="19" t="inlineStr">
        <is>
          <t>Pendiente</t>
        </is>
      </c>
      <c r="W1980" s="19" t="inlineStr"/>
      <c r="X1980" s="19" t="inlineStr"/>
      <c r="Y1980" s="20" t="n"/>
      <c r="Z1980" s="19" t="inlineStr"/>
      <c r="AA1980" s="18">
        <f>IF(OR(V1980="Aprobada"),R1980,IF(AND(OR(V1980="Aprobada con ajuste",V1980="Rechazada"),W1980&lt;&gt;""),W1980,""))</f>
        <v/>
      </c>
    </row>
    <row r="1981">
      <c r="A1981" s="18" t="inlineStr">
        <is>
          <t>C1980</t>
        </is>
      </c>
      <c r="B1981" s="18" t="inlineStr">
        <is>
          <t>Control interno</t>
        </is>
      </c>
      <c r="C1981" s="18" t="inlineStr">
        <is>
          <t>control_interno</t>
        </is>
      </c>
      <c r="D1981" s="18" t="inlineStr">
        <is>
          <t>reunion_cierre</t>
        </is>
      </c>
      <c r="E1981" s="18" t="n">
        <v>11</v>
      </c>
      <c r="F1981" s="18" t="inlineStr">
        <is>
          <t>estado_acta</t>
        </is>
      </c>
      <c r="G1981" s="18" t="inlineStr">
        <is>
          <t>character varying(50)</t>
        </is>
      </c>
      <c r="H1981" s="18" t="inlineStr">
        <is>
          <t>Sí</t>
        </is>
      </c>
      <c r="I1981" s="18" t="inlineStr">
        <is>
          <t>CHECK</t>
        </is>
      </c>
      <c r="J1981" s="18" t="inlineStr">
        <is>
          <t>aprobada, en_elaboracion, firmada, pendiente</t>
        </is>
      </c>
      <c r="K1981" s="18" t="inlineStr"/>
      <c r="L1981" s="18" t="inlineStr">
        <is>
          <t>Sí</t>
        </is>
      </c>
      <c r="M1981" s="18" t="inlineStr">
        <is>
          <t>No</t>
        </is>
      </c>
      <c r="N1981" s="18" t="inlineStr"/>
      <c r="O1981" s="18" t="inlineStr"/>
      <c r="P1981" s="18" t="inlineStr">
        <is>
          <t>Mapeada en internal-institutional-control-service/src/esap/auditorias/entities/reunion-cierre.entity.ts:48 (ReunionCierre.estadoActa)</t>
        </is>
      </c>
      <c r="Q1981" s="18" t="inlineStr">
        <is>
          <t>Propuesta semántica</t>
        </is>
      </c>
      <c r="R1981" s="18" t="inlineStr">
        <is>
          <t>Estado del acta de la reunión de cierre. Valores permitidos: pendiente, en_elaboracion, aprobada, firmada.</t>
        </is>
      </c>
      <c r="S1981" s="18" t="inlineStr">
        <is>
          <t>Alta</t>
        </is>
      </c>
      <c r="T1981" s="18" t="inlineStr">
        <is>
          <t>valores permitidos del CHECK</t>
        </is>
      </c>
      <c r="U1981" s="18" t="inlineStr"/>
      <c r="V1981" s="19" t="inlineStr">
        <is>
          <t>Pendiente</t>
        </is>
      </c>
      <c r="W1981" s="19" t="inlineStr"/>
      <c r="X1981" s="19" t="inlineStr"/>
      <c r="Y1981" s="20" t="n"/>
      <c r="Z1981" s="19" t="inlineStr"/>
      <c r="AA1981" s="18">
        <f>IF(OR(V1981="Aprobada"),R1981,IF(AND(OR(V1981="Aprobada con ajuste",V1981="Rechazada"),W1981&lt;&gt;""),W1981,""))</f>
        <v/>
      </c>
    </row>
    <row r="1982">
      <c r="A1982" s="18" t="inlineStr">
        <is>
          <t>C1981</t>
        </is>
      </c>
      <c r="B1982" s="18" t="inlineStr">
        <is>
          <t>Control interno</t>
        </is>
      </c>
      <c r="C1982" s="18" t="inlineStr">
        <is>
          <t>control_interno</t>
        </is>
      </c>
      <c r="D1982" s="18" t="inlineStr">
        <is>
          <t>reunion_cierre</t>
        </is>
      </c>
      <c r="E1982" s="18" t="n">
        <v>11</v>
      </c>
      <c r="F1982" s="18" t="inlineStr">
        <is>
          <t>acta_ruta</t>
        </is>
      </c>
      <c r="G1982" s="18" t="inlineStr">
        <is>
          <t>character varying(500)</t>
        </is>
      </c>
      <c r="H1982" s="18" t="inlineStr">
        <is>
          <t>Sí</t>
        </is>
      </c>
      <c r="I1982" s="18" t="inlineStr"/>
      <c r="J1982" s="18" t="inlineStr"/>
      <c r="K1982" s="18" t="inlineStr"/>
      <c r="L1982" s="18" t="inlineStr">
        <is>
          <t>No</t>
        </is>
      </c>
      <c r="M1982" s="18" t="inlineStr">
        <is>
          <t>No</t>
        </is>
      </c>
      <c r="N1982" s="18" t="inlineStr"/>
      <c r="O1982" s="18" t="inlineStr"/>
      <c r="P1982" s="18" t="inlineStr">
        <is>
          <t>Mapeada en internal-institutional-control-service/src/esap/auditorias/entities/reunion-cierre.entity.ts:51 (ReunionCierre.actaRuta)</t>
        </is>
      </c>
      <c r="Q1982" s="18" t="inlineStr">
        <is>
          <t>Propuesta semántica</t>
        </is>
      </c>
      <c r="R1982" s="18" t="inlineStr">
        <is>
          <t>Ruta del archivo del acta de la reunión de cierre.</t>
        </is>
      </c>
      <c r="S1982" s="18" t="inlineStr">
        <is>
          <t>Media</t>
        </is>
      </c>
      <c r="T1982" s="18" t="inlineStr">
        <is>
          <t>nombre + tipo + columnas vecinas</t>
        </is>
      </c>
      <c r="U1982" s="18" t="inlineStr">
        <is>
          <t>¿Es una ruta local, de almacenamiento en la nube o una URL?</t>
        </is>
      </c>
      <c r="V1982" s="19" t="inlineStr">
        <is>
          <t>Pendiente</t>
        </is>
      </c>
      <c r="W1982" s="19" t="inlineStr"/>
      <c r="X1982" s="19" t="inlineStr"/>
      <c r="Y1982" s="20" t="n"/>
      <c r="Z1982" s="19" t="inlineStr"/>
      <c r="AA1982" s="18">
        <f>IF(OR(V1982="Aprobada"),R1982,IF(AND(OR(V1982="Aprobada con ajuste",V1982="Rechazada"),W1982&lt;&gt;""),W1982,""))</f>
        <v/>
      </c>
    </row>
    <row r="1983">
      <c r="A1983" s="18" t="inlineStr">
        <is>
          <t>C1982</t>
        </is>
      </c>
      <c r="B1983" s="18" t="inlineStr">
        <is>
          <t>Control interno</t>
        </is>
      </c>
      <c r="C1983" s="18" t="inlineStr">
        <is>
          <t>control_interno</t>
        </is>
      </c>
      <c r="D1983" s="18" t="inlineStr">
        <is>
          <t>reunion_cierre</t>
        </is>
      </c>
      <c r="E1983" s="18" t="n">
        <v>11</v>
      </c>
      <c r="F1983" s="18" t="inlineStr">
        <is>
          <t>observaciones</t>
        </is>
      </c>
      <c r="G1983" s="18" t="inlineStr">
        <is>
          <t>text</t>
        </is>
      </c>
      <c r="H1983" s="18" t="inlineStr">
        <is>
          <t>Sí</t>
        </is>
      </c>
      <c r="I1983" s="18" t="inlineStr"/>
      <c r="J1983" s="18" t="inlineStr"/>
      <c r="K1983" s="18" t="inlineStr"/>
      <c r="L1983" s="18" t="inlineStr">
        <is>
          <t>No</t>
        </is>
      </c>
      <c r="M1983" s="18" t="inlineStr">
        <is>
          <t>No</t>
        </is>
      </c>
      <c r="N1983" s="18" t="inlineStr"/>
      <c r="O1983" s="18" t="inlineStr"/>
      <c r="P1983" s="18" t="inlineStr">
        <is>
          <t>Mapeada en internal-institutional-control-service/src/esap/auditorias/entities/reunion-cierre.entity.ts:54 (ReunionCierre.observaciones) | Validación: IsOptional, IsString</t>
        </is>
      </c>
      <c r="Q1983" s="18" t="inlineStr">
        <is>
          <t>Regla estructural</t>
        </is>
      </c>
      <c r="R1983" s="18" t="inlineStr">
        <is>
          <t>Observaciones registradas sobre el registro.</t>
        </is>
      </c>
      <c r="S1983" s="18" t="inlineStr">
        <is>
          <t>Media</t>
        </is>
      </c>
      <c r="T1983" s="18" t="inlineStr">
        <is>
          <t>Convención de nombre de la columna.</t>
        </is>
      </c>
      <c r="U1983" s="18" t="inlineStr"/>
      <c r="V1983" s="19" t="inlineStr">
        <is>
          <t>Pendiente</t>
        </is>
      </c>
      <c r="W1983" s="19" t="inlineStr"/>
      <c r="X1983" s="19" t="inlineStr"/>
      <c r="Y1983" s="20" t="n"/>
      <c r="Z1983" s="19" t="inlineStr"/>
      <c r="AA1983" s="18">
        <f>IF(OR(V1983="Aprobada"),R1983,IF(AND(OR(V1983="Aprobada con ajuste",V1983="Rechazada"),W1983&lt;&gt;""),W1983,""))</f>
        <v/>
      </c>
    </row>
    <row r="1984">
      <c r="A1984" s="18" t="inlineStr">
        <is>
          <t>C1983</t>
        </is>
      </c>
      <c r="B1984" s="18" t="inlineStr">
        <is>
          <t>Control interno</t>
        </is>
      </c>
      <c r="C1984" s="18" t="inlineStr">
        <is>
          <t>control_interno</t>
        </is>
      </c>
      <c r="D1984" s="18" t="inlineStr">
        <is>
          <t>reunion_cierre</t>
        </is>
      </c>
      <c r="E1984" s="18" t="n">
        <v>11</v>
      </c>
      <c r="F1984" s="18" t="inlineStr">
        <is>
          <t>elaborado_por</t>
        </is>
      </c>
      <c r="G1984" s="18" t="inlineStr">
        <is>
          <t>character varying(255)</t>
        </is>
      </c>
      <c r="H1984" s="18" t="inlineStr">
        <is>
          <t>Sí</t>
        </is>
      </c>
      <c r="I1984" s="18" t="inlineStr"/>
      <c r="J1984" s="18" t="inlineStr"/>
      <c r="K1984" s="18" t="inlineStr"/>
      <c r="L1984" s="18" t="inlineStr">
        <is>
          <t>No</t>
        </is>
      </c>
      <c r="M1984" s="18" t="inlineStr">
        <is>
          <t>No</t>
        </is>
      </c>
      <c r="N1984" s="18" t="inlineStr"/>
      <c r="O1984" s="18" t="inlineStr"/>
      <c r="P1984" s="18" t="inlineStr">
        <is>
          <t>Mapeada en internal-institutional-control-service/src/esap/auditorias/entities/reunion-cierre.entity.ts:57 (ReunionCierre.elaboradoPor) | Validación: IsOptional, IsString, Length(0, 255)</t>
        </is>
      </c>
      <c r="Q1984" s="18" t="inlineStr">
        <is>
          <t>Propuesta semántica</t>
        </is>
      </c>
      <c r="R1984" s="18" t="inlineStr">
        <is>
          <t>Persona que elaboró el acta de la reunión de cierre.</t>
        </is>
      </c>
      <c r="S1984" s="18" t="inlineStr">
        <is>
          <t>Media</t>
        </is>
      </c>
      <c r="T1984" s="18" t="inlineStr">
        <is>
          <t>nombre + tipo + columnas vecinas</t>
        </is>
      </c>
      <c r="U1984" s="18" t="inlineStr">
        <is>
          <t>¿Guarda el nombre o el identificador de la persona?</t>
        </is>
      </c>
      <c r="V1984" s="19" t="inlineStr">
        <is>
          <t>Pendiente</t>
        </is>
      </c>
      <c r="W1984" s="19" t="inlineStr"/>
      <c r="X1984" s="19" t="inlineStr"/>
      <c r="Y1984" s="20" t="n"/>
      <c r="Z1984" s="19" t="inlineStr"/>
      <c r="AA1984" s="18">
        <f>IF(OR(V1984="Aprobada"),R1984,IF(AND(OR(V1984="Aprobada con ajuste",V1984="Rechazada"),W1984&lt;&gt;""),W1984,""))</f>
        <v/>
      </c>
    </row>
    <row r="1985">
      <c r="A1985" s="18" t="inlineStr">
        <is>
          <t>C1984</t>
        </is>
      </c>
      <c r="B1985" s="18" t="inlineStr">
        <is>
          <t>Control interno</t>
        </is>
      </c>
      <c r="C1985" s="18" t="inlineStr">
        <is>
          <t>control_interno</t>
        </is>
      </c>
      <c r="D1985" s="18" t="inlineStr">
        <is>
          <t>reunion_cierre</t>
        </is>
      </c>
      <c r="E1985" s="18" t="n">
        <v>11</v>
      </c>
      <c r="F1985" s="18" t="inlineStr">
        <is>
          <t>revisado_por</t>
        </is>
      </c>
      <c r="G1985" s="18" t="inlineStr">
        <is>
          <t>character varying(255)</t>
        </is>
      </c>
      <c r="H1985" s="18" t="inlineStr">
        <is>
          <t>Sí</t>
        </is>
      </c>
      <c r="I1985" s="18" t="inlineStr"/>
      <c r="J1985" s="18" t="inlineStr"/>
      <c r="K1985" s="18" t="inlineStr"/>
      <c r="L1985" s="18" t="inlineStr">
        <is>
          <t>No</t>
        </is>
      </c>
      <c r="M1985" s="18" t="inlineStr">
        <is>
          <t>No</t>
        </is>
      </c>
      <c r="N1985" s="18" t="inlineStr"/>
      <c r="O1985" s="18" t="inlineStr"/>
      <c r="P1985" s="18" t="inlineStr">
        <is>
          <t>Mapeada en internal-institutional-control-service/src/esap/auditorias/entities/reunion-cierre.entity.ts:60 (ReunionCierre.revisadoPor) | Validación: IsOptional, IsString</t>
        </is>
      </c>
      <c r="Q1985" s="18" t="inlineStr">
        <is>
          <t>Regla estructural</t>
        </is>
      </c>
      <c r="R1985" s="18" t="inlineStr">
        <is>
          <t>Usuario que realizó la revisión.</t>
        </is>
      </c>
      <c r="S1985" s="18" t="inlineStr">
        <is>
          <t>Media</t>
        </is>
      </c>
      <c r="T1985" s="18" t="inlineStr">
        <is>
          <t>Convención de nombre de la columna.</t>
        </is>
      </c>
      <c r="U1985" s="18" t="inlineStr"/>
      <c r="V1985" s="19" t="inlineStr">
        <is>
          <t>Pendiente</t>
        </is>
      </c>
      <c r="W1985" s="19" t="inlineStr"/>
      <c r="X1985" s="19" t="inlineStr"/>
      <c r="Y1985" s="20" t="n"/>
      <c r="Z1985" s="19" t="inlineStr"/>
      <c r="AA1985" s="18">
        <f>IF(OR(V1985="Aprobada"),R1985,IF(AND(OR(V1985="Aprobada con ajuste",V1985="Rechazada"),W1985&lt;&gt;""),W1985,""))</f>
        <v/>
      </c>
    </row>
    <row r="1986">
      <c r="A1986" s="18" t="inlineStr">
        <is>
          <t>C1985</t>
        </is>
      </c>
      <c r="B1986" s="18" t="inlineStr">
        <is>
          <t>Control interno</t>
        </is>
      </c>
      <c r="C1986" s="18" t="inlineStr">
        <is>
          <t>control_interno</t>
        </is>
      </c>
      <c r="D1986" s="18" t="inlineStr">
        <is>
          <t>rol_decreto_648</t>
        </is>
      </c>
      <c r="E1986" s="18" t="n">
        <v>0</v>
      </c>
      <c r="F1986" s="18" t="inlineStr">
        <is>
          <t>codigo</t>
        </is>
      </c>
      <c r="G1986" s="18" t="inlineStr">
        <is>
          <t>character varying(255)</t>
        </is>
      </c>
      <c r="H1986" s="18" t="inlineStr">
        <is>
          <t>No</t>
        </is>
      </c>
      <c r="I1986" s="18" t="inlineStr">
        <is>
          <t>Única</t>
        </is>
      </c>
      <c r="J1986" s="18" t="inlineStr"/>
      <c r="K1986" s="18" t="inlineStr"/>
      <c r="L1986" s="18" t="inlineStr">
        <is>
          <t>No</t>
        </is>
      </c>
      <c r="M1986" s="18" t="inlineStr">
        <is>
          <t>No</t>
        </is>
      </c>
      <c r="N1986" s="18" t="inlineStr"/>
      <c r="O1986" s="18" t="inlineStr">
        <is>
          <t>idx_rol_codigo, rol_decreto_648_codigo_key</t>
        </is>
      </c>
      <c r="P1986" s="18" t="inlineStr"/>
      <c r="Q1986" s="18" t="inlineStr">
        <is>
          <t>Regla estructural</t>
        </is>
      </c>
      <c r="R1986" s="18" t="inlineStr">
        <is>
          <t>Código del registro de rol_decreto_648. Único en la tabla.</t>
        </is>
      </c>
      <c r="S1986" s="18" t="inlineStr">
        <is>
          <t>Media</t>
        </is>
      </c>
      <c r="T1986" s="18" t="inlineStr">
        <is>
          <t>Convención de nombre de la columna.</t>
        </is>
      </c>
      <c r="U1986" s="18" t="inlineStr"/>
      <c r="V1986" s="19" t="inlineStr">
        <is>
          <t>Pendiente</t>
        </is>
      </c>
      <c r="W1986" s="19" t="inlineStr"/>
      <c r="X1986" s="19" t="inlineStr"/>
      <c r="Y1986" s="20" t="n"/>
      <c r="Z1986" s="19" t="inlineStr"/>
      <c r="AA1986" s="18">
        <f>IF(OR(V1986="Aprobada"),R1986,IF(AND(OR(V1986="Aprobada con ajuste",V1986="Rechazada"),W1986&lt;&gt;""),W1986,""))</f>
        <v/>
      </c>
    </row>
    <row r="1987">
      <c r="A1987" s="18" t="inlineStr">
        <is>
          <t>C1986</t>
        </is>
      </c>
      <c r="B1987" s="18" t="inlineStr">
        <is>
          <t>Control interno</t>
        </is>
      </c>
      <c r="C1987" s="18" t="inlineStr">
        <is>
          <t>control_interno</t>
        </is>
      </c>
      <c r="D1987" s="18" t="inlineStr">
        <is>
          <t>rol_decreto_648</t>
        </is>
      </c>
      <c r="E1987" s="18" t="n">
        <v>0</v>
      </c>
      <c r="F1987" s="18" t="inlineStr">
        <is>
          <t>nombre</t>
        </is>
      </c>
      <c r="G1987" s="18" t="inlineStr">
        <is>
          <t>character varying(255)</t>
        </is>
      </c>
      <c r="H1987" s="18" t="inlineStr">
        <is>
          <t>No</t>
        </is>
      </c>
      <c r="I1987" s="18" t="inlineStr"/>
      <c r="J1987" s="18" t="inlineStr"/>
      <c r="K1987" s="18" t="inlineStr"/>
      <c r="L1987" s="18" t="inlineStr">
        <is>
          <t>No</t>
        </is>
      </c>
      <c r="M1987" s="18" t="inlineStr">
        <is>
          <t>No</t>
        </is>
      </c>
      <c r="N1987" s="18" t="inlineStr"/>
      <c r="O1987" s="18" t="inlineStr"/>
      <c r="P1987" s="18" t="inlineStr"/>
      <c r="Q1987" s="18" t="inlineStr">
        <is>
          <t>Regla estructural</t>
        </is>
      </c>
      <c r="R1987" s="18" t="inlineStr">
        <is>
          <t>Nombre del registro de rol_decreto_648.</t>
        </is>
      </c>
      <c r="S1987" s="18" t="inlineStr">
        <is>
          <t>Media</t>
        </is>
      </c>
      <c r="T1987" s="18" t="inlineStr">
        <is>
          <t>Convención de nombre de la columna.</t>
        </is>
      </c>
      <c r="U1987" s="18" t="inlineStr"/>
      <c r="V1987" s="19" t="inlineStr">
        <is>
          <t>Pendiente</t>
        </is>
      </c>
      <c r="W1987" s="19" t="inlineStr"/>
      <c r="X1987" s="19" t="inlineStr"/>
      <c r="Y1987" s="20" t="n"/>
      <c r="Z1987" s="19" t="inlineStr"/>
      <c r="AA1987" s="18">
        <f>IF(OR(V1987="Aprobada"),R1987,IF(AND(OR(V1987="Aprobada con ajuste",V1987="Rechazada"),W1987&lt;&gt;""),W1987,""))</f>
        <v/>
      </c>
    </row>
    <row r="1988">
      <c r="A1988" s="18" t="inlineStr">
        <is>
          <t>C1987</t>
        </is>
      </c>
      <c r="B1988" s="18" t="inlineStr">
        <is>
          <t>Control interno</t>
        </is>
      </c>
      <c r="C1988" s="18" t="inlineStr">
        <is>
          <t>control_interno</t>
        </is>
      </c>
      <c r="D1988" s="18" t="inlineStr">
        <is>
          <t>rol_decreto_648</t>
        </is>
      </c>
      <c r="E1988" s="18" t="n">
        <v>0</v>
      </c>
      <c r="F1988" s="18" t="inlineStr">
        <is>
          <t>descripcion</t>
        </is>
      </c>
      <c r="G1988" s="18" t="inlineStr">
        <is>
          <t>text</t>
        </is>
      </c>
      <c r="H1988" s="18" t="inlineStr">
        <is>
          <t>Sí</t>
        </is>
      </c>
      <c r="I1988" s="18" t="inlineStr"/>
      <c r="J1988" s="18" t="inlineStr"/>
      <c r="K1988" s="18" t="inlineStr"/>
      <c r="L1988" s="18" t="inlineStr">
        <is>
          <t>No</t>
        </is>
      </c>
      <c r="M1988" s="18" t="inlineStr">
        <is>
          <t>No</t>
        </is>
      </c>
      <c r="N1988" s="18" t="inlineStr"/>
      <c r="O1988" s="18" t="inlineStr"/>
      <c r="P1988" s="18" t="inlineStr"/>
      <c r="Q1988" s="18" t="inlineStr">
        <is>
          <t>Regla estructural</t>
        </is>
      </c>
      <c r="R1988" s="18" t="inlineStr">
        <is>
          <t>Descripción del registro de rol_decreto_648.</t>
        </is>
      </c>
      <c r="S1988" s="18" t="inlineStr">
        <is>
          <t>Media</t>
        </is>
      </c>
      <c r="T1988" s="18" t="inlineStr">
        <is>
          <t>Convención de nombre de la columna.</t>
        </is>
      </c>
      <c r="U1988" s="18" t="inlineStr"/>
      <c r="V1988" s="19" t="inlineStr">
        <is>
          <t>Pendiente</t>
        </is>
      </c>
      <c r="W1988" s="19" t="inlineStr"/>
      <c r="X1988" s="19" t="inlineStr"/>
      <c r="Y1988" s="20" t="n"/>
      <c r="Z1988" s="19" t="inlineStr"/>
      <c r="AA1988" s="18">
        <f>IF(OR(V1988="Aprobada"),R1988,IF(AND(OR(V1988="Aprobada con ajuste",V1988="Rechazada"),W1988&lt;&gt;""),W1988,""))</f>
        <v/>
      </c>
    </row>
    <row r="1989">
      <c r="A1989" s="18" t="inlineStr">
        <is>
          <t>C1988</t>
        </is>
      </c>
      <c r="B1989" s="18" t="inlineStr">
        <is>
          <t>Control interno</t>
        </is>
      </c>
      <c r="C1989" s="18" t="inlineStr">
        <is>
          <t>control_interno</t>
        </is>
      </c>
      <c r="D1989" s="18" t="inlineStr">
        <is>
          <t>rol_decreto_648</t>
        </is>
      </c>
      <c r="E1989" s="18" t="n">
        <v>0</v>
      </c>
      <c r="F1989" s="18" t="inlineStr">
        <is>
          <t>orden</t>
        </is>
      </c>
      <c r="G1989" s="18" t="inlineStr">
        <is>
          <t>integer</t>
        </is>
      </c>
      <c r="H1989" s="18" t="inlineStr">
        <is>
          <t>Sí</t>
        </is>
      </c>
      <c r="I1989" s="18" t="inlineStr"/>
      <c r="J1989" s="18" t="inlineStr"/>
      <c r="K1989" s="18" t="inlineStr"/>
      <c r="L1989" s="18" t="inlineStr">
        <is>
          <t>No</t>
        </is>
      </c>
      <c r="M1989" s="18" t="inlineStr">
        <is>
          <t>No</t>
        </is>
      </c>
      <c r="N1989" s="18" t="inlineStr"/>
      <c r="O1989" s="18" t="inlineStr"/>
      <c r="P1989" s="18" t="inlineStr"/>
      <c r="Q1989" s="18" t="inlineStr">
        <is>
          <t>Regla estructural</t>
        </is>
      </c>
      <c r="R1989" s="18" t="inlineStr">
        <is>
          <t>Posición del registro para su ordenamiento.</t>
        </is>
      </c>
      <c r="S1989" s="18" t="inlineStr">
        <is>
          <t>Media</t>
        </is>
      </c>
      <c r="T1989" s="18" t="inlineStr">
        <is>
          <t>Convención de nombre de la columna.</t>
        </is>
      </c>
      <c r="U1989" s="18" t="inlineStr"/>
      <c r="V1989" s="19" t="inlineStr">
        <is>
          <t>Pendiente</t>
        </is>
      </c>
      <c r="W1989" s="19" t="inlineStr"/>
      <c r="X1989" s="19" t="inlineStr"/>
      <c r="Y1989" s="20" t="n"/>
      <c r="Z1989" s="19" t="inlineStr"/>
      <c r="AA1989" s="18">
        <f>IF(OR(V1989="Aprobada"),R1989,IF(AND(OR(V1989="Aprobada con ajuste",V1989="Rechazada"),W1989&lt;&gt;""),W1989,""))</f>
        <v/>
      </c>
    </row>
    <row r="1990">
      <c r="A1990" s="18" t="inlineStr">
        <is>
          <t>C1989</t>
        </is>
      </c>
      <c r="B1990" s="18" t="inlineStr">
        <is>
          <t>Control interno</t>
        </is>
      </c>
      <c r="C1990" s="18" t="inlineStr">
        <is>
          <t>control_interno</t>
        </is>
      </c>
      <c r="D1990" s="18" t="inlineStr">
        <is>
          <t>rol_decreto_648</t>
        </is>
      </c>
      <c r="E1990" s="18" t="n">
        <v>0</v>
      </c>
      <c r="F1990" s="18" t="inlineStr">
        <is>
          <t>activo</t>
        </is>
      </c>
      <c r="G1990" s="18" t="inlineStr">
        <is>
          <t>boolean</t>
        </is>
      </c>
      <c r="H1990" s="18" t="inlineStr">
        <is>
          <t>Sí</t>
        </is>
      </c>
      <c r="I1990" s="18" t="inlineStr"/>
      <c r="J1990" s="18" t="inlineStr"/>
      <c r="K1990" s="18" t="inlineStr"/>
      <c r="L1990" s="18" t="inlineStr">
        <is>
          <t>No</t>
        </is>
      </c>
      <c r="M1990" s="18" t="inlineStr">
        <is>
          <t>No</t>
        </is>
      </c>
      <c r="N1990" s="18" t="inlineStr"/>
      <c r="O1990" s="18" t="inlineStr"/>
      <c r="P1990" s="18" t="inlineStr"/>
      <c r="Q1990" s="18" t="inlineStr">
        <is>
          <t>Regla estructural</t>
        </is>
      </c>
      <c r="R1990" s="18" t="inlineStr">
        <is>
          <t>Indica si el registro está activo.</t>
        </is>
      </c>
      <c r="S1990" s="18" t="inlineStr">
        <is>
          <t>Media</t>
        </is>
      </c>
      <c r="T1990" s="18" t="inlineStr">
        <is>
          <t>Convención de nombre de la columna.</t>
        </is>
      </c>
      <c r="U1990" s="18" t="inlineStr"/>
      <c r="V1990" s="19" t="inlineStr">
        <is>
          <t>Pendiente</t>
        </is>
      </c>
      <c r="W1990" s="19" t="inlineStr"/>
      <c r="X1990" s="19" t="inlineStr"/>
      <c r="Y1990" s="20" t="n"/>
      <c r="Z1990" s="19" t="inlineStr"/>
      <c r="AA1990" s="18">
        <f>IF(OR(V1990="Aprobada"),R1990,IF(AND(OR(V1990="Aprobada con ajuste",V1990="Rechazada"),W1990&lt;&gt;""),W1990,""))</f>
        <v/>
      </c>
    </row>
    <row r="1991">
      <c r="A1991" s="18" t="inlineStr">
        <is>
          <t>C1990</t>
        </is>
      </c>
      <c r="B1991" s="18" t="inlineStr">
        <is>
          <t>Control interno</t>
        </is>
      </c>
      <c r="C1991" s="18" t="inlineStr">
        <is>
          <t>control_interno</t>
        </is>
      </c>
      <c r="D1991" s="18" t="inlineStr">
        <is>
          <t>rol_decreto_648</t>
        </is>
      </c>
      <c r="E1991" s="18" t="n">
        <v>0</v>
      </c>
      <c r="F1991" s="18" t="inlineStr">
        <is>
          <t>editable</t>
        </is>
      </c>
      <c r="G1991" s="18" t="inlineStr">
        <is>
          <t>boolean</t>
        </is>
      </c>
      <c r="H1991" s="18" t="inlineStr">
        <is>
          <t>Sí</t>
        </is>
      </c>
      <c r="I1991" s="18" t="inlineStr"/>
      <c r="J1991" s="18" t="inlineStr"/>
      <c r="K1991" s="18" t="inlineStr"/>
      <c r="L1991" s="18" t="inlineStr">
        <is>
          <t>No</t>
        </is>
      </c>
      <c r="M1991" s="18" t="inlineStr">
        <is>
          <t>No</t>
        </is>
      </c>
      <c r="N1991" s="18" t="inlineStr"/>
      <c r="O1991" s="18" t="inlineStr"/>
      <c r="P1991" s="18" t="inlineStr"/>
      <c r="Q1991" s="18" t="inlineStr">
        <is>
          <t>Regla estructural</t>
        </is>
      </c>
      <c r="R1991" s="18" t="inlineStr">
        <is>
          <t>Indica si aplica: editable.</t>
        </is>
      </c>
      <c r="S1991" s="18" t="inlineStr">
        <is>
          <t>Media</t>
        </is>
      </c>
      <c r="T1991" s="18" t="inlineStr">
        <is>
          <t>Convención de nombre de la columna.</t>
        </is>
      </c>
      <c r="U1991" s="18" t="inlineStr"/>
      <c r="V1991" s="19" t="inlineStr">
        <is>
          <t>Pendiente</t>
        </is>
      </c>
      <c r="W1991" s="19" t="inlineStr"/>
      <c r="X1991" s="19" t="inlineStr"/>
      <c r="Y1991" s="20" t="n"/>
      <c r="Z1991" s="19" t="inlineStr"/>
      <c r="AA1991" s="18">
        <f>IF(OR(V1991="Aprobada"),R1991,IF(AND(OR(V1991="Aprobada con ajuste",V1991="Rechazada"),W1991&lt;&gt;""),W1991,""))</f>
        <v/>
      </c>
    </row>
    <row r="1992">
      <c r="A1992" s="18" t="inlineStr">
        <is>
          <t>C1991</t>
        </is>
      </c>
      <c r="B1992" s="18" t="inlineStr">
        <is>
          <t>Control interno</t>
        </is>
      </c>
      <c r="C1992" s="18" t="inlineStr">
        <is>
          <t>control_interno</t>
        </is>
      </c>
      <c r="D1992" s="18" t="inlineStr">
        <is>
          <t>rol_decreto_648_template</t>
        </is>
      </c>
      <c r="E1992" s="18" t="n">
        <v>5</v>
      </c>
      <c r="F1992" s="18" t="inlineStr">
        <is>
          <t>rol_numero</t>
        </is>
      </c>
      <c r="G1992" s="18" t="inlineStr">
        <is>
          <t>integer</t>
        </is>
      </c>
      <c r="H1992" s="18" t="inlineStr">
        <is>
          <t>No</t>
        </is>
      </c>
      <c r="I1992" s="18" t="inlineStr">
        <is>
          <t>Única, CHECK</t>
        </is>
      </c>
      <c r="J1992" s="18" t="inlineStr"/>
      <c r="K1992" s="18" t="inlineStr"/>
      <c r="L1992" s="18" t="inlineStr">
        <is>
          <t>No</t>
        </is>
      </c>
      <c r="M1992" s="18" t="inlineStr">
        <is>
          <t>No</t>
        </is>
      </c>
      <c r="N1992" s="18" t="inlineStr"/>
      <c r="O1992" s="18" t="inlineStr">
        <is>
          <t>idx_rol_template_numero, rol_decreto_648_template_rol_numero_key</t>
        </is>
      </c>
      <c r="P1992" s="18" t="inlineStr"/>
      <c r="Q1992" s="18" t="inlineStr">
        <is>
          <t>Propuesta semántica</t>
        </is>
      </c>
      <c r="R1992" s="18" t="inlineStr">
        <is>
          <t>Número único del rol de la oficina de control interno según el Decreto 648 de 2017.</t>
        </is>
      </c>
      <c r="S1992" s="18" t="inlineStr">
        <is>
          <t>Media</t>
        </is>
      </c>
      <c r="T1992" s="18" t="inlineStr">
        <is>
          <t>nombre de la tabla + restricción única + 5 filas</t>
        </is>
      </c>
      <c r="U1992" s="18" t="inlineStr">
        <is>
          <t>¿Los números 1 a 5 corresponden a los roles del artículo 17 del Decreto 648 de 2017?</t>
        </is>
      </c>
      <c r="V1992" s="19" t="inlineStr">
        <is>
          <t>Pendiente</t>
        </is>
      </c>
      <c r="W1992" s="19" t="inlineStr"/>
      <c r="X1992" s="19" t="inlineStr"/>
      <c r="Y1992" s="20" t="n"/>
      <c r="Z1992" s="19" t="inlineStr"/>
      <c r="AA1992" s="18">
        <f>IF(OR(V1992="Aprobada"),R1992,IF(AND(OR(V1992="Aprobada con ajuste",V1992="Rechazada"),W1992&lt;&gt;""),W1992,""))</f>
        <v/>
      </c>
    </row>
    <row r="1993">
      <c r="A1993" s="18" t="inlineStr">
        <is>
          <t>C1992</t>
        </is>
      </c>
      <c r="B1993" s="18" t="inlineStr">
        <is>
          <t>Control interno</t>
        </is>
      </c>
      <c r="C1993" s="18" t="inlineStr">
        <is>
          <t>control_interno</t>
        </is>
      </c>
      <c r="D1993" s="18" t="inlineStr">
        <is>
          <t>rol_decreto_648_template</t>
        </is>
      </c>
      <c r="E1993" s="18" t="n">
        <v>5</v>
      </c>
      <c r="F1993" s="18" t="inlineStr">
        <is>
          <t>nombre</t>
        </is>
      </c>
      <c r="G1993" s="18" t="inlineStr">
        <is>
          <t>character varying(255)</t>
        </is>
      </c>
      <c r="H1993" s="18" t="inlineStr">
        <is>
          <t>No</t>
        </is>
      </c>
      <c r="I1993" s="18" t="inlineStr"/>
      <c r="J1993" s="18" t="inlineStr"/>
      <c r="K1993" s="18" t="inlineStr"/>
      <c r="L1993" s="18" t="inlineStr">
        <is>
          <t>No</t>
        </is>
      </c>
      <c r="M1993" s="18" t="inlineStr">
        <is>
          <t>No</t>
        </is>
      </c>
      <c r="N1993" s="18" t="inlineStr"/>
      <c r="O1993" s="18" t="inlineStr"/>
      <c r="P1993" s="18" t="inlineStr"/>
      <c r="Q1993" s="18" t="inlineStr">
        <is>
          <t>Regla estructural</t>
        </is>
      </c>
      <c r="R1993" s="18" t="inlineStr">
        <is>
          <t>Nombre del registro de rol_decreto_648_template.</t>
        </is>
      </c>
      <c r="S1993" s="18" t="inlineStr">
        <is>
          <t>Media</t>
        </is>
      </c>
      <c r="T1993" s="18" t="inlineStr">
        <is>
          <t>Convención de nombre de la columna.</t>
        </is>
      </c>
      <c r="U1993" s="18" t="inlineStr"/>
      <c r="V1993" s="19" t="inlineStr">
        <is>
          <t>Pendiente</t>
        </is>
      </c>
      <c r="W1993" s="19" t="inlineStr"/>
      <c r="X1993" s="19" t="inlineStr"/>
      <c r="Y1993" s="20" t="n"/>
      <c r="Z1993" s="19" t="inlineStr"/>
      <c r="AA1993" s="18">
        <f>IF(OR(V1993="Aprobada"),R1993,IF(AND(OR(V1993="Aprobada con ajuste",V1993="Rechazada"),W1993&lt;&gt;""),W1993,""))</f>
        <v/>
      </c>
    </row>
    <row r="1994">
      <c r="A1994" s="18" t="inlineStr">
        <is>
          <t>C1993</t>
        </is>
      </c>
      <c r="B1994" s="18" t="inlineStr">
        <is>
          <t>Control interno</t>
        </is>
      </c>
      <c r="C1994" s="18" t="inlineStr">
        <is>
          <t>control_interno</t>
        </is>
      </c>
      <c r="D1994" s="18" t="inlineStr">
        <is>
          <t>rol_decreto_648_template</t>
        </is>
      </c>
      <c r="E1994" s="18" t="n">
        <v>5</v>
      </c>
      <c r="F1994" s="18" t="inlineStr">
        <is>
          <t>descripcion</t>
        </is>
      </c>
      <c r="G1994" s="18" t="inlineStr">
        <is>
          <t>text</t>
        </is>
      </c>
      <c r="H1994" s="18" t="inlineStr">
        <is>
          <t>No</t>
        </is>
      </c>
      <c r="I1994" s="18" t="inlineStr"/>
      <c r="J1994" s="18" t="inlineStr"/>
      <c r="K1994" s="18" t="inlineStr"/>
      <c r="L1994" s="18" t="inlineStr">
        <is>
          <t>No</t>
        </is>
      </c>
      <c r="M1994" s="18" t="inlineStr">
        <is>
          <t>No</t>
        </is>
      </c>
      <c r="N1994" s="18" t="inlineStr"/>
      <c r="O1994" s="18" t="inlineStr"/>
      <c r="P1994" s="18" t="inlineStr"/>
      <c r="Q1994" s="18" t="inlineStr">
        <is>
          <t>Regla estructural</t>
        </is>
      </c>
      <c r="R1994" s="18" t="inlineStr">
        <is>
          <t>Descripción del registro de rol_decreto_648_template.</t>
        </is>
      </c>
      <c r="S1994" s="18" t="inlineStr">
        <is>
          <t>Media</t>
        </is>
      </c>
      <c r="T1994" s="18" t="inlineStr">
        <is>
          <t>Convención de nombre de la columna.</t>
        </is>
      </c>
      <c r="U1994" s="18" t="inlineStr"/>
      <c r="V1994" s="19" t="inlineStr">
        <is>
          <t>Pendiente</t>
        </is>
      </c>
      <c r="W1994" s="19" t="inlineStr"/>
      <c r="X1994" s="19" t="inlineStr"/>
      <c r="Y1994" s="20" t="n"/>
      <c r="Z1994" s="19" t="inlineStr"/>
      <c r="AA1994" s="18">
        <f>IF(OR(V1994="Aprobada"),R1994,IF(AND(OR(V1994="Aprobada con ajuste",V1994="Rechazada"),W1994&lt;&gt;""),W1994,""))</f>
        <v/>
      </c>
    </row>
    <row r="1995">
      <c r="A1995" s="18" t="inlineStr">
        <is>
          <t>C1994</t>
        </is>
      </c>
      <c r="B1995" s="18" t="inlineStr">
        <is>
          <t>Control interno</t>
        </is>
      </c>
      <c r="C1995" s="18" t="inlineStr">
        <is>
          <t>control_interno</t>
        </is>
      </c>
      <c r="D1995" s="18" t="inlineStr">
        <is>
          <t>rol_decreto_648_template</t>
        </is>
      </c>
      <c r="E1995" s="18" t="n">
        <v>5</v>
      </c>
      <c r="F1995" s="18" t="inlineStr">
        <is>
          <t>color</t>
        </is>
      </c>
      <c r="G1995" s="18" t="inlineStr">
        <is>
          <t>character varying(7)</t>
        </is>
      </c>
      <c r="H1995" s="18" t="inlineStr">
        <is>
          <t>No</t>
        </is>
      </c>
      <c r="I1995" s="18" t="inlineStr"/>
      <c r="J1995" s="18" t="inlineStr"/>
      <c r="K1995" s="18" t="inlineStr"/>
      <c r="L1995" s="18" t="inlineStr">
        <is>
          <t>No</t>
        </is>
      </c>
      <c r="M1995" s="18" t="inlineStr">
        <is>
          <t>No</t>
        </is>
      </c>
      <c r="N1995" s="18" t="inlineStr"/>
      <c r="O1995" s="18" t="inlineStr"/>
      <c r="P1995" s="18" t="inlineStr"/>
      <c r="Q1995" s="18" t="inlineStr">
        <is>
          <t>Propuesta semántica</t>
        </is>
      </c>
      <c r="R1995" s="18" t="inlineStr">
        <is>
          <t>Color hexadecimal con que se muestra el rol en la interfaz. Valor por defecto: #3B82F6.</t>
        </is>
      </c>
      <c r="S1995" s="18" t="inlineStr">
        <is>
          <t>Alta</t>
        </is>
      </c>
      <c r="T1995" s="18" t="inlineStr">
        <is>
          <t>nombre + tipo (7 caracteres) + defecto</t>
        </is>
      </c>
      <c r="U1995" s="18" t="inlineStr"/>
      <c r="V1995" s="19" t="inlineStr">
        <is>
          <t>Pendiente</t>
        </is>
      </c>
      <c r="W1995" s="19" t="inlineStr"/>
      <c r="X1995" s="19" t="inlineStr"/>
      <c r="Y1995" s="20" t="n"/>
      <c r="Z1995" s="19" t="inlineStr"/>
      <c r="AA1995" s="18">
        <f>IF(OR(V1995="Aprobada"),R1995,IF(AND(OR(V1995="Aprobada con ajuste",V1995="Rechazada"),W1995&lt;&gt;""),W1995,""))</f>
        <v/>
      </c>
    </row>
    <row r="1996">
      <c r="A1996" s="18" t="inlineStr">
        <is>
          <t>C1995</t>
        </is>
      </c>
      <c r="B1996" s="18" t="inlineStr">
        <is>
          <t>Control interno</t>
        </is>
      </c>
      <c r="C1996" s="18" t="inlineStr">
        <is>
          <t>control_interno</t>
        </is>
      </c>
      <c r="D1996" s="18" t="inlineStr">
        <is>
          <t>rol_decreto_648_template</t>
        </is>
      </c>
      <c r="E1996" s="18" t="n">
        <v>5</v>
      </c>
      <c r="F1996" s="18" t="inlineStr">
        <is>
          <t>activo</t>
        </is>
      </c>
      <c r="G1996" s="18" t="inlineStr">
        <is>
          <t>boolean</t>
        </is>
      </c>
      <c r="H1996" s="18" t="inlineStr">
        <is>
          <t>Sí</t>
        </is>
      </c>
      <c r="I1996" s="18" t="inlineStr"/>
      <c r="J1996" s="18" t="inlineStr"/>
      <c r="K1996" s="18" t="inlineStr"/>
      <c r="L1996" s="18" t="inlineStr">
        <is>
          <t>No</t>
        </is>
      </c>
      <c r="M1996" s="18" t="inlineStr">
        <is>
          <t>No</t>
        </is>
      </c>
      <c r="N1996" s="18" t="inlineStr"/>
      <c r="O1996" s="18" t="inlineStr"/>
      <c r="P1996" s="18" t="inlineStr"/>
      <c r="Q1996" s="18" t="inlineStr">
        <is>
          <t>Regla estructural</t>
        </is>
      </c>
      <c r="R1996" s="18" t="inlineStr">
        <is>
          <t>Indica si el registro está activo.</t>
        </is>
      </c>
      <c r="S1996" s="18" t="inlineStr">
        <is>
          <t>Media</t>
        </is>
      </c>
      <c r="T1996" s="18" t="inlineStr">
        <is>
          <t>Convención de nombre de la columna.</t>
        </is>
      </c>
      <c r="U1996" s="18" t="inlineStr"/>
      <c r="V1996" s="19" t="inlineStr">
        <is>
          <t>Pendiente</t>
        </is>
      </c>
      <c r="W1996" s="19" t="inlineStr"/>
      <c r="X1996" s="19" t="inlineStr"/>
      <c r="Y1996" s="20" t="n"/>
      <c r="Z1996" s="19" t="inlineStr"/>
      <c r="AA1996" s="18">
        <f>IF(OR(V1996="Aprobada"),R1996,IF(AND(OR(V1996="Aprobada con ajuste",V1996="Rechazada"),W1996&lt;&gt;""),W1996,""))</f>
        <v/>
      </c>
    </row>
    <row r="1997">
      <c r="A1997" s="18" t="inlineStr">
        <is>
          <t>C1996</t>
        </is>
      </c>
      <c r="B1997" s="18" t="inlineStr">
        <is>
          <t>Control interno</t>
        </is>
      </c>
      <c r="C1997" s="18" t="inlineStr">
        <is>
          <t>control_interno</t>
        </is>
      </c>
      <c r="D1997" s="18" t="inlineStr">
        <is>
          <t>rol_plan_anual</t>
        </is>
      </c>
      <c r="E1997" s="18" t="n">
        <v>0</v>
      </c>
      <c r="F1997" s="18" t="inlineStr">
        <is>
          <t>tipo</t>
        </is>
      </c>
      <c r="G1997" s="18" t="inlineStr">
        <is>
          <t>character varying(100)</t>
        </is>
      </c>
      <c r="H1997" s="18" t="inlineStr">
        <is>
          <t>No</t>
        </is>
      </c>
      <c r="I1997" s="18" t="inlineStr">
        <is>
          <t>CHECK</t>
        </is>
      </c>
      <c r="J1997" s="18" t="inlineStr">
        <is>
          <t>Auditor, Auditor Líder, Prof. Especializado, Prof. Universitario, Técnico</t>
        </is>
      </c>
      <c r="K1997" s="18" t="inlineStr"/>
      <c r="L1997" s="18" t="inlineStr">
        <is>
          <t>Sí</t>
        </is>
      </c>
      <c r="M1997" s="18" t="inlineStr">
        <is>
          <t>No</t>
        </is>
      </c>
      <c r="N1997" s="18" t="inlineStr"/>
      <c r="O1997" s="18" t="inlineStr">
        <is>
          <t>idx_rol_tipo</t>
        </is>
      </c>
      <c r="P1997" s="18" t="inlineStr"/>
      <c r="Q1997" s="18" t="inlineStr">
        <is>
          <t>Regla estructural</t>
        </is>
      </c>
      <c r="R1997" s="18" t="inlineStr">
        <is>
          <t>Tipo del registro de rol_plan_anual.</t>
        </is>
      </c>
      <c r="S1997" s="18" t="inlineStr">
        <is>
          <t>Media</t>
        </is>
      </c>
      <c r="T1997" s="18" t="inlineStr">
        <is>
          <t>Convención de nombre de la columna.</t>
        </is>
      </c>
      <c r="U1997" s="18" t="inlineStr"/>
      <c r="V1997" s="19" t="inlineStr">
        <is>
          <t>Pendiente</t>
        </is>
      </c>
      <c r="W1997" s="19" t="inlineStr"/>
      <c r="X1997" s="19" t="inlineStr"/>
      <c r="Y1997" s="20" t="n"/>
      <c r="Z1997" s="19" t="inlineStr"/>
      <c r="AA1997" s="18">
        <f>IF(OR(V1997="Aprobada"),R1997,IF(AND(OR(V1997="Aprobada con ajuste",V1997="Rechazada"),W1997&lt;&gt;""),W1997,""))</f>
        <v/>
      </c>
    </row>
    <row r="1998">
      <c r="A1998" s="18" t="inlineStr">
        <is>
          <t>C1997</t>
        </is>
      </c>
      <c r="B1998" s="18" t="inlineStr">
        <is>
          <t>Control interno</t>
        </is>
      </c>
      <c r="C1998" s="18" t="inlineStr">
        <is>
          <t>control_interno</t>
        </is>
      </c>
      <c r="D1998" s="18" t="inlineStr">
        <is>
          <t>rol_plan_anual</t>
        </is>
      </c>
      <c r="E1998" s="18" t="n">
        <v>0</v>
      </c>
      <c r="F1998" s="18" t="inlineStr">
        <is>
          <t>nombre</t>
        </is>
      </c>
      <c r="G1998" s="18" t="inlineStr">
        <is>
          <t>character varying(255)</t>
        </is>
      </c>
      <c r="H1998" s="18" t="inlineStr">
        <is>
          <t>Sí</t>
        </is>
      </c>
      <c r="I1998" s="18" t="inlineStr"/>
      <c r="J1998" s="18" t="inlineStr"/>
      <c r="K1998" s="18" t="inlineStr"/>
      <c r="L1998" s="18" t="inlineStr">
        <is>
          <t>No</t>
        </is>
      </c>
      <c r="M1998" s="18" t="inlineStr">
        <is>
          <t>No</t>
        </is>
      </c>
      <c r="N1998" s="18" t="inlineStr"/>
      <c r="O1998" s="18" t="inlineStr"/>
      <c r="P1998" s="18" t="inlineStr"/>
      <c r="Q1998" s="18" t="inlineStr">
        <is>
          <t>Regla estructural</t>
        </is>
      </c>
      <c r="R1998" s="18" t="inlineStr">
        <is>
          <t>Nombre del registro de rol_plan_anual.</t>
        </is>
      </c>
      <c r="S1998" s="18" t="inlineStr">
        <is>
          <t>Media</t>
        </is>
      </c>
      <c r="T1998" s="18" t="inlineStr">
        <is>
          <t>Convención de nombre de la columna.</t>
        </is>
      </c>
      <c r="U1998" s="18" t="inlineStr"/>
      <c r="V1998" s="19" t="inlineStr">
        <is>
          <t>Pendiente</t>
        </is>
      </c>
      <c r="W1998" s="19" t="inlineStr"/>
      <c r="X1998" s="19" t="inlineStr"/>
      <c r="Y1998" s="20" t="n"/>
      <c r="Z1998" s="19" t="inlineStr"/>
      <c r="AA1998" s="18">
        <f>IF(OR(V1998="Aprobada"),R1998,IF(AND(OR(V1998="Aprobada con ajuste",V1998="Rechazada"),W1998&lt;&gt;""),W1998,""))</f>
        <v/>
      </c>
    </row>
    <row r="1999">
      <c r="A1999" s="18" t="inlineStr">
        <is>
          <t>C1998</t>
        </is>
      </c>
      <c r="B1999" s="18" t="inlineStr">
        <is>
          <t>Control interno</t>
        </is>
      </c>
      <c r="C1999" s="18" t="inlineStr">
        <is>
          <t>control_interno</t>
        </is>
      </c>
      <c r="D1999" s="18" t="inlineStr">
        <is>
          <t>rol_plan_anual</t>
        </is>
      </c>
      <c r="E1999" s="18" t="n">
        <v>0</v>
      </c>
      <c r="F1999" s="18" t="inlineStr">
        <is>
          <t>email</t>
        </is>
      </c>
      <c r="G1999" s="18" t="inlineStr">
        <is>
          <t>character varying(255)</t>
        </is>
      </c>
      <c r="H1999" s="18" t="inlineStr">
        <is>
          <t>Sí</t>
        </is>
      </c>
      <c r="I1999" s="18" t="inlineStr"/>
      <c r="J1999" s="18" t="inlineStr"/>
      <c r="K1999" s="18" t="inlineStr"/>
      <c r="L1999" s="18" t="inlineStr">
        <is>
          <t>No</t>
        </is>
      </c>
      <c r="M1999" s="18" t="inlineStr">
        <is>
          <t>No</t>
        </is>
      </c>
      <c r="N1999" s="18" t="inlineStr"/>
      <c r="O1999" s="18" t="inlineStr"/>
      <c r="P1999" s="18" t="inlineStr"/>
      <c r="Q1999" s="18" t="inlineStr">
        <is>
          <t>Regla estructural</t>
        </is>
      </c>
      <c r="R1999" s="18" t="inlineStr">
        <is>
          <t>Correo electrónico.</t>
        </is>
      </c>
      <c r="S1999" s="18" t="inlineStr">
        <is>
          <t>Media</t>
        </is>
      </c>
      <c r="T1999" s="18" t="inlineStr">
        <is>
          <t>Convención de nombre de la columna.</t>
        </is>
      </c>
      <c r="U1999" s="18" t="inlineStr"/>
      <c r="V1999" s="19" t="inlineStr">
        <is>
          <t>Pendiente</t>
        </is>
      </c>
      <c r="W1999" s="19" t="inlineStr"/>
      <c r="X1999" s="19" t="inlineStr"/>
      <c r="Y1999" s="20" t="n"/>
      <c r="Z1999" s="19" t="inlineStr"/>
      <c r="AA1999" s="18">
        <f>IF(OR(V1999="Aprobada"),R1999,IF(AND(OR(V1999="Aprobada con ajuste",V1999="Rechazada"),W1999&lt;&gt;""),W1999,""))</f>
        <v/>
      </c>
    </row>
    <row r="2000">
      <c r="A2000" s="18" t="inlineStr">
        <is>
          <t>C1999</t>
        </is>
      </c>
      <c r="B2000" s="18" t="inlineStr">
        <is>
          <t>Control interno</t>
        </is>
      </c>
      <c r="C2000" s="18" t="inlineStr">
        <is>
          <t>control_interno</t>
        </is>
      </c>
      <c r="D2000" s="18" t="inlineStr">
        <is>
          <t>rol_plan_anual</t>
        </is>
      </c>
      <c r="E2000" s="18" t="n">
        <v>0</v>
      </c>
      <c r="F2000" s="18" t="inlineStr">
        <is>
          <t>disponibilidad</t>
        </is>
      </c>
      <c r="G2000" s="18" t="inlineStr">
        <is>
          <t>character varying(50)</t>
        </is>
      </c>
      <c r="H2000" s="18" t="inlineStr">
        <is>
          <t>Sí</t>
        </is>
      </c>
      <c r="I2000" s="18" t="inlineStr">
        <is>
          <t>CHECK</t>
        </is>
      </c>
      <c r="J2000" s="18" t="inlineStr">
        <is>
          <t>disponible, no-disponible, parcial</t>
        </is>
      </c>
      <c r="K2000" s="18" t="inlineStr"/>
      <c r="L2000" s="18" t="inlineStr">
        <is>
          <t>Sí</t>
        </is>
      </c>
      <c r="M2000" s="18" t="inlineStr">
        <is>
          <t>No</t>
        </is>
      </c>
      <c r="N2000" s="18" t="inlineStr"/>
      <c r="O2000" s="18" t="inlineStr"/>
      <c r="P2000" s="18" t="inlineStr"/>
      <c r="Q2000" s="18" t="inlineStr">
        <is>
          <t>Propuesta semántica</t>
        </is>
      </c>
      <c r="R2000" s="18" t="inlineStr">
        <is>
          <t>Disponibilidad del auditor en el plan anual. Valores permitidos: disponible, parcial, no-disponible.</t>
        </is>
      </c>
      <c r="S2000" s="18" t="inlineStr">
        <is>
          <t>Alta</t>
        </is>
      </c>
      <c r="T2000" s="18" t="inlineStr">
        <is>
          <t>valores permitidos del CHECK</t>
        </is>
      </c>
      <c r="U2000" s="18" t="inlineStr"/>
      <c r="V2000" s="19" t="inlineStr">
        <is>
          <t>Pendiente</t>
        </is>
      </c>
      <c r="W2000" s="19" t="inlineStr"/>
      <c r="X2000" s="19" t="inlineStr"/>
      <c r="Y2000" s="20" t="n"/>
      <c r="Z2000" s="19" t="inlineStr"/>
      <c r="AA2000" s="18">
        <f>IF(OR(V2000="Aprobada"),R2000,IF(AND(OR(V2000="Aprobada con ajuste",V2000="Rechazada"),W2000&lt;&gt;""),W2000,""))</f>
        <v/>
      </c>
    </row>
    <row r="2001">
      <c r="A2001" s="18" t="inlineStr">
        <is>
          <t>C2000</t>
        </is>
      </c>
      <c r="B2001" s="18" t="inlineStr">
        <is>
          <t>Control interno</t>
        </is>
      </c>
      <c r="C2001" s="18" t="inlineStr">
        <is>
          <t>control_interno</t>
        </is>
      </c>
      <c r="D2001" s="18" t="inlineStr">
        <is>
          <t>rol_plan_anual</t>
        </is>
      </c>
      <c r="E2001" s="18" t="n">
        <v>0</v>
      </c>
      <c r="F2001" s="18" t="inlineStr">
        <is>
          <t>horas_totales</t>
        </is>
      </c>
      <c r="G2001" s="18" t="inlineStr">
        <is>
          <t>integer</t>
        </is>
      </c>
      <c r="H2001" s="18" t="inlineStr">
        <is>
          <t>Sí</t>
        </is>
      </c>
      <c r="I2001" s="18" t="inlineStr"/>
      <c r="J2001" s="18" t="inlineStr"/>
      <c r="K2001" s="18" t="inlineStr"/>
      <c r="L2001" s="18" t="inlineStr">
        <is>
          <t>No</t>
        </is>
      </c>
      <c r="M2001" s="18" t="inlineStr">
        <is>
          <t>No</t>
        </is>
      </c>
      <c r="N2001" s="18" t="inlineStr"/>
      <c r="O2001" s="18" t="inlineStr"/>
      <c r="P2001" s="18" t="inlineStr"/>
      <c r="Q2001" s="18" t="inlineStr">
        <is>
          <t>Propuesta semántica</t>
        </is>
      </c>
      <c r="R2001" s="18" t="inlineStr">
        <is>
          <t>Horas totales disponibles del auditor en el año. Valor por defecto: 1800.</t>
        </is>
      </c>
      <c r="S2001" s="18" t="inlineStr">
        <is>
          <t>Media</t>
        </is>
      </c>
      <c r="T2001" s="18" t="inlineStr">
        <is>
          <t>nombre + defecto</t>
        </is>
      </c>
      <c r="U2001" s="18" t="inlineStr">
        <is>
          <t>¿Las 1800 horas corresponden a la jornada anual del auditor?</t>
        </is>
      </c>
      <c r="V2001" s="19" t="inlineStr">
        <is>
          <t>Pendiente</t>
        </is>
      </c>
      <c r="W2001" s="19" t="inlineStr"/>
      <c r="X2001" s="19" t="inlineStr"/>
      <c r="Y2001" s="20" t="n"/>
      <c r="Z2001" s="19" t="inlineStr"/>
      <c r="AA2001" s="18">
        <f>IF(OR(V2001="Aprobada"),R2001,IF(AND(OR(V2001="Aprobada con ajuste",V2001="Rechazada"),W2001&lt;&gt;""),W2001,""))</f>
        <v/>
      </c>
    </row>
    <row r="2002">
      <c r="A2002" s="18" t="inlineStr">
        <is>
          <t>C2001</t>
        </is>
      </c>
      <c r="B2002" s="18" t="inlineStr">
        <is>
          <t>Control interno</t>
        </is>
      </c>
      <c r="C2002" s="18" t="inlineStr">
        <is>
          <t>control_interno</t>
        </is>
      </c>
      <c r="D2002" s="18" t="inlineStr">
        <is>
          <t>rol_plan_anual</t>
        </is>
      </c>
      <c r="E2002" s="18" t="n">
        <v>0</v>
      </c>
      <c r="F2002" s="18" t="inlineStr">
        <is>
          <t>horas_asignadas</t>
        </is>
      </c>
      <c r="G2002" s="18" t="inlineStr">
        <is>
          <t>integer</t>
        </is>
      </c>
      <c r="H2002" s="18" t="inlineStr">
        <is>
          <t>Sí</t>
        </is>
      </c>
      <c r="I2002" s="18" t="inlineStr"/>
      <c r="J2002" s="18" t="inlineStr"/>
      <c r="K2002" s="18" t="inlineStr"/>
      <c r="L2002" s="18" t="inlineStr">
        <is>
          <t>No</t>
        </is>
      </c>
      <c r="M2002" s="18" t="inlineStr">
        <is>
          <t>No</t>
        </is>
      </c>
      <c r="N2002" s="18" t="inlineStr"/>
      <c r="O2002" s="18" t="inlineStr"/>
      <c r="P2002" s="18" t="inlineStr"/>
      <c r="Q2002" s="18" t="inlineStr">
        <is>
          <t>Propuesta semántica</t>
        </is>
      </c>
      <c r="R2002" s="18" t="inlineStr">
        <is>
          <t>Horas del auditor ya asignadas a auditorías.</t>
        </is>
      </c>
      <c r="S2002" s="18" t="inlineStr">
        <is>
          <t>Alta</t>
        </is>
      </c>
      <c r="T2002" s="18" t="inlineStr">
        <is>
          <t>nombre + tipo + columnas vecinas</t>
        </is>
      </c>
      <c r="U2002" s="18" t="inlineStr"/>
      <c r="V2002" s="19" t="inlineStr">
        <is>
          <t>Pendiente</t>
        </is>
      </c>
      <c r="W2002" s="19" t="inlineStr"/>
      <c r="X2002" s="19" t="inlineStr"/>
      <c r="Y2002" s="20" t="n"/>
      <c r="Z2002" s="19" t="inlineStr"/>
      <c r="AA2002" s="18">
        <f>IF(OR(V2002="Aprobada"),R2002,IF(AND(OR(V2002="Aprobada con ajuste",V2002="Rechazada"),W2002&lt;&gt;""),W2002,""))</f>
        <v/>
      </c>
    </row>
    <row r="2003">
      <c r="A2003" s="18" t="inlineStr">
        <is>
          <t>C2002</t>
        </is>
      </c>
      <c r="B2003" s="18" t="inlineStr">
        <is>
          <t>Control interno</t>
        </is>
      </c>
      <c r="C2003" s="18" t="inlineStr">
        <is>
          <t>control_interno</t>
        </is>
      </c>
      <c r="D2003" s="18" t="inlineStr">
        <is>
          <t>rol_plan_anual</t>
        </is>
      </c>
      <c r="E2003" s="18" t="n">
        <v>0</v>
      </c>
      <c r="F2003" s="18" t="inlineStr">
        <is>
          <t>auditorias_asignadas</t>
        </is>
      </c>
      <c r="G2003" s="18" t="inlineStr">
        <is>
          <t>integer</t>
        </is>
      </c>
      <c r="H2003" s="18" t="inlineStr">
        <is>
          <t>Sí</t>
        </is>
      </c>
      <c r="I2003" s="18" t="inlineStr"/>
      <c r="J2003" s="18" t="inlineStr"/>
      <c r="K2003" s="18" t="inlineStr"/>
      <c r="L2003" s="18" t="inlineStr">
        <is>
          <t>No</t>
        </is>
      </c>
      <c r="M2003" s="18" t="inlineStr">
        <is>
          <t>No</t>
        </is>
      </c>
      <c r="N2003" s="18" t="inlineStr"/>
      <c r="O2003" s="18" t="inlineStr"/>
      <c r="P2003" s="18" t="inlineStr"/>
      <c r="Q2003" s="18" t="inlineStr">
        <is>
          <t>Propuesta semántica</t>
        </is>
      </c>
      <c r="R2003" s="18" t="inlineStr">
        <is>
          <t>Cantidad de auditorías asignadas al auditor.</t>
        </is>
      </c>
      <c r="S2003" s="18" t="inlineStr">
        <is>
          <t>Alta</t>
        </is>
      </c>
      <c r="T2003" s="18" t="inlineStr">
        <is>
          <t>nombre + tipo + columnas vecinas</t>
        </is>
      </c>
      <c r="U2003" s="18" t="inlineStr"/>
      <c r="V2003" s="19" t="inlineStr">
        <is>
          <t>Pendiente</t>
        </is>
      </c>
      <c r="W2003" s="19" t="inlineStr"/>
      <c r="X2003" s="19" t="inlineStr"/>
      <c r="Y2003" s="20" t="n"/>
      <c r="Z2003" s="19" t="inlineStr"/>
      <c r="AA2003" s="18">
        <f>IF(OR(V2003="Aprobada"),R2003,IF(AND(OR(V2003="Aprobada con ajuste",V2003="Rechazada"),W2003&lt;&gt;""),W2003,""))</f>
        <v/>
      </c>
    </row>
    <row r="2004">
      <c r="A2004" s="18" t="inlineStr">
        <is>
          <t>C2003</t>
        </is>
      </c>
      <c r="B2004" s="18" t="inlineStr">
        <is>
          <t>Control interno</t>
        </is>
      </c>
      <c r="C2004" s="18" t="inlineStr">
        <is>
          <t>control_interno</t>
        </is>
      </c>
      <c r="D2004" s="18" t="inlineStr">
        <is>
          <t>rol_plan_anual_5</t>
        </is>
      </c>
      <c r="E2004" s="18" t="n">
        <v>405</v>
      </c>
      <c r="F2004" s="18" t="inlineStr">
        <is>
          <t>plan_id</t>
        </is>
      </c>
      <c r="G2004" s="18" t="inlineStr">
        <is>
          <t>uuid</t>
        </is>
      </c>
      <c r="H2004" s="18" t="inlineStr">
        <is>
          <t>No</t>
        </is>
      </c>
      <c r="I2004" s="18" t="inlineStr"/>
      <c r="J2004" s="18" t="inlineStr"/>
      <c r="K2004" s="18" t="inlineStr"/>
      <c r="L2004" s="18" t="inlineStr">
        <is>
          <t>No</t>
        </is>
      </c>
      <c r="M2004" s="18" t="inlineStr">
        <is>
          <t>Sí</t>
        </is>
      </c>
      <c r="N2004" s="18" t="inlineStr">
        <is>
          <t>Función control_interno.fn_actualizar_cumplimiento_auditorias_vigencia; Función control_interno.fn_configurar_actividad_auditorias_plan; Vista control_interno.v_estado_vinculacion_auditorias — control_interno.fn_actualizar_cumplimiento_auditorias_vigencia: INNER JOIN control_interno.plan_anual_5_roles p ON r.plan_id = p.id | control_interno.fn_configurar_actividad_auditorias_plan: WHERE r.plan_id = p_plan_id</t>
        </is>
      </c>
      <c r="O2004" s="18" t="inlineStr">
        <is>
          <t>idx_rol_plan_5_plan, rol_plan_anual_5_plan_id_rol_numero_key</t>
        </is>
      </c>
      <c r="P2004" s="18" t="inlineStr">
        <is>
          <t>Mapeada en internal-institutional-control-service/src/esap/plan-anual-5-roles/entities/rol-plan-anual-5.entity.ts:22 (RolPlanAnual5.planId)</t>
        </is>
      </c>
      <c r="Q2004" s="18" t="inlineStr">
        <is>
          <t>Propuesta semántica</t>
        </is>
      </c>
      <c r="R2004" s="18" t="inlineStr">
        <is>
          <t>Identificador del plan anual al que pertenece el rol (control_interno.plan_anual_5_roles).</t>
        </is>
      </c>
      <c r="S2004" s="18" t="inlineStr">
        <is>
          <t>Alta</t>
        </is>
      </c>
      <c r="T2004" s="18" t="inlineStr">
        <is>
          <t>uso en fn_actualizar_cumplimiento_auditorias_vigencia (JOIN con plan_anual_5_roles)</t>
        </is>
      </c>
      <c r="U2004" s="18" t="inlineStr"/>
      <c r="V2004" s="19" t="inlineStr">
        <is>
          <t>Pendiente</t>
        </is>
      </c>
      <c r="W2004" s="19" t="inlineStr"/>
      <c r="X2004" s="19" t="inlineStr"/>
      <c r="Y2004" s="20" t="n"/>
      <c r="Z2004" s="19" t="inlineStr"/>
      <c r="AA2004" s="18">
        <f>IF(OR(V2004="Aprobada"),R2004,IF(AND(OR(V2004="Aprobada con ajuste",V2004="Rechazada"),W2004&lt;&gt;""),W2004,""))</f>
        <v/>
      </c>
    </row>
    <row r="2005">
      <c r="A2005" s="18" t="inlineStr">
        <is>
          <t>C2004</t>
        </is>
      </c>
      <c r="B2005" s="18" t="inlineStr">
        <is>
          <t>Control interno</t>
        </is>
      </c>
      <c r="C2005" s="18" t="inlineStr">
        <is>
          <t>control_interno</t>
        </is>
      </c>
      <c r="D2005" s="18" t="inlineStr">
        <is>
          <t>rol_plan_anual_5</t>
        </is>
      </c>
      <c r="E2005" s="18" t="n">
        <v>405</v>
      </c>
      <c r="F2005" s="18" t="inlineStr">
        <is>
          <t>rol_numero</t>
        </is>
      </c>
      <c r="G2005" s="18" t="inlineStr">
        <is>
          <t>integer</t>
        </is>
      </c>
      <c r="H2005" s="18" t="inlineStr">
        <is>
          <t>No</t>
        </is>
      </c>
      <c r="I2005" s="18" t="inlineStr">
        <is>
          <t>CHECK</t>
        </is>
      </c>
      <c r="J2005" s="18" t="inlineStr"/>
      <c r="K2005" s="18" t="inlineStr"/>
      <c r="L2005" s="18" t="inlineStr">
        <is>
          <t>No</t>
        </is>
      </c>
      <c r="M2005" s="18" t="inlineStr">
        <is>
          <t>Sí</t>
        </is>
      </c>
      <c r="N2005" s="18" t="inlineStr">
        <is>
          <t>Función control_interno.fn_actualizar_cumplimiento_auditorias_vigencia; Función control_interno.fn_configurar_actividad_auditorias_plan; Vista control_interno.v_estado_vinculacion_auditorias — control_interno.fn_actualizar_cumplimiento_auditorias_vigencia: WHERE r.rol_numero = 4 | control_interno.fn_configurar_actividad_auditorias_plan: AND r.rol_numero = 4</t>
        </is>
      </c>
      <c r="O2005" s="18" t="inlineStr">
        <is>
          <t>rol_plan_anual_5_plan_id_rol_numero_key</t>
        </is>
      </c>
      <c r="P2005" s="18" t="inlineStr">
        <is>
          <t>internal-institutional-control-service/src/esap/plan-anual-5-roles/entities/rol-plan-anual-5.entity.ts:30: 1-5</t>
        </is>
      </c>
      <c r="Q2005" s="18" t="inlineStr">
        <is>
          <t>Código fuente</t>
        </is>
      </c>
      <c r="R2005" s="18" t="inlineStr">
        <is>
          <t>Número del rol dentro del plan anual, de 1 a 5; único por plan. Las funciones de cumplimiento de auditorías usan el rol 4.</t>
        </is>
      </c>
      <c r="S2005" s="18" t="inlineStr">
        <is>
          <t>Alta</t>
        </is>
      </c>
      <c r="T2005" s="18" t="inlineStr">
        <is>
          <t>código: internal-institutional-control-service/src/esap/plan-anual-5-roles/entities/rol-plan-anual-5.entity.ts:30; uso en la función control_interno.fn_actualizar_cumplimiento_auditorias_vigencia</t>
        </is>
      </c>
      <c r="U2005" s="18" t="inlineStr"/>
      <c r="V2005" s="19" t="inlineStr">
        <is>
          <t>Pendiente</t>
        </is>
      </c>
      <c r="W2005" s="19" t="inlineStr"/>
      <c r="X2005" s="19" t="inlineStr"/>
      <c r="Y2005" s="20" t="n"/>
      <c r="Z2005" s="19" t="inlineStr"/>
      <c r="AA2005" s="18">
        <f>IF(OR(V2005="Aprobada"),R2005,IF(AND(OR(V2005="Aprobada con ajuste",V2005="Rechazada"),W2005&lt;&gt;""),W2005,""))</f>
        <v/>
      </c>
    </row>
    <row r="2006">
      <c r="A2006" s="18" t="inlineStr">
        <is>
          <t>C2005</t>
        </is>
      </c>
      <c r="B2006" s="18" t="inlineStr">
        <is>
          <t>Control interno</t>
        </is>
      </c>
      <c r="C2006" s="18" t="inlineStr">
        <is>
          <t>control_interno</t>
        </is>
      </c>
      <c r="D2006" s="18" t="inlineStr">
        <is>
          <t>rol_plan_anual_5</t>
        </is>
      </c>
      <c r="E2006" s="18" t="n">
        <v>405</v>
      </c>
      <c r="F2006" s="18" t="inlineStr">
        <is>
          <t>nombre</t>
        </is>
      </c>
      <c r="G2006" s="18" t="inlineStr">
        <is>
          <t>character varying(255)</t>
        </is>
      </c>
      <c r="H2006" s="18" t="inlineStr">
        <is>
          <t>No</t>
        </is>
      </c>
      <c r="I2006" s="18" t="inlineStr"/>
      <c r="J2006" s="18" t="inlineStr"/>
      <c r="K2006" s="18" t="inlineStr"/>
      <c r="L2006" s="18" t="inlineStr">
        <is>
          <t>No</t>
        </is>
      </c>
      <c r="M2006" s="18" t="inlineStr">
        <is>
          <t>Sí</t>
        </is>
      </c>
      <c r="N2006" s="18" t="inlineStr">
        <is>
          <t>Función control_interno.fn_configurar_actividad_auditorias_plan; Vista control_interno.v_estado_vinculacion_auditorias — control_interno.fn_configurar_actividad_auditorias_plan: LOWER(a.nombre) LIKE '%auditoría%'</t>
        </is>
      </c>
      <c r="O2006" s="18" t="inlineStr"/>
      <c r="P2006" s="18" t="inlineStr">
        <is>
          <t>Mapeada en internal-institutional-control-service/src/esap/plan-anual-5-roles/entities/rol-plan-anual-5.entity.ts:33 (RolPlanAnual5.nombre) | Validación: IsNotEmpty, IsNotEmpty({ message: 'El nombre del documento es obligatorio' }), IsOptional, IsString, Length(1, 500), MaxLength(120)</t>
        </is>
      </c>
      <c r="Q2006" s="18" t="inlineStr">
        <is>
          <t>Regla estructural</t>
        </is>
      </c>
      <c r="R2006" s="18" t="inlineStr">
        <is>
          <t>Nombre del registro de rol_plan_anual_5.</t>
        </is>
      </c>
      <c r="S2006" s="18" t="inlineStr">
        <is>
          <t>Media</t>
        </is>
      </c>
      <c r="T2006" s="18" t="inlineStr">
        <is>
          <t>Convención de nombre de la columna.</t>
        </is>
      </c>
      <c r="U2006" s="18" t="inlineStr"/>
      <c r="V2006" s="19" t="inlineStr">
        <is>
          <t>Pendiente</t>
        </is>
      </c>
      <c r="W2006" s="19" t="inlineStr"/>
      <c r="X2006" s="19" t="inlineStr"/>
      <c r="Y2006" s="20" t="n"/>
      <c r="Z2006" s="19" t="inlineStr"/>
      <c r="AA2006" s="18">
        <f>IF(OR(V2006="Aprobada"),R2006,IF(AND(OR(V2006="Aprobada con ajuste",V2006="Rechazada"),W2006&lt;&gt;""),W2006,""))</f>
        <v/>
      </c>
    </row>
    <row r="2007">
      <c r="A2007" s="18" t="inlineStr">
        <is>
          <t>C2006</t>
        </is>
      </c>
      <c r="B2007" s="18" t="inlineStr">
        <is>
          <t>Control interno</t>
        </is>
      </c>
      <c r="C2007" s="18" t="inlineStr">
        <is>
          <t>control_interno</t>
        </is>
      </c>
      <c r="D2007" s="18" t="inlineStr">
        <is>
          <t>rol_plan_anual_5</t>
        </is>
      </c>
      <c r="E2007" s="18" t="n">
        <v>405</v>
      </c>
      <c r="F2007" s="18" t="inlineStr">
        <is>
          <t>descripcion</t>
        </is>
      </c>
      <c r="G2007" s="18" t="inlineStr">
        <is>
          <t>text</t>
        </is>
      </c>
      <c r="H2007" s="18" t="inlineStr">
        <is>
          <t>No</t>
        </is>
      </c>
      <c r="I2007" s="18" t="inlineStr"/>
      <c r="J2007" s="18" t="inlineStr"/>
      <c r="K2007" s="18" t="inlineStr"/>
      <c r="L2007" s="18" t="inlineStr">
        <is>
          <t>No</t>
        </is>
      </c>
      <c r="M2007" s="18" t="inlineStr">
        <is>
          <t>No</t>
        </is>
      </c>
      <c r="N2007" s="18" t="inlineStr"/>
      <c r="O2007" s="18" t="inlineStr"/>
      <c r="P2007" s="18" t="inlineStr">
        <is>
          <t>Mapeada en internal-institutional-control-service/src/esap/plan-anual-5-roles/entities/rol-plan-anual-5.entity.ts:36 (RolPlanAnual5.descripcion) | Validación: IsNotEmpty, IsOptional, IsString</t>
        </is>
      </c>
      <c r="Q2007" s="18" t="inlineStr">
        <is>
          <t>Regla estructural</t>
        </is>
      </c>
      <c r="R2007" s="18" t="inlineStr">
        <is>
          <t>Descripción del registro de rol_plan_anual_5.</t>
        </is>
      </c>
      <c r="S2007" s="18" t="inlineStr">
        <is>
          <t>Media</t>
        </is>
      </c>
      <c r="T2007" s="18" t="inlineStr">
        <is>
          <t>Convención de nombre de la columna.</t>
        </is>
      </c>
      <c r="U2007" s="18" t="inlineStr"/>
      <c r="V2007" s="19" t="inlineStr">
        <is>
          <t>Pendiente</t>
        </is>
      </c>
      <c r="W2007" s="19" t="inlineStr"/>
      <c r="X2007" s="19" t="inlineStr"/>
      <c r="Y2007" s="20" t="n"/>
      <c r="Z2007" s="19" t="inlineStr"/>
      <c r="AA2007" s="18">
        <f>IF(OR(V2007="Aprobada"),R2007,IF(AND(OR(V2007="Aprobada con ajuste",V2007="Rechazada"),W2007&lt;&gt;""),W2007,""))</f>
        <v/>
      </c>
    </row>
    <row r="2008">
      <c r="A2008" s="18" t="inlineStr">
        <is>
          <t>C2007</t>
        </is>
      </c>
      <c r="B2008" s="18" t="inlineStr">
        <is>
          <t>Control interno</t>
        </is>
      </c>
      <c r="C2008" s="18" t="inlineStr">
        <is>
          <t>control_interno</t>
        </is>
      </c>
      <c r="D2008" s="18" t="inlineStr">
        <is>
          <t>rol_plan_anual_5</t>
        </is>
      </c>
      <c r="E2008" s="18" t="n">
        <v>405</v>
      </c>
      <c r="F2008" s="18" t="inlineStr">
        <is>
          <t>color</t>
        </is>
      </c>
      <c r="G2008" s="18" t="inlineStr">
        <is>
          <t>character varying(7)</t>
        </is>
      </c>
      <c r="H2008" s="18" t="inlineStr">
        <is>
          <t>No</t>
        </is>
      </c>
      <c r="I2008" s="18" t="inlineStr"/>
      <c r="J2008" s="18" t="inlineStr"/>
      <c r="K2008" s="18" t="inlineStr"/>
      <c r="L2008" s="18" t="inlineStr">
        <is>
          <t>No</t>
        </is>
      </c>
      <c r="M2008" s="18" t="inlineStr">
        <is>
          <t>No</t>
        </is>
      </c>
      <c r="N2008" s="18" t="inlineStr"/>
      <c r="O2008" s="18" t="inlineStr"/>
      <c r="P2008" s="18" t="inlineStr">
        <is>
          <t>Mapeada en internal-institutional-control-service/src/esap/plan-anual-5-roles/entities/rol-plan-anual-5.entity.ts:39 (RolPlanAnual5.color) | Validación: IsOptional, IsString, MaxLength(120)</t>
        </is>
      </c>
      <c r="Q2008" s="18" t="inlineStr">
        <is>
          <t>Propuesta semántica</t>
        </is>
      </c>
      <c r="R2008" s="18" t="inlineStr">
        <is>
          <t>Color hexadecimal con que se muestra el rol en la interfaz. Valor por defecto: #3B82F6.</t>
        </is>
      </c>
      <c r="S2008" s="18" t="inlineStr">
        <is>
          <t>Alta</t>
        </is>
      </c>
      <c r="T2008" s="18" t="inlineStr">
        <is>
          <t>nombre + tipo + defecto</t>
        </is>
      </c>
      <c r="U2008" s="18" t="inlineStr"/>
      <c r="V2008" s="19" t="inlineStr">
        <is>
          <t>Pendiente</t>
        </is>
      </c>
      <c r="W2008" s="19" t="inlineStr"/>
      <c r="X2008" s="19" t="inlineStr"/>
      <c r="Y2008" s="20" t="n"/>
      <c r="Z2008" s="19" t="inlineStr"/>
      <c r="AA2008" s="18">
        <f>IF(OR(V2008="Aprobada"),R2008,IF(AND(OR(V2008="Aprobada con ajuste",V2008="Rechazada"),W2008&lt;&gt;""),W2008,""))</f>
        <v/>
      </c>
    </row>
    <row r="2009">
      <c r="A2009" s="18" t="inlineStr">
        <is>
          <t>C2008</t>
        </is>
      </c>
      <c r="B2009" s="18" t="inlineStr">
        <is>
          <t>Control interno</t>
        </is>
      </c>
      <c r="C2009" s="18" t="inlineStr">
        <is>
          <t>control_interno</t>
        </is>
      </c>
      <c r="D2009" s="18" t="inlineStr">
        <is>
          <t>rol_plan_anual_5</t>
        </is>
      </c>
      <c r="E2009" s="18" t="n">
        <v>405</v>
      </c>
      <c r="F2009" s="18" t="inlineStr">
        <is>
          <t>porcentaje_cumplimiento</t>
        </is>
      </c>
      <c r="G2009" s="18" t="inlineStr">
        <is>
          <t>integer</t>
        </is>
      </c>
      <c r="H2009" s="18" t="inlineStr">
        <is>
          <t>Sí</t>
        </is>
      </c>
      <c r="I2009" s="18" t="inlineStr"/>
      <c r="J2009" s="18" t="inlineStr"/>
      <c r="K2009" s="18" t="inlineStr"/>
      <c r="L2009" s="18" t="inlineStr">
        <is>
          <t>No</t>
        </is>
      </c>
      <c r="M2009" s="18" t="inlineStr">
        <is>
          <t>Sí</t>
        </is>
      </c>
      <c r="N2009" s="18" t="inlineStr">
        <is>
          <t>Función control_interno.fn_actualizar_cumplimiento_auditorias_vigencia — control_interno.fn_actualizar_cumplimiento_auditorias_vigencia: porcentaje_avance = v_cumplimiento.porcentaje_cumplimiento,</t>
        </is>
      </c>
      <c r="O2009" s="18" t="inlineStr"/>
      <c r="P2009" s="18" t="inlineStr">
        <is>
          <t>Mapeada en internal-institutional-control-service/src/esap/plan-anual-5-roles/entities/rol-plan-anual-5.entity.ts:42 (RolPlanAnual5.porcentaje_cumplimiento) | Validación: IsInt, IsOptional, Max(100), Min(0)</t>
        </is>
      </c>
      <c r="Q2009" s="18" t="inlineStr">
        <is>
          <t>Propuesta semántica</t>
        </is>
      </c>
      <c r="R2009" s="18" t="inlineStr">
        <is>
          <t>Porcentaje de cumplimiento del rol en el plan anual, entre 0 y 100.</t>
        </is>
      </c>
      <c r="S2009" s="18" t="inlineStr">
        <is>
          <t>Alta</t>
        </is>
      </c>
      <c r="T2009" s="18" t="inlineStr">
        <is>
          <t>validaciones + uso en fn_actualizar_cumplimiento_auditorias_vigencia</t>
        </is>
      </c>
      <c r="U2009" s="18" t="inlineStr"/>
      <c r="V2009" s="19" t="inlineStr">
        <is>
          <t>Pendiente</t>
        </is>
      </c>
      <c r="W2009" s="19" t="inlineStr"/>
      <c r="X2009" s="19" t="inlineStr"/>
      <c r="Y2009" s="20" t="n"/>
      <c r="Z2009" s="19" t="inlineStr"/>
      <c r="AA2009" s="18">
        <f>IF(OR(V2009="Aprobada"),R2009,IF(AND(OR(V2009="Aprobada con ajuste",V2009="Rechazada"),W2009&lt;&gt;""),W2009,""))</f>
        <v/>
      </c>
    </row>
    <row r="2010">
      <c r="A2010" s="18" t="inlineStr">
        <is>
          <t>C2009</t>
        </is>
      </c>
      <c r="B2010" s="18" t="inlineStr">
        <is>
          <t>Control interno</t>
        </is>
      </c>
      <c r="C2010" s="18" t="inlineStr">
        <is>
          <t>control_interno</t>
        </is>
      </c>
      <c r="D2010" s="18" t="inlineStr">
        <is>
          <t>rol_plan_anual_5</t>
        </is>
      </c>
      <c r="E2010" s="18" t="n">
        <v>405</v>
      </c>
      <c r="F2010" s="18" t="inlineStr">
        <is>
          <t>total_actividades</t>
        </is>
      </c>
      <c r="G2010" s="18" t="inlineStr">
        <is>
          <t>integer</t>
        </is>
      </c>
      <c r="H2010" s="18" t="inlineStr">
        <is>
          <t>Sí</t>
        </is>
      </c>
      <c r="I2010" s="18" t="inlineStr"/>
      <c r="J2010" s="18" t="inlineStr"/>
      <c r="K2010" s="18" t="inlineStr"/>
      <c r="L2010" s="18" t="inlineStr">
        <is>
          <t>No</t>
        </is>
      </c>
      <c r="M2010" s="18" t="inlineStr">
        <is>
          <t>No</t>
        </is>
      </c>
      <c r="N2010" s="18" t="inlineStr"/>
      <c r="O2010" s="18" t="inlineStr"/>
      <c r="P2010" s="18" t="inlineStr">
        <is>
          <t>Mapeada en internal-institutional-control-service/src/esap/plan-anual-5-roles/entities/rol-plan-anual-5.entity.ts:45 (RolPlanAnual5.total_actividades)</t>
        </is>
      </c>
      <c r="Q2010" s="18" t="inlineStr">
        <is>
          <t>Propuesta semántica</t>
        </is>
      </c>
      <c r="R2010" s="18" t="inlineStr">
        <is>
          <t>Cantidad total de actividades del rol en el plan anual.</t>
        </is>
      </c>
      <c r="S2010" s="18" t="inlineStr">
        <is>
          <t>Alta</t>
        </is>
      </c>
      <c r="T2010" s="18" t="inlineStr">
        <is>
          <t>nombre + tipo + columnas vecinas</t>
        </is>
      </c>
      <c r="U2010" s="18" t="inlineStr"/>
      <c r="V2010" s="19" t="inlineStr">
        <is>
          <t>Pendiente</t>
        </is>
      </c>
      <c r="W2010" s="19" t="inlineStr"/>
      <c r="X2010" s="19" t="inlineStr"/>
      <c r="Y2010" s="20" t="n"/>
      <c r="Z2010" s="19" t="inlineStr"/>
      <c r="AA2010" s="18">
        <f>IF(OR(V2010="Aprobada"),R2010,IF(AND(OR(V2010="Aprobada con ajuste",V2010="Rechazada"),W2010&lt;&gt;""),W2010,""))</f>
        <v/>
      </c>
    </row>
    <row r="2011">
      <c r="A2011" s="18" t="inlineStr">
        <is>
          <t>C2010</t>
        </is>
      </c>
      <c r="B2011" s="18" t="inlineStr">
        <is>
          <t>Control interno</t>
        </is>
      </c>
      <c r="C2011" s="18" t="inlineStr">
        <is>
          <t>control_interno</t>
        </is>
      </c>
      <c r="D2011" s="18" t="inlineStr">
        <is>
          <t>seccion_lista_chequeo</t>
        </is>
      </c>
      <c r="E2011" s="18" t="n">
        <v>0</v>
      </c>
      <c r="F2011" s="18" t="inlineStr">
        <is>
          <t>lista_id</t>
        </is>
      </c>
      <c r="G2011" s="18" t="inlineStr">
        <is>
          <t>uuid</t>
        </is>
      </c>
      <c r="H2011" s="18" t="inlineStr">
        <is>
          <t>No</t>
        </is>
      </c>
      <c r="I2011" s="18" t="inlineStr"/>
      <c r="J2011" s="18" t="inlineStr"/>
      <c r="K2011" s="18" t="inlineStr"/>
      <c r="L2011" s="18" t="inlineStr">
        <is>
          <t>No</t>
        </is>
      </c>
      <c r="M2011" s="18" t="inlineStr">
        <is>
          <t>No</t>
        </is>
      </c>
      <c r="N2011" s="18" t="inlineStr"/>
      <c r="O2011" s="18" t="inlineStr">
        <is>
          <t>idx_seccion_lista</t>
        </is>
      </c>
      <c r="P2011" s="18" t="inlineStr"/>
      <c r="Q2011" s="18" t="inlineStr">
        <is>
          <t>Propuesta semántica</t>
        </is>
      </c>
      <c r="R2011" s="18" t="inlineStr">
        <is>
          <t>Identificador de la lista de chequeo a la que pertenece la sección (control_interno.lista_chequeo).</t>
        </is>
      </c>
      <c r="S2011" s="18" t="inlineStr">
        <is>
          <t>Media</t>
        </is>
      </c>
      <c r="T2011" s="18" t="inlineStr">
        <is>
          <t>nombre + tipo + columnas vecinas</t>
        </is>
      </c>
      <c r="U2011" s="18" t="inlineStr">
        <is>
          <t>¿Se puede declarar la FK hacia control_interno.lista_chequeo(id)?</t>
        </is>
      </c>
      <c r="V2011" s="19" t="inlineStr">
        <is>
          <t>Pendiente</t>
        </is>
      </c>
      <c r="W2011" s="19" t="inlineStr"/>
      <c r="X2011" s="19" t="inlineStr"/>
      <c r="Y2011" s="20" t="n"/>
      <c r="Z2011" s="19" t="inlineStr"/>
      <c r="AA2011" s="18">
        <f>IF(OR(V2011="Aprobada"),R2011,IF(AND(OR(V2011="Aprobada con ajuste",V2011="Rechazada"),W2011&lt;&gt;""),W2011,""))</f>
        <v/>
      </c>
    </row>
    <row r="2012">
      <c r="A2012" s="18" t="inlineStr">
        <is>
          <t>C2011</t>
        </is>
      </c>
      <c r="B2012" s="18" t="inlineStr">
        <is>
          <t>Control interno</t>
        </is>
      </c>
      <c r="C2012" s="18" t="inlineStr">
        <is>
          <t>control_interno</t>
        </is>
      </c>
      <c r="D2012" s="18" t="inlineStr">
        <is>
          <t>seccion_lista_chequeo</t>
        </is>
      </c>
      <c r="E2012" s="18" t="n">
        <v>0</v>
      </c>
      <c r="F2012" s="18" t="inlineStr">
        <is>
          <t>orden</t>
        </is>
      </c>
      <c r="G2012" s="18" t="inlineStr">
        <is>
          <t>integer</t>
        </is>
      </c>
      <c r="H2012" s="18" t="inlineStr">
        <is>
          <t>No</t>
        </is>
      </c>
      <c r="I2012" s="18" t="inlineStr"/>
      <c r="J2012" s="18" t="inlineStr"/>
      <c r="K2012" s="18" t="inlineStr"/>
      <c r="L2012" s="18" t="inlineStr">
        <is>
          <t>No</t>
        </is>
      </c>
      <c r="M2012" s="18" t="inlineStr">
        <is>
          <t>No</t>
        </is>
      </c>
      <c r="N2012" s="18" t="inlineStr"/>
      <c r="O2012" s="18" t="inlineStr"/>
      <c r="P2012" s="18" t="inlineStr"/>
      <c r="Q2012" s="18" t="inlineStr">
        <is>
          <t>Regla estructural</t>
        </is>
      </c>
      <c r="R2012" s="18" t="inlineStr">
        <is>
          <t>Posición del registro para su ordenamiento.</t>
        </is>
      </c>
      <c r="S2012" s="18" t="inlineStr">
        <is>
          <t>Media</t>
        </is>
      </c>
      <c r="T2012" s="18" t="inlineStr">
        <is>
          <t>Convención de nombre de la columna.</t>
        </is>
      </c>
      <c r="U2012" s="18" t="inlineStr"/>
      <c r="V2012" s="19" t="inlineStr">
        <is>
          <t>Pendiente</t>
        </is>
      </c>
      <c r="W2012" s="19" t="inlineStr"/>
      <c r="X2012" s="19" t="inlineStr"/>
      <c r="Y2012" s="20" t="n"/>
      <c r="Z2012" s="19" t="inlineStr"/>
      <c r="AA2012" s="18">
        <f>IF(OR(V2012="Aprobada"),R2012,IF(AND(OR(V2012="Aprobada con ajuste",V2012="Rechazada"),W2012&lt;&gt;""),W2012,""))</f>
        <v/>
      </c>
    </row>
    <row r="2013">
      <c r="A2013" s="18" t="inlineStr">
        <is>
          <t>C2012</t>
        </is>
      </c>
      <c r="B2013" s="18" t="inlineStr">
        <is>
          <t>Control interno</t>
        </is>
      </c>
      <c r="C2013" s="18" t="inlineStr">
        <is>
          <t>control_interno</t>
        </is>
      </c>
      <c r="D2013" s="18" t="inlineStr">
        <is>
          <t>seccion_lista_chequeo</t>
        </is>
      </c>
      <c r="E2013" s="18" t="n">
        <v>0</v>
      </c>
      <c r="F2013" s="18" t="inlineStr">
        <is>
          <t>nombre</t>
        </is>
      </c>
      <c r="G2013" s="18" t="inlineStr">
        <is>
          <t>character varying(255)</t>
        </is>
      </c>
      <c r="H2013" s="18" t="inlineStr">
        <is>
          <t>No</t>
        </is>
      </c>
      <c r="I2013" s="18" t="inlineStr"/>
      <c r="J2013" s="18" t="inlineStr"/>
      <c r="K2013" s="18" t="inlineStr"/>
      <c r="L2013" s="18" t="inlineStr">
        <is>
          <t>No</t>
        </is>
      </c>
      <c r="M2013" s="18" t="inlineStr">
        <is>
          <t>No</t>
        </is>
      </c>
      <c r="N2013" s="18" t="inlineStr"/>
      <c r="O2013" s="18" t="inlineStr"/>
      <c r="P2013" s="18" t="inlineStr"/>
      <c r="Q2013" s="18" t="inlineStr">
        <is>
          <t>Regla estructural</t>
        </is>
      </c>
      <c r="R2013" s="18" t="inlineStr">
        <is>
          <t>Nombre del registro de seccion_lista_chequeo.</t>
        </is>
      </c>
      <c r="S2013" s="18" t="inlineStr">
        <is>
          <t>Media</t>
        </is>
      </c>
      <c r="T2013" s="18" t="inlineStr">
        <is>
          <t>Convención de nombre de la columna.</t>
        </is>
      </c>
      <c r="U2013" s="18" t="inlineStr"/>
      <c r="V2013" s="19" t="inlineStr">
        <is>
          <t>Pendiente</t>
        </is>
      </c>
      <c r="W2013" s="19" t="inlineStr"/>
      <c r="X2013" s="19" t="inlineStr"/>
      <c r="Y2013" s="20" t="n"/>
      <c r="Z2013" s="19" t="inlineStr"/>
      <c r="AA2013" s="18">
        <f>IF(OR(V2013="Aprobada"),R2013,IF(AND(OR(V2013="Aprobada con ajuste",V2013="Rechazada"),W2013&lt;&gt;""),W2013,""))</f>
        <v/>
      </c>
    </row>
    <row r="2014">
      <c r="A2014" s="18" t="inlineStr">
        <is>
          <t>C2013</t>
        </is>
      </c>
      <c r="B2014" s="18" t="inlineStr">
        <is>
          <t>Control interno</t>
        </is>
      </c>
      <c r="C2014" s="18" t="inlineStr">
        <is>
          <t>control_interno</t>
        </is>
      </c>
      <c r="D2014" s="18" t="inlineStr">
        <is>
          <t>seccion_lista_chequeo</t>
        </is>
      </c>
      <c r="E2014" s="18" t="n">
        <v>0</v>
      </c>
      <c r="F2014" s="18" t="inlineStr">
        <is>
          <t>descripcion</t>
        </is>
      </c>
      <c r="G2014" s="18" t="inlineStr">
        <is>
          <t>text</t>
        </is>
      </c>
      <c r="H2014" s="18" t="inlineStr">
        <is>
          <t>Sí</t>
        </is>
      </c>
      <c r="I2014" s="18" t="inlineStr"/>
      <c r="J2014" s="18" t="inlineStr"/>
      <c r="K2014" s="18" t="inlineStr"/>
      <c r="L2014" s="18" t="inlineStr">
        <is>
          <t>No</t>
        </is>
      </c>
      <c r="M2014" s="18" t="inlineStr">
        <is>
          <t>No</t>
        </is>
      </c>
      <c r="N2014" s="18" t="inlineStr"/>
      <c r="O2014" s="18" t="inlineStr"/>
      <c r="P2014" s="18" t="inlineStr"/>
      <c r="Q2014" s="18" t="inlineStr">
        <is>
          <t>Regla estructural</t>
        </is>
      </c>
      <c r="R2014" s="18" t="inlineStr">
        <is>
          <t>Descripción del registro de seccion_lista_chequeo.</t>
        </is>
      </c>
      <c r="S2014" s="18" t="inlineStr">
        <is>
          <t>Media</t>
        </is>
      </c>
      <c r="T2014" s="18" t="inlineStr">
        <is>
          <t>Convención de nombre de la columna.</t>
        </is>
      </c>
      <c r="U2014" s="18" t="inlineStr"/>
      <c r="V2014" s="19" t="inlineStr">
        <is>
          <t>Pendiente</t>
        </is>
      </c>
      <c r="W2014" s="19" t="inlineStr"/>
      <c r="X2014" s="19" t="inlineStr"/>
      <c r="Y2014" s="20" t="n"/>
      <c r="Z2014" s="19" t="inlineStr"/>
      <c r="AA2014" s="18">
        <f>IF(OR(V2014="Aprobada"),R2014,IF(AND(OR(V2014="Aprobada con ajuste",V2014="Rechazada"),W2014&lt;&gt;""),W2014,""))</f>
        <v/>
      </c>
    </row>
    <row r="2015">
      <c r="A2015" s="18" t="inlineStr">
        <is>
          <t>C2014</t>
        </is>
      </c>
      <c r="B2015" s="18" t="inlineStr">
        <is>
          <t>Control interno</t>
        </is>
      </c>
      <c r="C2015" s="18" t="inlineStr">
        <is>
          <t>control_interno</t>
        </is>
      </c>
      <c r="D2015" s="18" t="inlineStr">
        <is>
          <t>seguimiento_plan</t>
        </is>
      </c>
      <c r="E2015" s="18" t="n">
        <v>7</v>
      </c>
      <c r="F2015" s="18" t="inlineStr">
        <is>
          <t>periodicidad</t>
        </is>
      </c>
      <c r="G2015" s="18" t="inlineStr">
        <is>
          <t>character varying(20)</t>
        </is>
      </c>
      <c r="H2015" s="18" t="inlineStr">
        <is>
          <t>No</t>
        </is>
      </c>
      <c r="I2015" s="18" t="inlineStr"/>
      <c r="J2015" s="18" t="inlineStr"/>
      <c r="K2015" s="18" t="inlineStr"/>
      <c r="L2015" s="18" t="inlineStr">
        <is>
          <t>No</t>
        </is>
      </c>
      <c r="M2015" s="18" t="inlineStr">
        <is>
          <t>No</t>
        </is>
      </c>
      <c r="N2015" s="18" t="inlineStr"/>
      <c r="O2015" s="18" t="inlineStr"/>
      <c r="P2015" s="18" t="inlineStr">
        <is>
          <t>internal-institutional-control-service/src/esap/planes-mejoramiento/entities/seguimiento-plan.entity.ts:20: TRIMESTRAL | SEMESTRAL | internal-institutional-control-service/db/init/011_seguimiento_plan_ddl.sql:11: TRIMESTRAL | SEMESTRAL | Validación: IsEnum(['mensual', 'bimestral', 'trimestral', 'cuatrimestral', 'semestral', 'anual']), IsNotEmpty, IsOptional</t>
        </is>
      </c>
      <c r="Q2015" s="18" t="inlineStr">
        <is>
          <t>Código fuente</t>
        </is>
      </c>
      <c r="R2015" s="18" t="inlineStr">
        <is>
          <t>Periodicidad del corte de seguimiento del plan de mejoramiento. Valores documentados: TRIMESTRAL, SEMESTRAL; valor por defecto TRIMESTRAL.</t>
        </is>
      </c>
      <c r="S2015" s="18" t="inlineStr">
        <is>
          <t>Media</t>
        </is>
      </c>
      <c r="T2015" s="18" t="inlineStr">
        <is>
          <t>código: internal-institutional-control-service/src/esap/planes-mejoramiento/entities/seguimiento-plan.entity.ts:20; db/init/011_seguimiento_plan_ddl.sql:11</t>
        </is>
      </c>
      <c r="U2015" s="18" t="inlineStr">
        <is>
          <t>La validación del DTO admite mensual, bimestral, trimestral, cuatrimestral, semestral y anual en minúscula; ¿qué valores y qué formato son los vigentes?</t>
        </is>
      </c>
      <c r="V2015" s="19" t="inlineStr">
        <is>
          <t>Pendiente</t>
        </is>
      </c>
      <c r="W2015" s="19" t="inlineStr"/>
      <c r="X2015" s="19" t="inlineStr"/>
      <c r="Y2015" s="20" t="n"/>
      <c r="Z2015" s="19" t="inlineStr"/>
      <c r="AA2015" s="18">
        <f>IF(OR(V2015="Aprobada"),R2015,IF(AND(OR(V2015="Aprobada con ajuste",V2015="Rechazada"),W2015&lt;&gt;""),W2015,""))</f>
        <v/>
      </c>
    </row>
    <row r="2016">
      <c r="A2016" s="18" t="inlineStr">
        <is>
          <t>C2015</t>
        </is>
      </c>
      <c r="B2016" s="18" t="inlineStr">
        <is>
          <t>Control interno</t>
        </is>
      </c>
      <c r="C2016" s="18" t="inlineStr">
        <is>
          <t>control_interno</t>
        </is>
      </c>
      <c r="D2016" s="18" t="inlineStr">
        <is>
          <t>seguimiento_plan</t>
        </is>
      </c>
      <c r="E2016" s="18" t="n">
        <v>7</v>
      </c>
      <c r="F2016" s="18" t="inlineStr">
        <is>
          <t>tipo_control</t>
        </is>
      </c>
      <c r="G2016" s="18" t="inlineStr">
        <is>
          <t>character varying(20)</t>
        </is>
      </c>
      <c r="H2016" s="18" t="inlineStr">
        <is>
          <t>No</t>
        </is>
      </c>
      <c r="I2016" s="18" t="inlineStr"/>
      <c r="J2016" s="18" t="inlineStr"/>
      <c r="K2016" s="18" t="inlineStr"/>
      <c r="L2016" s="18" t="inlineStr">
        <is>
          <t>No</t>
        </is>
      </c>
      <c r="M2016" s="18" t="inlineStr">
        <is>
          <t>No</t>
        </is>
      </c>
      <c r="N2016" s="18" t="inlineStr"/>
      <c r="O2016" s="18" t="inlineStr"/>
      <c r="P2016" s="18" t="inlineStr">
        <is>
          <t>internal-institutional-control-service/src/esap/planes-mejoramiento/entities/seguimiento-plan.entity.ts:24: INTERNO | ENTE_EXTERNO | internal-institutional-control-service/db/init/011_seguimiento_plan_ddl.sql:12: INTERNO | ENTE_EXTERNO</t>
        </is>
      </c>
      <c r="Q2016" s="18" t="inlineStr">
        <is>
          <t>Código fuente</t>
        </is>
      </c>
      <c r="R2016" s="18" t="inlineStr">
        <is>
          <t>Tipo de control del seguimiento. Valores: INTERNO, ENTE_EXTERNO; valor por defecto INTERNO.</t>
        </is>
      </c>
      <c r="S2016" s="18" t="inlineStr">
        <is>
          <t>Alta</t>
        </is>
      </c>
      <c r="T2016" s="18" t="inlineStr">
        <is>
          <t>código: internal-institutional-control-service/src/esap/planes-mejoramiento/entities/seguimiento-plan.entity.ts:24</t>
        </is>
      </c>
      <c r="U2016" s="18" t="inlineStr"/>
      <c r="V2016" s="19" t="inlineStr">
        <is>
          <t>Pendiente</t>
        </is>
      </c>
      <c r="W2016" s="19" t="inlineStr"/>
      <c r="X2016" s="19" t="inlineStr"/>
      <c r="Y2016" s="20" t="n"/>
      <c r="Z2016" s="19" t="inlineStr"/>
      <c r="AA2016" s="18">
        <f>IF(OR(V2016="Aprobada"),R2016,IF(AND(OR(V2016="Aprobada con ajuste",V2016="Rechazada"),W2016&lt;&gt;""),W2016,""))</f>
        <v/>
      </c>
    </row>
    <row r="2017">
      <c r="A2017" s="18" t="inlineStr">
        <is>
          <t>C2016</t>
        </is>
      </c>
      <c r="B2017" s="18" t="inlineStr">
        <is>
          <t>Control interno</t>
        </is>
      </c>
      <c r="C2017" s="18" t="inlineStr">
        <is>
          <t>control_interno</t>
        </is>
      </c>
      <c r="D2017" s="18" t="inlineStr">
        <is>
          <t>seguimiento_plan</t>
        </is>
      </c>
      <c r="E2017" s="18" t="n">
        <v>7</v>
      </c>
      <c r="F2017" s="18" t="inlineStr">
        <is>
          <t>fecha_corte</t>
        </is>
      </c>
      <c r="G2017" s="18" t="inlineStr">
        <is>
          <t>timestamp without time zone</t>
        </is>
      </c>
      <c r="H2017" s="18" t="inlineStr">
        <is>
          <t>No</t>
        </is>
      </c>
      <c r="I2017" s="18" t="inlineStr"/>
      <c r="J2017" s="18" t="inlineStr"/>
      <c r="K2017" s="18" t="inlineStr"/>
      <c r="L2017" s="18" t="inlineStr">
        <is>
          <t>No</t>
        </is>
      </c>
      <c r="M2017" s="18" t="inlineStr">
        <is>
          <t>No</t>
        </is>
      </c>
      <c r="N2017" s="18" t="inlineStr"/>
      <c r="O2017" s="18" t="inlineStr">
        <is>
          <t>idx_seguimiento_plan_fecha_corte</t>
        </is>
      </c>
      <c r="P2017" s="18" t="inlineStr">
        <is>
          <t>internal-institutional-control-service/src/esap/planes-mejoramiento/entities/seguimiento-plan.entity.ts:28: Fecha de corte del seguimiento | Validación: IsDateString, IsNotEmpty, IsOptional, IsString</t>
        </is>
      </c>
      <c r="Q2017" s="18" t="inlineStr">
        <is>
          <t>Código fuente</t>
        </is>
      </c>
      <c r="R2017" s="18" t="inlineStr">
        <is>
          <t>Fecha de corte del seguimiento.</t>
        </is>
      </c>
      <c r="S2017" s="18" t="inlineStr">
        <is>
          <t>Alta</t>
        </is>
      </c>
      <c r="T2017" s="18" t="inlineStr">
        <is>
          <t>código: internal-institutional-control-service/src/esap/planes-mejoramiento/entities/seguimiento-plan.entity.ts:28</t>
        </is>
      </c>
      <c r="U2017" s="18" t="inlineStr"/>
      <c r="V2017" s="19" t="inlineStr">
        <is>
          <t>Pendiente</t>
        </is>
      </c>
      <c r="W2017" s="19" t="inlineStr"/>
      <c r="X2017" s="19" t="inlineStr"/>
      <c r="Y2017" s="20" t="n"/>
      <c r="Z2017" s="19" t="inlineStr"/>
      <c r="AA2017" s="18">
        <f>IF(OR(V2017="Aprobada"),R2017,IF(AND(OR(V2017="Aprobada con ajuste",V2017="Rechazada"),W2017&lt;&gt;""),W2017,""))</f>
        <v/>
      </c>
    </row>
    <row r="2018">
      <c r="A2018" s="18" t="inlineStr">
        <is>
          <t>C2017</t>
        </is>
      </c>
      <c r="B2018" s="18" t="inlineStr">
        <is>
          <t>Control interno</t>
        </is>
      </c>
      <c r="C2018" s="18" t="inlineStr">
        <is>
          <t>control_interno</t>
        </is>
      </c>
      <c r="D2018" s="18" t="inlineStr">
        <is>
          <t>seguimiento_plan</t>
        </is>
      </c>
      <c r="E2018" s="18" t="n">
        <v>7</v>
      </c>
      <c r="F2018" s="18" t="inlineStr">
        <is>
          <t>responsable_id</t>
        </is>
      </c>
      <c r="G2018" s="18" t="inlineStr">
        <is>
          <t>character varying(255)</t>
        </is>
      </c>
      <c r="H2018" s="18" t="inlineStr">
        <is>
          <t>No</t>
        </is>
      </c>
      <c r="I2018" s="18" t="inlineStr"/>
      <c r="J2018" s="18" t="inlineStr"/>
      <c r="K2018" s="18" t="inlineStr"/>
      <c r="L2018" s="18" t="inlineStr">
        <is>
          <t>No</t>
        </is>
      </c>
      <c r="M2018" s="18" t="inlineStr">
        <is>
          <t>No</t>
        </is>
      </c>
      <c r="N2018" s="18" t="inlineStr"/>
      <c r="O2018" s="18" t="inlineStr"/>
      <c r="P2018" s="18" t="inlineStr">
        <is>
          <t>internal-institutional-control-service/src/esap/planes-mejoramiento/entities/seguimiento-plan.entity.ts:32: ID del responsable (Jefe OCI / equipo auditor) | Validación: IsOptional, IsUUID, Matches(POSTGRES_UUID_RE, { message: 'responsable_id must be a UUID' })</t>
        </is>
      </c>
      <c r="Q2018" s="18" t="inlineStr">
        <is>
          <t>Código fuente</t>
        </is>
      </c>
      <c r="R2018" s="18" t="inlineStr">
        <is>
          <t>Identificador (UUID) del responsable del seguimiento: jefe de la Oficina de Control Interno o equipo auditor.</t>
        </is>
      </c>
      <c r="S2018" s="18" t="inlineStr">
        <is>
          <t>Alta</t>
        </is>
      </c>
      <c r="T2018" s="18" t="inlineStr">
        <is>
          <t>código: internal-institutional-control-service/src/esap/planes-mejoramiento/entities/seguimiento-plan.entity.ts:32</t>
        </is>
      </c>
      <c r="U2018" s="18" t="inlineStr"/>
      <c r="V2018" s="19" t="inlineStr">
        <is>
          <t>Pendiente</t>
        </is>
      </c>
      <c r="W2018" s="19" t="inlineStr"/>
      <c r="X2018" s="19" t="inlineStr"/>
      <c r="Y2018" s="20" t="n"/>
      <c r="Z2018" s="19" t="inlineStr"/>
      <c r="AA2018" s="18">
        <f>IF(OR(V2018="Aprobada"),R2018,IF(AND(OR(V2018="Aprobada con ajuste",V2018="Rechazada"),W2018&lt;&gt;""),W2018,""))</f>
        <v/>
      </c>
    </row>
    <row r="2019">
      <c r="A2019" s="18" t="inlineStr">
        <is>
          <t>C2018</t>
        </is>
      </c>
      <c r="B2019" s="18" t="inlineStr">
        <is>
          <t>Control interno</t>
        </is>
      </c>
      <c r="C2019" s="18" t="inlineStr">
        <is>
          <t>control_interno</t>
        </is>
      </c>
      <c r="D2019" s="18" t="inlineStr">
        <is>
          <t>seguimiento_plan</t>
        </is>
      </c>
      <c r="E2019" s="18" t="n">
        <v>7</v>
      </c>
      <c r="F2019" s="18" t="inlineStr">
        <is>
          <t>responsable_nombre</t>
        </is>
      </c>
      <c r="G2019" s="18" t="inlineStr">
        <is>
          <t>character varying(255)</t>
        </is>
      </c>
      <c r="H2019" s="18" t="inlineStr">
        <is>
          <t>Sí</t>
        </is>
      </c>
      <c r="I2019" s="18" t="inlineStr"/>
      <c r="J2019" s="18" t="inlineStr"/>
      <c r="K2019" s="18" t="inlineStr"/>
      <c r="L2019" s="18" t="inlineStr">
        <is>
          <t>No</t>
        </is>
      </c>
      <c r="M2019" s="18" t="inlineStr">
        <is>
          <t>No</t>
        </is>
      </c>
      <c r="N2019" s="18" t="inlineStr"/>
      <c r="O2019" s="18" t="inlineStr"/>
      <c r="P2019" s="18" t="inlineStr">
        <is>
          <t>internal-institutional-control-service/src/esap/planes-mejoramiento/entities/seguimiento-plan.entity.ts:36: Nombre del responsable | Validación: IsOptional, IsString, MaxLength(255)</t>
        </is>
      </c>
      <c r="Q2019" s="18" t="inlineStr">
        <is>
          <t>Código fuente</t>
        </is>
      </c>
      <c r="R2019" s="18" t="inlineStr">
        <is>
          <t>Nombre del responsable del seguimiento.</t>
        </is>
      </c>
      <c r="S2019" s="18" t="inlineStr">
        <is>
          <t>Alta</t>
        </is>
      </c>
      <c r="T2019" s="18" t="inlineStr">
        <is>
          <t>código: internal-institutional-control-service/src/esap/planes-mejoramiento/entities/seguimiento-plan.entity.ts:36</t>
        </is>
      </c>
      <c r="U2019" s="18" t="inlineStr"/>
      <c r="V2019" s="19" t="inlineStr">
        <is>
          <t>Pendiente</t>
        </is>
      </c>
      <c r="W2019" s="19" t="inlineStr"/>
      <c r="X2019" s="19" t="inlineStr"/>
      <c r="Y2019" s="20" t="n"/>
      <c r="Z2019" s="19" t="inlineStr"/>
      <c r="AA2019" s="18">
        <f>IF(OR(V2019="Aprobada"),R2019,IF(AND(OR(V2019="Aprobada con ajuste",V2019="Rechazada"),W2019&lt;&gt;""),W2019,""))</f>
        <v/>
      </c>
    </row>
    <row r="2020">
      <c r="A2020" s="18" t="inlineStr">
        <is>
          <t>C2019</t>
        </is>
      </c>
      <c r="B2020" s="18" t="inlineStr">
        <is>
          <t>Control interno</t>
        </is>
      </c>
      <c r="C2020" s="18" t="inlineStr">
        <is>
          <t>control_interno</t>
        </is>
      </c>
      <c r="D2020" s="18" t="inlineStr">
        <is>
          <t>seguimiento_plan</t>
        </is>
      </c>
      <c r="E2020" s="18" t="n">
        <v>7</v>
      </c>
      <c r="F2020" s="18" t="inlineStr">
        <is>
          <t>resumen</t>
        </is>
      </c>
      <c r="G2020" s="18" t="inlineStr">
        <is>
          <t>text</t>
        </is>
      </c>
      <c r="H2020" s="18" t="inlineStr">
        <is>
          <t>Sí</t>
        </is>
      </c>
      <c r="I2020" s="18" t="inlineStr"/>
      <c r="J2020" s="18" t="inlineStr"/>
      <c r="K2020" s="18" t="inlineStr"/>
      <c r="L2020" s="18" t="inlineStr">
        <is>
          <t>No</t>
        </is>
      </c>
      <c r="M2020" s="18" t="inlineStr">
        <is>
          <t>No</t>
        </is>
      </c>
      <c r="N2020" s="18" t="inlineStr"/>
      <c r="O2020" s="18" t="inlineStr"/>
      <c r="P2020" s="18" t="inlineStr">
        <is>
          <t>internal-institutional-control-service/src/esap/planes-mejoramiento/entities/seguimiento-plan.entity.ts:40: Resumen ejecutivo del seguimiento</t>
        </is>
      </c>
      <c r="Q2020" s="18" t="inlineStr">
        <is>
          <t>Código fuente</t>
        </is>
      </c>
      <c r="R2020" s="18" t="inlineStr">
        <is>
          <t>Resumen ejecutivo del seguimiento.</t>
        </is>
      </c>
      <c r="S2020" s="18" t="inlineStr">
        <is>
          <t>Alta</t>
        </is>
      </c>
      <c r="T2020" s="18" t="inlineStr">
        <is>
          <t>código: internal-institutional-control-service/src/esap/planes-mejoramiento/entities/seguimiento-plan.entity.ts:40</t>
        </is>
      </c>
      <c r="U2020" s="18" t="inlineStr"/>
      <c r="V2020" s="19" t="inlineStr">
        <is>
          <t>Pendiente</t>
        </is>
      </c>
      <c r="W2020" s="19" t="inlineStr"/>
      <c r="X2020" s="19" t="inlineStr"/>
      <c r="Y2020" s="20" t="n"/>
      <c r="Z2020" s="19" t="inlineStr"/>
      <c r="AA2020" s="18">
        <f>IF(OR(V2020="Aprobada"),R2020,IF(AND(OR(V2020="Aprobada con ajuste",V2020="Rechazada"),W2020&lt;&gt;""),W2020,""))</f>
        <v/>
      </c>
    </row>
    <row r="2021">
      <c r="A2021" s="18" t="inlineStr">
        <is>
          <t>C2020</t>
        </is>
      </c>
      <c r="B2021" s="18" t="inlineStr">
        <is>
          <t>Control interno</t>
        </is>
      </c>
      <c r="C2021" s="18" t="inlineStr">
        <is>
          <t>control_interno</t>
        </is>
      </c>
      <c r="D2021" s="18" t="inlineStr">
        <is>
          <t>seguimiento_plan</t>
        </is>
      </c>
      <c r="E2021" s="18" t="n">
        <v>7</v>
      </c>
      <c r="F2021" s="18" t="inlineStr">
        <is>
          <t>informe_ref</t>
        </is>
      </c>
      <c r="G2021" s="18" t="inlineStr">
        <is>
          <t>character varying(500)</t>
        </is>
      </c>
      <c r="H2021" s="18" t="inlineStr">
        <is>
          <t>Sí</t>
        </is>
      </c>
      <c r="I2021" s="18" t="inlineStr"/>
      <c r="J2021" s="18" t="inlineStr"/>
      <c r="K2021" s="18" t="inlineStr"/>
      <c r="L2021" s="18" t="inlineStr">
        <is>
          <t>No</t>
        </is>
      </c>
      <c r="M2021" s="18" t="inlineStr">
        <is>
          <t>No</t>
        </is>
      </c>
      <c r="N2021" s="18" t="inlineStr"/>
      <c r="O2021" s="18" t="inlineStr"/>
      <c r="P2021" s="18" t="inlineStr">
        <is>
          <t>internal-institutional-control-service/src/esap/planes-mejoramiento/entities/seguimiento-plan.entity.ts:44: Referencia al informe de ley y seguimiento generado | internal-institutional-control-service/db/init/011_seguimiento_plan_ddl.sql:17: Referencia al informe de ley generado</t>
        </is>
      </c>
      <c r="Q2021" s="18" t="inlineStr">
        <is>
          <t>Código fuente</t>
        </is>
      </c>
      <c r="R2021" s="18" t="inlineStr">
        <is>
          <t>Referencia al informe de ley y seguimiento generado en el corte.</t>
        </is>
      </c>
      <c r="S2021" s="18" t="inlineStr">
        <is>
          <t>Alta</t>
        </is>
      </c>
      <c r="T2021" s="18" t="inlineStr">
        <is>
          <t>código: internal-institutional-control-service/src/esap/planes-mejoramiento/entities/seguimiento-plan.entity.ts:44</t>
        </is>
      </c>
      <c r="U2021" s="18" t="inlineStr"/>
      <c r="V2021" s="19" t="inlineStr">
        <is>
          <t>Pendiente</t>
        </is>
      </c>
      <c r="W2021" s="19" t="inlineStr"/>
      <c r="X2021" s="19" t="inlineStr"/>
      <c r="Y2021" s="20" t="n"/>
      <c r="Z2021" s="19" t="inlineStr"/>
      <c r="AA2021" s="18">
        <f>IF(OR(V2021="Aprobada"),R2021,IF(AND(OR(V2021="Aprobada con ajuste",V2021="Rechazada"),W2021&lt;&gt;""),W2021,""))</f>
        <v/>
      </c>
    </row>
    <row r="2022">
      <c r="A2022" s="18" t="inlineStr">
        <is>
          <t>C2021</t>
        </is>
      </c>
      <c r="B2022" s="18" t="inlineStr">
        <is>
          <t>Control interno</t>
        </is>
      </c>
      <c r="C2022" s="18" t="inlineStr">
        <is>
          <t>control_interno</t>
        </is>
      </c>
      <c r="D2022" s="18" t="inlineStr">
        <is>
          <t>seguimiento_plan</t>
        </is>
      </c>
      <c r="E2022" s="18" t="n">
        <v>7</v>
      </c>
      <c r="F2022" s="18" t="inlineStr">
        <is>
          <t>total_acciones_evaluadas</t>
        </is>
      </c>
      <c r="G2022" s="18" t="inlineStr">
        <is>
          <t>integer</t>
        </is>
      </c>
      <c r="H2022" s="18" t="inlineStr">
        <is>
          <t>Sí</t>
        </is>
      </c>
      <c r="I2022" s="18" t="inlineStr"/>
      <c r="J2022" s="18" t="inlineStr"/>
      <c r="K2022" s="18" t="inlineStr"/>
      <c r="L2022" s="18" t="inlineStr">
        <is>
          <t>No</t>
        </is>
      </c>
      <c r="M2022" s="18" t="inlineStr">
        <is>
          <t>No</t>
        </is>
      </c>
      <c r="N2022" s="18" t="inlineStr"/>
      <c r="O2022" s="18" t="inlineStr"/>
      <c r="P2022" s="18" t="inlineStr">
        <is>
          <t>internal-institutional-control-service/src/esap/planes-mejoramiento/entities/seguimiento-plan.entity.ts:48: Número total de acciones evaluadas en este corte</t>
        </is>
      </c>
      <c r="Q2022" s="18" t="inlineStr">
        <is>
          <t>Código fuente</t>
        </is>
      </c>
      <c r="R2022" s="18" t="inlineStr">
        <is>
          <t>Número total de acciones del plan evaluadas en el corte.</t>
        </is>
      </c>
      <c r="S2022" s="18" t="inlineStr">
        <is>
          <t>Alta</t>
        </is>
      </c>
      <c r="T2022" s="18" t="inlineStr">
        <is>
          <t>código: internal-institutional-control-service/src/esap/planes-mejoramiento/entities/seguimiento-plan.entity.ts:48</t>
        </is>
      </c>
      <c r="U2022" s="18" t="inlineStr"/>
      <c r="V2022" s="19" t="inlineStr">
        <is>
          <t>Pendiente</t>
        </is>
      </c>
      <c r="W2022" s="19" t="inlineStr"/>
      <c r="X2022" s="19" t="inlineStr"/>
      <c r="Y2022" s="20" t="n"/>
      <c r="Z2022" s="19" t="inlineStr"/>
      <c r="AA2022" s="18">
        <f>IF(OR(V2022="Aprobada"),R2022,IF(AND(OR(V2022="Aprobada con ajuste",V2022="Rechazada"),W2022&lt;&gt;""),W2022,""))</f>
        <v/>
      </c>
    </row>
    <row r="2023">
      <c r="A2023" s="18" t="inlineStr">
        <is>
          <t>C2022</t>
        </is>
      </c>
      <c r="B2023" s="18" t="inlineStr">
        <is>
          <t>Control interno</t>
        </is>
      </c>
      <c r="C2023" s="18" t="inlineStr">
        <is>
          <t>control_interno</t>
        </is>
      </c>
      <c r="D2023" s="18" t="inlineStr">
        <is>
          <t>seguimiento_plan</t>
        </is>
      </c>
      <c r="E2023" s="18" t="n">
        <v>7</v>
      </c>
      <c r="F2023" s="18" t="inlineStr">
        <is>
          <t>acciones_cumplen</t>
        </is>
      </c>
      <c r="G2023" s="18" t="inlineStr">
        <is>
          <t>integer</t>
        </is>
      </c>
      <c r="H2023" s="18" t="inlineStr">
        <is>
          <t>Sí</t>
        </is>
      </c>
      <c r="I2023" s="18" t="inlineStr"/>
      <c r="J2023" s="18" t="inlineStr"/>
      <c r="K2023" s="18" t="inlineStr"/>
      <c r="L2023" s="18" t="inlineStr">
        <is>
          <t>No</t>
        </is>
      </c>
      <c r="M2023" s="18" t="inlineStr">
        <is>
          <t>No</t>
        </is>
      </c>
      <c r="N2023" s="18" t="inlineStr"/>
      <c r="O2023" s="18" t="inlineStr"/>
      <c r="P2023" s="18" t="inlineStr">
        <is>
          <t>internal-institutional-control-service/src/esap/planes-mejoramiento/entities/seguimiento-plan.entity.ts:52: Acciones que cumplen (cumplimiento = 2)</t>
        </is>
      </c>
      <c r="Q2023" s="18" t="inlineStr">
        <is>
          <t>Código fuente</t>
        </is>
      </c>
      <c r="R2023" s="18" t="inlineStr">
        <is>
          <t>Número de acciones que cumplen en el corte (cumplimiento = 2).</t>
        </is>
      </c>
      <c r="S2023" s="18" t="inlineStr">
        <is>
          <t>Alta</t>
        </is>
      </c>
      <c r="T2023" s="18" t="inlineStr">
        <is>
          <t>código: internal-institutional-control-service/src/esap/planes-mejoramiento/entities/seguimiento-plan.entity.ts:52</t>
        </is>
      </c>
      <c r="U2023" s="18" t="inlineStr"/>
      <c r="V2023" s="19" t="inlineStr">
        <is>
          <t>Pendiente</t>
        </is>
      </c>
      <c r="W2023" s="19" t="inlineStr"/>
      <c r="X2023" s="19" t="inlineStr"/>
      <c r="Y2023" s="20" t="n"/>
      <c r="Z2023" s="19" t="inlineStr"/>
      <c r="AA2023" s="18">
        <f>IF(OR(V2023="Aprobada"),R2023,IF(AND(OR(V2023="Aprobada con ajuste",V2023="Rechazada"),W2023&lt;&gt;""),W2023,""))</f>
        <v/>
      </c>
    </row>
    <row r="2024">
      <c r="A2024" s="18" t="inlineStr">
        <is>
          <t>C2023</t>
        </is>
      </c>
      <c r="B2024" s="18" t="inlineStr">
        <is>
          <t>Control interno</t>
        </is>
      </c>
      <c r="C2024" s="18" t="inlineStr">
        <is>
          <t>control_interno</t>
        </is>
      </c>
      <c r="D2024" s="18" t="inlineStr">
        <is>
          <t>seguimiento_plan</t>
        </is>
      </c>
      <c r="E2024" s="18" t="n">
        <v>7</v>
      </c>
      <c r="F2024" s="18" t="inlineStr">
        <is>
          <t>acciones_parcial</t>
        </is>
      </c>
      <c r="G2024" s="18" t="inlineStr">
        <is>
          <t>integer</t>
        </is>
      </c>
      <c r="H2024" s="18" t="inlineStr">
        <is>
          <t>Sí</t>
        </is>
      </c>
      <c r="I2024" s="18" t="inlineStr"/>
      <c r="J2024" s="18" t="inlineStr"/>
      <c r="K2024" s="18" t="inlineStr"/>
      <c r="L2024" s="18" t="inlineStr">
        <is>
          <t>No</t>
        </is>
      </c>
      <c r="M2024" s="18" t="inlineStr">
        <is>
          <t>No</t>
        </is>
      </c>
      <c r="N2024" s="18" t="inlineStr"/>
      <c r="O2024" s="18" t="inlineStr"/>
      <c r="P2024" s="18" t="inlineStr">
        <is>
          <t>internal-institutional-control-service/src/esap/planes-mejoramiento/entities/seguimiento-plan.entity.ts:56: Acciones cumplimiento parcial (cumplimiento = 1)</t>
        </is>
      </c>
      <c r="Q2024" s="18" t="inlineStr">
        <is>
          <t>Código fuente</t>
        </is>
      </c>
      <c r="R2024" s="18" t="inlineStr">
        <is>
          <t>Número de acciones con cumplimiento parcial en el corte (cumplimiento = 1).</t>
        </is>
      </c>
      <c r="S2024" s="18" t="inlineStr">
        <is>
          <t>Alta</t>
        </is>
      </c>
      <c r="T2024" s="18" t="inlineStr">
        <is>
          <t>código: internal-institutional-control-service/src/esap/planes-mejoramiento/entities/seguimiento-plan.entity.ts:56</t>
        </is>
      </c>
      <c r="U2024" s="18" t="inlineStr"/>
      <c r="V2024" s="19" t="inlineStr">
        <is>
          <t>Pendiente</t>
        </is>
      </c>
      <c r="W2024" s="19" t="inlineStr"/>
      <c r="X2024" s="19" t="inlineStr"/>
      <c r="Y2024" s="20" t="n"/>
      <c r="Z2024" s="19" t="inlineStr"/>
      <c r="AA2024" s="18">
        <f>IF(OR(V2024="Aprobada"),R2024,IF(AND(OR(V2024="Aprobada con ajuste",V2024="Rechazada"),W2024&lt;&gt;""),W2024,""))</f>
        <v/>
      </c>
    </row>
    <row r="2025">
      <c r="A2025" s="18" t="inlineStr">
        <is>
          <t>C2024</t>
        </is>
      </c>
      <c r="B2025" s="18" t="inlineStr">
        <is>
          <t>Control interno</t>
        </is>
      </c>
      <c r="C2025" s="18" t="inlineStr">
        <is>
          <t>control_interno</t>
        </is>
      </c>
      <c r="D2025" s="18" t="inlineStr">
        <is>
          <t>seguimiento_plan</t>
        </is>
      </c>
      <c r="E2025" s="18" t="n">
        <v>7</v>
      </c>
      <c r="F2025" s="18" t="inlineStr">
        <is>
          <t>acciones_no_cumplen</t>
        </is>
      </c>
      <c r="G2025" s="18" t="inlineStr">
        <is>
          <t>integer</t>
        </is>
      </c>
      <c r="H2025" s="18" t="inlineStr">
        <is>
          <t>Sí</t>
        </is>
      </c>
      <c r="I2025" s="18" t="inlineStr"/>
      <c r="J2025" s="18" t="inlineStr"/>
      <c r="K2025" s="18" t="inlineStr"/>
      <c r="L2025" s="18" t="inlineStr">
        <is>
          <t>No</t>
        </is>
      </c>
      <c r="M2025" s="18" t="inlineStr">
        <is>
          <t>No</t>
        </is>
      </c>
      <c r="N2025" s="18" t="inlineStr"/>
      <c r="O2025" s="18" t="inlineStr"/>
      <c r="P2025" s="18" t="inlineStr">
        <is>
          <t>internal-institutional-control-service/src/esap/planes-mejoramiento/entities/seguimiento-plan.entity.ts:60: Acciones que no cumplen (cumplimiento = 0)</t>
        </is>
      </c>
      <c r="Q2025" s="18" t="inlineStr">
        <is>
          <t>Código fuente</t>
        </is>
      </c>
      <c r="R2025" s="18" t="inlineStr">
        <is>
          <t>Número de acciones que no cumplen en el corte (cumplimiento = 0).</t>
        </is>
      </c>
      <c r="S2025" s="18" t="inlineStr">
        <is>
          <t>Alta</t>
        </is>
      </c>
      <c r="T2025" s="18" t="inlineStr">
        <is>
          <t>código: internal-institutional-control-service/src/esap/planes-mejoramiento/entities/seguimiento-plan.entity.ts:60</t>
        </is>
      </c>
      <c r="U2025" s="18" t="inlineStr"/>
      <c r="V2025" s="19" t="inlineStr">
        <is>
          <t>Pendiente</t>
        </is>
      </c>
      <c r="W2025" s="19" t="inlineStr"/>
      <c r="X2025" s="19" t="inlineStr"/>
      <c r="Y2025" s="20" t="n"/>
      <c r="Z2025" s="19" t="inlineStr"/>
      <c r="AA2025" s="18">
        <f>IF(OR(V2025="Aprobada"),R2025,IF(AND(OR(V2025="Aprobada con ajuste",V2025="Rechazada"),W2025&lt;&gt;""),W2025,""))</f>
        <v/>
      </c>
    </row>
    <row r="2026">
      <c r="A2026" s="18" t="inlineStr">
        <is>
          <t>C2025</t>
        </is>
      </c>
      <c r="B2026" s="18" t="inlineStr">
        <is>
          <t>Control interno</t>
        </is>
      </c>
      <c r="C2026" s="18" t="inlineStr">
        <is>
          <t>control_interno</t>
        </is>
      </c>
      <c r="D2026" s="18" t="inlineStr">
        <is>
          <t>seguimiento_plan</t>
        </is>
      </c>
      <c r="E2026" s="18" t="n">
        <v>7</v>
      </c>
      <c r="F2026" s="18" t="inlineStr">
        <is>
          <t>alertas_generadas</t>
        </is>
      </c>
      <c r="G2026" s="18" t="inlineStr">
        <is>
          <t>integer</t>
        </is>
      </c>
      <c r="H2026" s="18" t="inlineStr">
        <is>
          <t>Sí</t>
        </is>
      </c>
      <c r="I2026" s="18" t="inlineStr"/>
      <c r="J2026" s="18" t="inlineStr"/>
      <c r="K2026" s="18" t="inlineStr"/>
      <c r="L2026" s="18" t="inlineStr">
        <is>
          <t>No</t>
        </is>
      </c>
      <c r="M2026" s="18" t="inlineStr">
        <is>
          <t>No</t>
        </is>
      </c>
      <c r="N2026" s="18" t="inlineStr"/>
      <c r="O2026" s="18" t="inlineStr"/>
      <c r="P2026" s="18" t="inlineStr">
        <is>
          <t>internal-institutional-control-service/src/esap/planes-mejoramiento/entities/seguimiento-plan.entity.ts:64: Alertas generadas en este corte</t>
        </is>
      </c>
      <c r="Q2026" s="18" t="inlineStr">
        <is>
          <t>Código fuente</t>
        </is>
      </c>
      <c r="R2026" s="18" t="inlineStr">
        <is>
          <t>Número de alertas generadas en el corte.</t>
        </is>
      </c>
      <c r="S2026" s="18" t="inlineStr">
        <is>
          <t>Alta</t>
        </is>
      </c>
      <c r="T2026" s="18" t="inlineStr">
        <is>
          <t>código: internal-institutional-control-service/src/esap/planes-mejoramiento/entities/seguimiento-plan.entity.ts:64</t>
        </is>
      </c>
      <c r="U2026" s="18" t="inlineStr"/>
      <c r="V2026" s="19" t="inlineStr">
        <is>
          <t>Pendiente</t>
        </is>
      </c>
      <c r="W2026" s="19" t="inlineStr"/>
      <c r="X2026" s="19" t="inlineStr"/>
      <c r="Y2026" s="20" t="n"/>
      <c r="Z2026" s="19" t="inlineStr"/>
      <c r="AA2026" s="18">
        <f>IF(OR(V2026="Aprobada"),R2026,IF(AND(OR(V2026="Aprobada con ajuste",V2026="Rechazada"),W2026&lt;&gt;""),W2026,""))</f>
        <v/>
      </c>
    </row>
    <row r="2027">
      <c r="A2027" s="18" t="inlineStr">
        <is>
          <t>C2026</t>
        </is>
      </c>
      <c r="B2027" s="18" t="inlineStr">
        <is>
          <t>Control interno</t>
        </is>
      </c>
      <c r="C2027" s="18" t="inlineStr">
        <is>
          <t>control_interno</t>
        </is>
      </c>
      <c r="D2027" s="18" t="inlineStr">
        <is>
          <t>seguimiento_plan</t>
        </is>
      </c>
      <c r="E2027" s="18" t="n">
        <v>7</v>
      </c>
      <c r="F2027" s="18" t="inlineStr">
        <is>
          <t>automatico</t>
        </is>
      </c>
      <c r="G2027" s="18" t="inlineStr">
        <is>
          <t>boolean</t>
        </is>
      </c>
      <c r="H2027" s="18" t="inlineStr">
        <is>
          <t>Sí</t>
        </is>
      </c>
      <c r="I2027" s="18" t="inlineStr"/>
      <c r="J2027" s="18" t="inlineStr"/>
      <c r="K2027" s="18" t="inlineStr"/>
      <c r="L2027" s="18" t="inlineStr">
        <is>
          <t>No</t>
        </is>
      </c>
      <c r="M2027" s="18" t="inlineStr">
        <is>
          <t>No</t>
        </is>
      </c>
      <c r="N2027" s="18" t="inlineStr"/>
      <c r="O2027" s="18" t="inlineStr"/>
      <c r="P2027" s="18" t="inlineStr">
        <is>
          <t>internal-institutional-control-service/src/esap/planes-mejoramiento/entities/seguimiento-plan.entity.ts:68: ¿El seguimiento fue generado automáticamente por el job? | internal-institutional-control-service/db/init/011_seguimiento_plan_ddl.sql:23: TRUE = generado por job</t>
        </is>
      </c>
      <c r="Q2027" s="18" t="inlineStr">
        <is>
          <t>Código fuente</t>
        </is>
      </c>
      <c r="R2027" s="18" t="inlineStr">
        <is>
          <t>Indica si el seguimiento lo generó automáticamente el proceso programado (job): true = generado por el job.</t>
        </is>
      </c>
      <c r="S2027" s="18" t="inlineStr">
        <is>
          <t>Alta</t>
        </is>
      </c>
      <c r="T2027" s="18" t="inlineStr">
        <is>
          <t>código: internal-institutional-control-service/src/esap/planes-mejoramiento/entities/seguimiento-plan.entity.ts:68</t>
        </is>
      </c>
      <c r="U2027" s="18" t="inlineStr"/>
      <c r="V2027" s="19" t="inlineStr">
        <is>
          <t>Pendiente</t>
        </is>
      </c>
      <c r="W2027" s="19" t="inlineStr"/>
      <c r="X2027" s="19" t="inlineStr"/>
      <c r="Y2027" s="20" t="n"/>
      <c r="Z2027" s="19" t="inlineStr"/>
      <c r="AA2027" s="18">
        <f>IF(OR(V2027="Aprobada"),R2027,IF(AND(OR(V2027="Aprobada con ajuste",V2027="Rechazada"),W2027&lt;&gt;""),W2027,""))</f>
        <v/>
      </c>
    </row>
    <row r="2028">
      <c r="A2028" s="18" t="inlineStr">
        <is>
          <t>C2027</t>
        </is>
      </c>
      <c r="B2028" s="18" t="inlineStr">
        <is>
          <t>Control interno</t>
        </is>
      </c>
      <c r="C2028" s="18" t="inlineStr">
        <is>
          <t>control_interno</t>
        </is>
      </c>
      <c r="D2028" s="18" t="inlineStr">
        <is>
          <t>seguimiento_plan_mejoramiento</t>
        </is>
      </c>
      <c r="E2028" s="18" t="n">
        <v>0</v>
      </c>
      <c r="F2028" s="18" t="inlineStr">
        <is>
          <t>numero_seguimiento</t>
        </is>
      </c>
      <c r="G2028" s="18" t="inlineStr">
        <is>
          <t>integer</t>
        </is>
      </c>
      <c r="H2028" s="18" t="inlineStr">
        <is>
          <t>No</t>
        </is>
      </c>
      <c r="I2028" s="18" t="inlineStr"/>
      <c r="J2028" s="18" t="inlineStr"/>
      <c r="K2028" s="18" t="inlineStr"/>
      <c r="L2028" s="18" t="inlineStr">
        <is>
          <t>No</t>
        </is>
      </c>
      <c r="M2028" s="18" t="inlineStr">
        <is>
          <t>No</t>
        </is>
      </c>
      <c r="N2028" s="18" t="inlineStr"/>
      <c r="O2028" s="18" t="inlineStr">
        <is>
          <t>seguimiento_plan_mejoramiento_plan_id_numero_seguimiento_key</t>
        </is>
      </c>
      <c r="P2028" s="18" t="inlineStr"/>
      <c r="Q2028" s="18" t="inlineStr">
        <is>
          <t>Propuesta semántica</t>
        </is>
      </c>
      <c r="R2028" s="18" t="inlineStr">
        <is>
          <t>Número consecutivo del seguimiento dentro del plan de mejoramiento; único por plan.</t>
        </is>
      </c>
      <c r="S2028" s="18" t="inlineStr">
        <is>
          <t>Alta</t>
        </is>
      </c>
      <c r="T2028" s="18" t="inlineStr">
        <is>
          <t>nombre + índice único (plan_id, numero_seguimiento)</t>
        </is>
      </c>
      <c r="U2028" s="18" t="inlineStr"/>
      <c r="V2028" s="19" t="inlineStr">
        <is>
          <t>Pendiente</t>
        </is>
      </c>
      <c r="W2028" s="19" t="inlineStr"/>
      <c r="X2028" s="19" t="inlineStr"/>
      <c r="Y2028" s="20" t="n"/>
      <c r="Z2028" s="19" t="inlineStr"/>
      <c r="AA2028" s="18">
        <f>IF(OR(V2028="Aprobada"),R2028,IF(AND(OR(V2028="Aprobada con ajuste",V2028="Rechazada"),W2028&lt;&gt;""),W2028,""))</f>
        <v/>
      </c>
    </row>
    <row r="2029">
      <c r="A2029" s="18" t="inlineStr">
        <is>
          <t>C2028</t>
        </is>
      </c>
      <c r="B2029" s="18" t="inlineStr">
        <is>
          <t>Control interno</t>
        </is>
      </c>
      <c r="C2029" s="18" t="inlineStr">
        <is>
          <t>control_interno</t>
        </is>
      </c>
      <c r="D2029" s="18" t="inlineStr">
        <is>
          <t>seguimiento_plan_mejoramiento</t>
        </is>
      </c>
      <c r="E2029" s="18" t="n">
        <v>0</v>
      </c>
      <c r="F2029" s="18" t="inlineStr">
        <is>
          <t>fecha_seguimiento</t>
        </is>
      </c>
      <c r="G2029" s="18" t="inlineStr">
        <is>
          <t>date</t>
        </is>
      </c>
      <c r="H2029" s="18" t="inlineStr">
        <is>
          <t>No</t>
        </is>
      </c>
      <c r="I2029" s="18" t="inlineStr"/>
      <c r="J2029" s="18" t="inlineStr"/>
      <c r="K2029" s="18" t="inlineStr"/>
      <c r="L2029" s="18" t="inlineStr">
        <is>
          <t>No</t>
        </is>
      </c>
      <c r="M2029" s="18" t="inlineStr">
        <is>
          <t>No</t>
        </is>
      </c>
      <c r="N2029" s="18" t="inlineStr"/>
      <c r="O2029" s="18" t="inlineStr"/>
      <c r="P2029" s="18" t="inlineStr"/>
      <c r="Q2029" s="18" t="inlineStr">
        <is>
          <t>Regla estructural</t>
        </is>
      </c>
      <c r="R2029" s="18" t="inlineStr">
        <is>
          <t>Fecha de seguimiento.</t>
        </is>
      </c>
      <c r="S2029" s="18" t="inlineStr">
        <is>
          <t>Media</t>
        </is>
      </c>
      <c r="T2029" s="18" t="inlineStr">
        <is>
          <t>Convención de nombre de la columna.</t>
        </is>
      </c>
      <c r="U2029" s="18" t="inlineStr"/>
      <c r="V2029" s="19" t="inlineStr">
        <is>
          <t>Pendiente</t>
        </is>
      </c>
      <c r="W2029" s="19" t="inlineStr"/>
      <c r="X2029" s="19" t="inlineStr"/>
      <c r="Y2029" s="20" t="n"/>
      <c r="Z2029" s="19" t="inlineStr"/>
      <c r="AA2029" s="18">
        <f>IF(OR(V2029="Aprobada"),R2029,IF(AND(OR(V2029="Aprobada con ajuste",V2029="Rechazada"),W2029&lt;&gt;""),W2029,""))</f>
        <v/>
      </c>
    </row>
    <row r="2030">
      <c r="A2030" s="18" t="inlineStr">
        <is>
          <t>C2029</t>
        </is>
      </c>
      <c r="B2030" s="18" t="inlineStr">
        <is>
          <t>Control interno</t>
        </is>
      </c>
      <c r="C2030" s="18" t="inlineStr">
        <is>
          <t>control_interno</t>
        </is>
      </c>
      <c r="D2030" s="18" t="inlineStr">
        <is>
          <t>seguimiento_plan_mejoramiento</t>
        </is>
      </c>
      <c r="E2030" s="18" t="n">
        <v>0</v>
      </c>
      <c r="F2030" s="18" t="inlineStr">
        <is>
          <t>realizado_por</t>
        </is>
      </c>
      <c r="G2030" s="18" t="inlineStr">
        <is>
          <t>character varying(255)</t>
        </is>
      </c>
      <c r="H2030" s="18" t="inlineStr">
        <is>
          <t>No</t>
        </is>
      </c>
      <c r="I2030" s="18" t="inlineStr"/>
      <c r="J2030" s="18" t="inlineStr"/>
      <c r="K2030" s="18" t="inlineStr"/>
      <c r="L2030" s="18" t="inlineStr">
        <is>
          <t>No</t>
        </is>
      </c>
      <c r="M2030" s="18" t="inlineStr">
        <is>
          <t>No</t>
        </is>
      </c>
      <c r="N2030" s="18" t="inlineStr"/>
      <c r="O2030" s="18" t="inlineStr"/>
      <c r="P2030" s="18" t="inlineStr"/>
      <c r="Q2030" s="18" t="inlineStr">
        <is>
          <t>Propuesta semántica</t>
        </is>
      </c>
      <c r="R2030" s="18" t="inlineStr">
        <is>
          <t>Persona que realizó el seguimiento.</t>
        </is>
      </c>
      <c r="S2030" s="18" t="inlineStr">
        <is>
          <t>Media</t>
        </is>
      </c>
      <c r="T2030" s="18" t="inlineStr">
        <is>
          <t>nombre + tipo + columnas vecinas</t>
        </is>
      </c>
      <c r="U2030" s="18" t="inlineStr">
        <is>
          <t>¿Guarda el nombre o el identificador de la persona?</t>
        </is>
      </c>
      <c r="V2030" s="19" t="inlineStr">
        <is>
          <t>Pendiente</t>
        </is>
      </c>
      <c r="W2030" s="19" t="inlineStr"/>
      <c r="X2030" s="19" t="inlineStr"/>
      <c r="Y2030" s="20" t="n"/>
      <c r="Z2030" s="19" t="inlineStr"/>
      <c r="AA2030" s="18">
        <f>IF(OR(V2030="Aprobada"),R2030,IF(AND(OR(V2030="Aprobada con ajuste",V2030="Rechazada"),W2030&lt;&gt;""),W2030,""))</f>
        <v/>
      </c>
    </row>
    <row r="2031">
      <c r="A2031" s="18" t="inlineStr">
        <is>
          <t>C2030</t>
        </is>
      </c>
      <c r="B2031" s="18" t="inlineStr">
        <is>
          <t>Control interno</t>
        </is>
      </c>
      <c r="C2031" s="18" t="inlineStr">
        <is>
          <t>control_interno</t>
        </is>
      </c>
      <c r="D2031" s="18" t="inlineStr">
        <is>
          <t>seguimiento_plan_mejoramiento</t>
        </is>
      </c>
      <c r="E2031" s="18" t="n">
        <v>0</v>
      </c>
      <c r="F2031" s="18" t="inlineStr">
        <is>
          <t>observaciones</t>
        </is>
      </c>
      <c r="G2031" s="18" t="inlineStr">
        <is>
          <t>text</t>
        </is>
      </c>
      <c r="H2031" s="18" t="inlineStr">
        <is>
          <t>Sí</t>
        </is>
      </c>
      <c r="I2031" s="18" t="inlineStr"/>
      <c r="J2031" s="18" t="inlineStr"/>
      <c r="K2031" s="18" t="inlineStr"/>
      <c r="L2031" s="18" t="inlineStr">
        <is>
          <t>No</t>
        </is>
      </c>
      <c r="M2031" s="18" t="inlineStr">
        <is>
          <t>No</t>
        </is>
      </c>
      <c r="N2031" s="18" t="inlineStr"/>
      <c r="O2031" s="18" t="inlineStr"/>
      <c r="P2031" s="18" t="inlineStr"/>
      <c r="Q2031" s="18" t="inlineStr">
        <is>
          <t>Regla estructural</t>
        </is>
      </c>
      <c r="R2031" s="18" t="inlineStr">
        <is>
          <t>Observaciones registradas sobre el registro.</t>
        </is>
      </c>
      <c r="S2031" s="18" t="inlineStr">
        <is>
          <t>Media</t>
        </is>
      </c>
      <c r="T2031" s="18" t="inlineStr">
        <is>
          <t>Convención de nombre de la columna.</t>
        </is>
      </c>
      <c r="U2031" s="18" t="inlineStr"/>
      <c r="V2031" s="19" t="inlineStr">
        <is>
          <t>Pendiente</t>
        </is>
      </c>
      <c r="W2031" s="19" t="inlineStr"/>
      <c r="X2031" s="19" t="inlineStr"/>
      <c r="Y2031" s="20" t="n"/>
      <c r="Z2031" s="19" t="inlineStr"/>
      <c r="AA2031" s="18">
        <f>IF(OR(V2031="Aprobada"),R2031,IF(AND(OR(V2031="Aprobada con ajuste",V2031="Rechazada"),W2031&lt;&gt;""),W2031,""))</f>
        <v/>
      </c>
    </row>
    <row r="2032">
      <c r="A2032" s="18" t="inlineStr">
        <is>
          <t>C2031</t>
        </is>
      </c>
      <c r="B2032" s="18" t="inlineStr">
        <is>
          <t>Control interno</t>
        </is>
      </c>
      <c r="C2032" s="18" t="inlineStr">
        <is>
          <t>control_interno</t>
        </is>
      </c>
      <c r="D2032" s="18" t="inlineStr">
        <is>
          <t>seguimiento_plan_mejoramiento</t>
        </is>
      </c>
      <c r="E2032" s="18" t="n">
        <v>0</v>
      </c>
      <c r="F2032" s="18" t="inlineStr">
        <is>
          <t>cumplimiento</t>
        </is>
      </c>
      <c r="G2032" s="18" t="inlineStr">
        <is>
          <t>integer</t>
        </is>
      </c>
      <c r="H2032" s="18" t="inlineStr">
        <is>
          <t>Sí</t>
        </is>
      </c>
      <c r="I2032" s="18" t="inlineStr">
        <is>
          <t>CHECK</t>
        </is>
      </c>
      <c r="J2032" s="18" t="inlineStr"/>
      <c r="K2032" s="18" t="inlineStr"/>
      <c r="L2032" s="18" t="inlineStr">
        <is>
          <t>No</t>
        </is>
      </c>
      <c r="M2032" s="18" t="inlineStr">
        <is>
          <t>No</t>
        </is>
      </c>
      <c r="N2032" s="18" t="inlineStr"/>
      <c r="O2032" s="18" t="inlineStr"/>
      <c r="P2032" s="18" t="inlineStr"/>
      <c r="Q2032" s="18" t="inlineStr">
        <is>
          <t>Propuesta semántica</t>
        </is>
      </c>
      <c r="R2032" s="18" t="inlineStr">
        <is>
          <t>Porcentaje de cumplimiento registrado en el seguimiento.</t>
        </is>
      </c>
      <c r="S2032" s="18" t="inlineStr">
        <is>
          <t>Media</t>
        </is>
      </c>
      <c r="T2032" s="18" t="inlineStr">
        <is>
          <t>nombre + tipo + columnas vecinas</t>
        </is>
      </c>
      <c r="U2032" s="18" t="inlineStr">
        <is>
          <t>¿Es un porcentaje de 0 a 100?</t>
        </is>
      </c>
      <c r="V2032" s="19" t="inlineStr">
        <is>
          <t>Pendiente</t>
        </is>
      </c>
      <c r="W2032" s="19" t="inlineStr"/>
      <c r="X2032" s="19" t="inlineStr"/>
      <c r="Y2032" s="20" t="n"/>
      <c r="Z2032" s="19" t="inlineStr"/>
      <c r="AA2032" s="18">
        <f>IF(OR(V2032="Aprobada"),R2032,IF(AND(OR(V2032="Aprobada con ajuste",V2032="Rechazada"),W2032&lt;&gt;""),W2032,""))</f>
        <v/>
      </c>
    </row>
    <row r="2033">
      <c r="A2033" s="18" t="inlineStr">
        <is>
          <t>C2032</t>
        </is>
      </c>
      <c r="B2033" s="18" t="inlineStr">
        <is>
          <t>Control interno</t>
        </is>
      </c>
      <c r="C2033" s="18" t="inlineStr">
        <is>
          <t>control_interno</t>
        </is>
      </c>
      <c r="D2033" s="18" t="inlineStr">
        <is>
          <t>seguimiento_plan_mejoramiento</t>
        </is>
      </c>
      <c r="E2033" s="18" t="n">
        <v>0</v>
      </c>
      <c r="F2033" s="18" t="inlineStr">
        <is>
          <t>efectividad</t>
        </is>
      </c>
      <c r="G2033" s="18" t="inlineStr">
        <is>
          <t>integer</t>
        </is>
      </c>
      <c r="H2033" s="18" t="inlineStr">
        <is>
          <t>Sí</t>
        </is>
      </c>
      <c r="I2033" s="18" t="inlineStr">
        <is>
          <t>CHECK</t>
        </is>
      </c>
      <c r="J2033" s="18" t="inlineStr"/>
      <c r="K2033" s="18" t="inlineStr"/>
      <c r="L2033" s="18" t="inlineStr">
        <is>
          <t>No</t>
        </is>
      </c>
      <c r="M2033" s="18" t="inlineStr">
        <is>
          <t>No</t>
        </is>
      </c>
      <c r="N2033" s="18" t="inlineStr"/>
      <c r="O2033" s="18" t="inlineStr"/>
      <c r="P2033" s="18" t="inlineStr"/>
      <c r="Q2033" s="18" t="inlineStr">
        <is>
          <t>Propuesta semántica</t>
        </is>
      </c>
      <c r="R2033" s="18" t="inlineStr">
        <is>
          <t>Porcentaje de efectividad registrado en el seguimiento.</t>
        </is>
      </c>
      <c r="S2033" s="18" t="inlineStr">
        <is>
          <t>Media</t>
        </is>
      </c>
      <c r="T2033" s="18" t="inlineStr">
        <is>
          <t>nombre + tipo + columnas vecinas</t>
        </is>
      </c>
      <c r="U2033" s="18" t="inlineStr">
        <is>
          <t>¿Es un porcentaje de 0 a 100?</t>
        </is>
      </c>
      <c r="V2033" s="19" t="inlineStr">
        <is>
          <t>Pendiente</t>
        </is>
      </c>
      <c r="W2033" s="19" t="inlineStr"/>
      <c r="X2033" s="19" t="inlineStr"/>
      <c r="Y2033" s="20" t="n"/>
      <c r="Z2033" s="19" t="inlineStr"/>
      <c r="AA2033" s="18">
        <f>IF(OR(V2033="Aprobada"),R2033,IF(AND(OR(V2033="Aprobada con ajuste",V2033="Rechazada"),W2033&lt;&gt;""),W2033,""))</f>
        <v/>
      </c>
    </row>
    <row r="2034">
      <c r="A2034" s="18" t="inlineStr">
        <is>
          <t>C2033</t>
        </is>
      </c>
      <c r="B2034" s="18" t="inlineStr">
        <is>
          <t>Control interno</t>
        </is>
      </c>
      <c r="C2034" s="18" t="inlineStr">
        <is>
          <t>control_interno</t>
        </is>
      </c>
      <c r="D2034" s="18" t="inlineStr">
        <is>
          <t>seguimiento_plan_mejoramiento</t>
        </is>
      </c>
      <c r="E2034" s="18" t="n">
        <v>0</v>
      </c>
      <c r="F2034" s="18" t="inlineStr">
        <is>
          <t>acciones_implementadas</t>
        </is>
      </c>
      <c r="G2034" s="18" t="inlineStr">
        <is>
          <t>integer</t>
        </is>
      </c>
      <c r="H2034" s="18" t="inlineStr">
        <is>
          <t>Sí</t>
        </is>
      </c>
      <c r="I2034" s="18" t="inlineStr"/>
      <c r="J2034" s="18" t="inlineStr"/>
      <c r="K2034" s="18" t="inlineStr"/>
      <c r="L2034" s="18" t="inlineStr">
        <is>
          <t>No</t>
        </is>
      </c>
      <c r="M2034" s="18" t="inlineStr">
        <is>
          <t>No</t>
        </is>
      </c>
      <c r="N2034" s="18" t="inlineStr"/>
      <c r="O2034" s="18" t="inlineStr"/>
      <c r="P2034" s="18" t="inlineStr"/>
      <c r="Q2034" s="18" t="inlineStr">
        <is>
          <t>Propuesta semántica</t>
        </is>
      </c>
      <c r="R2034" s="18" t="inlineStr">
        <is>
          <t>Cantidad de acciones implementadas a la fecha del seguimiento.</t>
        </is>
      </c>
      <c r="S2034" s="18" t="inlineStr">
        <is>
          <t>Alta</t>
        </is>
      </c>
      <c r="T2034" s="18" t="inlineStr">
        <is>
          <t>nombre + tipo + columnas vecinas</t>
        </is>
      </c>
      <c r="U2034" s="18" t="inlineStr"/>
      <c r="V2034" s="19" t="inlineStr">
        <is>
          <t>Pendiente</t>
        </is>
      </c>
      <c r="W2034" s="19" t="inlineStr"/>
      <c r="X2034" s="19" t="inlineStr"/>
      <c r="Y2034" s="20" t="n"/>
      <c r="Z2034" s="19" t="inlineStr"/>
      <c r="AA2034" s="18">
        <f>IF(OR(V2034="Aprobada"),R2034,IF(AND(OR(V2034="Aprobada con ajuste",V2034="Rechazada"),W2034&lt;&gt;""),W2034,""))</f>
        <v/>
      </c>
    </row>
    <row r="2035">
      <c r="A2035" s="18" t="inlineStr">
        <is>
          <t>C2034</t>
        </is>
      </c>
      <c r="B2035" s="18" t="inlineStr">
        <is>
          <t>Control interno</t>
        </is>
      </c>
      <c r="C2035" s="18" t="inlineStr">
        <is>
          <t>control_interno</t>
        </is>
      </c>
      <c r="D2035" s="18" t="inlineStr">
        <is>
          <t>seguimiento_plan_mejoramiento</t>
        </is>
      </c>
      <c r="E2035" s="18" t="n">
        <v>0</v>
      </c>
      <c r="F2035" s="18" t="inlineStr">
        <is>
          <t>acciones_totales</t>
        </is>
      </c>
      <c r="G2035" s="18" t="inlineStr">
        <is>
          <t>integer</t>
        </is>
      </c>
      <c r="H2035" s="18" t="inlineStr">
        <is>
          <t>Sí</t>
        </is>
      </c>
      <c r="I2035" s="18" t="inlineStr"/>
      <c r="J2035" s="18" t="inlineStr"/>
      <c r="K2035" s="18" t="inlineStr"/>
      <c r="L2035" s="18" t="inlineStr">
        <is>
          <t>No</t>
        </is>
      </c>
      <c r="M2035" s="18" t="inlineStr">
        <is>
          <t>No</t>
        </is>
      </c>
      <c r="N2035" s="18" t="inlineStr"/>
      <c r="O2035" s="18" t="inlineStr"/>
      <c r="P2035" s="18" t="inlineStr"/>
      <c r="Q2035" s="18" t="inlineStr">
        <is>
          <t>Propuesta semántica</t>
        </is>
      </c>
      <c r="R2035" s="18" t="inlineStr">
        <is>
          <t>Cantidad total de acciones del plan de mejoramiento evaluadas en el seguimiento.</t>
        </is>
      </c>
      <c r="S2035" s="18" t="inlineStr">
        <is>
          <t>Alta</t>
        </is>
      </c>
      <c r="T2035" s="18" t="inlineStr">
        <is>
          <t>nombre + tipo + columnas vecinas</t>
        </is>
      </c>
      <c r="U2035" s="18" t="inlineStr"/>
      <c r="V2035" s="19" t="inlineStr">
        <is>
          <t>Pendiente</t>
        </is>
      </c>
      <c r="W2035" s="19" t="inlineStr"/>
      <c r="X2035" s="19" t="inlineStr"/>
      <c r="Y2035" s="20" t="n"/>
      <c r="Z2035" s="19" t="inlineStr"/>
      <c r="AA2035" s="18">
        <f>IF(OR(V2035="Aprobada"),R2035,IF(AND(OR(V2035="Aprobada con ajuste",V2035="Rechazada"),W2035&lt;&gt;""),W2035,""))</f>
        <v/>
      </c>
    </row>
    <row r="2036">
      <c r="A2036" s="18" t="inlineStr">
        <is>
          <t>C2035</t>
        </is>
      </c>
      <c r="B2036" s="18" t="inlineStr">
        <is>
          <t>Control interno</t>
        </is>
      </c>
      <c r="C2036" s="18" t="inlineStr">
        <is>
          <t>control_interno</t>
        </is>
      </c>
      <c r="D2036" s="18" t="inlineStr">
        <is>
          <t>seguimiento_trimestral</t>
        </is>
      </c>
      <c r="E2036" s="18" t="n">
        <v>0</v>
      </c>
      <c r="F2036" s="18" t="inlineStr">
        <is>
          <t>trimestre</t>
        </is>
      </c>
      <c r="G2036" s="18" t="inlineStr">
        <is>
          <t>integer</t>
        </is>
      </c>
      <c r="H2036" s="18" t="inlineStr">
        <is>
          <t>No</t>
        </is>
      </c>
      <c r="I2036" s="18" t="inlineStr">
        <is>
          <t>CHECK</t>
        </is>
      </c>
      <c r="J2036" s="18" t="inlineStr"/>
      <c r="K2036" s="18" t="inlineStr"/>
      <c r="L2036" s="18" t="inlineStr">
        <is>
          <t>No</t>
        </is>
      </c>
      <c r="M2036" s="18" t="inlineStr">
        <is>
          <t>No</t>
        </is>
      </c>
      <c r="N2036" s="18" t="inlineStr"/>
      <c r="O2036" s="18" t="inlineStr">
        <is>
          <t>idx_seguimiento_trimestral_trimestre</t>
        </is>
      </c>
      <c r="P2036" s="18" t="inlineStr">
        <is>
          <t>Mapeada en internal-institutional-control-service/src/esap/planes-mejoramiento/entities/seguimiento-trimestral.entity.ts:26 (SeguimientoTrimestral.trimestre) | Validación: IsInt, IsOptional, Max(4), Min(1)</t>
        </is>
      </c>
      <c r="Q2036" s="18" t="inlineStr">
        <is>
          <t>Propuesta semántica</t>
        </is>
      </c>
      <c r="R2036" s="18" t="inlineStr">
        <is>
          <t>Trimestre del seguimiento, de 1 a 4.</t>
        </is>
      </c>
      <c r="S2036" s="18" t="inlineStr">
        <is>
          <t>Alta</t>
        </is>
      </c>
      <c r="T2036" s="18" t="inlineStr">
        <is>
          <t>nombre + validaciones Min(1), Max(4)</t>
        </is>
      </c>
      <c r="U2036" s="18" t="inlineStr"/>
      <c r="V2036" s="19" t="inlineStr">
        <is>
          <t>Pendiente</t>
        </is>
      </c>
      <c r="W2036" s="19" t="inlineStr"/>
      <c r="X2036" s="19" t="inlineStr"/>
      <c r="Y2036" s="20" t="n"/>
      <c r="Z2036" s="19" t="inlineStr"/>
      <c r="AA2036" s="18">
        <f>IF(OR(V2036="Aprobada"),R2036,IF(AND(OR(V2036="Aprobada con ajuste",V2036="Rechazada"),W2036&lt;&gt;""),W2036,""))</f>
        <v/>
      </c>
    </row>
    <row r="2037">
      <c r="A2037" s="18" t="inlineStr">
        <is>
          <t>C2036</t>
        </is>
      </c>
      <c r="B2037" s="18" t="inlineStr">
        <is>
          <t>Control interno</t>
        </is>
      </c>
      <c r="C2037" s="18" t="inlineStr">
        <is>
          <t>control_interno</t>
        </is>
      </c>
      <c r="D2037" s="18" t="inlineStr">
        <is>
          <t>seguimiento_trimestral</t>
        </is>
      </c>
      <c r="E2037" s="18" t="n">
        <v>0</v>
      </c>
      <c r="F2037" s="18" t="inlineStr">
        <is>
          <t>año</t>
        </is>
      </c>
      <c r="G2037" s="18" t="inlineStr">
        <is>
          <t>integer</t>
        </is>
      </c>
      <c r="H2037" s="18" t="inlineStr">
        <is>
          <t>No</t>
        </is>
      </c>
      <c r="I2037" s="18" t="inlineStr"/>
      <c r="J2037" s="18" t="inlineStr"/>
      <c r="K2037" s="18" t="inlineStr"/>
      <c r="L2037" s="18" t="inlineStr">
        <is>
          <t>No</t>
        </is>
      </c>
      <c r="M2037" s="18" t="inlineStr">
        <is>
          <t>No</t>
        </is>
      </c>
      <c r="N2037" s="18" t="inlineStr"/>
      <c r="O2037" s="18" t="inlineStr">
        <is>
          <t>idx_seguimiento_trimestral_trimestre</t>
        </is>
      </c>
      <c r="P2037" s="18" t="inlineStr">
        <is>
          <t>Mapeada en internal-institutional-control-service/src/esap/planes-mejoramiento/entities/seguimiento-trimestral.entity.ts:29 (SeguimientoTrimestral.año) | Validación: IsInt, IsOptional, Max(2100), Min(2020)</t>
        </is>
      </c>
      <c r="Q2037" s="18" t="inlineStr">
        <is>
          <t>Propuesta semántica</t>
        </is>
      </c>
      <c r="R2037" s="18" t="inlineStr">
        <is>
          <t>Año del seguimiento, entre 2020 y 2100.</t>
        </is>
      </c>
      <c r="S2037" s="18" t="inlineStr">
        <is>
          <t>Alta</t>
        </is>
      </c>
      <c r="T2037" s="18" t="inlineStr">
        <is>
          <t>nombre + validaciones</t>
        </is>
      </c>
      <c r="U2037" s="18" t="inlineStr"/>
      <c r="V2037" s="19" t="inlineStr">
        <is>
          <t>Pendiente</t>
        </is>
      </c>
      <c r="W2037" s="19" t="inlineStr"/>
      <c r="X2037" s="19" t="inlineStr"/>
      <c r="Y2037" s="20" t="n"/>
      <c r="Z2037" s="19" t="inlineStr"/>
      <c r="AA2037" s="18">
        <f>IF(OR(V2037="Aprobada"),R2037,IF(AND(OR(V2037="Aprobada con ajuste",V2037="Rechazada"),W2037&lt;&gt;""),W2037,""))</f>
        <v/>
      </c>
    </row>
    <row r="2038">
      <c r="A2038" s="18" t="inlineStr">
        <is>
          <t>C2037</t>
        </is>
      </c>
      <c r="B2038" s="18" t="inlineStr">
        <is>
          <t>Control interno</t>
        </is>
      </c>
      <c r="C2038" s="18" t="inlineStr">
        <is>
          <t>control_interno</t>
        </is>
      </c>
      <c r="D2038" s="18" t="inlineStr">
        <is>
          <t>seguimiento_trimestral</t>
        </is>
      </c>
      <c r="E2038" s="18" t="n">
        <v>0</v>
      </c>
      <c r="F2038" s="18" t="inlineStr">
        <is>
          <t>fecha_inicio</t>
        </is>
      </c>
      <c r="G2038" s="18" t="inlineStr">
        <is>
          <t>date</t>
        </is>
      </c>
      <c r="H2038" s="18" t="inlineStr">
        <is>
          <t>No</t>
        </is>
      </c>
      <c r="I2038" s="18" t="inlineStr"/>
      <c r="J2038" s="18" t="inlineStr"/>
      <c r="K2038" s="18" t="inlineStr"/>
      <c r="L2038" s="18" t="inlineStr">
        <is>
          <t>No</t>
        </is>
      </c>
      <c r="M2038" s="18" t="inlineStr">
        <is>
          <t>No</t>
        </is>
      </c>
      <c r="N2038" s="18" t="inlineStr"/>
      <c r="O2038" s="18" t="inlineStr"/>
      <c r="P2038" s="18" t="inlineStr">
        <is>
          <t>Mapeada en internal-institutional-control-service/src/esap/planes-mejoramiento/entities/seguimiento-trimestral.entity.ts:32 (SeguimientoTrimestral.fechaInicio) | Validación: IsDateString, IsNotEmpty, IsOptional</t>
        </is>
      </c>
      <c r="Q2038" s="18" t="inlineStr">
        <is>
          <t>Regla estructural</t>
        </is>
      </c>
      <c r="R2038" s="18" t="inlineStr">
        <is>
          <t>Fecha de inicio.</t>
        </is>
      </c>
      <c r="S2038" s="18" t="inlineStr">
        <is>
          <t>Media</t>
        </is>
      </c>
      <c r="T2038" s="18" t="inlineStr">
        <is>
          <t>Convención de nombre de la columna.</t>
        </is>
      </c>
      <c r="U2038" s="18" t="inlineStr"/>
      <c r="V2038" s="19" t="inlineStr">
        <is>
          <t>Pendiente</t>
        </is>
      </c>
      <c r="W2038" s="19" t="inlineStr"/>
      <c r="X2038" s="19" t="inlineStr"/>
      <c r="Y2038" s="20" t="n"/>
      <c r="Z2038" s="19" t="inlineStr"/>
      <c r="AA2038" s="18">
        <f>IF(OR(V2038="Aprobada"),R2038,IF(AND(OR(V2038="Aprobada con ajuste",V2038="Rechazada"),W2038&lt;&gt;""),W2038,""))</f>
        <v/>
      </c>
    </row>
    <row r="2039">
      <c r="A2039" s="18" t="inlineStr">
        <is>
          <t>C2038</t>
        </is>
      </c>
      <c r="B2039" s="18" t="inlineStr">
        <is>
          <t>Control interno</t>
        </is>
      </c>
      <c r="C2039" s="18" t="inlineStr">
        <is>
          <t>control_interno</t>
        </is>
      </c>
      <c r="D2039" s="18" t="inlineStr">
        <is>
          <t>seguimiento_trimestral</t>
        </is>
      </c>
      <c r="E2039" s="18" t="n">
        <v>0</v>
      </c>
      <c r="F2039" s="18" t="inlineStr">
        <is>
          <t>fecha_fin</t>
        </is>
      </c>
      <c r="G2039" s="18" t="inlineStr">
        <is>
          <t>date</t>
        </is>
      </c>
      <c r="H2039" s="18" t="inlineStr">
        <is>
          <t>No</t>
        </is>
      </c>
      <c r="I2039" s="18" t="inlineStr"/>
      <c r="J2039" s="18" t="inlineStr"/>
      <c r="K2039" s="18" t="inlineStr"/>
      <c r="L2039" s="18" t="inlineStr">
        <is>
          <t>No</t>
        </is>
      </c>
      <c r="M2039" s="18" t="inlineStr">
        <is>
          <t>No</t>
        </is>
      </c>
      <c r="N2039" s="18" t="inlineStr"/>
      <c r="O2039" s="18" t="inlineStr"/>
      <c r="P2039" s="18" t="inlineStr">
        <is>
          <t>Mapeada en internal-institutional-control-service/src/esap/planes-mejoramiento/entities/seguimiento-trimestral.entity.ts:35 (SeguimientoTrimestral.fechaFin) | Validación: IsDateString, IsNotEmpty, IsOptional</t>
        </is>
      </c>
      <c r="Q2039" s="18" t="inlineStr">
        <is>
          <t>Regla estructural</t>
        </is>
      </c>
      <c r="R2039" s="18" t="inlineStr">
        <is>
          <t>Fecha de finalización.</t>
        </is>
      </c>
      <c r="S2039" s="18" t="inlineStr">
        <is>
          <t>Media</t>
        </is>
      </c>
      <c r="T2039" s="18" t="inlineStr">
        <is>
          <t>Convención de nombre de la columna.</t>
        </is>
      </c>
      <c r="U2039" s="18" t="inlineStr"/>
      <c r="V2039" s="19" t="inlineStr">
        <is>
          <t>Pendiente</t>
        </is>
      </c>
      <c r="W2039" s="19" t="inlineStr"/>
      <c r="X2039" s="19" t="inlineStr"/>
      <c r="Y2039" s="20" t="n"/>
      <c r="Z2039" s="19" t="inlineStr"/>
      <c r="AA2039" s="18">
        <f>IF(OR(V2039="Aprobada"),R2039,IF(AND(OR(V2039="Aprobada con ajuste",V2039="Rechazada"),W2039&lt;&gt;""),W2039,""))</f>
        <v/>
      </c>
    </row>
    <row r="2040">
      <c r="A2040" s="18" t="inlineStr">
        <is>
          <t>C2039</t>
        </is>
      </c>
      <c r="B2040" s="18" t="inlineStr">
        <is>
          <t>Control interno</t>
        </is>
      </c>
      <c r="C2040" s="18" t="inlineStr">
        <is>
          <t>control_interno</t>
        </is>
      </c>
      <c r="D2040" s="18" t="inlineStr">
        <is>
          <t>seguimiento_trimestral</t>
        </is>
      </c>
      <c r="E2040" s="18" t="n">
        <v>0</v>
      </c>
      <c r="F2040" s="18" t="inlineStr">
        <is>
          <t>fecha_seguimiento</t>
        </is>
      </c>
      <c r="G2040" s="18" t="inlineStr">
        <is>
          <t>date</t>
        </is>
      </c>
      <c r="H2040" s="18" t="inlineStr">
        <is>
          <t>Sí</t>
        </is>
      </c>
      <c r="I2040" s="18" t="inlineStr"/>
      <c r="J2040" s="18" t="inlineStr"/>
      <c r="K2040" s="18" t="inlineStr"/>
      <c r="L2040" s="18" t="inlineStr">
        <is>
          <t>No</t>
        </is>
      </c>
      <c r="M2040" s="18" t="inlineStr">
        <is>
          <t>No</t>
        </is>
      </c>
      <c r="N2040" s="18" t="inlineStr"/>
      <c r="O2040" s="18" t="inlineStr"/>
      <c r="P2040" s="18" t="inlineStr">
        <is>
          <t>Mapeada en internal-institutional-control-service/src/esap/planes-mejoramiento/entities/seguimiento-trimestral.entity.ts:38 (SeguimientoTrimestral.fechaSeguimiento) | Validación: IsDateString, IsOptional</t>
        </is>
      </c>
      <c r="Q2040" s="18" t="inlineStr">
        <is>
          <t>Regla estructural</t>
        </is>
      </c>
      <c r="R2040" s="18" t="inlineStr">
        <is>
          <t>Fecha de seguimiento.</t>
        </is>
      </c>
      <c r="S2040" s="18" t="inlineStr">
        <is>
          <t>Media</t>
        </is>
      </c>
      <c r="T2040" s="18" t="inlineStr">
        <is>
          <t>Convención de nombre de la columna.</t>
        </is>
      </c>
      <c r="U2040" s="18" t="inlineStr"/>
      <c r="V2040" s="19" t="inlineStr">
        <is>
          <t>Pendiente</t>
        </is>
      </c>
      <c r="W2040" s="19" t="inlineStr"/>
      <c r="X2040" s="19" t="inlineStr"/>
      <c r="Y2040" s="20" t="n"/>
      <c r="Z2040" s="19" t="inlineStr"/>
      <c r="AA2040" s="18">
        <f>IF(OR(V2040="Aprobada"),R2040,IF(AND(OR(V2040="Aprobada con ajuste",V2040="Rechazada"),W2040&lt;&gt;""),W2040,""))</f>
        <v/>
      </c>
    </row>
    <row r="2041">
      <c r="A2041" s="18" t="inlineStr">
        <is>
          <t>C2040</t>
        </is>
      </c>
      <c r="B2041" s="18" t="inlineStr">
        <is>
          <t>Control interno</t>
        </is>
      </c>
      <c r="C2041" s="18" t="inlineStr">
        <is>
          <t>control_interno</t>
        </is>
      </c>
      <c r="D2041" s="18" t="inlineStr">
        <is>
          <t>seguimiento_trimestral</t>
        </is>
      </c>
      <c r="E2041" s="18" t="n">
        <v>0</v>
      </c>
      <c r="F2041" s="18" t="inlineStr">
        <is>
          <t>avance_global</t>
        </is>
      </c>
      <c r="G2041" s="18" t="inlineStr">
        <is>
          <t>integer</t>
        </is>
      </c>
      <c r="H2041" s="18" t="inlineStr">
        <is>
          <t>Sí</t>
        </is>
      </c>
      <c r="I2041" s="18" t="inlineStr">
        <is>
          <t>CHECK</t>
        </is>
      </c>
      <c r="J2041" s="18" t="inlineStr"/>
      <c r="K2041" s="18" t="inlineStr"/>
      <c r="L2041" s="18" t="inlineStr">
        <is>
          <t>No</t>
        </is>
      </c>
      <c r="M2041" s="18" t="inlineStr">
        <is>
          <t>No</t>
        </is>
      </c>
      <c r="N2041" s="18" t="inlineStr"/>
      <c r="O2041" s="18" t="inlineStr"/>
      <c r="P2041" s="18" t="inlineStr">
        <is>
          <t>Mapeada en internal-institutional-control-service/src/esap/planes-mejoramiento/entities/seguimiento-trimestral.entity.ts:41 (SeguimientoTrimestral.avanceGlobal) | Validación: IsInt, IsOptional, Max(100), Min(0)</t>
        </is>
      </c>
      <c r="Q2041" s="18" t="inlineStr">
        <is>
          <t>Propuesta semántica</t>
        </is>
      </c>
      <c r="R2041" s="18" t="inlineStr">
        <is>
          <t>Porcentaje de avance global en el trimestre, entre 0 y 100.</t>
        </is>
      </c>
      <c r="S2041" s="18" t="inlineStr">
        <is>
          <t>Alta</t>
        </is>
      </c>
      <c r="T2041" s="18" t="inlineStr">
        <is>
          <t>nombre + validaciones</t>
        </is>
      </c>
      <c r="U2041" s="18" t="inlineStr"/>
      <c r="V2041" s="19" t="inlineStr">
        <is>
          <t>Pendiente</t>
        </is>
      </c>
      <c r="W2041" s="19" t="inlineStr"/>
      <c r="X2041" s="19" t="inlineStr"/>
      <c r="Y2041" s="20" t="n"/>
      <c r="Z2041" s="19" t="inlineStr"/>
      <c r="AA2041" s="18">
        <f>IF(OR(V2041="Aprobada"),R2041,IF(AND(OR(V2041="Aprobada con ajuste",V2041="Rechazada"),W2041&lt;&gt;""),W2041,""))</f>
        <v/>
      </c>
    </row>
    <row r="2042">
      <c r="A2042" s="18" t="inlineStr">
        <is>
          <t>C2041</t>
        </is>
      </c>
      <c r="B2042" s="18" t="inlineStr">
        <is>
          <t>Control interno</t>
        </is>
      </c>
      <c r="C2042" s="18" t="inlineStr">
        <is>
          <t>control_interno</t>
        </is>
      </c>
      <c r="D2042" s="18" t="inlineStr">
        <is>
          <t>seguimiento_trimestral</t>
        </is>
      </c>
      <c r="E2042" s="18" t="n">
        <v>0</v>
      </c>
      <c r="F2042" s="18" t="inlineStr">
        <is>
          <t>porcentaje_cumplimiento</t>
        </is>
      </c>
      <c r="G2042" s="18" t="inlineStr">
        <is>
          <t>integer</t>
        </is>
      </c>
      <c r="H2042" s="18" t="inlineStr">
        <is>
          <t>Sí</t>
        </is>
      </c>
      <c r="I2042" s="18" t="inlineStr">
        <is>
          <t>CHECK</t>
        </is>
      </c>
      <c r="J2042" s="18" t="inlineStr"/>
      <c r="K2042" s="18" t="inlineStr"/>
      <c r="L2042" s="18" t="inlineStr">
        <is>
          <t>No</t>
        </is>
      </c>
      <c r="M2042" s="18" t="inlineStr">
        <is>
          <t>No</t>
        </is>
      </c>
      <c r="N2042" s="18" t="inlineStr"/>
      <c r="O2042" s="18" t="inlineStr"/>
      <c r="P2042" s="18" t="inlineStr">
        <is>
          <t>Mapeada en internal-institutional-control-service/src/esap/planes-mejoramiento/entities/seguimiento-trimestral.entity.ts:44 (SeguimientoTrimestral.porcentajeCumplimiento) | Validación: IsInt, IsOptional, Max(100), Min(0)</t>
        </is>
      </c>
      <c r="Q2042" s="18" t="inlineStr">
        <is>
          <t>Propuesta semántica</t>
        </is>
      </c>
      <c r="R2042" s="18" t="inlineStr">
        <is>
          <t>Porcentaje de cumplimiento en el trimestre, entre 0 y 100.</t>
        </is>
      </c>
      <c r="S2042" s="18" t="inlineStr">
        <is>
          <t>Alta</t>
        </is>
      </c>
      <c r="T2042" s="18" t="inlineStr">
        <is>
          <t>nombre + validaciones</t>
        </is>
      </c>
      <c r="U2042" s="18" t="inlineStr"/>
      <c r="V2042" s="19" t="inlineStr">
        <is>
          <t>Pendiente</t>
        </is>
      </c>
      <c r="W2042" s="19" t="inlineStr"/>
      <c r="X2042" s="19" t="inlineStr"/>
      <c r="Y2042" s="20" t="n"/>
      <c r="Z2042" s="19" t="inlineStr"/>
      <c r="AA2042" s="18">
        <f>IF(OR(V2042="Aprobada"),R2042,IF(AND(OR(V2042="Aprobada con ajuste",V2042="Rechazada"),W2042&lt;&gt;""),W2042,""))</f>
        <v/>
      </c>
    </row>
    <row r="2043">
      <c r="A2043" s="18" t="inlineStr">
        <is>
          <t>C2042</t>
        </is>
      </c>
      <c r="B2043" s="18" t="inlineStr">
        <is>
          <t>Control interno</t>
        </is>
      </c>
      <c r="C2043" s="18" t="inlineStr">
        <is>
          <t>control_interno</t>
        </is>
      </c>
      <c r="D2043" s="18" t="inlineStr">
        <is>
          <t>seguimiento_trimestral</t>
        </is>
      </c>
      <c r="E2043" s="18" t="n">
        <v>0</v>
      </c>
      <c r="F2043" s="18" t="inlineStr">
        <is>
          <t>porcentaje_efectividad</t>
        </is>
      </c>
      <c r="G2043" s="18" t="inlineStr">
        <is>
          <t>integer</t>
        </is>
      </c>
      <c r="H2043" s="18" t="inlineStr">
        <is>
          <t>Sí</t>
        </is>
      </c>
      <c r="I2043" s="18" t="inlineStr">
        <is>
          <t>CHECK</t>
        </is>
      </c>
      <c r="J2043" s="18" t="inlineStr"/>
      <c r="K2043" s="18" t="inlineStr"/>
      <c r="L2043" s="18" t="inlineStr">
        <is>
          <t>No</t>
        </is>
      </c>
      <c r="M2043" s="18" t="inlineStr">
        <is>
          <t>No</t>
        </is>
      </c>
      <c r="N2043" s="18" t="inlineStr"/>
      <c r="O2043" s="18" t="inlineStr"/>
      <c r="P2043" s="18" t="inlineStr">
        <is>
          <t>Mapeada en internal-institutional-control-service/src/esap/planes-mejoramiento/entities/seguimiento-trimestral.entity.ts:47 (SeguimientoTrimestral.porcentajeEfectividad) | Validación: IsInt, IsOptional, Max(100), Min(0)</t>
        </is>
      </c>
      <c r="Q2043" s="18" t="inlineStr">
        <is>
          <t>Propuesta semántica</t>
        </is>
      </c>
      <c r="R2043" s="18" t="inlineStr">
        <is>
          <t>Porcentaje de efectividad en el trimestre, entre 0 y 100.</t>
        </is>
      </c>
      <c r="S2043" s="18" t="inlineStr">
        <is>
          <t>Alta</t>
        </is>
      </c>
      <c r="T2043" s="18" t="inlineStr">
        <is>
          <t>nombre + validaciones</t>
        </is>
      </c>
      <c r="U2043" s="18" t="inlineStr"/>
      <c r="V2043" s="19" t="inlineStr">
        <is>
          <t>Pendiente</t>
        </is>
      </c>
      <c r="W2043" s="19" t="inlineStr"/>
      <c r="X2043" s="19" t="inlineStr"/>
      <c r="Y2043" s="20" t="n"/>
      <c r="Z2043" s="19" t="inlineStr"/>
      <c r="AA2043" s="18">
        <f>IF(OR(V2043="Aprobada"),R2043,IF(AND(OR(V2043="Aprobada con ajuste",V2043="Rechazada"),W2043&lt;&gt;""),W2043,""))</f>
        <v/>
      </c>
    </row>
    <row r="2044">
      <c r="A2044" s="18" t="inlineStr">
        <is>
          <t>C2043</t>
        </is>
      </c>
      <c r="B2044" s="18" t="inlineStr">
        <is>
          <t>Control interno</t>
        </is>
      </c>
      <c r="C2044" s="18" t="inlineStr">
        <is>
          <t>control_interno</t>
        </is>
      </c>
      <c r="D2044" s="18" t="inlineStr">
        <is>
          <t>seguimiento_trimestral</t>
        </is>
      </c>
      <c r="E2044" s="18" t="n">
        <v>0</v>
      </c>
      <c r="F2044" s="18" t="inlineStr">
        <is>
          <t>acciones_revisadas</t>
        </is>
      </c>
      <c r="G2044" s="18" t="inlineStr">
        <is>
          <t>integer</t>
        </is>
      </c>
      <c r="H2044" s="18" t="inlineStr">
        <is>
          <t>Sí</t>
        </is>
      </c>
      <c r="I2044" s="18" t="inlineStr"/>
      <c r="J2044" s="18" t="inlineStr"/>
      <c r="K2044" s="18" t="inlineStr"/>
      <c r="L2044" s="18" t="inlineStr">
        <is>
          <t>No</t>
        </is>
      </c>
      <c r="M2044" s="18" t="inlineStr">
        <is>
          <t>No</t>
        </is>
      </c>
      <c r="N2044" s="18" t="inlineStr"/>
      <c r="O2044" s="18" t="inlineStr"/>
      <c r="P2044" s="18" t="inlineStr">
        <is>
          <t>Mapeada en internal-institutional-control-service/src/esap/planes-mejoramiento/entities/seguimiento-trimestral.entity.ts:50 (SeguimientoTrimestral.accionesRevisadas) | Validación: IsInt, IsOptional, Min(0)</t>
        </is>
      </c>
      <c r="Q2044" s="18" t="inlineStr">
        <is>
          <t>Propuesta semántica</t>
        </is>
      </c>
      <c r="R2044" s="18" t="inlineStr">
        <is>
          <t>Cantidad de acciones revisadas en el seguimiento trimestral.</t>
        </is>
      </c>
      <c r="S2044" s="18" t="inlineStr">
        <is>
          <t>Alta</t>
        </is>
      </c>
      <c r="T2044" s="18" t="inlineStr">
        <is>
          <t>nombre + tipo + columnas vecinas</t>
        </is>
      </c>
      <c r="U2044" s="18" t="inlineStr"/>
      <c r="V2044" s="19" t="inlineStr">
        <is>
          <t>Pendiente</t>
        </is>
      </c>
      <c r="W2044" s="19" t="inlineStr"/>
      <c r="X2044" s="19" t="inlineStr"/>
      <c r="Y2044" s="20" t="n"/>
      <c r="Z2044" s="19" t="inlineStr"/>
      <c r="AA2044" s="18">
        <f>IF(OR(V2044="Aprobada"),R2044,IF(AND(OR(V2044="Aprobada con ajuste",V2044="Rechazada"),W2044&lt;&gt;""),W2044,""))</f>
        <v/>
      </c>
    </row>
    <row r="2045">
      <c r="A2045" s="18" t="inlineStr">
        <is>
          <t>C2044</t>
        </is>
      </c>
      <c r="B2045" s="18" t="inlineStr">
        <is>
          <t>Control interno</t>
        </is>
      </c>
      <c r="C2045" s="18" t="inlineStr">
        <is>
          <t>control_interno</t>
        </is>
      </c>
      <c r="D2045" s="18" t="inlineStr">
        <is>
          <t>seguimiento_trimestral</t>
        </is>
      </c>
      <c r="E2045" s="18" t="n">
        <v>0</v>
      </c>
      <c r="F2045" s="18" t="inlineStr">
        <is>
          <t>acciones_totales</t>
        </is>
      </c>
      <c r="G2045" s="18" t="inlineStr">
        <is>
          <t>integer</t>
        </is>
      </c>
      <c r="H2045" s="18" t="inlineStr">
        <is>
          <t>Sí</t>
        </is>
      </c>
      <c r="I2045" s="18" t="inlineStr"/>
      <c r="J2045" s="18" t="inlineStr"/>
      <c r="K2045" s="18" t="inlineStr"/>
      <c r="L2045" s="18" t="inlineStr">
        <is>
          <t>No</t>
        </is>
      </c>
      <c r="M2045" s="18" t="inlineStr">
        <is>
          <t>No</t>
        </is>
      </c>
      <c r="N2045" s="18" t="inlineStr"/>
      <c r="O2045" s="18" t="inlineStr"/>
      <c r="P2045" s="18" t="inlineStr">
        <is>
          <t>Mapeada en internal-institutional-control-service/src/esap/planes-mejoramiento/entities/seguimiento-trimestral.entity.ts:53 (SeguimientoTrimestral.accionesTotales) | Validación: IsInt, IsOptional, Min(0)</t>
        </is>
      </c>
      <c r="Q2045" s="18" t="inlineStr">
        <is>
          <t>Propuesta semántica</t>
        </is>
      </c>
      <c r="R2045" s="18" t="inlineStr">
        <is>
          <t>Cantidad total de acciones del plan en el seguimiento trimestral.</t>
        </is>
      </c>
      <c r="S2045" s="18" t="inlineStr">
        <is>
          <t>Alta</t>
        </is>
      </c>
      <c r="T2045" s="18" t="inlineStr">
        <is>
          <t>nombre + tipo + columnas vecinas</t>
        </is>
      </c>
      <c r="U2045" s="18" t="inlineStr"/>
      <c r="V2045" s="19" t="inlineStr">
        <is>
          <t>Pendiente</t>
        </is>
      </c>
      <c r="W2045" s="19" t="inlineStr"/>
      <c r="X2045" s="19" t="inlineStr"/>
      <c r="Y2045" s="20" t="n"/>
      <c r="Z2045" s="19" t="inlineStr"/>
      <c r="AA2045" s="18">
        <f>IF(OR(V2045="Aprobada"),R2045,IF(AND(OR(V2045="Aprobada con ajuste",V2045="Rechazada"),W2045&lt;&gt;""),W2045,""))</f>
        <v/>
      </c>
    </row>
    <row r="2046">
      <c r="A2046" s="18" t="inlineStr">
        <is>
          <t>C2045</t>
        </is>
      </c>
      <c r="B2046" s="18" t="inlineStr">
        <is>
          <t>Control interno</t>
        </is>
      </c>
      <c r="C2046" s="18" t="inlineStr">
        <is>
          <t>control_interno</t>
        </is>
      </c>
      <c r="D2046" s="18" t="inlineStr">
        <is>
          <t>seguimiento_trimestral</t>
        </is>
      </c>
      <c r="E2046" s="18" t="n">
        <v>0</v>
      </c>
      <c r="F2046" s="18" t="inlineStr">
        <is>
          <t>observaciones_generales</t>
        </is>
      </c>
      <c r="G2046" s="18" t="inlineStr">
        <is>
          <t>text</t>
        </is>
      </c>
      <c r="H2046" s="18" t="inlineStr">
        <is>
          <t>Sí</t>
        </is>
      </c>
      <c r="I2046" s="18" t="inlineStr"/>
      <c r="J2046" s="18" t="inlineStr"/>
      <c r="K2046" s="18" t="inlineStr"/>
      <c r="L2046" s="18" t="inlineStr">
        <is>
          <t>No</t>
        </is>
      </c>
      <c r="M2046" s="18" t="inlineStr">
        <is>
          <t>No</t>
        </is>
      </c>
      <c r="N2046" s="18" t="inlineStr"/>
      <c r="O2046" s="18" t="inlineStr"/>
      <c r="P2046" s="18" t="inlineStr">
        <is>
          <t>Mapeada en internal-institutional-control-service/src/esap/planes-mejoramiento/entities/seguimiento-trimestral.entity.ts:56 (SeguimientoTrimestral.observacionesGenerales) | Validación: IsOptional, IsString</t>
        </is>
      </c>
      <c r="Q2046" s="18" t="inlineStr">
        <is>
          <t>Propuesta semántica</t>
        </is>
      </c>
      <c r="R2046" s="18" t="inlineStr">
        <is>
          <t>Observaciones generales del seguimiento trimestral.</t>
        </is>
      </c>
      <c r="S2046" s="18" t="inlineStr">
        <is>
          <t>Alta</t>
        </is>
      </c>
      <c r="T2046" s="18" t="inlineStr">
        <is>
          <t>nombre + tipo + columnas vecinas</t>
        </is>
      </c>
      <c r="U2046" s="18" t="inlineStr"/>
      <c r="V2046" s="19" t="inlineStr">
        <is>
          <t>Pendiente</t>
        </is>
      </c>
      <c r="W2046" s="19" t="inlineStr"/>
      <c r="X2046" s="19" t="inlineStr"/>
      <c r="Y2046" s="20" t="n"/>
      <c r="Z2046" s="19" t="inlineStr"/>
      <c r="AA2046" s="18">
        <f>IF(OR(V2046="Aprobada"),R2046,IF(AND(OR(V2046="Aprobada con ajuste",V2046="Rechazada"),W2046&lt;&gt;""),W2046,""))</f>
        <v/>
      </c>
    </row>
    <row r="2047">
      <c r="A2047" s="18" t="inlineStr">
        <is>
          <t>C2046</t>
        </is>
      </c>
      <c r="B2047" s="18" t="inlineStr">
        <is>
          <t>Control interno</t>
        </is>
      </c>
      <c r="C2047" s="18" t="inlineStr">
        <is>
          <t>control_interno</t>
        </is>
      </c>
      <c r="D2047" s="18" t="inlineStr">
        <is>
          <t>sesiones_esap</t>
        </is>
      </c>
      <c r="E2047" s="18" t="n">
        <v>0</v>
      </c>
      <c r="F2047" s="18" t="inlineStr">
        <is>
          <t>token</t>
        </is>
      </c>
      <c r="G2047" s="18" t="inlineStr">
        <is>
          <t>character varying(500)</t>
        </is>
      </c>
      <c r="H2047" s="18" t="inlineStr">
        <is>
          <t>No</t>
        </is>
      </c>
      <c r="I2047" s="18" t="inlineStr">
        <is>
          <t>Única</t>
        </is>
      </c>
      <c r="J2047" s="18" t="inlineStr"/>
      <c r="K2047" s="18" t="inlineStr"/>
      <c r="L2047" s="18" t="inlineStr">
        <is>
          <t>No</t>
        </is>
      </c>
      <c r="M2047" s="18" t="inlineStr">
        <is>
          <t>No</t>
        </is>
      </c>
      <c r="N2047" s="18" t="inlineStr"/>
      <c r="O2047" s="18" t="inlineStr">
        <is>
          <t>idx_sesiones_token, sesiones_esap_token_key</t>
        </is>
      </c>
      <c r="P2047" s="18" t="inlineStr"/>
      <c r="Q2047" s="18" t="inlineStr">
        <is>
          <t>Propuesta semántica</t>
        </is>
      </c>
      <c r="R2047" s="18" t="inlineStr">
        <is>
          <t>Token único de la sesión del usuario.</t>
        </is>
      </c>
      <c r="S2047" s="18" t="inlineStr">
        <is>
          <t>Alta</t>
        </is>
      </c>
      <c r="T2047" s="18" t="inlineStr">
        <is>
          <t>nombre + restricción única</t>
        </is>
      </c>
      <c r="U2047" s="18" t="inlineStr"/>
      <c r="V2047" s="19" t="inlineStr">
        <is>
          <t>Pendiente</t>
        </is>
      </c>
      <c r="W2047" s="19" t="inlineStr"/>
      <c r="X2047" s="19" t="inlineStr"/>
      <c r="Y2047" s="20" t="n"/>
      <c r="Z2047" s="19" t="inlineStr"/>
      <c r="AA2047" s="18">
        <f>IF(OR(V2047="Aprobada"),R2047,IF(AND(OR(V2047="Aprobada con ajuste",V2047="Rechazada"),W2047&lt;&gt;""),W2047,""))</f>
        <v/>
      </c>
    </row>
    <row r="2048">
      <c r="A2048" s="18" t="inlineStr">
        <is>
          <t>C2047</t>
        </is>
      </c>
      <c r="B2048" s="18" t="inlineStr">
        <is>
          <t>Control interno</t>
        </is>
      </c>
      <c r="C2048" s="18" t="inlineStr">
        <is>
          <t>control_interno</t>
        </is>
      </c>
      <c r="D2048" s="18" t="inlineStr">
        <is>
          <t>sesiones_esap</t>
        </is>
      </c>
      <c r="E2048" s="18" t="n">
        <v>0</v>
      </c>
      <c r="F2048" s="18" t="inlineStr">
        <is>
          <t>ip_address</t>
        </is>
      </c>
      <c r="G2048" s="18" t="inlineStr">
        <is>
          <t>character varying(45)</t>
        </is>
      </c>
      <c r="H2048" s="18" t="inlineStr">
        <is>
          <t>Sí</t>
        </is>
      </c>
      <c r="I2048" s="18" t="inlineStr"/>
      <c r="J2048" s="18" t="inlineStr"/>
      <c r="K2048" s="18" t="inlineStr"/>
      <c r="L2048" s="18" t="inlineStr">
        <is>
          <t>No</t>
        </is>
      </c>
      <c r="M2048" s="18" t="inlineStr">
        <is>
          <t>No</t>
        </is>
      </c>
      <c r="N2048" s="18" t="inlineStr"/>
      <c r="O2048" s="18" t="inlineStr"/>
      <c r="P2048" s="18" t="inlineStr"/>
      <c r="Q2048" s="18" t="inlineStr">
        <is>
          <t>Propuesta semántica</t>
        </is>
      </c>
      <c r="R2048" s="18" t="inlineStr">
        <is>
          <t>Dirección IP desde la que se inició la sesión (IPv4 o IPv6).</t>
        </is>
      </c>
      <c r="S2048" s="18" t="inlineStr">
        <is>
          <t>Alta</t>
        </is>
      </c>
      <c r="T2048" s="18" t="inlineStr">
        <is>
          <t>nombre + tipo (longitud 45)</t>
        </is>
      </c>
      <c r="U2048" s="18" t="inlineStr"/>
      <c r="V2048" s="19" t="inlineStr">
        <is>
          <t>Pendiente</t>
        </is>
      </c>
      <c r="W2048" s="19" t="inlineStr"/>
      <c r="X2048" s="19" t="inlineStr"/>
      <c r="Y2048" s="20" t="n"/>
      <c r="Z2048" s="19" t="inlineStr"/>
      <c r="AA2048" s="18">
        <f>IF(OR(V2048="Aprobada"),R2048,IF(AND(OR(V2048="Aprobada con ajuste",V2048="Rechazada"),W2048&lt;&gt;""),W2048,""))</f>
        <v/>
      </c>
    </row>
    <row r="2049">
      <c r="A2049" s="18" t="inlineStr">
        <is>
          <t>C2048</t>
        </is>
      </c>
      <c r="B2049" s="18" t="inlineStr">
        <is>
          <t>Control interno</t>
        </is>
      </c>
      <c r="C2049" s="18" t="inlineStr">
        <is>
          <t>control_interno</t>
        </is>
      </c>
      <c r="D2049" s="18" t="inlineStr">
        <is>
          <t>sesiones_esap</t>
        </is>
      </c>
      <c r="E2049" s="18" t="n">
        <v>0</v>
      </c>
      <c r="F2049" s="18" t="inlineStr">
        <is>
          <t>user_agent</t>
        </is>
      </c>
      <c r="G2049" s="18" t="inlineStr">
        <is>
          <t>text</t>
        </is>
      </c>
      <c r="H2049" s="18" t="inlineStr">
        <is>
          <t>Sí</t>
        </is>
      </c>
      <c r="I2049" s="18" t="inlineStr"/>
      <c r="J2049" s="18" t="inlineStr"/>
      <c r="K2049" s="18" t="inlineStr"/>
      <c r="L2049" s="18" t="inlineStr">
        <is>
          <t>No</t>
        </is>
      </c>
      <c r="M2049" s="18" t="inlineStr">
        <is>
          <t>No</t>
        </is>
      </c>
      <c r="N2049" s="18" t="inlineStr"/>
      <c r="O2049" s="18" t="inlineStr"/>
      <c r="P2049" s="18" t="inlineStr"/>
      <c r="Q2049" s="18" t="inlineStr">
        <is>
          <t>Regla estructural</t>
        </is>
      </c>
      <c r="R2049" s="18" t="inlineStr">
        <is>
          <t>Agente de usuario (navegador) registrado.</t>
        </is>
      </c>
      <c r="S2049" s="18" t="inlineStr">
        <is>
          <t>Media</t>
        </is>
      </c>
      <c r="T2049" s="18" t="inlineStr">
        <is>
          <t>Convención de nombre de la columna.</t>
        </is>
      </c>
      <c r="U2049" s="18" t="inlineStr"/>
      <c r="V2049" s="19" t="inlineStr">
        <is>
          <t>Pendiente</t>
        </is>
      </c>
      <c r="W2049" s="19" t="inlineStr"/>
      <c r="X2049" s="19" t="inlineStr"/>
      <c r="Y2049" s="20" t="n"/>
      <c r="Z2049" s="19" t="inlineStr"/>
      <c r="AA2049" s="18">
        <f>IF(OR(V2049="Aprobada"),R2049,IF(AND(OR(V2049="Aprobada con ajuste",V2049="Rechazada"),W2049&lt;&gt;""),W2049,""))</f>
        <v/>
      </c>
    </row>
    <row r="2050">
      <c r="A2050" s="18" t="inlineStr">
        <is>
          <t>C2049</t>
        </is>
      </c>
      <c r="B2050" s="18" t="inlineStr">
        <is>
          <t>Control interno</t>
        </is>
      </c>
      <c r="C2050" s="18" t="inlineStr">
        <is>
          <t>control_interno</t>
        </is>
      </c>
      <c r="D2050" s="18" t="inlineStr">
        <is>
          <t>sesiones_esap</t>
        </is>
      </c>
      <c r="E2050" s="18" t="n">
        <v>0</v>
      </c>
      <c r="F2050" s="18" t="inlineStr">
        <is>
          <t>fecha_inicio</t>
        </is>
      </c>
      <c r="G2050" s="18" t="inlineStr">
        <is>
          <t>timestamp without time zone</t>
        </is>
      </c>
      <c r="H2050" s="18" t="inlineStr">
        <is>
          <t>Sí</t>
        </is>
      </c>
      <c r="I2050" s="18" t="inlineStr"/>
      <c r="J2050" s="18" t="inlineStr"/>
      <c r="K2050" s="18" t="inlineStr"/>
      <c r="L2050" s="18" t="inlineStr">
        <is>
          <t>No</t>
        </is>
      </c>
      <c r="M2050" s="18" t="inlineStr">
        <is>
          <t>No</t>
        </is>
      </c>
      <c r="N2050" s="18" t="inlineStr"/>
      <c r="O2050" s="18" t="inlineStr"/>
      <c r="P2050" s="18" t="inlineStr"/>
      <c r="Q2050" s="18" t="inlineStr">
        <is>
          <t>Regla estructural</t>
        </is>
      </c>
      <c r="R2050" s="18" t="inlineStr">
        <is>
          <t>Fecha de inicio.</t>
        </is>
      </c>
      <c r="S2050" s="18" t="inlineStr">
        <is>
          <t>Media</t>
        </is>
      </c>
      <c r="T2050" s="18" t="inlineStr">
        <is>
          <t>Convención de nombre de la columna.</t>
        </is>
      </c>
      <c r="U2050" s="18" t="inlineStr"/>
      <c r="V2050" s="19" t="inlineStr">
        <is>
          <t>Pendiente</t>
        </is>
      </c>
      <c r="W2050" s="19" t="inlineStr"/>
      <c r="X2050" s="19" t="inlineStr"/>
      <c r="Y2050" s="20" t="n"/>
      <c r="Z2050" s="19" t="inlineStr"/>
      <c r="AA2050" s="18">
        <f>IF(OR(V2050="Aprobada"),R2050,IF(AND(OR(V2050="Aprobada con ajuste",V2050="Rechazada"),W2050&lt;&gt;""),W2050,""))</f>
        <v/>
      </c>
    </row>
    <row r="2051">
      <c r="A2051" s="18" t="inlineStr">
        <is>
          <t>C2050</t>
        </is>
      </c>
      <c r="B2051" s="18" t="inlineStr">
        <is>
          <t>Control interno</t>
        </is>
      </c>
      <c r="C2051" s="18" t="inlineStr">
        <is>
          <t>control_interno</t>
        </is>
      </c>
      <c r="D2051" s="18" t="inlineStr">
        <is>
          <t>sesiones_esap</t>
        </is>
      </c>
      <c r="E2051" s="18" t="n">
        <v>0</v>
      </c>
      <c r="F2051" s="18" t="inlineStr">
        <is>
          <t>fecha_expiracion</t>
        </is>
      </c>
      <c r="G2051" s="18" t="inlineStr">
        <is>
          <t>timestamp without time zone</t>
        </is>
      </c>
      <c r="H2051" s="18" t="inlineStr">
        <is>
          <t>No</t>
        </is>
      </c>
      <c r="I2051" s="18" t="inlineStr"/>
      <c r="J2051" s="18" t="inlineStr"/>
      <c r="K2051" s="18" t="inlineStr"/>
      <c r="L2051" s="18" t="inlineStr">
        <is>
          <t>No</t>
        </is>
      </c>
      <c r="M2051" s="18" t="inlineStr">
        <is>
          <t>No</t>
        </is>
      </c>
      <c r="N2051" s="18" t="inlineStr"/>
      <c r="O2051" s="18" t="inlineStr">
        <is>
          <t>idx_sesiones_expiracion</t>
        </is>
      </c>
      <c r="P2051" s="18" t="inlineStr"/>
      <c r="Q2051" s="18" t="inlineStr">
        <is>
          <t>Regla estructural</t>
        </is>
      </c>
      <c r="R2051" s="18" t="inlineStr">
        <is>
          <t>Fecha de expiración.</t>
        </is>
      </c>
      <c r="S2051" s="18" t="inlineStr">
        <is>
          <t>Media</t>
        </is>
      </c>
      <c r="T2051" s="18" t="inlineStr">
        <is>
          <t>Convención de nombre de la columna.</t>
        </is>
      </c>
      <c r="U2051" s="18" t="inlineStr"/>
      <c r="V2051" s="19" t="inlineStr">
        <is>
          <t>Pendiente</t>
        </is>
      </c>
      <c r="W2051" s="19" t="inlineStr"/>
      <c r="X2051" s="19" t="inlineStr"/>
      <c r="Y2051" s="20" t="n"/>
      <c r="Z2051" s="19" t="inlineStr"/>
      <c r="AA2051" s="18">
        <f>IF(OR(V2051="Aprobada"),R2051,IF(AND(OR(V2051="Aprobada con ajuste",V2051="Rechazada"),W2051&lt;&gt;""),W2051,""))</f>
        <v/>
      </c>
    </row>
    <row r="2052">
      <c r="A2052" s="18" t="inlineStr">
        <is>
          <t>C2051</t>
        </is>
      </c>
      <c r="B2052" s="18" t="inlineStr">
        <is>
          <t>Control interno</t>
        </is>
      </c>
      <c r="C2052" s="18" t="inlineStr">
        <is>
          <t>control_interno</t>
        </is>
      </c>
      <c r="D2052" s="18" t="inlineStr">
        <is>
          <t>sesiones_esap</t>
        </is>
      </c>
      <c r="E2052" s="18" t="n">
        <v>0</v>
      </c>
      <c r="F2052" s="18" t="inlineStr">
        <is>
          <t>activa</t>
        </is>
      </c>
      <c r="G2052" s="18" t="inlineStr">
        <is>
          <t>boolean</t>
        </is>
      </c>
      <c r="H2052" s="18" t="inlineStr">
        <is>
          <t>Sí</t>
        </is>
      </c>
      <c r="I2052" s="18" t="inlineStr"/>
      <c r="J2052" s="18" t="inlineStr"/>
      <c r="K2052" s="18" t="inlineStr"/>
      <c r="L2052" s="18" t="inlineStr">
        <is>
          <t>No</t>
        </is>
      </c>
      <c r="M2052" s="18" t="inlineStr">
        <is>
          <t>No</t>
        </is>
      </c>
      <c r="N2052" s="18" t="inlineStr"/>
      <c r="O2052" s="18" t="inlineStr">
        <is>
          <t>idx_sesiones_activa</t>
        </is>
      </c>
      <c r="P2052" s="18" t="inlineStr"/>
      <c r="Q2052" s="18" t="inlineStr">
        <is>
          <t>Regla estructural</t>
        </is>
      </c>
      <c r="R2052" s="18" t="inlineStr">
        <is>
          <t>Indica si el registro está activo.</t>
        </is>
      </c>
      <c r="S2052" s="18" t="inlineStr">
        <is>
          <t>Media</t>
        </is>
      </c>
      <c r="T2052" s="18" t="inlineStr">
        <is>
          <t>Convención de nombre de la columna.</t>
        </is>
      </c>
      <c r="U2052" s="18" t="inlineStr"/>
      <c r="V2052" s="19" t="inlineStr">
        <is>
          <t>Pendiente</t>
        </is>
      </c>
      <c r="W2052" s="19" t="inlineStr"/>
      <c r="X2052" s="19" t="inlineStr"/>
      <c r="Y2052" s="20" t="n"/>
      <c r="Z2052" s="19" t="inlineStr"/>
      <c r="AA2052" s="18">
        <f>IF(OR(V2052="Aprobada"),R2052,IF(AND(OR(V2052="Aprobada con ajuste",V2052="Rechazada"),W2052&lt;&gt;""),W2052,""))</f>
        <v/>
      </c>
    </row>
    <row r="2053">
      <c r="A2053" s="18" t="inlineStr">
        <is>
          <t>C2052</t>
        </is>
      </c>
      <c r="B2053" s="18" t="inlineStr">
        <is>
          <t>Control interno</t>
        </is>
      </c>
      <c r="C2053" s="18" t="inlineStr">
        <is>
          <t>control_interno</t>
        </is>
      </c>
      <c r="D2053" s="18" t="inlineStr">
        <is>
          <t>tablero_kanban</t>
        </is>
      </c>
      <c r="E2053" s="18" t="n">
        <v>2</v>
      </c>
      <c r="F2053" s="18" t="inlineStr">
        <is>
          <t>nombre</t>
        </is>
      </c>
      <c r="G2053" s="18" t="inlineStr">
        <is>
          <t>character varying(255)</t>
        </is>
      </c>
      <c r="H2053" s="18" t="inlineStr">
        <is>
          <t>No</t>
        </is>
      </c>
      <c r="I2053" s="18" t="inlineStr"/>
      <c r="J2053" s="18" t="inlineStr"/>
      <c r="K2053" s="18" t="inlineStr"/>
      <c r="L2053" s="18" t="inlineStr">
        <is>
          <t>No</t>
        </is>
      </c>
      <c r="M2053" s="18" t="inlineStr">
        <is>
          <t>No</t>
        </is>
      </c>
      <c r="N2053" s="18" t="inlineStr"/>
      <c r="O2053" s="18" t="inlineStr"/>
      <c r="P2053" s="18" t="inlineStr">
        <is>
          <t>Mapeada en internal-institutional-control-service/src/esap/tableros-kanban/entities/tablero-kanban.entity.ts:26 (TableroKanban.nombre) | Validación: IsNotEmpty, IsNotEmpty({ message: 'El nombre del documento es obligatorio' }), IsOptional, IsString, Length(1, 500), MaxLength(120)</t>
        </is>
      </c>
      <c r="Q2053" s="18" t="inlineStr">
        <is>
          <t>Regla estructural</t>
        </is>
      </c>
      <c r="R2053" s="18" t="inlineStr">
        <is>
          <t>Nombre del registro de tablero_kanban.</t>
        </is>
      </c>
      <c r="S2053" s="18" t="inlineStr">
        <is>
          <t>Media</t>
        </is>
      </c>
      <c r="T2053" s="18" t="inlineStr">
        <is>
          <t>Convención de nombre de la columna.</t>
        </is>
      </c>
      <c r="U2053" s="18" t="inlineStr"/>
      <c r="V2053" s="19" t="inlineStr">
        <is>
          <t>Pendiente</t>
        </is>
      </c>
      <c r="W2053" s="19" t="inlineStr"/>
      <c r="X2053" s="19" t="inlineStr"/>
      <c r="Y2053" s="20" t="n"/>
      <c r="Z2053" s="19" t="inlineStr"/>
      <c r="AA2053" s="18">
        <f>IF(OR(V2053="Aprobada"),R2053,IF(AND(OR(V2053="Aprobada con ajuste",V2053="Rechazada"),W2053&lt;&gt;""),W2053,""))</f>
        <v/>
      </c>
    </row>
    <row r="2054">
      <c r="A2054" s="18" t="inlineStr">
        <is>
          <t>C2053</t>
        </is>
      </c>
      <c r="B2054" s="18" t="inlineStr">
        <is>
          <t>Control interno</t>
        </is>
      </c>
      <c r="C2054" s="18" t="inlineStr">
        <is>
          <t>control_interno</t>
        </is>
      </c>
      <c r="D2054" s="18" t="inlineStr">
        <is>
          <t>tablero_kanban</t>
        </is>
      </c>
      <c r="E2054" s="18" t="n">
        <v>2</v>
      </c>
      <c r="F2054" s="18" t="inlineStr">
        <is>
          <t>descripcion</t>
        </is>
      </c>
      <c r="G2054" s="18" t="inlineStr">
        <is>
          <t>text</t>
        </is>
      </c>
      <c r="H2054" s="18" t="inlineStr">
        <is>
          <t>Sí</t>
        </is>
      </c>
      <c r="I2054" s="18" t="inlineStr"/>
      <c r="J2054" s="18" t="inlineStr"/>
      <c r="K2054" s="18" t="inlineStr"/>
      <c r="L2054" s="18" t="inlineStr">
        <is>
          <t>No</t>
        </is>
      </c>
      <c r="M2054" s="18" t="inlineStr">
        <is>
          <t>No</t>
        </is>
      </c>
      <c r="N2054" s="18" t="inlineStr"/>
      <c r="O2054" s="18" t="inlineStr"/>
      <c r="P2054" s="18" t="inlineStr">
        <is>
          <t>Mapeada en internal-institutional-control-service/src/esap/tableros-kanban/entities/tablero-kanban.entity.ts:29 (TableroKanban.descripcion) | Validación: IsNotEmpty, IsOptional, IsString</t>
        </is>
      </c>
      <c r="Q2054" s="18" t="inlineStr">
        <is>
          <t>Regla estructural</t>
        </is>
      </c>
      <c r="R2054" s="18" t="inlineStr">
        <is>
          <t>Descripción del registro de tablero_kanban.</t>
        </is>
      </c>
      <c r="S2054" s="18" t="inlineStr">
        <is>
          <t>Media</t>
        </is>
      </c>
      <c r="T2054" s="18" t="inlineStr">
        <is>
          <t>Convención de nombre de la columna.</t>
        </is>
      </c>
      <c r="U2054" s="18" t="inlineStr"/>
      <c r="V2054" s="19" t="inlineStr">
        <is>
          <t>Pendiente</t>
        </is>
      </c>
      <c r="W2054" s="19" t="inlineStr"/>
      <c r="X2054" s="19" t="inlineStr"/>
      <c r="Y2054" s="20" t="n"/>
      <c r="Z2054" s="19" t="inlineStr"/>
      <c r="AA2054" s="18">
        <f>IF(OR(V2054="Aprobada"),R2054,IF(AND(OR(V2054="Aprobada con ajuste",V2054="Rechazada"),W2054&lt;&gt;""),W2054,""))</f>
        <v/>
      </c>
    </row>
    <row r="2055">
      <c r="A2055" s="18" t="inlineStr">
        <is>
          <t>C2054</t>
        </is>
      </c>
      <c r="B2055" s="18" t="inlineStr">
        <is>
          <t>Control interno</t>
        </is>
      </c>
      <c r="C2055" s="18" t="inlineStr">
        <is>
          <t>control_interno</t>
        </is>
      </c>
      <c r="D2055" s="18" t="inlineStr">
        <is>
          <t>tablero_kanban</t>
        </is>
      </c>
      <c r="E2055" s="18" t="n">
        <v>2</v>
      </c>
      <c r="F2055" s="18" t="inlineStr">
        <is>
          <t>activo</t>
        </is>
      </c>
      <c r="G2055" s="18" t="inlineStr">
        <is>
          <t>boolean</t>
        </is>
      </c>
      <c r="H2055" s="18" t="inlineStr">
        <is>
          <t>No</t>
        </is>
      </c>
      <c r="I2055" s="18" t="inlineStr"/>
      <c r="J2055" s="18" t="inlineStr"/>
      <c r="K2055" s="18" t="inlineStr"/>
      <c r="L2055" s="18" t="inlineStr">
        <is>
          <t>No</t>
        </is>
      </c>
      <c r="M2055" s="18" t="inlineStr">
        <is>
          <t>No</t>
        </is>
      </c>
      <c r="N2055" s="18" t="inlineStr"/>
      <c r="O2055" s="18" t="inlineStr">
        <is>
          <t>idx_tablero_kanban_activo</t>
        </is>
      </c>
      <c r="P2055" s="18" t="inlineStr">
        <is>
          <t>Mapeada en internal-institutional-control-service/src/esap/tableros-kanban/entities/tablero-kanban.entity.ts:39 (TableroKanban.activo) | Validación: IsBoolean, IsOptional</t>
        </is>
      </c>
      <c r="Q2055" s="18" t="inlineStr">
        <is>
          <t>Regla estructural</t>
        </is>
      </c>
      <c r="R2055" s="18" t="inlineStr">
        <is>
          <t>Indica si el registro está activo.</t>
        </is>
      </c>
      <c r="S2055" s="18" t="inlineStr">
        <is>
          <t>Media</t>
        </is>
      </c>
      <c r="T2055" s="18" t="inlineStr">
        <is>
          <t>Convención de nombre de la columna.</t>
        </is>
      </c>
      <c r="U2055" s="18" t="inlineStr"/>
      <c r="V2055" s="19" t="inlineStr">
        <is>
          <t>Pendiente</t>
        </is>
      </c>
      <c r="W2055" s="19" t="inlineStr"/>
      <c r="X2055" s="19" t="inlineStr"/>
      <c r="Y2055" s="20" t="n"/>
      <c r="Z2055" s="19" t="inlineStr"/>
      <c r="AA2055" s="18">
        <f>IF(OR(V2055="Aprobada"),R2055,IF(AND(OR(V2055="Aprobada con ajuste",V2055="Rechazada"),W2055&lt;&gt;""),W2055,""))</f>
        <v/>
      </c>
    </row>
    <row r="2056">
      <c r="A2056" s="18" t="inlineStr">
        <is>
          <t>C2055</t>
        </is>
      </c>
      <c r="B2056" s="18" t="inlineStr">
        <is>
          <t>Control interno</t>
        </is>
      </c>
      <c r="C2056" s="18" t="inlineStr">
        <is>
          <t>control_interno</t>
        </is>
      </c>
      <c r="D2056" s="18" t="inlineStr">
        <is>
          <t>tablero_kanban</t>
        </is>
      </c>
      <c r="E2056" s="18" t="n">
        <v>2</v>
      </c>
      <c r="F2056" s="18" t="inlineStr">
        <is>
          <t>deleted_at</t>
        </is>
      </c>
      <c r="G2056" s="18" t="inlineStr">
        <is>
          <t>timestamp with time zone</t>
        </is>
      </c>
      <c r="H2056" s="18" t="inlineStr">
        <is>
          <t>Sí</t>
        </is>
      </c>
      <c r="I2056" s="18" t="inlineStr"/>
      <c r="J2056" s="18" t="inlineStr"/>
      <c r="K2056" s="18" t="inlineStr"/>
      <c r="L2056" s="18" t="inlineStr">
        <is>
          <t>No</t>
        </is>
      </c>
      <c r="M2056" s="18" t="inlineStr">
        <is>
          <t>No</t>
        </is>
      </c>
      <c r="N2056" s="18" t="inlineStr"/>
      <c r="O2056" s="18" t="inlineStr">
        <is>
          <t>idx_tablero_kanban_deleted_at</t>
        </is>
      </c>
      <c r="P2056" s="18" t="inlineStr">
        <is>
          <t>Mapeada en internal-institutional-control-service/src/esap/tableros-kanban/entities/tablero-kanban.entity.ts:57 (TableroKanban.deletedAt)</t>
        </is>
      </c>
      <c r="Q2056" s="18" t="inlineStr">
        <is>
          <t>Regla estructural</t>
        </is>
      </c>
      <c r="R2056" s="18" t="inlineStr">
        <is>
          <t>Fecha y hora de la eliminación.</t>
        </is>
      </c>
      <c r="S2056" s="18" t="inlineStr">
        <is>
          <t>Media</t>
        </is>
      </c>
      <c r="T2056" s="18" t="inlineStr">
        <is>
          <t>Convención de nombre de la columna.</t>
        </is>
      </c>
      <c r="U2056" s="18" t="inlineStr"/>
      <c r="V2056" s="19" t="inlineStr">
        <is>
          <t>Pendiente</t>
        </is>
      </c>
      <c r="W2056" s="19" t="inlineStr"/>
      <c r="X2056" s="19" t="inlineStr"/>
      <c r="Y2056" s="20" t="n"/>
      <c r="Z2056" s="19" t="inlineStr"/>
      <c r="AA2056" s="18">
        <f>IF(OR(V2056="Aprobada"),R2056,IF(AND(OR(V2056="Aprobada con ajuste",V2056="Rechazada"),W2056&lt;&gt;""),W2056,""))</f>
        <v/>
      </c>
    </row>
    <row r="2057">
      <c r="A2057" s="18" t="inlineStr">
        <is>
          <t>C2056</t>
        </is>
      </c>
      <c r="B2057" s="18" t="inlineStr">
        <is>
          <t>Control interno</t>
        </is>
      </c>
      <c r="C2057" s="18" t="inlineStr">
        <is>
          <t>control_interno</t>
        </is>
      </c>
      <c r="D2057" s="18" t="inlineStr">
        <is>
          <t>tablero_kanban</t>
        </is>
      </c>
      <c r="E2057" s="18" t="n">
        <v>2</v>
      </c>
      <c r="F2057" s="18" t="inlineStr">
        <is>
          <t>configuracion_visual</t>
        </is>
      </c>
      <c r="G2057" s="18" t="inlineStr">
        <is>
          <t>jsonb</t>
        </is>
      </c>
      <c r="H2057" s="18" t="inlineStr">
        <is>
          <t>Sí</t>
        </is>
      </c>
      <c r="I2057" s="18" t="inlineStr"/>
      <c r="J2057" s="18" t="inlineStr"/>
      <c r="K2057" s="18" t="inlineStr"/>
      <c r="L2057" s="18" t="inlineStr">
        <is>
          <t>No</t>
        </is>
      </c>
      <c r="M2057" s="18" t="inlineStr">
        <is>
          <t>No</t>
        </is>
      </c>
      <c r="N2057" s="18" t="inlineStr"/>
      <c r="O2057" s="18" t="inlineStr"/>
      <c r="P2057" s="18" t="inlineStr">
        <is>
          <t>Mapeada en internal-institutional-control-service/src/esap/tableros-kanban/entities/tablero-kanban.entity.ts:48 (TableroKanban.configuracionVisual) | Validación: IsOptional</t>
        </is>
      </c>
      <c r="Q2057" s="18" t="inlineStr">
        <is>
          <t>Propuesta semántica</t>
        </is>
      </c>
      <c r="R2057" s="18" t="inlineStr">
        <is>
          <t>Configuración visual del tablero Kanban (colores, columnas, disposición), en formato JSON.</t>
        </is>
      </c>
      <c r="S2057" s="18" t="inlineStr">
        <is>
          <t>Media</t>
        </is>
      </c>
      <c r="T2057" s="18" t="inlineStr">
        <is>
          <t>nombre + tipo + columnas vecinas</t>
        </is>
      </c>
      <c r="U2057" s="18" t="inlineStr">
        <is>
          <t>¿Qué estructura tiene el JSON de configuración visual?</t>
        </is>
      </c>
      <c r="V2057" s="19" t="inlineStr">
        <is>
          <t>Pendiente</t>
        </is>
      </c>
      <c r="W2057" s="19" t="inlineStr"/>
      <c r="X2057" s="19" t="inlineStr"/>
      <c r="Y2057" s="20" t="n"/>
      <c r="Z2057" s="19" t="inlineStr"/>
      <c r="AA2057" s="18">
        <f>IF(OR(V2057="Aprobada"),R2057,IF(AND(OR(V2057="Aprobada con ajuste",V2057="Rechazada"),W2057&lt;&gt;""),W2057,""))</f>
        <v/>
      </c>
    </row>
    <row r="2058">
      <c r="A2058" s="18" t="inlineStr">
        <is>
          <t>C2057</t>
        </is>
      </c>
      <c r="B2058" s="18" t="inlineStr">
        <is>
          <t>Control interno</t>
        </is>
      </c>
      <c r="C2058" s="18" t="inlineStr">
        <is>
          <t>control_interno</t>
        </is>
      </c>
      <c r="D2058" s="18" t="inlineStr">
        <is>
          <t>tareas_auditoria</t>
        </is>
      </c>
      <c r="E2058" s="18" t="n">
        <v>0</v>
      </c>
      <c r="F2058" s="18" t="inlineStr">
        <is>
          <t>titulo</t>
        </is>
      </c>
      <c r="G2058" s="18" t="inlineStr">
        <is>
          <t>character varying(255)</t>
        </is>
      </c>
      <c r="H2058" s="18" t="inlineStr">
        <is>
          <t>No</t>
        </is>
      </c>
      <c r="I2058" s="18" t="inlineStr"/>
      <c r="J2058" s="18" t="inlineStr"/>
      <c r="K2058" s="18" t="inlineStr"/>
      <c r="L2058" s="18" t="inlineStr">
        <is>
          <t>No</t>
        </is>
      </c>
      <c r="M2058" s="18" t="inlineStr">
        <is>
          <t>No</t>
        </is>
      </c>
      <c r="N2058" s="18" t="inlineStr"/>
      <c r="O2058" s="18" t="inlineStr"/>
      <c r="P2058" s="18" t="inlineStr">
        <is>
          <t>Mapeada en internal-institutional-control-service/src/esap/tareas-auditoria/entities/tarea-auditoria.entity.ts:51 (TareaAuditoria.titulo) | Validación: IsNotEmpty, IsOptional, IsString, MaxLength(255), MaxLength(500)</t>
        </is>
      </c>
      <c r="Q2058" s="18" t="inlineStr">
        <is>
          <t>Propuesta semántica</t>
        </is>
      </c>
      <c r="R2058" s="18" t="inlineStr">
        <is>
          <t>Título de la tarea.</t>
        </is>
      </c>
      <c r="S2058" s="18" t="inlineStr">
        <is>
          <t>Alta</t>
        </is>
      </c>
      <c r="T2058" s="18" t="inlineStr">
        <is>
          <t>nombre + tipo + columnas vecinas</t>
        </is>
      </c>
      <c r="U2058" s="18" t="inlineStr"/>
      <c r="V2058" s="19" t="inlineStr">
        <is>
          <t>Pendiente</t>
        </is>
      </c>
      <c r="W2058" s="19" t="inlineStr"/>
      <c r="X2058" s="19" t="inlineStr"/>
      <c r="Y2058" s="20" t="n"/>
      <c r="Z2058" s="19" t="inlineStr"/>
      <c r="AA2058" s="18">
        <f>IF(OR(V2058="Aprobada"),R2058,IF(AND(OR(V2058="Aprobada con ajuste",V2058="Rechazada"),W2058&lt;&gt;""),W2058,""))</f>
        <v/>
      </c>
    </row>
    <row r="2059">
      <c r="A2059" s="18" t="inlineStr">
        <is>
          <t>C2058</t>
        </is>
      </c>
      <c r="B2059" s="18" t="inlineStr">
        <is>
          <t>Control interno</t>
        </is>
      </c>
      <c r="C2059" s="18" t="inlineStr">
        <is>
          <t>control_interno</t>
        </is>
      </c>
      <c r="D2059" s="18" t="inlineStr">
        <is>
          <t>tareas_auditoria</t>
        </is>
      </c>
      <c r="E2059" s="18" t="n">
        <v>0</v>
      </c>
      <c r="F2059" s="18" t="inlineStr">
        <is>
          <t>descripcion</t>
        </is>
      </c>
      <c r="G2059" s="18" t="inlineStr">
        <is>
          <t>text</t>
        </is>
      </c>
      <c r="H2059" s="18" t="inlineStr">
        <is>
          <t>Sí</t>
        </is>
      </c>
      <c r="I2059" s="18" t="inlineStr"/>
      <c r="J2059" s="18" t="inlineStr"/>
      <c r="K2059" s="18" t="inlineStr"/>
      <c r="L2059" s="18" t="inlineStr">
        <is>
          <t>No</t>
        </is>
      </c>
      <c r="M2059" s="18" t="inlineStr">
        <is>
          <t>No</t>
        </is>
      </c>
      <c r="N2059" s="18" t="inlineStr"/>
      <c r="O2059" s="18" t="inlineStr"/>
      <c r="P2059" s="18" t="inlineStr">
        <is>
          <t>Mapeada en internal-institutional-control-service/src/esap/tareas-auditoria/entities/tarea-auditoria.entity.ts:54 (TareaAuditoria.descripcion) | Validación: IsNotEmpty, IsOptional, IsString</t>
        </is>
      </c>
      <c r="Q2059" s="18" t="inlineStr">
        <is>
          <t>Regla estructural</t>
        </is>
      </c>
      <c r="R2059" s="18" t="inlineStr">
        <is>
          <t>Descripción del registro de tareas_auditoria.</t>
        </is>
      </c>
      <c r="S2059" s="18" t="inlineStr">
        <is>
          <t>Media</t>
        </is>
      </c>
      <c r="T2059" s="18" t="inlineStr">
        <is>
          <t>Convención de nombre de la columna.</t>
        </is>
      </c>
      <c r="U2059" s="18" t="inlineStr"/>
      <c r="V2059" s="19" t="inlineStr">
        <is>
          <t>Pendiente</t>
        </is>
      </c>
      <c r="W2059" s="19" t="inlineStr"/>
      <c r="X2059" s="19" t="inlineStr"/>
      <c r="Y2059" s="20" t="n"/>
      <c r="Z2059" s="19" t="inlineStr"/>
      <c r="AA2059" s="18">
        <f>IF(OR(V2059="Aprobada"),R2059,IF(AND(OR(V2059="Aprobada con ajuste",V2059="Rechazada"),W2059&lt;&gt;""),W2059,""))</f>
        <v/>
      </c>
    </row>
    <row r="2060">
      <c r="A2060" s="18" t="inlineStr">
        <is>
          <t>C2059</t>
        </is>
      </c>
      <c r="B2060" s="18" t="inlineStr">
        <is>
          <t>Control interno</t>
        </is>
      </c>
      <c r="C2060" s="18" t="inlineStr">
        <is>
          <t>control_interno</t>
        </is>
      </c>
      <c r="D2060" s="18" t="inlineStr">
        <is>
          <t>tareas_auditoria</t>
        </is>
      </c>
      <c r="E2060" s="18" t="n">
        <v>0</v>
      </c>
      <c r="F2060" s="18" t="inlineStr">
        <is>
          <t>estado</t>
        </is>
      </c>
      <c r="G2060" s="18" t="inlineStr">
        <is>
          <t>control_interno.estado_tarea</t>
        </is>
      </c>
      <c r="H2060" s="18" t="inlineStr">
        <is>
          <t>No</t>
        </is>
      </c>
      <c r="I2060" s="18" t="inlineStr">
        <is>
          <t>Enumerado</t>
        </is>
      </c>
      <c r="J2060" s="18" t="inlineStr">
        <is>
          <t>Pendiente, En Progreso, Completada, Cancelada</t>
        </is>
      </c>
      <c r="K2060" s="18" t="inlineStr"/>
      <c r="L2060" s="18" t="inlineStr">
        <is>
          <t>Sí</t>
        </is>
      </c>
      <c r="M2060" s="18" t="inlineStr">
        <is>
          <t>No</t>
        </is>
      </c>
      <c r="N2060" s="18" t="inlineStr"/>
      <c r="O2060" s="18" t="inlineStr">
        <is>
          <t>idx_tareas_auditoria_estado</t>
        </is>
      </c>
      <c r="P2060" s="18" t="inlineStr">
        <is>
          <t>Mapeada en internal-institutional-control-service/src/esap/tareas-auditoria/entities/tarea-auditoria.entity.ts:57 (TareaAuditoria.estado) | Validación: IsEnum(AccionCorrectivaEstado), IsEnum(EstadoEtapa), IsEnum(EstadoPlanIndividual), IsEnum(EstadoTarea), IsEnum(HallazgoEstado), IsEnum(PlanMejoramientoEstado)</t>
        </is>
      </c>
      <c r="Q2060" s="18" t="inlineStr">
        <is>
          <t>Regla estructural</t>
        </is>
      </c>
      <c r="R2060" s="18" t="inlineStr">
        <is>
          <t>Estado del registro de tareas_auditoria.</t>
        </is>
      </c>
      <c r="S2060" s="18" t="inlineStr">
        <is>
          <t>Media</t>
        </is>
      </c>
      <c r="T2060" s="18" t="inlineStr">
        <is>
          <t>Convención de nombre de la columna.</t>
        </is>
      </c>
      <c r="U2060" s="18" t="inlineStr"/>
      <c r="V2060" s="19" t="inlineStr">
        <is>
          <t>Pendiente</t>
        </is>
      </c>
      <c r="W2060" s="19" t="inlineStr"/>
      <c r="X2060" s="19" t="inlineStr"/>
      <c r="Y2060" s="20" t="n"/>
      <c r="Z2060" s="19" t="inlineStr"/>
      <c r="AA2060" s="18">
        <f>IF(OR(V2060="Aprobada"),R2060,IF(AND(OR(V2060="Aprobada con ajuste",V2060="Rechazada"),W2060&lt;&gt;""),W2060,""))</f>
        <v/>
      </c>
    </row>
    <row r="2061">
      <c r="A2061" s="18" t="inlineStr">
        <is>
          <t>C2060</t>
        </is>
      </c>
      <c r="B2061" s="18" t="inlineStr">
        <is>
          <t>Control interno</t>
        </is>
      </c>
      <c r="C2061" s="18" t="inlineStr">
        <is>
          <t>control_interno</t>
        </is>
      </c>
      <c r="D2061" s="18" t="inlineStr">
        <is>
          <t>tareas_auditoria</t>
        </is>
      </c>
      <c r="E2061" s="18" t="n">
        <v>0</v>
      </c>
      <c r="F2061" s="18" t="inlineStr">
        <is>
          <t>prioridad</t>
        </is>
      </c>
      <c r="G2061" s="18" t="inlineStr">
        <is>
          <t>control_interno.prioridad_tarea</t>
        </is>
      </c>
      <c r="H2061" s="18" t="inlineStr">
        <is>
          <t>No</t>
        </is>
      </c>
      <c r="I2061" s="18" t="inlineStr">
        <is>
          <t>Enumerado</t>
        </is>
      </c>
      <c r="J2061" s="18" t="inlineStr">
        <is>
          <t>Baja, Media, Alta, Urgente</t>
        </is>
      </c>
      <c r="K2061" s="18" t="inlineStr"/>
      <c r="L2061" s="18" t="inlineStr">
        <is>
          <t>Sí</t>
        </is>
      </c>
      <c r="M2061" s="18" t="inlineStr">
        <is>
          <t>No</t>
        </is>
      </c>
      <c r="N2061" s="18" t="inlineStr"/>
      <c r="O2061" s="18" t="inlineStr">
        <is>
          <t>idx_tareas_auditoria_prioridad</t>
        </is>
      </c>
      <c r="P2061" s="18" t="inlineStr">
        <is>
          <t>Mapeada en internal-institutional-control-service/src/esap/tareas-auditoria/entities/tarea-auditoria.entity.ts:64 (TareaAuditoria.prioridad) | Validación: IsEnum(PrioridadAuditoria), IsEnum(PrioridadAuditoriaProgramada), IsEnum(PrioridadNotificacion), IsEnum(PrioridadTarea), IsEnum(['Alta', 'Media', 'Baja']), IsInt</t>
        </is>
      </c>
      <c r="Q2061" s="18" t="inlineStr">
        <is>
          <t>Propuesta semántica</t>
        </is>
      </c>
      <c r="R2061" s="18" t="inlineStr">
        <is>
          <t>Prioridad de la tarea. Valores permitidos: Baja, Media, Alta, Urgente.</t>
        </is>
      </c>
      <c r="S2061" s="18" t="inlineStr">
        <is>
          <t>Alta</t>
        </is>
      </c>
      <c r="T2061" s="18" t="inlineStr">
        <is>
          <t>valores del tipo enumerado</t>
        </is>
      </c>
      <c r="U2061" s="18" t="inlineStr"/>
      <c r="V2061" s="19" t="inlineStr">
        <is>
          <t>Pendiente</t>
        </is>
      </c>
      <c r="W2061" s="19" t="inlineStr"/>
      <c r="X2061" s="19" t="inlineStr"/>
      <c r="Y2061" s="20" t="n"/>
      <c r="Z2061" s="19" t="inlineStr"/>
      <c r="AA2061" s="18">
        <f>IF(OR(V2061="Aprobada"),R2061,IF(AND(OR(V2061="Aprobada con ajuste",V2061="Rechazada"),W2061&lt;&gt;""),W2061,""))</f>
        <v/>
      </c>
    </row>
    <row r="2062">
      <c r="A2062" s="18" t="inlineStr">
        <is>
          <t>C2061</t>
        </is>
      </c>
      <c r="B2062" s="18" t="inlineStr">
        <is>
          <t>Control interno</t>
        </is>
      </c>
      <c r="C2062" s="18" t="inlineStr">
        <is>
          <t>control_interno</t>
        </is>
      </c>
      <c r="D2062" s="18" t="inlineStr">
        <is>
          <t>tareas_auditoria</t>
        </is>
      </c>
      <c r="E2062" s="18" t="n">
        <v>0</v>
      </c>
      <c r="F2062" s="18" t="inlineStr">
        <is>
          <t>fase</t>
        </is>
      </c>
      <c r="G2062" s="18" t="inlineStr">
        <is>
          <t>control_interno.fase_tarea</t>
        </is>
      </c>
      <c r="H2062" s="18" t="inlineStr">
        <is>
          <t>Sí</t>
        </is>
      </c>
      <c r="I2062" s="18" t="inlineStr">
        <is>
          <t>Enumerado</t>
        </is>
      </c>
      <c r="J2062" s="18" t="inlineStr">
        <is>
          <t>Planeación, Ejecución, Comunicación, Seguimiento</t>
        </is>
      </c>
      <c r="K2062" s="18" t="inlineStr"/>
      <c r="L2062" s="18" t="inlineStr">
        <is>
          <t>Sí</t>
        </is>
      </c>
      <c r="M2062" s="18" t="inlineStr">
        <is>
          <t>No</t>
        </is>
      </c>
      <c r="N2062" s="18" t="inlineStr"/>
      <c r="O2062" s="18" t="inlineStr"/>
      <c r="P2062" s="18" t="inlineStr">
        <is>
          <t>Mapeada en internal-institutional-control-service/src/esap/tareas-auditoria/entities/tarea-auditoria.entity.ts:71 (TareaAuditoria.fase) | Validación: IsEnum(FaseAuditoria), IsEnum(FaseTarea), IsEnum(['planeacion', 'en-curso', 'revision', 'completada']), IsOptional</t>
        </is>
      </c>
      <c r="Q2062" s="18" t="inlineStr">
        <is>
          <t>Propuesta semántica</t>
        </is>
      </c>
      <c r="R2062" s="18" t="inlineStr">
        <is>
          <t>Fase de la auditoría a la que corresponde la tarea. Valores permitidos: Planeación, Ejecución, Comunicación, Seguimiento.</t>
        </is>
      </c>
      <c r="S2062" s="18" t="inlineStr">
        <is>
          <t>Alta</t>
        </is>
      </c>
      <c r="T2062" s="18" t="inlineStr">
        <is>
          <t>valores del tipo enumerado</t>
        </is>
      </c>
      <c r="U2062" s="18" t="inlineStr"/>
      <c r="V2062" s="19" t="inlineStr">
        <is>
          <t>Pendiente</t>
        </is>
      </c>
      <c r="W2062" s="19" t="inlineStr"/>
      <c r="X2062" s="19" t="inlineStr"/>
      <c r="Y2062" s="20" t="n"/>
      <c r="Z2062" s="19" t="inlineStr"/>
      <c r="AA2062" s="18">
        <f>IF(OR(V2062="Aprobada"),R2062,IF(AND(OR(V2062="Aprobada con ajuste",V2062="Rechazada"),W2062&lt;&gt;""),W2062,""))</f>
        <v/>
      </c>
    </row>
    <row r="2063">
      <c r="A2063" s="18" t="inlineStr">
        <is>
          <t>C2062</t>
        </is>
      </c>
      <c r="B2063" s="18" t="inlineStr">
        <is>
          <t>Control interno</t>
        </is>
      </c>
      <c r="C2063" s="18" t="inlineStr">
        <is>
          <t>control_interno</t>
        </is>
      </c>
      <c r="D2063" s="18" t="inlineStr">
        <is>
          <t>tareas_auditoria</t>
        </is>
      </c>
      <c r="E2063" s="18" t="n">
        <v>0</v>
      </c>
      <c r="F2063" s="18" t="inlineStr">
        <is>
          <t>responsable_id</t>
        </is>
      </c>
      <c r="G2063" s="18" t="inlineStr">
        <is>
          <t>uuid</t>
        </is>
      </c>
      <c r="H2063" s="18" t="inlineStr">
        <is>
          <t>No</t>
        </is>
      </c>
      <c r="I2063" s="18" t="inlineStr"/>
      <c r="J2063" s="18" t="inlineStr"/>
      <c r="K2063" s="18" t="inlineStr"/>
      <c r="L2063" s="18" t="inlineStr">
        <is>
          <t>No</t>
        </is>
      </c>
      <c r="M2063" s="18" t="inlineStr">
        <is>
          <t>No</t>
        </is>
      </c>
      <c r="N2063" s="18" t="inlineStr"/>
      <c r="O2063" s="18" t="inlineStr">
        <is>
          <t>idx_tareas_auditoria_responsable_id</t>
        </is>
      </c>
      <c r="P2063" s="18" t="inlineStr">
        <is>
          <t>Mapeada en internal-institutional-control-service/src/esap/tareas-auditoria/entities/tarea-auditoria.entity.ts:78 (TareaAuditoria.responsableId) | Validación: IsOptional, IsUUID, Matches(POSTGRES_UUID_RE, { message: 'responsable_id must be a UUID' })</t>
        </is>
      </c>
      <c r="Q2063" s="18" t="inlineStr">
        <is>
          <t>Propuesta semántica</t>
        </is>
      </c>
      <c r="R2063" s="18" t="inlineStr">
        <is>
          <t>Identificador del usuario responsable de la tarea.</t>
        </is>
      </c>
      <c r="S2063" s="18" t="inlineStr">
        <is>
          <t>Media</t>
        </is>
      </c>
      <c r="T2063" s="18" t="inlineStr">
        <is>
          <t>nombre + tipo + validaciones del DTO</t>
        </is>
      </c>
      <c r="U2063" s="18" t="inlineStr">
        <is>
          <t>¿Es el id de auth."user" u otra tabla de usuarios?</t>
        </is>
      </c>
      <c r="V2063" s="19" t="inlineStr">
        <is>
          <t>Pendiente</t>
        </is>
      </c>
      <c r="W2063" s="19" t="inlineStr"/>
      <c r="X2063" s="19" t="inlineStr"/>
      <c r="Y2063" s="20" t="n"/>
      <c r="Z2063" s="19" t="inlineStr"/>
      <c r="AA2063" s="18">
        <f>IF(OR(V2063="Aprobada"),R2063,IF(AND(OR(V2063="Aprobada con ajuste",V2063="Rechazada"),W2063&lt;&gt;""),W2063,""))</f>
        <v/>
      </c>
    </row>
    <row r="2064">
      <c r="A2064" s="18" t="inlineStr">
        <is>
          <t>C2063</t>
        </is>
      </c>
      <c r="B2064" s="18" t="inlineStr">
        <is>
          <t>Control interno</t>
        </is>
      </c>
      <c r="C2064" s="18" t="inlineStr">
        <is>
          <t>control_interno</t>
        </is>
      </c>
      <c r="D2064" s="18" t="inlineStr">
        <is>
          <t>tareas_auditoria</t>
        </is>
      </c>
      <c r="E2064" s="18" t="n">
        <v>0</v>
      </c>
      <c r="F2064" s="18" t="inlineStr">
        <is>
          <t>responsable_nombre</t>
        </is>
      </c>
      <c r="G2064" s="18" t="inlineStr">
        <is>
          <t>character varying(255)</t>
        </is>
      </c>
      <c r="H2064" s="18" t="inlineStr">
        <is>
          <t>No</t>
        </is>
      </c>
      <c r="I2064" s="18" t="inlineStr"/>
      <c r="J2064" s="18" t="inlineStr"/>
      <c r="K2064" s="18" t="inlineStr"/>
      <c r="L2064" s="18" t="inlineStr">
        <is>
          <t>No</t>
        </is>
      </c>
      <c r="M2064" s="18" t="inlineStr">
        <is>
          <t>No</t>
        </is>
      </c>
      <c r="N2064" s="18" t="inlineStr"/>
      <c r="O2064" s="18" t="inlineStr"/>
      <c r="P2064" s="18" t="inlineStr">
        <is>
          <t>Mapeada en internal-institutional-control-service/src/esap/tareas-auditoria/entities/tarea-auditoria.entity.ts:81 (TareaAuditoria.responsableNombre) | Validación: IsOptional, IsString, MaxLength(255)</t>
        </is>
      </c>
      <c r="Q2064" s="18" t="inlineStr">
        <is>
          <t>Propuesta semántica</t>
        </is>
      </c>
      <c r="R2064" s="18" t="inlineStr">
        <is>
          <t>Nombre del usuario responsable de la tarea.</t>
        </is>
      </c>
      <c r="S2064" s="18" t="inlineStr">
        <is>
          <t>Alta</t>
        </is>
      </c>
      <c r="T2064" s="18" t="inlineStr">
        <is>
          <t>nombre + tipo + columnas vecinas</t>
        </is>
      </c>
      <c r="U2064" s="18" t="inlineStr"/>
      <c r="V2064" s="19" t="inlineStr">
        <is>
          <t>Pendiente</t>
        </is>
      </c>
      <c r="W2064" s="19" t="inlineStr"/>
      <c r="X2064" s="19" t="inlineStr"/>
      <c r="Y2064" s="20" t="n"/>
      <c r="Z2064" s="19" t="inlineStr"/>
      <c r="AA2064" s="18">
        <f>IF(OR(V2064="Aprobada"),R2064,IF(AND(OR(V2064="Aprobada con ajuste",V2064="Rechazada"),W2064&lt;&gt;""),W2064,""))</f>
        <v/>
      </c>
    </row>
    <row r="2065">
      <c r="A2065" s="18" t="inlineStr">
        <is>
          <t>C2064</t>
        </is>
      </c>
      <c r="B2065" s="18" t="inlineStr">
        <is>
          <t>Control interno</t>
        </is>
      </c>
      <c r="C2065" s="18" t="inlineStr">
        <is>
          <t>control_interno</t>
        </is>
      </c>
      <c r="D2065" s="18" t="inlineStr">
        <is>
          <t>tareas_auditoria</t>
        </is>
      </c>
      <c r="E2065" s="18" t="n">
        <v>0</v>
      </c>
      <c r="F2065" s="18" t="inlineStr">
        <is>
          <t>fecha_vencimiento</t>
        </is>
      </c>
      <c r="G2065" s="18" t="inlineStr">
        <is>
          <t>timestamp without time zone</t>
        </is>
      </c>
      <c r="H2065" s="18" t="inlineStr">
        <is>
          <t>Sí</t>
        </is>
      </c>
      <c r="I2065" s="18" t="inlineStr"/>
      <c r="J2065" s="18" t="inlineStr"/>
      <c r="K2065" s="18" t="inlineStr"/>
      <c r="L2065" s="18" t="inlineStr">
        <is>
          <t>No</t>
        </is>
      </c>
      <c r="M2065" s="18" t="inlineStr">
        <is>
          <t>No</t>
        </is>
      </c>
      <c r="N2065" s="18" t="inlineStr"/>
      <c r="O2065" s="18" t="inlineStr">
        <is>
          <t>idx_tareas_auditoria_fecha_vencimiento</t>
        </is>
      </c>
      <c r="P2065" s="18" t="inlineStr">
        <is>
          <t>Mapeada en internal-institutional-control-service/src/esap/tareas-auditoria/entities/tarea-auditoria.entity.ts:89 (TareaAuditoria.fechaVencimiento) | Validación: IsDateString, IsNotEmpty, IsOptional</t>
        </is>
      </c>
      <c r="Q2065" s="18" t="inlineStr">
        <is>
          <t>Regla estructural</t>
        </is>
      </c>
      <c r="R2065" s="18" t="inlineStr">
        <is>
          <t>Fecha de vencimiento.</t>
        </is>
      </c>
      <c r="S2065" s="18" t="inlineStr">
        <is>
          <t>Media</t>
        </is>
      </c>
      <c r="T2065" s="18" t="inlineStr">
        <is>
          <t>Convención de nombre de la columna.</t>
        </is>
      </c>
      <c r="U2065" s="18" t="inlineStr"/>
      <c r="V2065" s="19" t="inlineStr">
        <is>
          <t>Pendiente</t>
        </is>
      </c>
      <c r="W2065" s="19" t="inlineStr"/>
      <c r="X2065" s="19" t="inlineStr"/>
      <c r="Y2065" s="20" t="n"/>
      <c r="Z2065" s="19" t="inlineStr"/>
      <c r="AA2065" s="18">
        <f>IF(OR(V2065="Aprobada"),R2065,IF(AND(OR(V2065="Aprobada con ajuste",V2065="Rechazada"),W2065&lt;&gt;""),W2065,""))</f>
        <v/>
      </c>
    </row>
    <row r="2066">
      <c r="A2066" s="18" t="inlineStr">
        <is>
          <t>C2065</t>
        </is>
      </c>
      <c r="B2066" s="18" t="inlineStr">
        <is>
          <t>Control interno</t>
        </is>
      </c>
      <c r="C2066" s="18" t="inlineStr">
        <is>
          <t>control_interno</t>
        </is>
      </c>
      <c r="D2066" s="18" t="inlineStr">
        <is>
          <t>tareas_auditoria</t>
        </is>
      </c>
      <c r="E2066" s="18" t="n">
        <v>0</v>
      </c>
      <c r="F2066" s="18" t="inlineStr">
        <is>
          <t>fecha_completado</t>
        </is>
      </c>
      <c r="G2066" s="18" t="inlineStr">
        <is>
          <t>timestamp without time zone</t>
        </is>
      </c>
      <c r="H2066" s="18" t="inlineStr">
        <is>
          <t>Sí</t>
        </is>
      </c>
      <c r="I2066" s="18" t="inlineStr"/>
      <c r="J2066" s="18" t="inlineStr"/>
      <c r="K2066" s="18" t="inlineStr"/>
      <c r="L2066" s="18" t="inlineStr">
        <is>
          <t>No</t>
        </is>
      </c>
      <c r="M2066" s="18" t="inlineStr">
        <is>
          <t>No</t>
        </is>
      </c>
      <c r="N2066" s="18" t="inlineStr"/>
      <c r="O2066" s="18" t="inlineStr"/>
      <c r="P2066" s="18" t="inlineStr">
        <is>
          <t>Mapeada en internal-institutional-control-service/src/esap/tareas-auditoria/entities/tarea-auditoria.entity.ts:92 (TareaAuditoria.fechaCompletado) | Validación: IsDateString, IsOptional</t>
        </is>
      </c>
      <c r="Q2066" s="18" t="inlineStr">
        <is>
          <t>Regla estructural</t>
        </is>
      </c>
      <c r="R2066" s="18" t="inlineStr">
        <is>
          <t>Fecha completado.</t>
        </is>
      </c>
      <c r="S2066" s="18" t="inlineStr">
        <is>
          <t>Media</t>
        </is>
      </c>
      <c r="T2066" s="18" t="inlineStr">
        <is>
          <t>Convención de nombre de la columna.</t>
        </is>
      </c>
      <c r="U2066" s="18" t="inlineStr"/>
      <c r="V2066" s="19" t="inlineStr">
        <is>
          <t>Pendiente</t>
        </is>
      </c>
      <c r="W2066" s="19" t="inlineStr"/>
      <c r="X2066" s="19" t="inlineStr"/>
      <c r="Y2066" s="20" t="n"/>
      <c r="Z2066" s="19" t="inlineStr"/>
      <c r="AA2066" s="18">
        <f>IF(OR(V2066="Aprobada"),R2066,IF(AND(OR(V2066="Aprobada con ajuste",V2066="Rechazada"),W2066&lt;&gt;""),W2066,""))</f>
        <v/>
      </c>
    </row>
    <row r="2067">
      <c r="A2067" s="18" t="inlineStr">
        <is>
          <t>C2066</t>
        </is>
      </c>
      <c r="B2067" s="18" t="inlineStr">
        <is>
          <t>Control interno</t>
        </is>
      </c>
      <c r="C2067" s="18" t="inlineStr">
        <is>
          <t>control_interno</t>
        </is>
      </c>
      <c r="D2067" s="18" t="inlineStr">
        <is>
          <t>tareas_auditoria</t>
        </is>
      </c>
      <c r="E2067" s="18" t="n">
        <v>0</v>
      </c>
      <c r="F2067" s="18" t="inlineStr">
        <is>
          <t>progreso</t>
        </is>
      </c>
      <c r="G2067" s="18" t="inlineStr">
        <is>
          <t>integer</t>
        </is>
      </c>
      <c r="H2067" s="18" t="inlineStr">
        <is>
          <t>Sí</t>
        </is>
      </c>
      <c r="I2067" s="18" t="inlineStr">
        <is>
          <t>CHECK</t>
        </is>
      </c>
      <c r="J2067" s="18" t="inlineStr"/>
      <c r="K2067" s="18" t="inlineStr"/>
      <c r="L2067" s="18" t="inlineStr">
        <is>
          <t>No</t>
        </is>
      </c>
      <c r="M2067" s="18" t="inlineStr">
        <is>
          <t>No</t>
        </is>
      </c>
      <c r="N2067" s="18" t="inlineStr"/>
      <c r="O2067" s="18" t="inlineStr"/>
      <c r="P2067" s="18" t="inlineStr">
        <is>
          <t>internal-institutional-control-service/src/esap/tareas-auditoria/entities/tarea-auditoria.entity.ts:95: 0-100 | Validación: IsInt, IsOptional, Max(100), Min(0)</t>
        </is>
      </c>
      <c r="Q2067" s="18" t="inlineStr">
        <is>
          <t>Código fuente</t>
        </is>
      </c>
      <c r="R2067" s="18" t="inlineStr">
        <is>
          <t>Porcentaje de avance de la tarea de auditoría, de 0 a 100. Por defecto 0.</t>
        </is>
      </c>
      <c r="S2067" s="18" t="inlineStr">
        <is>
          <t>Alta</t>
        </is>
      </c>
      <c r="T2067" s="18" t="inlineStr">
        <is>
          <t>código: internal-institutional-control-service/src/esap/tareas-auditoria/entities/tarea-auditoria.entity.ts:95</t>
        </is>
      </c>
      <c r="U2067" s="18" t="inlineStr"/>
      <c r="V2067" s="19" t="inlineStr">
        <is>
          <t>Pendiente</t>
        </is>
      </c>
      <c r="W2067" s="19" t="inlineStr"/>
      <c r="X2067" s="19" t="inlineStr"/>
      <c r="Y2067" s="20" t="n"/>
      <c r="Z2067" s="19" t="inlineStr"/>
      <c r="AA2067" s="18">
        <f>IF(OR(V2067="Aprobada"),R2067,IF(AND(OR(V2067="Aprobada con ajuste",V2067="Rechazada"),W2067&lt;&gt;""),W2067,""))</f>
        <v/>
      </c>
    </row>
    <row r="2068">
      <c r="A2068" s="18" t="inlineStr">
        <is>
          <t>C2067</t>
        </is>
      </c>
      <c r="B2068" s="18" t="inlineStr">
        <is>
          <t>Control interno</t>
        </is>
      </c>
      <c r="C2068" s="18" t="inlineStr">
        <is>
          <t>control_interno</t>
        </is>
      </c>
      <c r="D2068" s="18" t="inlineStr">
        <is>
          <t>tareas_auditoria</t>
        </is>
      </c>
      <c r="E2068" s="18" t="n">
        <v>0</v>
      </c>
      <c r="F2068" s="18" t="inlineStr">
        <is>
          <t>notas</t>
        </is>
      </c>
      <c r="G2068" s="18" t="inlineStr">
        <is>
          <t>text</t>
        </is>
      </c>
      <c r="H2068" s="18" t="inlineStr">
        <is>
          <t>Sí</t>
        </is>
      </c>
      <c r="I2068" s="18" t="inlineStr"/>
      <c r="J2068" s="18" t="inlineStr"/>
      <c r="K2068" s="18" t="inlineStr"/>
      <c r="L2068" s="18" t="inlineStr">
        <is>
          <t>No</t>
        </is>
      </c>
      <c r="M2068" s="18" t="inlineStr">
        <is>
          <t>No</t>
        </is>
      </c>
      <c r="N2068" s="18" t="inlineStr"/>
      <c r="O2068" s="18" t="inlineStr"/>
      <c r="P2068" s="18" t="inlineStr">
        <is>
          <t>Mapeada en internal-institutional-control-service/src/esap/tareas-auditoria/entities/tarea-auditoria.entity.ts:98 (TareaAuditoria.notas) | Validación: IsOptional, IsString</t>
        </is>
      </c>
      <c r="Q2068" s="18" t="inlineStr">
        <is>
          <t>Propuesta semántica</t>
        </is>
      </c>
      <c r="R2068" s="18" t="inlineStr">
        <is>
          <t>Notas registradas sobre la tarea de auditoría.</t>
        </is>
      </c>
      <c r="S2068" s="18" t="inlineStr">
        <is>
          <t>Alta</t>
        </is>
      </c>
      <c r="T2068" s="18" t="inlineStr">
        <is>
          <t>nombre + tipo</t>
        </is>
      </c>
      <c r="U2068" s="18" t="inlineStr"/>
      <c r="V2068" s="19" t="inlineStr">
        <is>
          <t>Pendiente</t>
        </is>
      </c>
      <c r="W2068" s="19" t="inlineStr"/>
      <c r="X2068" s="19" t="inlineStr"/>
      <c r="Y2068" s="20" t="n"/>
      <c r="Z2068" s="19" t="inlineStr"/>
      <c r="AA2068" s="18">
        <f>IF(OR(V2068="Aprobada"),R2068,IF(AND(OR(V2068="Aprobada con ajuste",V2068="Rechazada"),W2068&lt;&gt;""),W2068,""))</f>
        <v/>
      </c>
    </row>
    <row r="2069">
      <c r="A2069" s="18" t="inlineStr">
        <is>
          <t>C2068</t>
        </is>
      </c>
      <c r="B2069" s="18" t="inlineStr">
        <is>
          <t>Control interno</t>
        </is>
      </c>
      <c r="C2069" s="18" t="inlineStr">
        <is>
          <t>control_interno</t>
        </is>
      </c>
      <c r="D2069" s="18" t="inlineStr">
        <is>
          <t>tipo_proceso</t>
        </is>
      </c>
      <c r="E2069" s="18" t="n">
        <v>7</v>
      </c>
      <c r="F2069" s="18" t="inlineStr">
        <is>
          <t>orden</t>
        </is>
      </c>
      <c r="G2069" s="18" t="inlineStr">
        <is>
          <t>integer</t>
        </is>
      </c>
      <c r="H2069" s="18" t="inlineStr">
        <is>
          <t>No</t>
        </is>
      </c>
      <c r="I2069" s="18" t="inlineStr"/>
      <c r="J2069" s="18" t="inlineStr"/>
      <c r="K2069" s="18" t="inlineStr"/>
      <c r="L2069" s="18" t="inlineStr">
        <is>
          <t>Sí</t>
        </is>
      </c>
      <c r="M2069" s="18" t="inlineStr">
        <is>
          <t>No</t>
        </is>
      </c>
      <c r="N2069" s="18" t="inlineStr"/>
      <c r="O2069" s="18" t="inlineStr">
        <is>
          <t>idx_tipo_proceso_orden</t>
        </is>
      </c>
      <c r="P2069" s="18" t="inlineStr">
        <is>
          <t>Mapeada en internal-institutional-control-service/src/esap/universo-auditorias/entities/tipo-proceso.entity.ts:29 (TipoProceso.orden) | Validación: IsInt, IsOptional, Min(1)</t>
        </is>
      </c>
      <c r="Q2069" s="18" t="inlineStr">
        <is>
          <t>Regla estructural</t>
        </is>
      </c>
      <c r="R2069" s="18" t="inlineStr">
        <is>
          <t>Posición del registro para su ordenamiento.</t>
        </is>
      </c>
      <c r="S2069" s="18" t="inlineStr">
        <is>
          <t>Media</t>
        </is>
      </c>
      <c r="T2069" s="18" t="inlineStr">
        <is>
          <t>Convención de nombre de la columna.</t>
        </is>
      </c>
      <c r="U2069" s="18" t="inlineStr"/>
      <c r="V2069" s="19" t="inlineStr">
        <is>
          <t>Pendiente</t>
        </is>
      </c>
      <c r="W2069" s="19" t="inlineStr"/>
      <c r="X2069" s="19" t="inlineStr"/>
      <c r="Y2069" s="20" t="n"/>
      <c r="Z2069" s="19" t="inlineStr"/>
      <c r="AA2069" s="18">
        <f>IF(OR(V2069="Aprobada"),R2069,IF(AND(OR(V2069="Aprobada con ajuste",V2069="Rechazada"),W2069&lt;&gt;""),W2069,""))</f>
        <v/>
      </c>
    </row>
    <row r="2070">
      <c r="A2070" s="18" t="inlineStr">
        <is>
          <t>C2069</t>
        </is>
      </c>
      <c r="B2070" s="18" t="inlineStr">
        <is>
          <t>Control interno</t>
        </is>
      </c>
      <c r="C2070" s="18" t="inlineStr">
        <is>
          <t>control_interno</t>
        </is>
      </c>
      <c r="D2070" s="18" t="inlineStr">
        <is>
          <t>tipo_proceso</t>
        </is>
      </c>
      <c r="E2070" s="18" t="n">
        <v>7</v>
      </c>
      <c r="F2070" s="18" t="inlineStr">
        <is>
          <t>activo</t>
        </is>
      </c>
      <c r="G2070" s="18" t="inlineStr">
        <is>
          <t>boolean</t>
        </is>
      </c>
      <c r="H2070" s="18" t="inlineStr">
        <is>
          <t>No</t>
        </is>
      </c>
      <c r="I2070" s="18" t="inlineStr"/>
      <c r="J2070" s="18" t="inlineStr"/>
      <c r="K2070" s="18" t="inlineStr"/>
      <c r="L2070" s="18" t="inlineStr">
        <is>
          <t>Sí</t>
        </is>
      </c>
      <c r="M2070" s="18" t="inlineStr">
        <is>
          <t>No</t>
        </is>
      </c>
      <c r="N2070" s="18" t="inlineStr"/>
      <c r="O2070" s="18" t="inlineStr">
        <is>
          <t>idx_tipo_proceso_activo</t>
        </is>
      </c>
      <c r="P2070" s="18" t="inlineStr">
        <is>
          <t>Mapeada en internal-institutional-control-service/src/esap/universo-auditorias/entities/tipo-proceso.entity.ts:32 (TipoProceso.activo) | Validación: IsBoolean, IsOptional</t>
        </is>
      </c>
      <c r="Q2070" s="18" t="inlineStr">
        <is>
          <t>Regla estructural</t>
        </is>
      </c>
      <c r="R2070" s="18" t="inlineStr">
        <is>
          <t>Indica si el registro está activo.</t>
        </is>
      </c>
      <c r="S2070" s="18" t="inlineStr">
        <is>
          <t>Media</t>
        </is>
      </c>
      <c r="T2070" s="18" t="inlineStr">
        <is>
          <t>Convención de nombre de la columna.</t>
        </is>
      </c>
      <c r="U2070" s="18" t="inlineStr"/>
      <c r="V2070" s="19" t="inlineStr">
        <is>
          <t>Pendiente</t>
        </is>
      </c>
      <c r="W2070" s="19" t="inlineStr"/>
      <c r="X2070" s="19" t="inlineStr"/>
      <c r="Y2070" s="20" t="n"/>
      <c r="Z2070" s="19" t="inlineStr"/>
      <c r="AA2070" s="18">
        <f>IF(OR(V2070="Aprobada"),R2070,IF(AND(OR(V2070="Aprobada con ajuste",V2070="Rechazada"),W2070&lt;&gt;""),W2070,""))</f>
        <v/>
      </c>
    </row>
    <row r="2071">
      <c r="A2071" s="18" t="inlineStr">
        <is>
          <t>C2070</t>
        </is>
      </c>
      <c r="B2071" s="18" t="inlineStr">
        <is>
          <t>Control interno</t>
        </is>
      </c>
      <c r="C2071" s="18" t="inlineStr">
        <is>
          <t>control_interno</t>
        </is>
      </c>
      <c r="D2071" s="18" t="inlineStr">
        <is>
          <t>usuarios_esap</t>
        </is>
      </c>
      <c r="E2071" s="18" t="n">
        <v>0</v>
      </c>
      <c r="F2071" s="18" t="inlineStr">
        <is>
          <t>codigo</t>
        </is>
      </c>
      <c r="G2071" s="18" t="inlineStr">
        <is>
          <t>character varying(255)</t>
        </is>
      </c>
      <c r="H2071" s="18" t="inlineStr">
        <is>
          <t>No</t>
        </is>
      </c>
      <c r="I2071" s="18" t="inlineStr">
        <is>
          <t>Única</t>
        </is>
      </c>
      <c r="J2071" s="18" t="inlineStr"/>
      <c r="K2071" s="18" t="inlineStr"/>
      <c r="L2071" s="18" t="inlineStr">
        <is>
          <t>No</t>
        </is>
      </c>
      <c r="M2071" s="18" t="inlineStr">
        <is>
          <t>No</t>
        </is>
      </c>
      <c r="N2071" s="18" t="inlineStr"/>
      <c r="O2071" s="18" t="inlineStr">
        <is>
          <t>idx_usuarios_esap_codigo, usuarios_esap_codigo_key</t>
        </is>
      </c>
      <c r="P2071" s="18" t="inlineStr"/>
      <c r="Q2071" s="18" t="inlineStr">
        <is>
          <t>Regla estructural</t>
        </is>
      </c>
      <c r="R2071" s="18" t="inlineStr">
        <is>
          <t>Código del registro de usuarios_esap. Único en la tabla.</t>
        </is>
      </c>
      <c r="S2071" s="18" t="inlineStr">
        <is>
          <t>Media</t>
        </is>
      </c>
      <c r="T2071" s="18" t="inlineStr">
        <is>
          <t>Convención de nombre de la columna.</t>
        </is>
      </c>
      <c r="U2071" s="18" t="inlineStr"/>
      <c r="V2071" s="19" t="inlineStr">
        <is>
          <t>Pendiente</t>
        </is>
      </c>
      <c r="W2071" s="19" t="inlineStr"/>
      <c r="X2071" s="19" t="inlineStr"/>
      <c r="Y2071" s="20" t="n"/>
      <c r="Z2071" s="19" t="inlineStr"/>
      <c r="AA2071" s="18">
        <f>IF(OR(V2071="Aprobada"),R2071,IF(AND(OR(V2071="Aprobada con ajuste",V2071="Rechazada"),W2071&lt;&gt;""),W2071,""))</f>
        <v/>
      </c>
    </row>
    <row r="2072">
      <c r="A2072" s="18" t="inlineStr">
        <is>
          <t>C2071</t>
        </is>
      </c>
      <c r="B2072" s="18" t="inlineStr">
        <is>
          <t>Control interno</t>
        </is>
      </c>
      <c r="C2072" s="18" t="inlineStr">
        <is>
          <t>control_interno</t>
        </is>
      </c>
      <c r="D2072" s="18" t="inlineStr">
        <is>
          <t>usuarios_esap</t>
        </is>
      </c>
      <c r="E2072" s="18" t="n">
        <v>0</v>
      </c>
      <c r="F2072" s="18" t="inlineStr">
        <is>
          <t>nombre_completo</t>
        </is>
      </c>
      <c r="G2072" s="18" t="inlineStr">
        <is>
          <t>character varying(255)</t>
        </is>
      </c>
      <c r="H2072" s="18" t="inlineStr">
        <is>
          <t>No</t>
        </is>
      </c>
      <c r="I2072" s="18" t="inlineStr"/>
      <c r="J2072" s="18" t="inlineStr"/>
      <c r="K2072" s="18" t="inlineStr"/>
      <c r="L2072" s="18" t="inlineStr">
        <is>
          <t>No</t>
        </is>
      </c>
      <c r="M2072" s="18" t="inlineStr">
        <is>
          <t>No</t>
        </is>
      </c>
      <c r="N2072" s="18" t="inlineStr"/>
      <c r="O2072" s="18" t="inlineStr"/>
      <c r="P2072" s="18" t="inlineStr"/>
      <c r="Q2072" s="18" t="inlineStr">
        <is>
          <t>Propuesta semántica</t>
        </is>
      </c>
      <c r="R2072" s="18" t="inlineStr">
        <is>
          <t>Nombre completo del usuario.</t>
        </is>
      </c>
      <c r="S2072" s="18" t="inlineStr">
        <is>
          <t>Alta</t>
        </is>
      </c>
      <c r="T2072" s="18" t="inlineStr">
        <is>
          <t>nombre + tipo + columnas vecinas</t>
        </is>
      </c>
      <c r="U2072" s="18" t="inlineStr"/>
      <c r="V2072" s="19" t="inlineStr">
        <is>
          <t>Pendiente</t>
        </is>
      </c>
      <c r="W2072" s="19" t="inlineStr"/>
      <c r="X2072" s="19" t="inlineStr"/>
      <c r="Y2072" s="20" t="n"/>
      <c r="Z2072" s="19" t="inlineStr"/>
      <c r="AA2072" s="18">
        <f>IF(OR(V2072="Aprobada"),R2072,IF(AND(OR(V2072="Aprobada con ajuste",V2072="Rechazada"),W2072&lt;&gt;""),W2072,""))</f>
        <v/>
      </c>
    </row>
    <row r="2073">
      <c r="A2073" s="18" t="inlineStr">
        <is>
          <t>C2072</t>
        </is>
      </c>
      <c r="B2073" s="18" t="inlineStr">
        <is>
          <t>Control interno</t>
        </is>
      </c>
      <c r="C2073" s="18" t="inlineStr">
        <is>
          <t>control_interno</t>
        </is>
      </c>
      <c r="D2073" s="18" t="inlineStr">
        <is>
          <t>usuarios_esap</t>
        </is>
      </c>
      <c r="E2073" s="18" t="n">
        <v>0</v>
      </c>
      <c r="F2073" s="18" t="inlineStr">
        <is>
          <t>email</t>
        </is>
      </c>
      <c r="G2073" s="18" t="inlineStr">
        <is>
          <t>character varying(255)</t>
        </is>
      </c>
      <c r="H2073" s="18" t="inlineStr">
        <is>
          <t>No</t>
        </is>
      </c>
      <c r="I2073" s="18" t="inlineStr">
        <is>
          <t>Única</t>
        </is>
      </c>
      <c r="J2073" s="18" t="inlineStr"/>
      <c r="K2073" s="18" t="inlineStr"/>
      <c r="L2073" s="18" t="inlineStr">
        <is>
          <t>No</t>
        </is>
      </c>
      <c r="M2073" s="18" t="inlineStr">
        <is>
          <t>No</t>
        </is>
      </c>
      <c r="N2073" s="18" t="inlineStr"/>
      <c r="O2073" s="18" t="inlineStr">
        <is>
          <t>idx_usuarios_esap_email, usuarios_esap_email_key</t>
        </is>
      </c>
      <c r="P2073" s="18" t="inlineStr"/>
      <c r="Q2073" s="18" t="inlineStr">
        <is>
          <t>Regla estructural</t>
        </is>
      </c>
      <c r="R2073" s="18" t="inlineStr">
        <is>
          <t>Correo electrónico.</t>
        </is>
      </c>
      <c r="S2073" s="18" t="inlineStr">
        <is>
          <t>Media</t>
        </is>
      </c>
      <c r="T2073" s="18" t="inlineStr">
        <is>
          <t>Convención de nombre de la columna.</t>
        </is>
      </c>
      <c r="U2073" s="18" t="inlineStr"/>
      <c r="V2073" s="19" t="inlineStr">
        <is>
          <t>Pendiente</t>
        </is>
      </c>
      <c r="W2073" s="19" t="inlineStr"/>
      <c r="X2073" s="19" t="inlineStr"/>
      <c r="Y2073" s="20" t="n"/>
      <c r="Z2073" s="19" t="inlineStr"/>
      <c r="AA2073" s="18">
        <f>IF(OR(V2073="Aprobada"),R2073,IF(AND(OR(V2073="Aprobada con ajuste",V2073="Rechazada"),W2073&lt;&gt;""),W2073,""))</f>
        <v/>
      </c>
    </row>
    <row r="2074">
      <c r="A2074" s="18" t="inlineStr">
        <is>
          <t>C2073</t>
        </is>
      </c>
      <c r="B2074" s="18" t="inlineStr">
        <is>
          <t>Control interno</t>
        </is>
      </c>
      <c r="C2074" s="18" t="inlineStr">
        <is>
          <t>control_interno</t>
        </is>
      </c>
      <c r="D2074" s="18" t="inlineStr">
        <is>
          <t>usuarios_esap</t>
        </is>
      </c>
      <c r="E2074" s="18" t="n">
        <v>0</v>
      </c>
      <c r="F2074" s="18" t="inlineStr">
        <is>
          <t>cargo</t>
        </is>
      </c>
      <c r="G2074" s="18" t="inlineStr">
        <is>
          <t>character varying(255)</t>
        </is>
      </c>
      <c r="H2074" s="18" t="inlineStr">
        <is>
          <t>Sí</t>
        </is>
      </c>
      <c r="I2074" s="18" t="inlineStr"/>
      <c r="J2074" s="18" t="inlineStr"/>
      <c r="K2074" s="18" t="inlineStr"/>
      <c r="L2074" s="18" t="inlineStr">
        <is>
          <t>No</t>
        </is>
      </c>
      <c r="M2074" s="18" t="inlineStr">
        <is>
          <t>No</t>
        </is>
      </c>
      <c r="N2074" s="18" t="inlineStr"/>
      <c r="O2074" s="18" t="inlineStr"/>
      <c r="P2074" s="18" t="inlineStr"/>
      <c r="Q2074" s="18" t="inlineStr">
        <is>
          <t>Propuesta semántica</t>
        </is>
      </c>
      <c r="R2074" s="18" t="inlineStr">
        <is>
          <t>Cargo del usuario en la ESAP.</t>
        </is>
      </c>
      <c r="S2074" s="18" t="inlineStr">
        <is>
          <t>Alta</t>
        </is>
      </c>
      <c r="T2074" s="18" t="inlineStr">
        <is>
          <t>nombre + tipo + columnas vecinas</t>
        </is>
      </c>
      <c r="U2074" s="18" t="inlineStr"/>
      <c r="V2074" s="19" t="inlineStr">
        <is>
          <t>Pendiente</t>
        </is>
      </c>
      <c r="W2074" s="19" t="inlineStr"/>
      <c r="X2074" s="19" t="inlineStr"/>
      <c r="Y2074" s="20" t="n"/>
      <c r="Z2074" s="19" t="inlineStr"/>
      <c r="AA2074" s="18">
        <f>IF(OR(V2074="Aprobada"),R2074,IF(AND(OR(V2074="Aprobada con ajuste",V2074="Rechazada"),W2074&lt;&gt;""),W2074,""))</f>
        <v/>
      </c>
    </row>
    <row r="2075">
      <c r="A2075" s="18" t="inlineStr">
        <is>
          <t>C2074</t>
        </is>
      </c>
      <c r="B2075" s="18" t="inlineStr">
        <is>
          <t>Control interno</t>
        </is>
      </c>
      <c r="C2075" s="18" t="inlineStr">
        <is>
          <t>control_interno</t>
        </is>
      </c>
      <c r="D2075" s="18" t="inlineStr">
        <is>
          <t>usuarios_esap</t>
        </is>
      </c>
      <c r="E2075" s="18" t="n">
        <v>0</v>
      </c>
      <c r="F2075" s="18" t="inlineStr">
        <is>
          <t>area</t>
        </is>
      </c>
      <c r="G2075" s="18" t="inlineStr">
        <is>
          <t>character varying(255)</t>
        </is>
      </c>
      <c r="H2075" s="18" t="inlineStr">
        <is>
          <t>Sí</t>
        </is>
      </c>
      <c r="I2075" s="18" t="inlineStr"/>
      <c r="J2075" s="18" t="inlineStr"/>
      <c r="K2075" s="18" t="inlineStr"/>
      <c r="L2075" s="18" t="inlineStr">
        <is>
          <t>No</t>
        </is>
      </c>
      <c r="M2075" s="18" t="inlineStr">
        <is>
          <t>No</t>
        </is>
      </c>
      <c r="N2075" s="18" t="inlineStr"/>
      <c r="O2075" s="18" t="inlineStr"/>
      <c r="P2075" s="18" t="inlineStr"/>
      <c r="Q2075" s="18" t="inlineStr">
        <is>
          <t>Propuesta semántica</t>
        </is>
      </c>
      <c r="R2075" s="18" t="inlineStr">
        <is>
          <t>Área o dependencia a la que pertenece el usuario.</t>
        </is>
      </c>
      <c r="S2075" s="18" t="inlineStr">
        <is>
          <t>Alta</t>
        </is>
      </c>
      <c r="T2075" s="18" t="inlineStr">
        <is>
          <t>nombre + tipo + columnas vecinas</t>
        </is>
      </c>
      <c r="U2075" s="18" t="inlineStr"/>
      <c r="V2075" s="19" t="inlineStr">
        <is>
          <t>Pendiente</t>
        </is>
      </c>
      <c r="W2075" s="19" t="inlineStr"/>
      <c r="X2075" s="19" t="inlineStr"/>
      <c r="Y2075" s="20" t="n"/>
      <c r="Z2075" s="19" t="inlineStr"/>
      <c r="AA2075" s="18">
        <f>IF(OR(V2075="Aprobada"),R2075,IF(AND(OR(V2075="Aprobada con ajuste",V2075="Rechazada"),W2075&lt;&gt;""),W2075,""))</f>
        <v/>
      </c>
    </row>
    <row r="2076">
      <c r="A2076" s="18" t="inlineStr">
        <is>
          <t>C2075</t>
        </is>
      </c>
      <c r="B2076" s="18" t="inlineStr">
        <is>
          <t>Control interno</t>
        </is>
      </c>
      <c r="C2076" s="18" t="inlineStr">
        <is>
          <t>control_interno</t>
        </is>
      </c>
      <c r="D2076" s="18" t="inlineStr">
        <is>
          <t>usuarios_esap</t>
        </is>
      </c>
      <c r="E2076" s="18" t="n">
        <v>0</v>
      </c>
      <c r="F2076" s="18" t="inlineStr">
        <is>
          <t>rol</t>
        </is>
      </c>
      <c r="G2076" s="18" t="inlineStr">
        <is>
          <t>character varying(100)</t>
        </is>
      </c>
      <c r="H2076" s="18" t="inlineStr">
        <is>
          <t>Sí</t>
        </is>
      </c>
      <c r="I2076" s="18" t="inlineStr"/>
      <c r="J2076" s="18" t="inlineStr"/>
      <c r="K2076" s="18" t="inlineStr"/>
      <c r="L2076" s="18" t="inlineStr">
        <is>
          <t>No</t>
        </is>
      </c>
      <c r="M2076" s="18" t="inlineStr">
        <is>
          <t>No</t>
        </is>
      </c>
      <c r="N2076" s="18" t="inlineStr"/>
      <c r="O2076" s="18" t="inlineStr"/>
      <c r="P2076" s="18" t="inlineStr"/>
      <c r="Q2076" s="18" t="inlineStr">
        <is>
          <t>Propuesta semántica</t>
        </is>
      </c>
      <c r="R2076" s="18" t="inlineStr">
        <is>
          <t>Rol del usuario en el sistema.</t>
        </is>
      </c>
      <c r="S2076" s="18" t="inlineStr">
        <is>
          <t>Media</t>
        </is>
      </c>
      <c r="T2076" s="18" t="inlineStr">
        <is>
          <t>nombre + tipo + columnas vecinas</t>
        </is>
      </c>
      <c r="U2076" s="18" t="inlineStr">
        <is>
          <t>¿Qué roles existen y de qué catálogo provienen?</t>
        </is>
      </c>
      <c r="V2076" s="19" t="inlineStr">
        <is>
          <t>Pendiente</t>
        </is>
      </c>
      <c r="W2076" s="19" t="inlineStr"/>
      <c r="X2076" s="19" t="inlineStr"/>
      <c r="Y2076" s="20" t="n"/>
      <c r="Z2076" s="19" t="inlineStr"/>
      <c r="AA2076" s="18">
        <f>IF(OR(V2076="Aprobada"),R2076,IF(AND(OR(V2076="Aprobada con ajuste",V2076="Rechazada"),W2076&lt;&gt;""),W2076,""))</f>
        <v/>
      </c>
    </row>
    <row r="2077">
      <c r="A2077" s="18" t="inlineStr">
        <is>
          <t>C2076</t>
        </is>
      </c>
      <c r="B2077" s="18" t="inlineStr">
        <is>
          <t>Control interno</t>
        </is>
      </c>
      <c r="C2077" s="18" t="inlineStr">
        <is>
          <t>control_interno</t>
        </is>
      </c>
      <c r="D2077" s="18" t="inlineStr">
        <is>
          <t>usuarios_esap</t>
        </is>
      </c>
      <c r="E2077" s="18" t="n">
        <v>0</v>
      </c>
      <c r="F2077" s="18" t="inlineStr">
        <is>
          <t>activo</t>
        </is>
      </c>
      <c r="G2077" s="18" t="inlineStr">
        <is>
          <t>boolean</t>
        </is>
      </c>
      <c r="H2077" s="18" t="inlineStr">
        <is>
          <t>Sí</t>
        </is>
      </c>
      <c r="I2077" s="18" t="inlineStr"/>
      <c r="J2077" s="18" t="inlineStr"/>
      <c r="K2077" s="18" t="inlineStr"/>
      <c r="L2077" s="18" t="inlineStr">
        <is>
          <t>No</t>
        </is>
      </c>
      <c r="M2077" s="18" t="inlineStr">
        <is>
          <t>No</t>
        </is>
      </c>
      <c r="N2077" s="18" t="inlineStr"/>
      <c r="O2077" s="18" t="inlineStr">
        <is>
          <t>idx_usuarios_esap_activo</t>
        </is>
      </c>
      <c r="P2077" s="18" t="inlineStr"/>
      <c r="Q2077" s="18" t="inlineStr">
        <is>
          <t>Regla estructural</t>
        </is>
      </c>
      <c r="R2077" s="18" t="inlineStr">
        <is>
          <t>Indica si el registro está activo.</t>
        </is>
      </c>
      <c r="S2077" s="18" t="inlineStr">
        <is>
          <t>Media</t>
        </is>
      </c>
      <c r="T2077" s="18" t="inlineStr">
        <is>
          <t>Convención de nombre de la columna.</t>
        </is>
      </c>
      <c r="U2077" s="18" t="inlineStr"/>
      <c r="V2077" s="19" t="inlineStr">
        <is>
          <t>Pendiente</t>
        </is>
      </c>
      <c r="W2077" s="19" t="inlineStr"/>
      <c r="X2077" s="19" t="inlineStr"/>
      <c r="Y2077" s="20" t="n"/>
      <c r="Z2077" s="19" t="inlineStr"/>
      <c r="AA2077" s="18">
        <f>IF(OR(V2077="Aprobada"),R2077,IF(AND(OR(V2077="Aprobada con ajuste",V2077="Rechazada"),W2077&lt;&gt;""),W2077,""))</f>
        <v/>
      </c>
    </row>
    <row r="2078">
      <c r="A2078" s="18" t="inlineStr">
        <is>
          <t>C2077</t>
        </is>
      </c>
      <c r="B2078" s="18" t="inlineStr">
        <is>
          <t>Control interno</t>
        </is>
      </c>
      <c r="C2078" s="18" t="inlineStr">
        <is>
          <t>control_interno</t>
        </is>
      </c>
      <c r="D2078" s="18" t="inlineStr">
        <is>
          <t>usuarios_esap</t>
        </is>
      </c>
      <c r="E2078" s="18" t="n">
        <v>0</v>
      </c>
      <c r="F2078" s="18" t="inlineStr">
        <is>
          <t>ultimo_acceso</t>
        </is>
      </c>
      <c r="G2078" s="18" t="inlineStr">
        <is>
          <t>timestamp without time zone</t>
        </is>
      </c>
      <c r="H2078" s="18" t="inlineStr">
        <is>
          <t>Sí</t>
        </is>
      </c>
      <c r="I2078" s="18" t="inlineStr"/>
      <c r="J2078" s="18" t="inlineStr"/>
      <c r="K2078" s="18" t="inlineStr"/>
      <c r="L2078" s="18" t="inlineStr">
        <is>
          <t>No</t>
        </is>
      </c>
      <c r="M2078" s="18" t="inlineStr">
        <is>
          <t>No</t>
        </is>
      </c>
      <c r="N2078" s="18" t="inlineStr"/>
      <c r="O2078" s="18" t="inlineStr"/>
      <c r="P2078" s="18" t="inlineStr"/>
      <c r="Q2078" s="18" t="inlineStr">
        <is>
          <t>Propuesta semántica</t>
        </is>
      </c>
      <c r="R2078" s="18" t="inlineStr">
        <is>
          <t>Fecha y hora del último acceso del usuario al sistema.</t>
        </is>
      </c>
      <c r="S2078" s="18" t="inlineStr">
        <is>
          <t>Alta</t>
        </is>
      </c>
      <c r="T2078" s="18" t="inlineStr">
        <is>
          <t>nombre + tipo + columnas vecinas</t>
        </is>
      </c>
      <c r="U2078" s="18" t="inlineStr"/>
      <c r="V2078" s="19" t="inlineStr">
        <is>
          <t>Pendiente</t>
        </is>
      </c>
      <c r="W2078" s="19" t="inlineStr"/>
      <c r="X2078" s="19" t="inlineStr"/>
      <c r="Y2078" s="20" t="n"/>
      <c r="Z2078" s="19" t="inlineStr"/>
      <c r="AA2078" s="18">
        <f>IF(OR(V2078="Aprobada"),R2078,IF(AND(OR(V2078="Aprobada con ajuste",V2078="Rechazada"),W2078&lt;&gt;""),W2078,""))</f>
        <v/>
      </c>
    </row>
    <row r="2079">
      <c r="A2079" s="18" t="inlineStr">
        <is>
          <t>C2078</t>
        </is>
      </c>
      <c r="B2079" s="18" t="inlineStr">
        <is>
          <t>Control interno</t>
        </is>
      </c>
      <c r="C2079" s="18" t="inlineStr">
        <is>
          <t>control_interno</t>
        </is>
      </c>
      <c r="D2079" s="18" t="inlineStr">
        <is>
          <t>version_lista_chequeo</t>
        </is>
      </c>
      <c r="E2079" s="18" t="n">
        <v>0</v>
      </c>
      <c r="F2079" s="18" t="inlineStr">
        <is>
          <t>lista_id</t>
        </is>
      </c>
      <c r="G2079" s="18" t="inlineStr">
        <is>
          <t>uuid</t>
        </is>
      </c>
      <c r="H2079" s="18" t="inlineStr">
        <is>
          <t>No</t>
        </is>
      </c>
      <c r="I2079" s="18" t="inlineStr"/>
      <c r="J2079" s="18" t="inlineStr"/>
      <c r="K2079" s="18" t="inlineStr"/>
      <c r="L2079" s="18" t="inlineStr">
        <is>
          <t>No</t>
        </is>
      </c>
      <c r="M2079" s="18" t="inlineStr">
        <is>
          <t>No</t>
        </is>
      </c>
      <c r="N2079" s="18" t="inlineStr"/>
      <c r="O2079" s="18" t="inlineStr">
        <is>
          <t>idx_version_lista</t>
        </is>
      </c>
      <c r="P2079" s="18" t="inlineStr"/>
      <c r="Q2079" s="18" t="inlineStr">
        <is>
          <t>Propuesta semántica</t>
        </is>
      </c>
      <c r="R2079" s="18" t="inlineStr">
        <is>
          <t>Identificador de la lista de chequeo versionada (control_interno.lista_chequeo).</t>
        </is>
      </c>
      <c r="S2079" s="18" t="inlineStr">
        <is>
          <t>Media</t>
        </is>
      </c>
      <c r="T2079" s="18" t="inlineStr">
        <is>
          <t>nombre + tipo + columnas vecinas</t>
        </is>
      </c>
      <c r="U2079" s="18" t="inlineStr">
        <is>
          <t>¿Se puede declarar la FK hacia control_interno.lista_chequeo(id)?</t>
        </is>
      </c>
      <c r="V2079" s="19" t="inlineStr">
        <is>
          <t>Pendiente</t>
        </is>
      </c>
      <c r="W2079" s="19" t="inlineStr"/>
      <c r="X2079" s="19" t="inlineStr"/>
      <c r="Y2079" s="20" t="n"/>
      <c r="Z2079" s="19" t="inlineStr"/>
      <c r="AA2079" s="18">
        <f>IF(OR(V2079="Aprobada"),R2079,IF(AND(OR(V2079="Aprobada con ajuste",V2079="Rechazada"),W2079&lt;&gt;""),W2079,""))</f>
        <v/>
      </c>
    </row>
    <row r="2080">
      <c r="A2080" s="18" t="inlineStr">
        <is>
          <t>C2079</t>
        </is>
      </c>
      <c r="B2080" s="18" t="inlineStr">
        <is>
          <t>Control interno</t>
        </is>
      </c>
      <c r="C2080" s="18" t="inlineStr">
        <is>
          <t>control_interno</t>
        </is>
      </c>
      <c r="D2080" s="18" t="inlineStr">
        <is>
          <t>version_lista_chequeo</t>
        </is>
      </c>
      <c r="E2080" s="18" t="n">
        <v>0</v>
      </c>
      <c r="F2080" s="18" t="inlineStr">
        <is>
          <t>version</t>
        </is>
      </c>
      <c r="G2080" s="18" t="inlineStr">
        <is>
          <t>character varying(50)</t>
        </is>
      </c>
      <c r="H2080" s="18" t="inlineStr">
        <is>
          <t>No</t>
        </is>
      </c>
      <c r="I2080" s="18" t="inlineStr"/>
      <c r="J2080" s="18" t="inlineStr"/>
      <c r="K2080" s="18" t="inlineStr"/>
      <c r="L2080" s="18" t="inlineStr">
        <is>
          <t>No</t>
        </is>
      </c>
      <c r="M2080" s="18" t="inlineStr">
        <is>
          <t>No</t>
        </is>
      </c>
      <c r="N2080" s="18" t="inlineStr"/>
      <c r="O2080" s="18" t="inlineStr"/>
      <c r="P2080" s="18" t="inlineStr"/>
      <c r="Q2080" s="18" t="inlineStr">
        <is>
          <t>Regla estructural</t>
        </is>
      </c>
      <c r="R2080" s="18" t="inlineStr">
        <is>
          <t>Número de versión del registro.</t>
        </is>
      </c>
      <c r="S2080" s="18" t="inlineStr">
        <is>
          <t>Media</t>
        </is>
      </c>
      <c r="T2080" s="18" t="inlineStr">
        <is>
          <t>Convención de nombre de la columna.</t>
        </is>
      </c>
      <c r="U2080" s="18" t="inlineStr"/>
      <c r="V2080" s="19" t="inlineStr">
        <is>
          <t>Pendiente</t>
        </is>
      </c>
      <c r="W2080" s="19" t="inlineStr"/>
      <c r="X2080" s="19" t="inlineStr"/>
      <c r="Y2080" s="20" t="n"/>
      <c r="Z2080" s="19" t="inlineStr"/>
      <c r="AA2080" s="18">
        <f>IF(OR(V2080="Aprobada"),R2080,IF(AND(OR(V2080="Aprobada con ajuste",V2080="Rechazada"),W2080&lt;&gt;""),W2080,""))</f>
        <v/>
      </c>
    </row>
    <row r="2081">
      <c r="A2081" s="18" t="inlineStr">
        <is>
          <t>C2080</t>
        </is>
      </c>
      <c r="B2081" s="18" t="inlineStr">
        <is>
          <t>Control interno</t>
        </is>
      </c>
      <c r="C2081" s="18" t="inlineStr">
        <is>
          <t>control_interno</t>
        </is>
      </c>
      <c r="D2081" s="18" t="inlineStr">
        <is>
          <t>version_lista_chequeo</t>
        </is>
      </c>
      <c r="E2081" s="18" t="n">
        <v>0</v>
      </c>
      <c r="F2081" s="18" t="inlineStr">
        <is>
          <t>fecha</t>
        </is>
      </c>
      <c r="G2081" s="18" t="inlineStr">
        <is>
          <t>date</t>
        </is>
      </c>
      <c r="H2081" s="18" t="inlineStr">
        <is>
          <t>No</t>
        </is>
      </c>
      <c r="I2081" s="18" t="inlineStr"/>
      <c r="J2081" s="18" t="inlineStr"/>
      <c r="K2081" s="18" t="inlineStr"/>
      <c r="L2081" s="18" t="inlineStr">
        <is>
          <t>No</t>
        </is>
      </c>
      <c r="M2081" s="18" t="inlineStr">
        <is>
          <t>No</t>
        </is>
      </c>
      <c r="N2081" s="18" t="inlineStr"/>
      <c r="O2081" s="18" t="inlineStr"/>
      <c r="P2081" s="18" t="inlineStr"/>
      <c r="Q2081" s="18" t="inlineStr">
        <is>
          <t>Propuesta semántica</t>
        </is>
      </c>
      <c r="R2081" s="18" t="inlineStr">
        <is>
          <t>Fecha de la versión de la lista de chequeo.</t>
        </is>
      </c>
      <c r="S2081" s="18" t="inlineStr">
        <is>
          <t>Alta</t>
        </is>
      </c>
      <c r="T2081" s="18" t="inlineStr">
        <is>
          <t>nombre + tipo + columnas vecinas</t>
        </is>
      </c>
      <c r="U2081" s="18" t="inlineStr"/>
      <c r="V2081" s="19" t="inlineStr">
        <is>
          <t>Pendiente</t>
        </is>
      </c>
      <c r="W2081" s="19" t="inlineStr"/>
      <c r="X2081" s="19" t="inlineStr"/>
      <c r="Y2081" s="20" t="n"/>
      <c r="Z2081" s="19" t="inlineStr"/>
      <c r="AA2081" s="18">
        <f>IF(OR(V2081="Aprobada"),R2081,IF(AND(OR(V2081="Aprobada con ajuste",V2081="Rechazada"),W2081&lt;&gt;""),W2081,""))</f>
        <v/>
      </c>
    </row>
    <row r="2082">
      <c r="A2082" s="18" t="inlineStr">
        <is>
          <t>C2081</t>
        </is>
      </c>
      <c r="B2082" s="18" t="inlineStr">
        <is>
          <t>Control interno</t>
        </is>
      </c>
      <c r="C2082" s="18" t="inlineStr">
        <is>
          <t>control_interno</t>
        </is>
      </c>
      <c r="D2082" s="18" t="inlineStr">
        <is>
          <t>version_lista_chequeo</t>
        </is>
      </c>
      <c r="E2082" s="18" t="n">
        <v>0</v>
      </c>
      <c r="F2082" s="18" t="inlineStr">
        <is>
          <t>usuario</t>
        </is>
      </c>
      <c r="G2082" s="18" t="inlineStr">
        <is>
          <t>character varying(255)</t>
        </is>
      </c>
      <c r="H2082" s="18" t="inlineStr">
        <is>
          <t>No</t>
        </is>
      </c>
      <c r="I2082" s="18" t="inlineStr"/>
      <c r="J2082" s="18" t="inlineStr"/>
      <c r="K2082" s="18" t="inlineStr"/>
      <c r="L2082" s="18" t="inlineStr">
        <is>
          <t>No</t>
        </is>
      </c>
      <c r="M2082" s="18" t="inlineStr">
        <is>
          <t>No</t>
        </is>
      </c>
      <c r="N2082" s="18" t="inlineStr"/>
      <c r="O2082" s="18" t="inlineStr"/>
      <c r="P2082" s="18" t="inlineStr"/>
      <c r="Q2082" s="18" t="inlineStr">
        <is>
          <t>Propuesta semántica</t>
        </is>
      </c>
      <c r="R2082" s="18" t="inlineStr">
        <is>
          <t>Usuario que generó la versión de la lista de chequeo.</t>
        </is>
      </c>
      <c r="S2082" s="18" t="inlineStr">
        <is>
          <t>Media</t>
        </is>
      </c>
      <c r="T2082" s="18" t="inlineStr">
        <is>
          <t>nombre + tipo + columnas vecinas</t>
        </is>
      </c>
      <c r="U2082" s="18" t="inlineStr">
        <is>
          <t>¿Guarda el nombre, el correo o el identificador del usuario?</t>
        </is>
      </c>
      <c r="V2082" s="19" t="inlineStr">
        <is>
          <t>Pendiente</t>
        </is>
      </c>
      <c r="W2082" s="19" t="inlineStr"/>
      <c r="X2082" s="19" t="inlineStr"/>
      <c r="Y2082" s="20" t="n"/>
      <c r="Z2082" s="19" t="inlineStr"/>
      <c r="AA2082" s="18">
        <f>IF(OR(V2082="Aprobada"),R2082,IF(AND(OR(V2082="Aprobada con ajuste",V2082="Rechazada"),W2082&lt;&gt;""),W2082,""))</f>
        <v/>
      </c>
    </row>
    <row r="2083">
      <c r="A2083" s="18" t="inlineStr">
        <is>
          <t>C2082</t>
        </is>
      </c>
      <c r="B2083" s="18" t="inlineStr">
        <is>
          <t>Control interno</t>
        </is>
      </c>
      <c r="C2083" s="18" t="inlineStr">
        <is>
          <t>control_interno</t>
        </is>
      </c>
      <c r="D2083" s="18" t="inlineStr">
        <is>
          <t>version_lista_chequeo</t>
        </is>
      </c>
      <c r="E2083" s="18" t="n">
        <v>0</v>
      </c>
      <c r="F2083" s="18" t="inlineStr">
        <is>
          <t>cambios</t>
        </is>
      </c>
      <c r="G2083" s="18" t="inlineStr">
        <is>
          <t>text</t>
        </is>
      </c>
      <c r="H2083" s="18" t="inlineStr">
        <is>
          <t>No</t>
        </is>
      </c>
      <c r="I2083" s="18" t="inlineStr"/>
      <c r="J2083" s="18" t="inlineStr"/>
      <c r="K2083" s="18" t="inlineStr"/>
      <c r="L2083" s="18" t="inlineStr">
        <is>
          <t>No</t>
        </is>
      </c>
      <c r="M2083" s="18" t="inlineStr">
        <is>
          <t>No</t>
        </is>
      </c>
      <c r="N2083" s="18" t="inlineStr"/>
      <c r="O2083" s="18" t="inlineStr"/>
      <c r="P2083" s="18" t="inlineStr"/>
      <c r="Q2083" s="18" t="inlineStr">
        <is>
          <t>Propuesta semántica</t>
        </is>
      </c>
      <c r="R2083" s="18" t="inlineStr">
        <is>
          <t>Descripción de los cambios incluidos en la versión.</t>
        </is>
      </c>
      <c r="S2083" s="18" t="inlineStr">
        <is>
          <t>Alta</t>
        </is>
      </c>
      <c r="T2083" s="18" t="inlineStr">
        <is>
          <t>nombre + tipo + columnas vecinas</t>
        </is>
      </c>
      <c r="U2083" s="18" t="inlineStr"/>
      <c r="V2083" s="19" t="inlineStr">
        <is>
          <t>Pendiente</t>
        </is>
      </c>
      <c r="W2083" s="19" t="inlineStr"/>
      <c r="X2083" s="19" t="inlineStr"/>
      <c r="Y2083" s="20" t="n"/>
      <c r="Z2083" s="19" t="inlineStr"/>
      <c r="AA2083" s="18">
        <f>IF(OR(V2083="Aprobada"),R2083,IF(AND(OR(V2083="Aprobada con ajuste",V2083="Rechazada"),W2083&lt;&gt;""),W2083,""))</f>
        <v/>
      </c>
    </row>
    <row r="2084">
      <c r="A2084" s="18" t="inlineStr">
        <is>
          <t>C2083</t>
        </is>
      </c>
      <c r="B2084" s="18" t="inlineStr">
        <is>
          <t>Control interno</t>
        </is>
      </c>
      <c r="C2084" s="18" t="inlineStr">
        <is>
          <t>control_interno</t>
        </is>
      </c>
      <c r="D2084" s="18" t="inlineStr">
        <is>
          <t>version_lista_chequeo</t>
        </is>
      </c>
      <c r="E2084" s="18" t="n">
        <v>0</v>
      </c>
      <c r="F2084" s="18" t="inlineStr">
        <is>
          <t>motivo_cambio</t>
        </is>
      </c>
      <c r="G2084" s="18" t="inlineStr">
        <is>
          <t>text</t>
        </is>
      </c>
      <c r="H2084" s="18" t="inlineStr">
        <is>
          <t>No</t>
        </is>
      </c>
      <c r="I2084" s="18" t="inlineStr"/>
      <c r="J2084" s="18" t="inlineStr"/>
      <c r="K2084" s="18" t="inlineStr"/>
      <c r="L2084" s="18" t="inlineStr">
        <is>
          <t>No</t>
        </is>
      </c>
      <c r="M2084" s="18" t="inlineStr">
        <is>
          <t>No</t>
        </is>
      </c>
      <c r="N2084" s="18" t="inlineStr"/>
      <c r="O2084" s="18" t="inlineStr"/>
      <c r="P2084" s="18" t="inlineStr"/>
      <c r="Q2084" s="18" t="inlineStr">
        <is>
          <t>Regla estructural</t>
        </is>
      </c>
      <c r="R2084" s="18" t="inlineStr">
        <is>
          <t>Motivo del cambio.</t>
        </is>
      </c>
      <c r="S2084" s="18" t="inlineStr">
        <is>
          <t>Media</t>
        </is>
      </c>
      <c r="T2084" s="18" t="inlineStr">
        <is>
          <t>Convención de nombre de la columna.</t>
        </is>
      </c>
      <c r="U2084" s="18" t="inlineStr"/>
      <c r="V2084" s="19" t="inlineStr">
        <is>
          <t>Pendiente</t>
        </is>
      </c>
      <c r="W2084" s="19" t="inlineStr"/>
      <c r="X2084" s="19" t="inlineStr"/>
      <c r="Y2084" s="20" t="n"/>
      <c r="Z2084" s="19" t="inlineStr"/>
      <c r="AA2084" s="18">
        <f>IF(OR(V2084="Aprobada"),R2084,IF(AND(OR(V2084="Aprobada con ajuste",V2084="Rechazada"),W2084&lt;&gt;""),W2084,""))</f>
        <v/>
      </c>
    </row>
    <row r="2085">
      <c r="A2085" s="18" t="inlineStr">
        <is>
          <t>C2084</t>
        </is>
      </c>
      <c r="B2085" s="18" t="inlineStr">
        <is>
          <t>Control interno</t>
        </is>
      </c>
      <c r="C2085" s="18" t="inlineStr">
        <is>
          <t>control_interno</t>
        </is>
      </c>
      <c r="D2085" s="18" t="inlineStr">
        <is>
          <t>version_programa_anual</t>
        </is>
      </c>
      <c r="E2085" s="18" t="n">
        <v>25</v>
      </c>
      <c r="F2085" s="18" t="inlineStr">
        <is>
          <t>vigencia</t>
        </is>
      </c>
      <c r="G2085" s="18" t="inlineStr">
        <is>
          <t>integer</t>
        </is>
      </c>
      <c r="H2085" s="18" t="inlineStr">
        <is>
          <t>No</t>
        </is>
      </c>
      <c r="I2085" s="18" t="inlineStr"/>
      <c r="J2085" s="18" t="inlineStr"/>
      <c r="K2085" s="18" t="inlineStr"/>
      <c r="L2085" s="18" t="inlineStr">
        <is>
          <t>No</t>
        </is>
      </c>
      <c r="M2085" s="18" t="inlineStr">
        <is>
          <t>No</t>
        </is>
      </c>
      <c r="N2085" s="18" t="inlineStr"/>
      <c r="O2085" s="18" t="inlineStr">
        <is>
          <t>idx_version_programa_anual_vigencia, uq_version_programa_anual</t>
        </is>
      </c>
      <c r="P2085" s="18" t="inlineStr">
        <is>
          <t>Mapeada en internal-institutional-control-service/src/esap/programa-anual-versiones/entities/version-programa-anual.entity.ts:49 (VersionProgramaAnual.vigencia) | Validación: IsNumber, IsOptional, Max(2100), Min(2020)</t>
        </is>
      </c>
      <c r="Q2085" s="18" t="inlineStr">
        <is>
          <t>Regla estructural</t>
        </is>
      </c>
      <c r="R2085" s="18" t="inlineStr">
        <is>
          <t>Vigencia (año).</t>
        </is>
      </c>
      <c r="S2085" s="18" t="inlineStr">
        <is>
          <t>Media</t>
        </is>
      </c>
      <c r="T2085" s="18" t="inlineStr">
        <is>
          <t>Convención de nombre de la columna.</t>
        </is>
      </c>
      <c r="U2085" s="18" t="inlineStr"/>
      <c r="V2085" s="19" t="inlineStr">
        <is>
          <t>Pendiente</t>
        </is>
      </c>
      <c r="W2085" s="19" t="inlineStr"/>
      <c r="X2085" s="19" t="inlineStr"/>
      <c r="Y2085" s="20" t="n"/>
      <c r="Z2085" s="19" t="inlineStr"/>
      <c r="AA2085" s="18">
        <f>IF(OR(V2085="Aprobada"),R2085,IF(AND(OR(V2085="Aprobada con ajuste",V2085="Rechazada"),W2085&lt;&gt;""),W2085,""))</f>
        <v/>
      </c>
    </row>
    <row r="2086">
      <c r="A2086" s="18" t="inlineStr">
        <is>
          <t>C2085</t>
        </is>
      </c>
      <c r="B2086" s="18" t="inlineStr">
        <is>
          <t>Control interno</t>
        </is>
      </c>
      <c r="C2086" s="18" t="inlineStr">
        <is>
          <t>control_interno</t>
        </is>
      </c>
      <c r="D2086" s="18" t="inlineStr">
        <is>
          <t>version_programa_anual</t>
        </is>
      </c>
      <c r="E2086" s="18" t="n">
        <v>25</v>
      </c>
      <c r="F2086" s="18" t="inlineStr">
        <is>
          <t>version</t>
        </is>
      </c>
      <c r="G2086" s="18" t="inlineStr">
        <is>
          <t>integer</t>
        </is>
      </c>
      <c r="H2086" s="18" t="inlineStr">
        <is>
          <t>No</t>
        </is>
      </c>
      <c r="I2086" s="18" t="inlineStr"/>
      <c r="J2086" s="18" t="inlineStr"/>
      <c r="K2086" s="18" t="inlineStr"/>
      <c r="L2086" s="18" t="inlineStr">
        <is>
          <t>No</t>
        </is>
      </c>
      <c r="M2086" s="18" t="inlineStr">
        <is>
          <t>No</t>
        </is>
      </c>
      <c r="N2086" s="18" t="inlineStr"/>
      <c r="O2086" s="18" t="inlineStr">
        <is>
          <t>idx_version_programa_anual_vigencia, uq_version_programa_anual</t>
        </is>
      </c>
      <c r="P2086" s="18" t="inlineStr">
        <is>
          <t>Mapeada en internal-institutional-control-service/src/esap/programa-anual-versiones/entities/version-programa-anual.entity.ts:52 (VersionProgramaAnual.version) | Validación: IsOptional, IsString</t>
        </is>
      </c>
      <c r="Q2086" s="18" t="inlineStr">
        <is>
          <t>Regla estructural</t>
        </is>
      </c>
      <c r="R2086" s="18" t="inlineStr">
        <is>
          <t>Número de versión del registro.</t>
        </is>
      </c>
      <c r="S2086" s="18" t="inlineStr">
        <is>
          <t>Media</t>
        </is>
      </c>
      <c r="T2086" s="18" t="inlineStr">
        <is>
          <t>Convención de nombre de la columna.</t>
        </is>
      </c>
      <c r="U2086" s="18" t="inlineStr"/>
      <c r="V2086" s="19" t="inlineStr">
        <is>
          <t>Pendiente</t>
        </is>
      </c>
      <c r="W2086" s="19" t="inlineStr"/>
      <c r="X2086" s="19" t="inlineStr"/>
      <c r="Y2086" s="20" t="n"/>
      <c r="Z2086" s="19" t="inlineStr"/>
      <c r="AA2086" s="18">
        <f>IF(OR(V2086="Aprobada"),R2086,IF(AND(OR(V2086="Aprobada con ajuste",V2086="Rechazada"),W2086&lt;&gt;""),W2086,""))</f>
        <v/>
      </c>
    </row>
    <row r="2087">
      <c r="A2087" s="18" t="inlineStr">
        <is>
          <t>C2086</t>
        </is>
      </c>
      <c r="B2087" s="18" t="inlineStr">
        <is>
          <t>Control interno</t>
        </is>
      </c>
      <c r="C2087" s="18" t="inlineStr">
        <is>
          <t>control_interno</t>
        </is>
      </c>
      <c r="D2087" s="18" t="inlineStr">
        <is>
          <t>version_programa_anual</t>
        </is>
      </c>
      <c r="E2087" s="18" t="n">
        <v>25</v>
      </c>
      <c r="F2087" s="18" t="inlineStr">
        <is>
          <t>huella</t>
        </is>
      </c>
      <c r="G2087" s="18" t="inlineStr">
        <is>
          <t>character varying(64)</t>
        </is>
      </c>
      <c r="H2087" s="18" t="inlineStr">
        <is>
          <t>No</t>
        </is>
      </c>
      <c r="I2087" s="18" t="inlineStr"/>
      <c r="J2087" s="18" t="inlineStr"/>
      <c r="K2087" s="18" t="inlineStr"/>
      <c r="L2087" s="18" t="inlineStr">
        <is>
          <t>No</t>
        </is>
      </c>
      <c r="M2087" s="18" t="inlineStr">
        <is>
          <t>No</t>
        </is>
      </c>
      <c r="N2087" s="18" t="inlineStr"/>
      <c r="O2087" s="18" t="inlineStr"/>
      <c r="P2087" s="18" t="inlineStr">
        <is>
          <t>db/migrations/656_versionamiento_programa_anual.sql:13: Huella de los campos que imprime el documento: si no cambia, no hay versión nueva.</t>
        </is>
      </c>
      <c r="Q2087" s="18" t="inlineStr">
        <is>
          <t>Código fuente</t>
        </is>
      </c>
      <c r="R2087" s="18" t="inlineStr">
        <is>
          <t>Huella (hash) de los campos que imprime el documento del Programa Anual; si no cambia, no se genera una versión nueva (EFDS-1919).</t>
        </is>
      </c>
      <c r="S2087" s="18" t="inlineStr">
        <is>
          <t>Alta</t>
        </is>
      </c>
      <c r="T2087" s="18" t="inlineStr">
        <is>
          <t>código: db/migrations/656_versionamiento_programa_anual.sql:13</t>
        </is>
      </c>
      <c r="U2087" s="18" t="inlineStr"/>
      <c r="V2087" s="19" t="inlineStr">
        <is>
          <t>Pendiente</t>
        </is>
      </c>
      <c r="W2087" s="19" t="inlineStr"/>
      <c r="X2087" s="19" t="inlineStr"/>
      <c r="Y2087" s="20" t="n"/>
      <c r="Z2087" s="19" t="inlineStr"/>
      <c r="AA2087" s="18">
        <f>IF(OR(V2087="Aprobada"),R2087,IF(AND(OR(V2087="Aprobada con ajuste",V2087="Rechazada"),W2087&lt;&gt;""),W2087,""))</f>
        <v/>
      </c>
    </row>
    <row r="2088">
      <c r="A2088" s="18" t="inlineStr">
        <is>
          <t>C2087</t>
        </is>
      </c>
      <c r="B2088" s="18" t="inlineStr">
        <is>
          <t>Control interno</t>
        </is>
      </c>
      <c r="C2088" s="18" t="inlineStr">
        <is>
          <t>control_interno</t>
        </is>
      </c>
      <c r="D2088" s="18" t="inlineStr">
        <is>
          <t>version_programa_anual</t>
        </is>
      </c>
      <c r="E2088" s="18" t="n">
        <v>25</v>
      </c>
      <c r="F2088" s="18" t="inlineStr">
        <is>
          <t>filas</t>
        </is>
      </c>
      <c r="G2088" s="18" t="inlineStr">
        <is>
          <t>jsonb</t>
        </is>
      </c>
      <c r="H2088" s="18" t="inlineStr">
        <is>
          <t>No</t>
        </is>
      </c>
      <c r="I2088" s="18" t="inlineStr"/>
      <c r="J2088" s="18" t="inlineStr"/>
      <c r="K2088" s="18" t="inlineStr"/>
      <c r="L2088" s="18" t="inlineStr">
        <is>
          <t>No</t>
        </is>
      </c>
      <c r="M2088" s="18" t="inlineStr">
        <is>
          <t>No</t>
        </is>
      </c>
      <c r="N2088" s="18" t="inlineStr"/>
      <c r="O2088" s="18" t="inlineStr"/>
      <c r="P2088" s="18" t="inlineStr">
        <is>
          <t>db/migrations/656_versionamiento_programa_anual.sql:15: Filas del programa tal como quedaron en esta versión.</t>
        </is>
      </c>
      <c r="Q2088" s="18" t="inlineStr">
        <is>
          <t>Código fuente</t>
        </is>
      </c>
      <c r="R2088" s="18" t="inlineStr">
        <is>
          <t>Filas del Programa Anual tal como quedaron en esta versión, en formato JSON.</t>
        </is>
      </c>
      <c r="S2088" s="18" t="inlineStr">
        <is>
          <t>Alta</t>
        </is>
      </c>
      <c r="T2088" s="18" t="inlineStr">
        <is>
          <t>código: db/migrations/656_versionamiento_programa_anual.sql:15</t>
        </is>
      </c>
      <c r="U2088" s="18" t="inlineStr"/>
      <c r="V2088" s="19" t="inlineStr">
        <is>
          <t>Pendiente</t>
        </is>
      </c>
      <c r="W2088" s="19" t="inlineStr"/>
      <c r="X2088" s="19" t="inlineStr"/>
      <c r="Y2088" s="20" t="n"/>
      <c r="Z2088" s="19" t="inlineStr"/>
      <c r="AA2088" s="18">
        <f>IF(OR(V2088="Aprobada"),R2088,IF(AND(OR(V2088="Aprobada con ajuste",V2088="Rechazada"),W2088&lt;&gt;""),W2088,""))</f>
        <v/>
      </c>
    </row>
    <row r="2089">
      <c r="A2089" s="18" t="inlineStr">
        <is>
          <t>C2088</t>
        </is>
      </c>
      <c r="B2089" s="18" t="inlineStr">
        <is>
          <t>Control interno</t>
        </is>
      </c>
      <c r="C2089" s="18" t="inlineStr">
        <is>
          <t>control_interno</t>
        </is>
      </c>
      <c r="D2089" s="18" t="inlineStr">
        <is>
          <t>version_programa_anual</t>
        </is>
      </c>
      <c r="E2089" s="18" t="n">
        <v>25</v>
      </c>
      <c r="F2089" s="18" t="inlineStr">
        <is>
          <t>cambios</t>
        </is>
      </c>
      <c r="G2089" s="18" t="inlineStr">
        <is>
          <t>jsonb</t>
        </is>
      </c>
      <c r="H2089" s="18" t="inlineStr">
        <is>
          <t>No</t>
        </is>
      </c>
      <c r="I2089" s="18" t="inlineStr"/>
      <c r="J2089" s="18" t="inlineStr"/>
      <c r="K2089" s="18" t="inlineStr"/>
      <c r="L2089" s="18" t="inlineStr">
        <is>
          <t>No</t>
        </is>
      </c>
      <c r="M2089" s="18" t="inlineStr">
        <is>
          <t>No</t>
        </is>
      </c>
      <c r="N2089" s="18" t="inlineStr"/>
      <c r="O2089" s="18" t="inlineStr"/>
      <c r="P2089" s="18" t="inlineStr">
        <is>
          <t>db/migrations/656_versionamiento_programa_anual.sql:17: Diferencias frente a la versión anterior (vacío en la versión 1).</t>
        </is>
      </c>
      <c r="Q2089" s="18" t="inlineStr">
        <is>
          <t>Código fuente</t>
        </is>
      </c>
      <c r="R2089" s="18" t="inlineStr">
        <is>
          <t>Diferencias frente a la versión anterior, en formato JSON; vacío en la versión 1.</t>
        </is>
      </c>
      <c r="S2089" s="18" t="inlineStr">
        <is>
          <t>Alta</t>
        </is>
      </c>
      <c r="T2089" s="18" t="inlineStr">
        <is>
          <t>código: db/migrations/656_versionamiento_programa_anual.sql:17</t>
        </is>
      </c>
      <c r="U2089" s="18" t="inlineStr"/>
      <c r="V2089" s="19" t="inlineStr">
        <is>
          <t>Pendiente</t>
        </is>
      </c>
      <c r="W2089" s="19" t="inlineStr"/>
      <c r="X2089" s="19" t="inlineStr"/>
      <c r="Y2089" s="20" t="n"/>
      <c r="Z2089" s="19" t="inlineStr"/>
      <c r="AA2089" s="18">
        <f>IF(OR(V2089="Aprobada"),R2089,IF(AND(OR(V2089="Aprobada con ajuste",V2089="Rechazada"),W2089&lt;&gt;""),W2089,""))</f>
        <v/>
      </c>
    </row>
    <row r="2090">
      <c r="A2090" s="18" t="inlineStr">
        <is>
          <t>C2089</t>
        </is>
      </c>
      <c r="B2090" s="18" t="inlineStr">
        <is>
          <t>Control interno</t>
        </is>
      </c>
      <c r="C2090" s="18" t="inlineStr">
        <is>
          <t>control_interno</t>
        </is>
      </c>
      <c r="D2090" s="18" t="inlineStr">
        <is>
          <t>version_programa_anual</t>
        </is>
      </c>
      <c r="E2090" s="18" t="n">
        <v>25</v>
      </c>
      <c r="F2090" s="18" t="inlineStr">
        <is>
          <t>generada_por</t>
        </is>
      </c>
      <c r="G2090" s="18" t="inlineStr">
        <is>
          <t>character varying(255)</t>
        </is>
      </c>
      <c r="H2090" s="18" t="inlineStr">
        <is>
          <t>No</t>
        </is>
      </c>
      <c r="I2090" s="18" t="inlineStr"/>
      <c r="J2090" s="18" t="inlineStr"/>
      <c r="K2090" s="18" t="inlineStr"/>
      <c r="L2090" s="18" t="inlineStr">
        <is>
          <t>No</t>
        </is>
      </c>
      <c r="M2090" s="18" t="inlineStr">
        <is>
          <t>No</t>
        </is>
      </c>
      <c r="N2090" s="18" t="inlineStr"/>
      <c r="O2090" s="18" t="inlineStr"/>
      <c r="P2090" s="18" t="inlineStr">
        <is>
          <t>Mapeada en internal-institutional-control-service/src/esap/programa-anual-versiones/entities/version-programa-anual.entity.ts:67 (VersionProgramaAnual.generadaPor)</t>
        </is>
      </c>
      <c r="Q2090" s="18" t="inlineStr">
        <is>
          <t>Regla estructural</t>
        </is>
      </c>
      <c r="R2090" s="18" t="inlineStr">
        <is>
          <t>Usuario que realizó la generación.</t>
        </is>
      </c>
      <c r="S2090" s="18" t="inlineStr">
        <is>
          <t>Media</t>
        </is>
      </c>
      <c r="T2090" s="18" t="inlineStr">
        <is>
          <t>Convención de nombre de la columna.</t>
        </is>
      </c>
      <c r="U2090" s="18" t="inlineStr"/>
      <c r="V2090" s="19" t="inlineStr">
        <is>
          <t>Pendiente</t>
        </is>
      </c>
      <c r="W2090" s="19" t="inlineStr"/>
      <c r="X2090" s="19" t="inlineStr"/>
      <c r="Y2090" s="20" t="n"/>
      <c r="Z2090" s="19" t="inlineStr"/>
      <c r="AA2090" s="18">
        <f>IF(OR(V2090="Aprobada"),R2090,IF(AND(OR(V2090="Aprobada con ajuste",V2090="Rechazada"),W2090&lt;&gt;""),W2090,""))</f>
        <v/>
      </c>
    </row>
    <row r="2091">
      <c r="A2091" s="18" t="inlineStr">
        <is>
          <t>C2090</t>
        </is>
      </c>
      <c r="B2091" s="18" t="inlineStr">
        <is>
          <t>Control interno</t>
        </is>
      </c>
      <c r="C2091" s="18" t="inlineStr">
        <is>
          <t>control_interno</t>
        </is>
      </c>
      <c r="D2091" s="18" t="inlineStr">
        <is>
          <t>version_programa_anual</t>
        </is>
      </c>
      <c r="E2091" s="18" t="n">
        <v>25</v>
      </c>
      <c r="F2091" s="18" t="inlineStr">
        <is>
          <t>generada_por_id</t>
        </is>
      </c>
      <c r="G2091" s="18" t="inlineStr">
        <is>
          <t>character varying(64)</t>
        </is>
      </c>
      <c r="H2091" s="18" t="inlineStr">
        <is>
          <t>Sí</t>
        </is>
      </c>
      <c r="I2091" s="18" t="inlineStr"/>
      <c r="J2091" s="18" t="inlineStr"/>
      <c r="K2091" s="18" t="inlineStr"/>
      <c r="L2091" s="18" t="inlineStr">
        <is>
          <t>No</t>
        </is>
      </c>
      <c r="M2091" s="18" t="inlineStr">
        <is>
          <t>No</t>
        </is>
      </c>
      <c r="N2091" s="18" t="inlineStr"/>
      <c r="O2091" s="18" t="inlineStr"/>
      <c r="P2091" s="18" t="inlineStr">
        <is>
          <t>Mapeada en internal-institutional-control-service/src/esap/programa-anual-versiones/entities/version-programa-anual.entity.ts:70 (VersionProgramaAnual.generadaPorId)</t>
        </is>
      </c>
      <c r="Q2091" s="18" t="inlineStr">
        <is>
          <t>Propuesta semántica</t>
        </is>
      </c>
      <c r="R2091" s="18" t="inlineStr">
        <is>
          <t>Identificador del usuario que generó la versión del Programa Anual (EFDS-1919).</t>
        </is>
      </c>
      <c r="S2091" s="18" t="inlineStr">
        <is>
          <t>Media</t>
        </is>
      </c>
      <c r="T2091" s="18" t="inlineStr">
        <is>
          <t>nombre + descripción de la tabla</t>
        </is>
      </c>
      <c r="U2091" s="18" t="inlineStr">
        <is>
          <t>¿Es el id de auth."user" u otro identificador de usuario?</t>
        </is>
      </c>
      <c r="V2091" s="19" t="inlineStr">
        <is>
          <t>Pendiente</t>
        </is>
      </c>
      <c r="W2091" s="19" t="inlineStr"/>
      <c r="X2091" s="19" t="inlineStr"/>
      <c r="Y2091" s="20" t="n"/>
      <c r="Z2091" s="19" t="inlineStr"/>
      <c r="AA2091" s="18">
        <f>IF(OR(V2091="Aprobada"),R2091,IF(AND(OR(V2091="Aprobada con ajuste",V2091="Rechazada"),W2091&lt;&gt;""),W2091,""))</f>
        <v/>
      </c>
    </row>
    <row r="2092">
      <c r="A2092" s="18" t="inlineStr">
        <is>
          <t>C2091</t>
        </is>
      </c>
      <c r="B2092" s="18" t="inlineStr">
        <is>
          <t>Control interno</t>
        </is>
      </c>
      <c r="C2092" s="18" t="inlineStr">
        <is>
          <t>control_interno</t>
        </is>
      </c>
      <c r="D2092" s="18" t="inlineStr">
        <is>
          <t>version_programa_anual</t>
        </is>
      </c>
      <c r="E2092" s="18" t="n">
        <v>25</v>
      </c>
      <c r="F2092" s="18" t="inlineStr">
        <is>
          <t>motivo</t>
        </is>
      </c>
      <c r="G2092" s="18" t="inlineStr">
        <is>
          <t>text</t>
        </is>
      </c>
      <c r="H2092" s="18" t="inlineStr">
        <is>
          <t>Sí</t>
        </is>
      </c>
      <c r="I2092" s="18" t="inlineStr"/>
      <c r="J2092" s="18" t="inlineStr"/>
      <c r="K2092" s="18" t="inlineStr"/>
      <c r="L2092" s="18" t="inlineStr">
        <is>
          <t>No</t>
        </is>
      </c>
      <c r="M2092" s="18" t="inlineStr">
        <is>
          <t>No</t>
        </is>
      </c>
      <c r="N2092" s="18" t="inlineStr"/>
      <c r="O2092" s="18" t="inlineStr"/>
      <c r="P2092" s="18" t="inlineStr">
        <is>
          <t>Mapeada en internal-institutional-control-service/src/esap/programa-anual-versiones/entities/version-programa-anual.entity.ts:64 (VersionProgramaAnual.motivo) | Validación: IsOptional, IsString, MaxLength(1000)</t>
        </is>
      </c>
      <c r="Q2092" s="18" t="inlineStr">
        <is>
          <t>Propuesta semántica</t>
        </is>
      </c>
      <c r="R2092" s="18" t="inlineStr">
        <is>
          <t>Motivo de la nueva versión del Programa Anual; hasta 1000 caracteres (EFDS-1919).</t>
        </is>
      </c>
      <c r="S2092" s="18" t="inlineStr">
        <is>
          <t>Alta</t>
        </is>
      </c>
      <c r="T2092" s="18" t="inlineStr">
        <is>
          <t>nombre + validación MaxLength(1000)</t>
        </is>
      </c>
      <c r="U2092" s="18" t="inlineStr"/>
      <c r="V2092" s="19" t="inlineStr">
        <is>
          <t>Pendiente</t>
        </is>
      </c>
      <c r="W2092" s="19" t="inlineStr"/>
      <c r="X2092" s="19" t="inlineStr"/>
      <c r="Y2092" s="20" t="n"/>
      <c r="Z2092" s="19" t="inlineStr"/>
      <c r="AA2092" s="18">
        <f>IF(OR(V2092="Aprobada"),R2092,IF(AND(OR(V2092="Aprobada con ajuste",V2092="Rechazada"),W2092&lt;&gt;""),W2092,""))</f>
        <v/>
      </c>
    </row>
    <row r="2093">
      <c r="A2093" s="18" t="inlineStr">
        <is>
          <t>C2092</t>
        </is>
      </c>
      <c r="B2093" s="18" t="inlineStr">
        <is>
          <t>Control interno</t>
        </is>
      </c>
      <c r="C2093" s="18" t="inlineStr">
        <is>
          <t>control_interno</t>
        </is>
      </c>
      <c r="D2093" s="18" t="inlineStr">
        <is>
          <t>workflow_aprobacion_informe</t>
        </is>
      </c>
      <c r="E2093" s="18" t="n">
        <v>0</v>
      </c>
      <c r="F2093" s="18" t="inlineStr">
        <is>
          <t>paso_actual</t>
        </is>
      </c>
      <c r="G2093" s="18" t="inlineStr">
        <is>
          <t>integer</t>
        </is>
      </c>
      <c r="H2093" s="18" t="inlineStr">
        <is>
          <t>Sí</t>
        </is>
      </c>
      <c r="I2093" s="18" t="inlineStr"/>
      <c r="J2093" s="18" t="inlineStr"/>
      <c r="K2093" s="18" t="inlineStr"/>
      <c r="L2093" s="18" t="inlineStr">
        <is>
          <t>No</t>
        </is>
      </c>
      <c r="M2093" s="18" t="inlineStr">
        <is>
          <t>No</t>
        </is>
      </c>
      <c r="N2093" s="18" t="inlineStr"/>
      <c r="O2093" s="18" t="inlineStr"/>
      <c r="P2093" s="18" t="inlineStr">
        <is>
          <t>Mapeada en internal-institutional-control-service/src/esap/informes-ley/entities/workflow-aprobacion-informe.entity.ts:29 (WorkflowAprobacionInforme.pasoActual)</t>
        </is>
      </c>
      <c r="Q2093" s="18" t="inlineStr">
        <is>
          <t>Propuesta semántica</t>
        </is>
      </c>
      <c r="R2093" s="18" t="inlineStr">
        <is>
          <t>Número del paso en que se encuentra el workflow de aprobación. Valor por defecto: 1.</t>
        </is>
      </c>
      <c r="S2093" s="18" t="inlineStr">
        <is>
          <t>Alta</t>
        </is>
      </c>
      <c r="T2093" s="18" t="inlineStr">
        <is>
          <t>nombre + defecto + tabla paso_workflow_informe</t>
        </is>
      </c>
      <c r="U2093" s="18" t="inlineStr"/>
      <c r="V2093" s="19" t="inlineStr">
        <is>
          <t>Pendiente</t>
        </is>
      </c>
      <c r="W2093" s="19" t="inlineStr"/>
      <c r="X2093" s="19" t="inlineStr"/>
      <c r="Y2093" s="20" t="n"/>
      <c r="Z2093" s="19" t="inlineStr"/>
      <c r="AA2093" s="18">
        <f>IF(OR(V2093="Aprobada"),R2093,IF(AND(OR(V2093="Aprobada con ajuste",V2093="Rechazada"),W2093&lt;&gt;""),W2093,""))</f>
        <v/>
      </c>
    </row>
    <row r="2094">
      <c r="A2094" s="18" t="inlineStr">
        <is>
          <t>C2093</t>
        </is>
      </c>
      <c r="B2094" s="18" t="inlineStr">
        <is>
          <t>Control interno</t>
        </is>
      </c>
      <c r="C2094" s="18" t="inlineStr">
        <is>
          <t>control_interno</t>
        </is>
      </c>
      <c r="D2094" s="18" t="inlineStr">
        <is>
          <t>workflow_aprobacion_informe</t>
        </is>
      </c>
      <c r="E2094" s="18" t="n">
        <v>0</v>
      </c>
      <c r="F2094" s="18" t="inlineStr">
        <is>
          <t>estado_workflow</t>
        </is>
      </c>
      <c r="G2094" s="18" t="inlineStr">
        <is>
          <t>character varying(50)</t>
        </is>
      </c>
      <c r="H2094" s="18" t="inlineStr">
        <is>
          <t>Sí</t>
        </is>
      </c>
      <c r="I2094" s="18" t="inlineStr">
        <is>
          <t>CHECK</t>
        </is>
      </c>
      <c r="J2094" s="18" t="inlineStr">
        <is>
          <t>aprobado, completado, en-aprobacion, en-elaboracion, en-revision, rechazado</t>
        </is>
      </c>
      <c r="K2094" s="18" t="inlineStr"/>
      <c r="L2094" s="18" t="inlineStr">
        <is>
          <t>Sí</t>
        </is>
      </c>
      <c r="M2094" s="18" t="inlineStr">
        <is>
          <t>No</t>
        </is>
      </c>
      <c r="N2094" s="18" t="inlineStr"/>
      <c r="O2094" s="18" t="inlineStr">
        <is>
          <t>idx_workflow_estado</t>
        </is>
      </c>
      <c r="P2094" s="18" t="inlineStr">
        <is>
          <t>Mapeada en internal-institutional-control-service/src/esap/informes-ley/entities/workflow-aprobacion-informe.entity.ts:32 (WorkflowAprobacionInforme.estadoWorkflow)</t>
        </is>
      </c>
      <c r="Q2094" s="18" t="inlineStr">
        <is>
          <t>Propuesta semántica</t>
        </is>
      </c>
      <c r="R2094" s="18" t="inlineStr">
        <is>
          <t>Estado del workflow de aprobación del informe. Valores permitidos: en-elaboracion, en-revision, en-aprobacion, aprobado, rechazado, completado.</t>
        </is>
      </c>
      <c r="S2094" s="18" t="inlineStr">
        <is>
          <t>Alta</t>
        </is>
      </c>
      <c r="T2094" s="18" t="inlineStr">
        <is>
          <t>valores permitidos del CHECK</t>
        </is>
      </c>
      <c r="U2094" s="18" t="inlineStr"/>
      <c r="V2094" s="19" t="inlineStr">
        <is>
          <t>Pendiente</t>
        </is>
      </c>
      <c r="W2094" s="19" t="inlineStr"/>
      <c r="X2094" s="19" t="inlineStr"/>
      <c r="Y2094" s="20" t="n"/>
      <c r="Z2094" s="19" t="inlineStr"/>
      <c r="AA2094" s="18">
        <f>IF(OR(V2094="Aprobada"),R2094,IF(AND(OR(V2094="Aprobada con ajuste",V2094="Rechazada"),W2094&lt;&gt;""),W2094,""))</f>
        <v/>
      </c>
    </row>
    <row r="2095">
      <c r="A2095" s="18" t="inlineStr">
        <is>
          <t>C2094</t>
        </is>
      </c>
      <c r="B2095" s="18" t="inlineStr">
        <is>
          <t>Control interno</t>
        </is>
      </c>
      <c r="C2095" s="18" t="inlineStr">
        <is>
          <t>control_interno</t>
        </is>
      </c>
      <c r="D2095" s="18" t="inlineStr">
        <is>
          <t>workflow_aprobacion_informe</t>
        </is>
      </c>
      <c r="E2095" s="18" t="n">
        <v>0</v>
      </c>
      <c r="F2095" s="18" t="inlineStr">
        <is>
          <t>completado</t>
        </is>
      </c>
      <c r="G2095" s="18" t="inlineStr">
        <is>
          <t>boolean</t>
        </is>
      </c>
      <c r="H2095" s="18" t="inlineStr">
        <is>
          <t>Sí</t>
        </is>
      </c>
      <c r="I2095" s="18" t="inlineStr">
        <is>
          <t>CHECK</t>
        </is>
      </c>
      <c r="J2095" s="18" t="inlineStr"/>
      <c r="K2095" s="18" t="inlineStr"/>
      <c r="L2095" s="18" t="inlineStr">
        <is>
          <t>No</t>
        </is>
      </c>
      <c r="M2095" s="18" t="inlineStr">
        <is>
          <t>No</t>
        </is>
      </c>
      <c r="N2095" s="18" t="inlineStr"/>
      <c r="O2095" s="18" t="inlineStr"/>
      <c r="P2095" s="18" t="inlineStr">
        <is>
          <t>Mapeada en internal-institutional-control-service/src/esap/informes-ley/entities/workflow-aprobacion-informe.entity.ts:40 (WorkflowAprobacionInforme.completado)</t>
        </is>
      </c>
      <c r="Q2095" s="18" t="inlineStr">
        <is>
          <t>Regla estructural</t>
        </is>
      </c>
      <c r="R2095" s="18" t="inlineStr">
        <is>
          <t>Indica si el registro está completado.</t>
        </is>
      </c>
      <c r="S2095" s="18" t="inlineStr">
        <is>
          <t>Media</t>
        </is>
      </c>
      <c r="T2095" s="18" t="inlineStr">
        <is>
          <t>Convención de nombre de la columna.</t>
        </is>
      </c>
      <c r="U2095" s="18" t="inlineStr"/>
      <c r="V2095" s="19" t="inlineStr">
        <is>
          <t>Pendiente</t>
        </is>
      </c>
      <c r="W2095" s="19" t="inlineStr"/>
      <c r="X2095" s="19" t="inlineStr"/>
      <c r="Y2095" s="20" t="n"/>
      <c r="Z2095" s="19" t="inlineStr"/>
      <c r="AA2095" s="18">
        <f>IF(OR(V2095="Aprobada"),R2095,IF(AND(OR(V2095="Aprobada con ajuste",V2095="Rechazada"),W2095&lt;&gt;""),W2095,""))</f>
        <v/>
      </c>
    </row>
    <row r="2096">
      <c r="A2096" s="18" t="inlineStr">
        <is>
          <t>C2095</t>
        </is>
      </c>
      <c r="B2096" s="18" t="inlineStr">
        <is>
          <t>Control interno</t>
        </is>
      </c>
      <c r="C2096" s="18" t="inlineStr">
        <is>
          <t>control_interno</t>
        </is>
      </c>
      <c r="D2096" s="18" t="inlineStr">
        <is>
          <t>workflow_aprobacion_informe</t>
        </is>
      </c>
      <c r="E2096" s="18" t="n">
        <v>0</v>
      </c>
      <c r="F2096" s="18" t="inlineStr">
        <is>
          <t>fecha_completado</t>
        </is>
      </c>
      <c r="G2096" s="18" t="inlineStr">
        <is>
          <t>timestamp without time zone</t>
        </is>
      </c>
      <c r="H2096" s="18" t="inlineStr">
        <is>
          <t>Sí</t>
        </is>
      </c>
      <c r="I2096" s="18" t="inlineStr"/>
      <c r="J2096" s="18" t="inlineStr"/>
      <c r="K2096" s="18" t="inlineStr"/>
      <c r="L2096" s="18" t="inlineStr">
        <is>
          <t>No</t>
        </is>
      </c>
      <c r="M2096" s="18" t="inlineStr">
        <is>
          <t>No</t>
        </is>
      </c>
      <c r="N2096" s="18" t="inlineStr"/>
      <c r="O2096" s="18" t="inlineStr"/>
      <c r="P2096" s="18" t="inlineStr">
        <is>
          <t>Mapeada en internal-institutional-control-service/src/esap/informes-ley/entities/workflow-aprobacion-informe.entity.ts:43 (WorkflowAprobacionInforme.fechaCompletado) | Validación: IsDateString, IsOptional</t>
        </is>
      </c>
      <c r="Q2096" s="18" t="inlineStr">
        <is>
          <t>Regla estructural</t>
        </is>
      </c>
      <c r="R2096" s="18" t="inlineStr">
        <is>
          <t>Fecha completado.</t>
        </is>
      </c>
      <c r="S2096" s="18" t="inlineStr">
        <is>
          <t>Media</t>
        </is>
      </c>
      <c r="T2096" s="18" t="inlineStr">
        <is>
          <t>Convención de nombre de la columna.</t>
        </is>
      </c>
      <c r="U2096" s="18" t="inlineStr"/>
      <c r="V2096" s="19" t="inlineStr">
        <is>
          <t>Pendiente</t>
        </is>
      </c>
      <c r="W2096" s="19" t="inlineStr"/>
      <c r="X2096" s="19" t="inlineStr"/>
      <c r="Y2096" s="20" t="n"/>
      <c r="Z2096" s="19" t="inlineStr"/>
      <c r="AA2096" s="18">
        <f>IF(OR(V2096="Aprobada"),R2096,IF(AND(OR(V2096="Aprobada con ajuste",V2096="Rechazada"),W2096&lt;&gt;""),W2096,""))</f>
        <v/>
      </c>
    </row>
    <row r="2097">
      <c r="A2097" s="18" t="inlineStr">
        <is>
          <t>C2096</t>
        </is>
      </c>
      <c r="B2097" s="18" t="inlineStr">
        <is>
          <t>Control disciplinario interno</t>
        </is>
      </c>
      <c r="C2097" s="18" t="inlineStr">
        <is>
          <t>internal_disciplinary_control</t>
        </is>
      </c>
      <c r="D2097" s="18" t="inlineStr">
        <is>
          <t>alertas_enviadas</t>
        </is>
      </c>
      <c r="E2097" s="18" t="n">
        <v>117</v>
      </c>
      <c r="F2097" s="18" t="inlineStr">
        <is>
          <t>tipo</t>
        </is>
      </c>
      <c r="G2097" s="18" t="inlineStr">
        <is>
          <t>internal_disciplinary_control.tipo_alerta_enum</t>
        </is>
      </c>
      <c r="H2097" s="18" t="inlineStr">
        <is>
          <t>No</t>
        </is>
      </c>
      <c r="I2097" s="18" t="inlineStr">
        <is>
          <t>Enumerado</t>
        </is>
      </c>
      <c r="J2097" s="18" t="inlineStr">
        <is>
          <t>email, visual, sistema</t>
        </is>
      </c>
      <c r="K2097" s="18" t="inlineStr"/>
      <c r="L2097" s="18" t="inlineStr">
        <is>
          <t>Sí</t>
        </is>
      </c>
      <c r="M2097" s="18" t="inlineStr">
        <is>
          <t>No</t>
        </is>
      </c>
      <c r="N2097" s="18" t="inlineStr"/>
      <c r="O2097" s="18" t="inlineStr"/>
      <c r="P2097" s="18" t="inlineStr">
        <is>
          <t>Mapeada en internal-disciplinary-control-service/src/entities/alerta-enviada.entity.ts:58 (AlertaEnviada.tipo) | Validación: IsEnum(TipoAlerta), IsEnum(TipoFestivo), IsNotEmpty, IsOptional, IsString, MaxLength(50)</t>
        </is>
      </c>
      <c r="Q2097" s="18" t="inlineStr">
        <is>
          <t>Regla estructural</t>
        </is>
      </c>
      <c r="R2097" s="18" t="inlineStr">
        <is>
          <t>Tipo del registro de alertas_enviadas.</t>
        </is>
      </c>
      <c r="S2097" s="18" t="inlineStr">
        <is>
          <t>Media</t>
        </is>
      </c>
      <c r="T2097" s="18" t="inlineStr">
        <is>
          <t>Convención de nombre de la columna.</t>
        </is>
      </c>
      <c r="U2097" s="18" t="inlineStr"/>
      <c r="V2097" s="19" t="inlineStr">
        <is>
          <t>Pendiente</t>
        </is>
      </c>
      <c r="W2097" s="19" t="inlineStr"/>
      <c r="X2097" s="19" t="inlineStr"/>
      <c r="Y2097" s="20" t="n"/>
      <c r="Z2097" s="19" t="inlineStr"/>
      <c r="AA2097" s="18">
        <f>IF(OR(V2097="Aprobada"),R2097,IF(AND(OR(V2097="Aprobada con ajuste",V2097="Rechazada"),W2097&lt;&gt;""),W2097,""))</f>
        <v/>
      </c>
    </row>
    <row r="2098">
      <c r="A2098" s="18" t="inlineStr">
        <is>
          <t>C2097</t>
        </is>
      </c>
      <c r="B2098" s="18" t="inlineStr">
        <is>
          <t>Control disciplinario interno</t>
        </is>
      </c>
      <c r="C2098" s="18" t="inlineStr">
        <is>
          <t>internal_disciplinary_control</t>
        </is>
      </c>
      <c r="D2098" s="18" t="inlineStr">
        <is>
          <t>alertas_enviadas</t>
        </is>
      </c>
      <c r="E2098" s="18" t="n">
        <v>117</v>
      </c>
      <c r="F2098" s="18" t="inlineStr">
        <is>
          <t>destinatario</t>
        </is>
      </c>
      <c r="G2098" s="18" t="inlineStr">
        <is>
          <t>character varying(200)</t>
        </is>
      </c>
      <c r="H2098" s="18" t="inlineStr">
        <is>
          <t>No</t>
        </is>
      </c>
      <c r="I2098" s="18" t="inlineStr"/>
      <c r="J2098" s="18" t="inlineStr"/>
      <c r="K2098" s="18" t="inlineStr"/>
      <c r="L2098" s="18" t="inlineStr">
        <is>
          <t>No</t>
        </is>
      </c>
      <c r="M2098" s="18" t="inlineStr">
        <is>
          <t>No</t>
        </is>
      </c>
      <c r="N2098" s="18" t="inlineStr"/>
      <c r="O2098" s="18" t="inlineStr"/>
      <c r="P2098" s="18" t="inlineStr">
        <is>
          <t>Mapeada en internal-disciplinary-control-service/src/entities/alerta-enviada.entity.ts:64 (AlertaEnviada.destinatario)</t>
        </is>
      </c>
      <c r="Q2098" s="18" t="inlineStr">
        <is>
          <t>Propuesta semántica</t>
        </is>
      </c>
      <c r="R2098" s="18" t="inlineStr">
        <is>
          <t>Destinatario de la alerta.</t>
        </is>
      </c>
      <c r="S2098" s="18" t="inlineStr">
        <is>
          <t>Media</t>
        </is>
      </c>
      <c r="T2098" s="18" t="inlineStr">
        <is>
          <t>nombre + tipo + columnas vecinas</t>
        </is>
      </c>
      <c r="U2098" s="18" t="inlineStr">
        <is>
          <t>¿Guarda el correo electrónico o el identificador del destinatario?</t>
        </is>
      </c>
      <c r="V2098" s="19" t="inlineStr">
        <is>
          <t>Pendiente</t>
        </is>
      </c>
      <c r="W2098" s="19" t="inlineStr"/>
      <c r="X2098" s="19" t="inlineStr"/>
      <c r="Y2098" s="20" t="n"/>
      <c r="Z2098" s="19" t="inlineStr"/>
      <c r="AA2098" s="18">
        <f>IF(OR(V2098="Aprobada"),R2098,IF(AND(OR(V2098="Aprobada con ajuste",V2098="Rechazada"),W2098&lt;&gt;""),W2098,""))</f>
        <v/>
      </c>
    </row>
    <row r="2099">
      <c r="A2099" s="18" t="inlineStr">
        <is>
          <t>C2098</t>
        </is>
      </c>
      <c r="B2099" s="18" t="inlineStr">
        <is>
          <t>Control disciplinario interno</t>
        </is>
      </c>
      <c r="C2099" s="18" t="inlineStr">
        <is>
          <t>internal_disciplinary_control</t>
        </is>
      </c>
      <c r="D2099" s="18" t="inlineStr">
        <is>
          <t>alertas_enviadas</t>
        </is>
      </c>
      <c r="E2099" s="18" t="n">
        <v>117</v>
      </c>
      <c r="F2099" s="18" t="inlineStr">
        <is>
          <t>asunto</t>
        </is>
      </c>
      <c r="G2099" s="18" t="inlineStr">
        <is>
          <t>character varying(500)</t>
        </is>
      </c>
      <c r="H2099" s="18" t="inlineStr">
        <is>
          <t>Sí</t>
        </is>
      </c>
      <c r="I2099" s="18" t="inlineStr"/>
      <c r="J2099" s="18" t="inlineStr"/>
      <c r="K2099" s="18" t="inlineStr"/>
      <c r="L2099" s="18" t="inlineStr">
        <is>
          <t>No</t>
        </is>
      </c>
      <c r="M2099" s="18" t="inlineStr">
        <is>
          <t>No</t>
        </is>
      </c>
      <c r="N2099" s="18" t="inlineStr"/>
      <c r="O2099" s="18" t="inlineStr"/>
      <c r="P2099" s="18" t="inlineStr">
        <is>
          <t>Mapeada en internal-disciplinary-control-service/src/entities/alerta-enviada.entity.ts:67 (AlertaEnviada.asunto)</t>
        </is>
      </c>
      <c r="Q2099" s="18" t="inlineStr">
        <is>
          <t>Propuesta semántica</t>
        </is>
      </c>
      <c r="R2099" s="18" t="inlineStr">
        <is>
          <t>Asunto de la alerta enviada.</t>
        </is>
      </c>
      <c r="S2099" s="18" t="inlineStr">
        <is>
          <t>Alta</t>
        </is>
      </c>
      <c r="T2099" s="18" t="inlineStr">
        <is>
          <t>nombre + tipo + columnas vecinas</t>
        </is>
      </c>
      <c r="U2099" s="18" t="inlineStr"/>
      <c r="V2099" s="19" t="inlineStr">
        <is>
          <t>Pendiente</t>
        </is>
      </c>
      <c r="W2099" s="19" t="inlineStr"/>
      <c r="X2099" s="19" t="inlineStr"/>
      <c r="Y2099" s="20" t="n"/>
      <c r="Z2099" s="19" t="inlineStr"/>
      <c r="AA2099" s="18">
        <f>IF(OR(V2099="Aprobada"),R2099,IF(AND(OR(V2099="Aprobada con ajuste",V2099="Rechazada"),W2099&lt;&gt;""),W2099,""))</f>
        <v/>
      </c>
    </row>
    <row r="2100">
      <c r="A2100" s="18" t="inlineStr">
        <is>
          <t>C2099</t>
        </is>
      </c>
      <c r="B2100" s="18" t="inlineStr">
        <is>
          <t>Control disciplinario interno</t>
        </is>
      </c>
      <c r="C2100" s="18" t="inlineStr">
        <is>
          <t>internal_disciplinary_control</t>
        </is>
      </c>
      <c r="D2100" s="18" t="inlineStr">
        <is>
          <t>alertas_enviadas</t>
        </is>
      </c>
      <c r="E2100" s="18" t="n">
        <v>117</v>
      </c>
      <c r="F2100" s="18" t="inlineStr">
        <is>
          <t>mensaje</t>
        </is>
      </c>
      <c r="G2100" s="18" t="inlineStr">
        <is>
          <t>text</t>
        </is>
      </c>
      <c r="H2100" s="18" t="inlineStr">
        <is>
          <t>Sí</t>
        </is>
      </c>
      <c r="I2100" s="18" t="inlineStr"/>
      <c r="J2100" s="18" t="inlineStr"/>
      <c r="K2100" s="18" t="inlineStr"/>
      <c r="L2100" s="18" t="inlineStr">
        <is>
          <t>No</t>
        </is>
      </c>
      <c r="M2100" s="18" t="inlineStr">
        <is>
          <t>No</t>
        </is>
      </c>
      <c r="N2100" s="18" t="inlineStr"/>
      <c r="O2100" s="18" t="inlineStr"/>
      <c r="P2100" s="18" t="inlineStr">
        <is>
          <t>Mapeada en internal-disciplinary-control-service/src/entities/alerta-enviada.entity.ts:70 (AlertaEnviada.mensaje)</t>
        </is>
      </c>
      <c r="Q2100" s="18" t="inlineStr">
        <is>
          <t>Propuesta semántica</t>
        </is>
      </c>
      <c r="R2100" s="18" t="inlineStr">
        <is>
          <t>Texto del mensaje de la alerta enviada.</t>
        </is>
      </c>
      <c r="S2100" s="18" t="inlineStr">
        <is>
          <t>Alta</t>
        </is>
      </c>
      <c r="T2100" s="18" t="inlineStr">
        <is>
          <t>nombre + tipo + columnas vecinas</t>
        </is>
      </c>
      <c r="U2100" s="18" t="inlineStr"/>
      <c r="V2100" s="19" t="inlineStr">
        <is>
          <t>Pendiente</t>
        </is>
      </c>
      <c r="W2100" s="19" t="inlineStr"/>
      <c r="X2100" s="19" t="inlineStr"/>
      <c r="Y2100" s="20" t="n"/>
      <c r="Z2100" s="19" t="inlineStr"/>
      <c r="AA2100" s="18">
        <f>IF(OR(V2100="Aprobada"),R2100,IF(AND(OR(V2100="Aprobada con ajuste",V2100="Rechazada"),W2100&lt;&gt;""),W2100,""))</f>
        <v/>
      </c>
    </row>
    <row r="2101">
      <c r="A2101" s="18" t="inlineStr">
        <is>
          <t>C2100</t>
        </is>
      </c>
      <c r="B2101" s="18" t="inlineStr">
        <is>
          <t>Control disciplinario interno</t>
        </is>
      </c>
      <c r="C2101" s="18" t="inlineStr">
        <is>
          <t>internal_disciplinary_control</t>
        </is>
      </c>
      <c r="D2101" s="18" t="inlineStr">
        <is>
          <t>alertas_enviadas</t>
        </is>
      </c>
      <c r="E2101" s="18" t="n">
        <v>117</v>
      </c>
      <c r="F2101" s="18" t="inlineStr">
        <is>
          <t>estado</t>
        </is>
      </c>
      <c r="G2101" s="18" t="inlineStr">
        <is>
          <t>internal_disciplinary_control.estado_alerta_enum</t>
        </is>
      </c>
      <c r="H2101" s="18" t="inlineStr">
        <is>
          <t>No</t>
        </is>
      </c>
      <c r="I2101" s="18" t="inlineStr">
        <is>
          <t>Enumerado</t>
        </is>
      </c>
      <c r="J2101" s="18" t="inlineStr">
        <is>
          <t>enviada, pendiente, error</t>
        </is>
      </c>
      <c r="K2101" s="18" t="inlineStr"/>
      <c r="L2101" s="18" t="inlineStr">
        <is>
          <t>Sí</t>
        </is>
      </c>
      <c r="M2101" s="18" t="inlineStr">
        <is>
          <t>No</t>
        </is>
      </c>
      <c r="N2101" s="18" t="inlineStr"/>
      <c r="O2101" s="18" t="inlineStr">
        <is>
          <t>IDX_alertas_estado, idx_alertas_estado</t>
        </is>
      </c>
      <c r="P2101" s="18" t="inlineStr">
        <is>
          <t>Mapeada en internal-disciplinary-control-service/src/entities/alerta-enviada.entity.ts:73 (AlertaEnviada.estado) | Validación: IsBoolean, IsEnum(AutoStatus), IsEnum(EstadoAlerta), IsEnum(TerminoEstado), IsIn(['activo', 'inactivo']), IsOptional</t>
        </is>
      </c>
      <c r="Q2101" s="18" t="inlineStr">
        <is>
          <t>Regla estructural</t>
        </is>
      </c>
      <c r="R2101" s="18" t="inlineStr">
        <is>
          <t>Estado del registro de alertas_enviadas.</t>
        </is>
      </c>
      <c r="S2101" s="18" t="inlineStr">
        <is>
          <t>Media</t>
        </is>
      </c>
      <c r="T2101" s="18" t="inlineStr">
        <is>
          <t>Convención de nombre de la columna.</t>
        </is>
      </c>
      <c r="U2101" s="18" t="inlineStr"/>
      <c r="V2101" s="19" t="inlineStr">
        <is>
          <t>Pendiente</t>
        </is>
      </c>
      <c r="W2101" s="19" t="inlineStr"/>
      <c r="X2101" s="19" t="inlineStr"/>
      <c r="Y2101" s="20" t="n"/>
      <c r="Z2101" s="19" t="inlineStr"/>
      <c r="AA2101" s="18">
        <f>IF(OR(V2101="Aprobada"),R2101,IF(AND(OR(V2101="Aprobada con ajuste",V2101="Rechazada"),W2101&lt;&gt;""),W2101,""))</f>
        <v/>
      </c>
    </row>
    <row r="2102">
      <c r="A2102" s="18" t="inlineStr">
        <is>
          <t>C2101</t>
        </is>
      </c>
      <c r="B2102" s="18" t="inlineStr">
        <is>
          <t>Control disciplinario interno</t>
        </is>
      </c>
      <c r="C2102" s="18" t="inlineStr">
        <is>
          <t>internal_disciplinary_control</t>
        </is>
      </c>
      <c r="D2102" s="18" t="inlineStr">
        <is>
          <t>alertas_enviadas</t>
        </is>
      </c>
      <c r="E2102" s="18" t="n">
        <v>117</v>
      </c>
      <c r="F2102" s="18" t="inlineStr">
        <is>
          <t>fecha_envio</t>
        </is>
      </c>
      <c r="G2102" s="18" t="inlineStr">
        <is>
          <t>timestamp without time zone</t>
        </is>
      </c>
      <c r="H2102" s="18" t="inlineStr">
        <is>
          <t>No</t>
        </is>
      </c>
      <c r="I2102" s="18" t="inlineStr"/>
      <c r="J2102" s="18" t="inlineStr"/>
      <c r="K2102" s="18" t="inlineStr"/>
      <c r="L2102" s="18" t="inlineStr">
        <is>
          <t>No</t>
        </is>
      </c>
      <c r="M2102" s="18" t="inlineStr">
        <is>
          <t>No</t>
        </is>
      </c>
      <c r="N2102" s="18" t="inlineStr"/>
      <c r="O2102" s="18" t="inlineStr">
        <is>
          <t>IDX_alertas_fecha_envio, idx_alertas_fecha_envio</t>
        </is>
      </c>
      <c r="P2102" s="18" t="inlineStr">
        <is>
          <t>Mapeada en internal-disciplinary-control-service/src/entities/alerta-enviada.entity.ts:80 (AlertaEnviada.fechaEnvio)</t>
        </is>
      </c>
      <c r="Q2102" s="18" t="inlineStr">
        <is>
          <t>Regla estructural</t>
        </is>
      </c>
      <c r="R2102" s="18" t="inlineStr">
        <is>
          <t>Fecha de envio.</t>
        </is>
      </c>
      <c r="S2102" s="18" t="inlineStr">
        <is>
          <t>Media</t>
        </is>
      </c>
      <c r="T2102" s="18" t="inlineStr">
        <is>
          <t>Convención de nombre de la columna.</t>
        </is>
      </c>
      <c r="U2102" s="18" t="inlineStr"/>
      <c r="V2102" s="19" t="inlineStr">
        <is>
          <t>Pendiente</t>
        </is>
      </c>
      <c r="W2102" s="19" t="inlineStr"/>
      <c r="X2102" s="19" t="inlineStr"/>
      <c r="Y2102" s="20" t="n"/>
      <c r="Z2102" s="19" t="inlineStr"/>
      <c r="AA2102" s="18">
        <f>IF(OR(V2102="Aprobada"),R2102,IF(AND(OR(V2102="Aprobada con ajuste",V2102="Rechazada"),W2102&lt;&gt;""),W2102,""))</f>
        <v/>
      </c>
    </row>
    <row r="2103">
      <c r="A2103" s="18" t="inlineStr">
        <is>
          <t>C2102</t>
        </is>
      </c>
      <c r="B2103" s="18" t="inlineStr">
        <is>
          <t>Control disciplinario interno</t>
        </is>
      </c>
      <c r="C2103" s="18" t="inlineStr">
        <is>
          <t>internal_disciplinary_control</t>
        </is>
      </c>
      <c r="D2103" s="18" t="inlineStr">
        <is>
          <t>alertas_enviadas</t>
        </is>
      </c>
      <c r="E2103" s="18" t="n">
        <v>117</v>
      </c>
      <c r="F2103" s="18" t="inlineStr">
        <is>
          <t>fecha_lectura</t>
        </is>
      </c>
      <c r="G2103" s="18" t="inlineStr">
        <is>
          <t>timestamp without time zone</t>
        </is>
      </c>
      <c r="H2103" s="18" t="inlineStr">
        <is>
          <t>Sí</t>
        </is>
      </c>
      <c r="I2103" s="18" t="inlineStr"/>
      <c r="J2103" s="18" t="inlineStr"/>
      <c r="K2103" s="18" t="inlineStr"/>
      <c r="L2103" s="18" t="inlineStr">
        <is>
          <t>No</t>
        </is>
      </c>
      <c r="M2103" s="18" t="inlineStr">
        <is>
          <t>No</t>
        </is>
      </c>
      <c r="N2103" s="18" t="inlineStr"/>
      <c r="O2103" s="18" t="inlineStr"/>
      <c r="P2103" s="18" t="inlineStr">
        <is>
          <t>internal-disciplinary-control-service/src/entities/alerta-enviada.entity.ts:83: Si es visual</t>
        </is>
      </c>
      <c r="Q2103" s="18" t="inlineStr">
        <is>
          <t>Código fuente</t>
        </is>
      </c>
      <c r="R2103" s="18" t="inlineStr">
        <is>
          <t>Fecha y hora en que el destinatario leyó la alerta; aplica a las alertas visuales.</t>
        </is>
      </c>
      <c r="S2103" s="18" t="inlineStr">
        <is>
          <t>Alta</t>
        </is>
      </c>
      <c r="T2103" s="18" t="inlineStr">
        <is>
          <t>código: internal-disciplinary-control-service/src/entities/alerta-enviada.entity.ts:83</t>
        </is>
      </c>
      <c r="U2103" s="18" t="inlineStr"/>
      <c r="V2103" s="19" t="inlineStr">
        <is>
          <t>Pendiente</t>
        </is>
      </c>
      <c r="W2103" s="19" t="inlineStr"/>
      <c r="X2103" s="19" t="inlineStr"/>
      <c r="Y2103" s="20" t="n"/>
      <c r="Z2103" s="19" t="inlineStr"/>
      <c r="AA2103" s="18">
        <f>IF(OR(V2103="Aprobada"),R2103,IF(AND(OR(V2103="Aprobada con ajuste",V2103="Rechazada"),W2103&lt;&gt;""),W2103,""))</f>
        <v/>
      </c>
    </row>
    <row r="2104">
      <c r="A2104" s="18" t="inlineStr">
        <is>
          <t>C2103</t>
        </is>
      </c>
      <c r="B2104" s="18" t="inlineStr">
        <is>
          <t>Control disciplinario interno</t>
        </is>
      </c>
      <c r="C2104" s="18" t="inlineStr">
        <is>
          <t>internal_disciplinary_control</t>
        </is>
      </c>
      <c r="D2104" s="18" t="inlineStr">
        <is>
          <t>alertas_enviadas</t>
        </is>
      </c>
      <c r="E2104" s="18" t="n">
        <v>117</v>
      </c>
      <c r="F2104" s="18" t="inlineStr">
        <is>
          <t>error_mensaje</t>
        </is>
      </c>
      <c r="G2104" s="18" t="inlineStr">
        <is>
          <t>text</t>
        </is>
      </c>
      <c r="H2104" s="18" t="inlineStr">
        <is>
          <t>Sí</t>
        </is>
      </c>
      <c r="I2104" s="18" t="inlineStr"/>
      <c r="J2104" s="18" t="inlineStr"/>
      <c r="K2104" s="18" t="inlineStr"/>
      <c r="L2104" s="18" t="inlineStr">
        <is>
          <t>No</t>
        </is>
      </c>
      <c r="M2104" s="18" t="inlineStr">
        <is>
          <t>No</t>
        </is>
      </c>
      <c r="N2104" s="18" t="inlineStr"/>
      <c r="O2104" s="18" t="inlineStr"/>
      <c r="P2104" s="18" t="inlineStr">
        <is>
          <t>internal-disciplinary-control-service/src/entities/alerta-enviada.entity.ts:86: Si estado = 'error'</t>
        </is>
      </c>
      <c r="Q2104" s="18" t="inlineStr">
        <is>
          <t>Código fuente</t>
        </is>
      </c>
      <c r="R2104" s="18" t="inlineStr">
        <is>
          <t>Mensaje de error del envío de la alerta; se diligencia cuando el estado es error.</t>
        </is>
      </c>
      <c r="S2104" s="18" t="inlineStr">
        <is>
          <t>Alta</t>
        </is>
      </c>
      <c r="T2104" s="18" t="inlineStr">
        <is>
          <t>código: internal-disciplinary-control-service/src/entities/alerta-enviada.entity.ts:86</t>
        </is>
      </c>
      <c r="U2104" s="18" t="inlineStr"/>
      <c r="V2104" s="19" t="inlineStr">
        <is>
          <t>Pendiente</t>
        </is>
      </c>
      <c r="W2104" s="19" t="inlineStr"/>
      <c r="X2104" s="19" t="inlineStr"/>
      <c r="Y2104" s="20" t="n"/>
      <c r="Z2104" s="19" t="inlineStr"/>
      <c r="AA2104" s="18">
        <f>IF(OR(V2104="Aprobada"),R2104,IF(AND(OR(V2104="Aprobada con ajuste",V2104="Rechazada"),W2104&lt;&gt;""),W2104,""))</f>
        <v/>
      </c>
    </row>
    <row r="2105">
      <c r="A2105" s="18" t="inlineStr">
        <is>
          <t>C2104</t>
        </is>
      </c>
      <c r="B2105" s="18" t="inlineStr">
        <is>
          <t>Control disciplinario interno</t>
        </is>
      </c>
      <c r="C2105" s="18" t="inlineStr">
        <is>
          <t>internal_disciplinary_control</t>
        </is>
      </c>
      <c r="D2105" s="18" t="inlineStr">
        <is>
          <t>alertas_enviadas</t>
        </is>
      </c>
      <c r="E2105" s="18" t="n">
        <v>117</v>
      </c>
      <c r="F2105" s="18" t="inlineStr">
        <is>
          <t>creado_por_id</t>
        </is>
      </c>
      <c r="G2105" s="18" t="inlineStr">
        <is>
          <t>uuid</t>
        </is>
      </c>
      <c r="H2105" s="18" t="inlineStr">
        <is>
          <t>Sí</t>
        </is>
      </c>
      <c r="I2105" s="18" t="inlineStr"/>
      <c r="J2105" s="18" t="inlineStr"/>
      <c r="K2105" s="18" t="inlineStr"/>
      <c r="L2105" s="18" t="inlineStr">
        <is>
          <t>No</t>
        </is>
      </c>
      <c r="M2105" s="18" t="inlineStr">
        <is>
          <t>No</t>
        </is>
      </c>
      <c r="N2105" s="18" t="inlineStr"/>
      <c r="O2105" s="18" t="inlineStr"/>
      <c r="P2105" s="18" t="inlineStr">
        <is>
          <t>internal-disciplinary-control-service/src/entities/alerta-enviada.entity.ts:89: Sistema si es automático, usuario si es manual</t>
        </is>
      </c>
      <c r="Q2105" s="18" t="inlineStr">
        <is>
          <t>Código fuente</t>
        </is>
      </c>
      <c r="R2105" s="18" t="inlineStr">
        <is>
          <t>Identificador de quien creó la alerta: el sistema si es automática o el usuario si es manual.</t>
        </is>
      </c>
      <c r="S2105" s="18" t="inlineStr">
        <is>
          <t>Media</t>
        </is>
      </c>
      <c r="T2105" s="18" t="inlineStr">
        <is>
          <t>código: internal-disciplinary-control-service/src/entities/alerta-enviada.entity.ts:89</t>
        </is>
      </c>
      <c r="U2105" s="18" t="inlineStr">
        <is>
          <t>¿Qué valor se registra cuando la crea el sistema y a qué tabla corresponde el identificador del usuario?</t>
        </is>
      </c>
      <c r="V2105" s="19" t="inlineStr">
        <is>
          <t>Pendiente</t>
        </is>
      </c>
      <c r="W2105" s="19" t="inlineStr"/>
      <c r="X2105" s="19" t="inlineStr"/>
      <c r="Y2105" s="20" t="n"/>
      <c r="Z2105" s="19" t="inlineStr"/>
      <c r="AA2105" s="18">
        <f>IF(OR(V2105="Aprobada"),R2105,IF(AND(OR(V2105="Aprobada con ajuste",V2105="Rechazada"),W2105&lt;&gt;""),W2105,""))</f>
        <v/>
      </c>
    </row>
    <row r="2106">
      <c r="A2106" s="18" t="inlineStr">
        <is>
          <t>C2105</t>
        </is>
      </c>
      <c r="B2106" s="18" t="inlineStr">
        <is>
          <t>Control disciplinario interno</t>
        </is>
      </c>
      <c r="C2106" s="18" t="inlineStr">
        <is>
          <t>internal_disciplinary_control</t>
        </is>
      </c>
      <c r="D2106" s="18" t="inlineStr">
        <is>
          <t>auto_versions</t>
        </is>
      </c>
      <c r="E2106" s="18" t="n">
        <v>244</v>
      </c>
      <c r="F2106" s="18" t="inlineStr">
        <is>
          <t>autoId</t>
        </is>
      </c>
      <c r="G2106" s="18" t="inlineStr">
        <is>
          <t>uuid</t>
        </is>
      </c>
      <c r="H2106" s="18" t="inlineStr">
        <is>
          <t>Sí</t>
        </is>
      </c>
      <c r="I2106" s="18" t="inlineStr"/>
      <c r="J2106" s="18" t="inlineStr"/>
      <c r="K2106" s="18" t="inlineStr"/>
      <c r="L2106" s="18" t="inlineStr">
        <is>
          <t>No</t>
        </is>
      </c>
      <c r="M2106" s="18" t="inlineStr">
        <is>
          <t>No</t>
        </is>
      </c>
      <c r="N2106" s="18" t="inlineStr"/>
      <c r="O2106" s="18" t="inlineStr">
        <is>
          <t>IDX_auto_versions_autoId, idx_auto_versions_auto</t>
        </is>
      </c>
      <c r="P2106" s="18" t="inlineStr"/>
      <c r="Q2106" s="18" t="inlineStr">
        <is>
          <t>Propuesta semántica</t>
        </is>
      </c>
      <c r="R2106" s="18" t="inlineStr">
        <is>
          <t>Identificador del auto al que pertenece la versión.</t>
        </is>
      </c>
      <c r="S2106" s="18" t="inlineStr">
        <is>
          <t>Media</t>
        </is>
      </c>
      <c r="T2106" s="18" t="inlineStr">
        <is>
          <t>nombre + tipo + columnas vecinas</t>
        </is>
      </c>
      <c r="U2106" s="18" t="inlineStr">
        <is>
          <t>¿A qué tabla de autos apunta? ¿Se puede declarar la FK?</t>
        </is>
      </c>
      <c r="V2106" s="19" t="inlineStr">
        <is>
          <t>Pendiente</t>
        </is>
      </c>
      <c r="W2106" s="19" t="inlineStr"/>
      <c r="X2106" s="19" t="inlineStr"/>
      <c r="Y2106" s="20" t="n"/>
      <c r="Z2106" s="19" t="inlineStr"/>
      <c r="AA2106" s="18">
        <f>IF(OR(V2106="Aprobada"),R2106,IF(AND(OR(V2106="Aprobada con ajuste",V2106="Rechazada"),W2106&lt;&gt;""),W2106,""))</f>
        <v/>
      </c>
    </row>
    <row r="2107">
      <c r="A2107" s="18" t="inlineStr">
        <is>
          <t>C2106</t>
        </is>
      </c>
      <c r="B2107" s="18" t="inlineStr">
        <is>
          <t>Control disciplinario interno</t>
        </is>
      </c>
      <c r="C2107" s="18" t="inlineStr">
        <is>
          <t>internal_disciplinary_control</t>
        </is>
      </c>
      <c r="D2107" s="18" t="inlineStr">
        <is>
          <t>auto_versions</t>
        </is>
      </c>
      <c r="E2107" s="18" t="n">
        <v>244</v>
      </c>
      <c r="F2107" s="18" t="inlineStr">
        <is>
          <t>contenido</t>
        </is>
      </c>
      <c r="G2107" s="18" t="inlineStr">
        <is>
          <t>text</t>
        </is>
      </c>
      <c r="H2107" s="18" t="inlineStr">
        <is>
          <t>No</t>
        </is>
      </c>
      <c r="I2107" s="18" t="inlineStr"/>
      <c r="J2107" s="18" t="inlineStr"/>
      <c r="K2107" s="18" t="inlineStr"/>
      <c r="L2107" s="18" t="inlineStr">
        <is>
          <t>No</t>
        </is>
      </c>
      <c r="M2107" s="18" t="inlineStr">
        <is>
          <t>No</t>
        </is>
      </c>
      <c r="N2107" s="18" t="inlineStr"/>
      <c r="O2107" s="18" t="inlineStr"/>
      <c r="P2107" s="18" t="inlineStr">
        <is>
          <t>Mapeada en internal-disciplinary-control-service/src/entities/auto-version.entity.ts:18 (AutoVersion.contenido)</t>
        </is>
      </c>
      <c r="Q2107" s="18" t="inlineStr">
        <is>
          <t>Propuesta semántica</t>
        </is>
      </c>
      <c r="R2107" s="18" t="inlineStr">
        <is>
          <t>Contenido del auto en esta versión.</t>
        </is>
      </c>
      <c r="S2107" s="18" t="inlineStr">
        <is>
          <t>Media</t>
        </is>
      </c>
      <c r="T2107" s="18" t="inlineStr">
        <is>
          <t>nombre + tipo + columnas vecinas</t>
        </is>
      </c>
      <c r="U2107" s="18" t="inlineStr">
        <is>
          <t>¿El contenido está en HTML o texto plano?</t>
        </is>
      </c>
      <c r="V2107" s="19" t="inlineStr">
        <is>
          <t>Pendiente</t>
        </is>
      </c>
      <c r="W2107" s="19" t="inlineStr"/>
      <c r="X2107" s="19" t="inlineStr"/>
      <c r="Y2107" s="20" t="n"/>
      <c r="Z2107" s="19" t="inlineStr"/>
      <c r="AA2107" s="18">
        <f>IF(OR(V2107="Aprobada"),R2107,IF(AND(OR(V2107="Aprobada con ajuste",V2107="Rechazada"),W2107&lt;&gt;""),W2107,""))</f>
        <v/>
      </c>
    </row>
    <row r="2108">
      <c r="A2108" s="18" t="inlineStr">
        <is>
          <t>C2107</t>
        </is>
      </c>
      <c r="B2108" s="18" t="inlineStr">
        <is>
          <t>Control disciplinario interno</t>
        </is>
      </c>
      <c r="C2108" s="18" t="inlineStr">
        <is>
          <t>internal_disciplinary_control</t>
        </is>
      </c>
      <c r="D2108" s="18" t="inlineStr">
        <is>
          <t>auto_versions</t>
        </is>
      </c>
      <c r="E2108" s="18" t="n">
        <v>244</v>
      </c>
      <c r="F2108" s="18" t="inlineStr">
        <is>
          <t>versionNumber</t>
        </is>
      </c>
      <c r="G2108" s="18" t="inlineStr">
        <is>
          <t>integer</t>
        </is>
      </c>
      <c r="H2108" s="18" t="inlineStr">
        <is>
          <t>No</t>
        </is>
      </c>
      <c r="I2108" s="18" t="inlineStr"/>
      <c r="J2108" s="18" t="inlineStr"/>
      <c r="K2108" s="18" t="inlineStr"/>
      <c r="L2108" s="18" t="inlineStr">
        <is>
          <t>No</t>
        </is>
      </c>
      <c r="M2108" s="18" t="inlineStr">
        <is>
          <t>No</t>
        </is>
      </c>
      <c r="N2108" s="18" t="inlineStr"/>
      <c r="O2108" s="18" t="inlineStr">
        <is>
          <t>idx_auto_versions_number</t>
        </is>
      </c>
      <c r="P2108" s="18" t="inlineStr">
        <is>
          <t>Mapeada en internal-disciplinary-control-service/src/entities/auto-version.entity.ts:21 (AutoVersion.versionNumber)</t>
        </is>
      </c>
      <c r="Q2108" s="18" t="inlineStr">
        <is>
          <t>Propuesta semántica</t>
        </is>
      </c>
      <c r="R2108" s="18" t="inlineStr">
        <is>
          <t>Número de la versión del auto.</t>
        </is>
      </c>
      <c r="S2108" s="18" t="inlineStr">
        <is>
          <t>Alta</t>
        </is>
      </c>
      <c r="T2108" s="18" t="inlineStr">
        <is>
          <t>nombre + tipo + columnas vecinas</t>
        </is>
      </c>
      <c r="U2108" s="18" t="inlineStr"/>
      <c r="V2108" s="19" t="inlineStr">
        <is>
          <t>Pendiente</t>
        </is>
      </c>
      <c r="W2108" s="19" t="inlineStr"/>
      <c r="X2108" s="19" t="inlineStr"/>
      <c r="Y2108" s="20" t="n"/>
      <c r="Z2108" s="19" t="inlineStr"/>
      <c r="AA2108" s="18">
        <f>IF(OR(V2108="Aprobada"),R2108,IF(AND(OR(V2108="Aprobada con ajuste",V2108="Rechazada"),W2108&lt;&gt;""),W2108,""))</f>
        <v/>
      </c>
    </row>
    <row r="2109">
      <c r="A2109" s="18" t="inlineStr">
        <is>
          <t>C2108</t>
        </is>
      </c>
      <c r="B2109" s="18" t="inlineStr">
        <is>
          <t>Control disciplinario interno</t>
        </is>
      </c>
      <c r="C2109" s="18" t="inlineStr">
        <is>
          <t>internal_disciplinary_control</t>
        </is>
      </c>
      <c r="D2109" s="18" t="inlineStr">
        <is>
          <t>auto_versions</t>
        </is>
      </c>
      <c r="E2109" s="18" t="n">
        <v>244</v>
      </c>
      <c r="F2109" s="18" t="inlineStr">
        <is>
          <t>changeReason</t>
        </is>
      </c>
      <c r="G2109" s="18" t="inlineStr">
        <is>
          <t>text</t>
        </is>
      </c>
      <c r="H2109" s="18" t="inlineStr">
        <is>
          <t>Sí</t>
        </is>
      </c>
      <c r="I2109" s="18" t="inlineStr"/>
      <c r="J2109" s="18" t="inlineStr"/>
      <c r="K2109" s="18" t="inlineStr"/>
      <c r="L2109" s="18" t="inlineStr">
        <is>
          <t>No</t>
        </is>
      </c>
      <c r="M2109" s="18" t="inlineStr">
        <is>
          <t>No</t>
        </is>
      </c>
      <c r="N2109" s="18" t="inlineStr"/>
      <c r="O2109" s="18" t="inlineStr"/>
      <c r="P2109" s="18" t="inlineStr">
        <is>
          <t>Mapeada en internal-disciplinary-control-service/src/entities/auto-version.entity.ts:27 (AutoVersion.changeReason)</t>
        </is>
      </c>
      <c r="Q2109" s="18" t="inlineStr">
        <is>
          <t>Propuesta semántica</t>
        </is>
      </c>
      <c r="R2109" s="18" t="inlineStr">
        <is>
          <t>Motivo del cambio que generó la versión del auto.</t>
        </is>
      </c>
      <c r="S2109" s="18" t="inlineStr">
        <is>
          <t>Alta</t>
        </is>
      </c>
      <c r="T2109" s="18" t="inlineStr">
        <is>
          <t>nombre + tipo + columnas vecinas</t>
        </is>
      </c>
      <c r="U2109" s="18" t="inlineStr"/>
      <c r="V2109" s="19" t="inlineStr">
        <is>
          <t>Pendiente</t>
        </is>
      </c>
      <c r="W2109" s="19" t="inlineStr"/>
      <c r="X2109" s="19" t="inlineStr"/>
      <c r="Y2109" s="20" t="n"/>
      <c r="Z2109" s="19" t="inlineStr"/>
      <c r="AA2109" s="18">
        <f>IF(OR(V2109="Aprobada"),R2109,IF(AND(OR(V2109="Aprobada con ajuste",V2109="Rechazada"),W2109&lt;&gt;""),W2109,""))</f>
        <v/>
      </c>
    </row>
    <row r="2110">
      <c r="A2110" s="18" t="inlineStr">
        <is>
          <t>C2109</t>
        </is>
      </c>
      <c r="B2110" s="18" t="inlineStr">
        <is>
          <t>Control disciplinario interno</t>
        </is>
      </c>
      <c r="C2110" s="18" t="inlineStr">
        <is>
          <t>internal_disciplinary_control</t>
        </is>
      </c>
      <c r="D2110" s="18" t="inlineStr">
        <is>
          <t>autos_configuration</t>
        </is>
      </c>
      <c r="E2110" s="18" t="n">
        <v>38</v>
      </c>
      <c r="F2110" s="18" t="inlineStr">
        <is>
          <t>id</t>
        </is>
      </c>
      <c r="G2110" s="18" t="inlineStr">
        <is>
          <t>uuid</t>
        </is>
      </c>
      <c r="H2110" s="18" t="inlineStr">
        <is>
          <t>No</t>
        </is>
      </c>
      <c r="I2110" s="18" t="inlineStr"/>
      <c r="J2110" s="18" t="inlineStr"/>
      <c r="K2110" s="18" t="inlineStr"/>
      <c r="L2110" s="18" t="inlineStr">
        <is>
          <t>No</t>
        </is>
      </c>
      <c r="M2110" s="18" t="inlineStr">
        <is>
          <t>No</t>
        </is>
      </c>
      <c r="N2110" s="18" t="inlineStr"/>
      <c r="O2110" s="18" t="inlineStr"/>
      <c r="P2110" s="18" t="inlineStr">
        <is>
          <t>Mapeada en internal-disciplinary-control-service/src/entities/auto-configuration.entity.ts:11 (AutoConfiguration.id) | Validación: IsOptional, IsUUID</t>
        </is>
      </c>
      <c r="Q2110" s="18" t="inlineStr">
        <is>
          <t>Propuesta semántica</t>
        </is>
      </c>
      <c r="R2110" s="18" t="inlineStr">
        <is>
          <t>Identificador único de la configuración de auto (UUID generado automáticamente).</t>
        </is>
      </c>
      <c r="S2110" s="18" t="inlineStr">
        <is>
          <t>Alta</t>
        </is>
      </c>
      <c r="T2110" s="18" t="inlineStr">
        <is>
          <t>tipo + defecto gen_random_uuid()</t>
        </is>
      </c>
      <c r="U2110" s="18" t="inlineStr"/>
      <c r="V2110" s="19" t="inlineStr">
        <is>
          <t>Pendiente</t>
        </is>
      </c>
      <c r="W2110" s="19" t="inlineStr"/>
      <c r="X2110" s="19" t="inlineStr"/>
      <c r="Y2110" s="20" t="n"/>
      <c r="Z2110" s="19" t="inlineStr"/>
      <c r="AA2110" s="18">
        <f>IF(OR(V2110="Aprobada"),R2110,IF(AND(OR(V2110="Aprobada con ajuste",V2110="Rechazada"),W2110&lt;&gt;""),W2110,""))</f>
        <v/>
      </c>
    </row>
    <row r="2111">
      <c r="A2111" s="18" t="inlineStr">
        <is>
          <t>C2110</t>
        </is>
      </c>
      <c r="B2111" s="18" t="inlineStr">
        <is>
          <t>Control disciplinario interno</t>
        </is>
      </c>
      <c r="C2111" s="18" t="inlineStr">
        <is>
          <t>internal_disciplinary_control</t>
        </is>
      </c>
      <c r="D2111" s="18" t="inlineStr">
        <is>
          <t>autos_configuration</t>
        </is>
      </c>
      <c r="E2111" s="18" t="n">
        <v>38</v>
      </c>
      <c r="F2111" s="18" t="inlineStr">
        <is>
          <t>tipo</t>
        </is>
      </c>
      <c r="G2111" s="18" t="inlineStr">
        <is>
          <t>character varying(100)</t>
        </is>
      </c>
      <c r="H2111" s="18" t="inlineStr">
        <is>
          <t>No</t>
        </is>
      </c>
      <c r="I2111" s="18" t="inlineStr"/>
      <c r="J2111" s="18" t="inlineStr"/>
      <c r="K2111" s="18" t="inlineStr"/>
      <c r="L2111" s="18" t="inlineStr">
        <is>
          <t>No</t>
        </is>
      </c>
      <c r="M2111" s="18" t="inlineStr">
        <is>
          <t>No</t>
        </is>
      </c>
      <c r="N2111" s="18" t="inlineStr"/>
      <c r="O2111" s="18" t="inlineStr">
        <is>
          <t>idx_autos_configuration_tipo</t>
        </is>
      </c>
      <c r="P2111" s="18" t="inlineStr">
        <is>
          <t>Mapeada en internal-disciplinary-control-service/src/entities/auto-configuration.entity.ts:14 (AutoConfiguration.tipo) | Validación: IsEnum(TipoAlerta), IsEnum(TipoFestivo), IsNotEmpty, IsOptional, IsString, MaxLength(50)</t>
        </is>
      </c>
      <c r="Q2111" s="18" t="inlineStr">
        <is>
          <t>Regla estructural</t>
        </is>
      </c>
      <c r="R2111" s="18" t="inlineStr">
        <is>
          <t>Tipo del registro de autos_configuration.</t>
        </is>
      </c>
      <c r="S2111" s="18" t="inlineStr">
        <is>
          <t>Media</t>
        </is>
      </c>
      <c r="T2111" s="18" t="inlineStr">
        <is>
          <t>Convención de nombre de la columna.</t>
        </is>
      </c>
      <c r="U2111" s="18" t="inlineStr"/>
      <c r="V2111" s="19" t="inlineStr">
        <is>
          <t>Pendiente</t>
        </is>
      </c>
      <c r="W2111" s="19" t="inlineStr"/>
      <c r="X2111" s="19" t="inlineStr"/>
      <c r="Y2111" s="20" t="n"/>
      <c r="Z2111" s="19" t="inlineStr"/>
      <c r="AA2111" s="18">
        <f>IF(OR(V2111="Aprobada"),R2111,IF(AND(OR(V2111="Aprobada con ajuste",V2111="Rechazada"),W2111&lt;&gt;""),W2111,""))</f>
        <v/>
      </c>
    </row>
    <row r="2112">
      <c r="A2112" s="18" t="inlineStr">
        <is>
          <t>C2111</t>
        </is>
      </c>
      <c r="B2112" s="18" t="inlineStr">
        <is>
          <t>Control disciplinario interno</t>
        </is>
      </c>
      <c r="C2112" s="18" t="inlineStr">
        <is>
          <t>internal_disciplinary_control</t>
        </is>
      </c>
      <c r="D2112" s="18" t="inlineStr">
        <is>
          <t>autos_configuration</t>
        </is>
      </c>
      <c r="E2112" s="18" t="n">
        <v>38</v>
      </c>
      <c r="F2112" s="18" t="inlineStr">
        <is>
          <t>nombre</t>
        </is>
      </c>
      <c r="G2112" s="18" t="inlineStr">
        <is>
          <t>character varying(200)</t>
        </is>
      </c>
      <c r="H2112" s="18" t="inlineStr">
        <is>
          <t>No</t>
        </is>
      </c>
      <c r="I2112" s="18" t="inlineStr"/>
      <c r="J2112" s="18" t="inlineStr"/>
      <c r="K2112" s="18" t="inlineStr"/>
      <c r="L2112" s="18" t="inlineStr">
        <is>
          <t>No</t>
        </is>
      </c>
      <c r="M2112" s="18" t="inlineStr">
        <is>
          <t>No</t>
        </is>
      </c>
      <c r="N2112" s="18" t="inlineStr"/>
      <c r="O2112" s="18" t="inlineStr"/>
      <c r="P2112" s="18" t="inlineStr">
        <is>
          <t>Mapeada en internal-disciplinary-control-service/src/entities/auto-configuration.entity.ts:17 (AutoConfiguration.nombre) | Validación: IsNotEmpty, IsOptional, IsString, MaxLength(255)</t>
        </is>
      </c>
      <c r="Q2112" s="18" t="inlineStr">
        <is>
          <t>Regla estructural</t>
        </is>
      </c>
      <c r="R2112" s="18" t="inlineStr">
        <is>
          <t>Nombre del registro de autos_configuration.</t>
        </is>
      </c>
      <c r="S2112" s="18" t="inlineStr">
        <is>
          <t>Media</t>
        </is>
      </c>
      <c r="T2112" s="18" t="inlineStr">
        <is>
          <t>Convención de nombre de la columna.</t>
        </is>
      </c>
      <c r="U2112" s="18" t="inlineStr"/>
      <c r="V2112" s="19" t="inlineStr">
        <is>
          <t>Pendiente</t>
        </is>
      </c>
      <c r="W2112" s="19" t="inlineStr"/>
      <c r="X2112" s="19" t="inlineStr"/>
      <c r="Y2112" s="20" t="n"/>
      <c r="Z2112" s="19" t="inlineStr"/>
      <c r="AA2112" s="18">
        <f>IF(OR(V2112="Aprobada"),R2112,IF(AND(OR(V2112="Aprobada con ajuste",V2112="Rechazada"),W2112&lt;&gt;""),W2112,""))</f>
        <v/>
      </c>
    </row>
    <row r="2113">
      <c r="A2113" s="18" t="inlineStr">
        <is>
          <t>C2112</t>
        </is>
      </c>
      <c r="B2113" s="18" t="inlineStr">
        <is>
          <t>Control disciplinario interno</t>
        </is>
      </c>
      <c r="C2113" s="18" t="inlineStr">
        <is>
          <t>internal_disciplinary_control</t>
        </is>
      </c>
      <c r="D2113" s="18" t="inlineStr">
        <is>
          <t>autos_configuration</t>
        </is>
      </c>
      <c r="E2113" s="18" t="n">
        <v>38</v>
      </c>
      <c r="F2113" s="18" t="inlineStr">
        <is>
          <t>estado</t>
        </is>
      </c>
      <c r="G2113" s="18" t="inlineStr">
        <is>
          <t>character varying(50)</t>
        </is>
      </c>
      <c r="H2113" s="18" t="inlineStr">
        <is>
          <t>No</t>
        </is>
      </c>
      <c r="I2113" s="18" t="inlineStr"/>
      <c r="J2113" s="18" t="inlineStr"/>
      <c r="K2113" s="18" t="inlineStr"/>
      <c r="L2113" s="18" t="inlineStr">
        <is>
          <t>No</t>
        </is>
      </c>
      <c r="M2113" s="18" t="inlineStr">
        <is>
          <t>No</t>
        </is>
      </c>
      <c r="N2113" s="18" t="inlineStr"/>
      <c r="O2113" s="18" t="inlineStr">
        <is>
          <t>idx_autos_configuration_estado</t>
        </is>
      </c>
      <c r="P2113" s="18" t="inlineStr">
        <is>
          <t>Mapeada en internal-disciplinary-control-service/src/entities/auto-configuration.entity.ts:20 (AutoConfiguration.estado) | Validación: IsBoolean, IsEnum(AutoStatus), IsEnum(EstadoAlerta), IsEnum(TerminoEstado), IsIn(['activo', 'inactivo']), IsOptional</t>
        </is>
      </c>
      <c r="Q2113" s="18" t="inlineStr">
        <is>
          <t>Regla estructural</t>
        </is>
      </c>
      <c r="R2113" s="18" t="inlineStr">
        <is>
          <t>Estado del registro de autos_configuration.</t>
        </is>
      </c>
      <c r="S2113" s="18" t="inlineStr">
        <is>
          <t>Media</t>
        </is>
      </c>
      <c r="T2113" s="18" t="inlineStr">
        <is>
          <t>Convención de nombre de la columna.</t>
        </is>
      </c>
      <c r="U2113" s="18" t="inlineStr"/>
      <c r="V2113" s="19" t="inlineStr">
        <is>
          <t>Pendiente</t>
        </is>
      </c>
      <c r="W2113" s="19" t="inlineStr"/>
      <c r="X2113" s="19" t="inlineStr"/>
      <c r="Y2113" s="20" t="n"/>
      <c r="Z2113" s="19" t="inlineStr"/>
      <c r="AA2113" s="18">
        <f>IF(OR(V2113="Aprobada"),R2113,IF(AND(OR(V2113="Aprobada con ajuste",V2113="Rechazada"),W2113&lt;&gt;""),W2113,""))</f>
        <v/>
      </c>
    </row>
    <row r="2114">
      <c r="A2114" s="18" t="inlineStr">
        <is>
          <t>C2113</t>
        </is>
      </c>
      <c r="B2114" s="18" t="inlineStr">
        <is>
          <t>Control disciplinario interno</t>
        </is>
      </c>
      <c r="C2114" s="18" t="inlineStr">
        <is>
          <t>internal_disciplinary_control</t>
        </is>
      </c>
      <c r="D2114" s="18" t="inlineStr">
        <is>
          <t>autos_configuration</t>
        </is>
      </c>
      <c r="E2114" s="18" t="n">
        <v>38</v>
      </c>
      <c r="F2114" s="18" t="inlineStr">
        <is>
          <t>plantilla</t>
        </is>
      </c>
      <c r="G2114" s="18" t="inlineStr">
        <is>
          <t>text</t>
        </is>
      </c>
      <c r="H2114" s="18" t="inlineStr">
        <is>
          <t>Sí</t>
        </is>
      </c>
      <c r="I2114" s="18" t="inlineStr"/>
      <c r="J2114" s="18" t="inlineStr"/>
      <c r="K2114" s="18" t="inlineStr"/>
      <c r="L2114" s="18" t="inlineStr">
        <is>
          <t>No</t>
        </is>
      </c>
      <c r="M2114" s="18" t="inlineStr">
        <is>
          <t>No</t>
        </is>
      </c>
      <c r="N2114" s="18" t="inlineStr"/>
      <c r="O2114" s="18" t="inlineStr"/>
      <c r="P2114" s="18" t="inlineStr">
        <is>
          <t>Mapeada en internal-disciplinary-control-service/src/entities/auto-configuration.entity.ts:23 (AutoConfiguration.plantilla) | Validación: IsOptional, IsString</t>
        </is>
      </c>
      <c r="Q2114" s="18" t="inlineStr">
        <is>
          <t>Propuesta semántica</t>
        </is>
      </c>
      <c r="R2114" s="18" t="inlineStr">
        <is>
          <t>Contenido de la plantilla del auto.</t>
        </is>
      </c>
      <c r="S2114" s="18" t="inlineStr">
        <is>
          <t>Media</t>
        </is>
      </c>
      <c r="T2114" s="18" t="inlineStr">
        <is>
          <t>nombre + tipo + columnas vecinas</t>
        </is>
      </c>
      <c r="U2114" s="18" t="inlineStr">
        <is>
          <t>¿La plantilla está en HTML o texto con variables?</t>
        </is>
      </c>
      <c r="V2114" s="19" t="inlineStr">
        <is>
          <t>Pendiente</t>
        </is>
      </c>
      <c r="W2114" s="19" t="inlineStr"/>
      <c r="X2114" s="19" t="inlineStr"/>
      <c r="Y2114" s="20" t="n"/>
      <c r="Z2114" s="19" t="inlineStr"/>
      <c r="AA2114" s="18">
        <f>IF(OR(V2114="Aprobada"),R2114,IF(AND(OR(V2114="Aprobada con ajuste",V2114="Rechazada"),W2114&lt;&gt;""),W2114,""))</f>
        <v/>
      </c>
    </row>
    <row r="2115">
      <c r="A2115" s="18" t="inlineStr">
        <is>
          <t>C2114</t>
        </is>
      </c>
      <c r="B2115" s="18" t="inlineStr">
        <is>
          <t>Control disciplinario interno</t>
        </is>
      </c>
      <c r="C2115" s="18" t="inlineStr">
        <is>
          <t>internal_disciplinary_control</t>
        </is>
      </c>
      <c r="D2115" s="18" t="inlineStr">
        <is>
          <t>autos_configuration</t>
        </is>
      </c>
      <c r="E2115" s="18" t="n">
        <v>38</v>
      </c>
      <c r="F2115" s="18" t="inlineStr">
        <is>
          <t>orden</t>
        </is>
      </c>
      <c r="G2115" s="18" t="inlineStr">
        <is>
          <t>integer</t>
        </is>
      </c>
      <c r="H2115" s="18" t="inlineStr">
        <is>
          <t>Sí</t>
        </is>
      </c>
      <c r="I2115" s="18" t="inlineStr"/>
      <c r="J2115" s="18" t="inlineStr"/>
      <c r="K2115" s="18" t="inlineStr"/>
      <c r="L2115" s="18" t="inlineStr">
        <is>
          <t>No</t>
        </is>
      </c>
      <c r="M2115" s="18" t="inlineStr">
        <is>
          <t>No</t>
        </is>
      </c>
      <c r="N2115" s="18" t="inlineStr"/>
      <c r="O2115" s="18" t="inlineStr">
        <is>
          <t>idx_autos_configuration_orden</t>
        </is>
      </c>
      <c r="P2115" s="18" t="inlineStr">
        <is>
          <t>Mapeada en internal-disciplinary-control-service/src/entities/auto-configuration.entity.ts:42 (AutoConfiguration.orden) | Validación: IsInt, IsNumber, IsOptional, Max(9999), Min(0)</t>
        </is>
      </c>
      <c r="Q2115" s="18" t="inlineStr">
        <is>
          <t>Regla estructural</t>
        </is>
      </c>
      <c r="R2115" s="18" t="inlineStr">
        <is>
          <t>Posición del registro para su ordenamiento.</t>
        </is>
      </c>
      <c r="S2115" s="18" t="inlineStr">
        <is>
          <t>Media</t>
        </is>
      </c>
      <c r="T2115" s="18" t="inlineStr">
        <is>
          <t>Convención de nombre de la columna.</t>
        </is>
      </c>
      <c r="U2115" s="18" t="inlineStr"/>
      <c r="V2115" s="19" t="inlineStr">
        <is>
          <t>Pendiente</t>
        </is>
      </c>
      <c r="W2115" s="19" t="inlineStr"/>
      <c r="X2115" s="19" t="inlineStr"/>
      <c r="Y2115" s="20" t="n"/>
      <c r="Z2115" s="19" t="inlineStr"/>
      <c r="AA2115" s="18">
        <f>IF(OR(V2115="Aprobada"),R2115,IF(AND(OR(V2115="Aprobada con ajuste",V2115="Rechazada"),W2115&lt;&gt;""),W2115,""))</f>
        <v/>
      </c>
    </row>
    <row r="2116">
      <c r="A2116" s="18" t="inlineStr">
        <is>
          <t>C2115</t>
        </is>
      </c>
      <c r="B2116" s="18" t="inlineStr">
        <is>
          <t>Control disciplinario interno</t>
        </is>
      </c>
      <c r="C2116" s="18" t="inlineStr">
        <is>
          <t>internal_disciplinary_control</t>
        </is>
      </c>
      <c r="D2116" s="18" t="inlineStr">
        <is>
          <t>autos_configuration</t>
        </is>
      </c>
      <c r="E2116" s="18" t="n">
        <v>38</v>
      </c>
      <c r="F2116" s="18" t="inlineStr">
        <is>
          <t>stage</t>
        </is>
      </c>
      <c r="G2116" s="18" t="inlineStr">
        <is>
          <t>character varying(50)</t>
        </is>
      </c>
      <c r="H2116" s="18" t="inlineStr">
        <is>
          <t>Sí</t>
        </is>
      </c>
      <c r="I2116" s="18" t="inlineStr"/>
      <c r="J2116" s="18" t="inlineStr"/>
      <c r="K2116" s="18" t="inlineStr"/>
      <c r="L2116" s="18" t="inlineStr">
        <is>
          <t>No</t>
        </is>
      </c>
      <c r="M2116" s="18" t="inlineStr">
        <is>
          <t>No</t>
        </is>
      </c>
      <c r="N2116" s="18" t="inlineStr"/>
      <c r="O2116" s="18" t="inlineStr"/>
      <c r="P2116" s="18" t="inlineStr">
        <is>
          <t>Mapeada en internal-disciplinary-control-service/src/entities/auto-configuration.entity.ts:39 (AutoConfiguration.stage) | Validación: IsOptional, IsString</t>
        </is>
      </c>
      <c r="Q2116" s="18" t="inlineStr">
        <is>
          <t>Propuesta semántica</t>
        </is>
      </c>
      <c r="R2116" s="18" t="inlineStr">
        <is>
          <t>Etapa del proceso disciplinario en la que se usa el auto.</t>
        </is>
      </c>
      <c r="S2116" s="18" t="inlineStr">
        <is>
          <t>Media</t>
        </is>
      </c>
      <c r="T2116" s="18" t="inlineStr">
        <is>
          <t>nombre + tipo + columnas vecinas</t>
        </is>
      </c>
      <c r="U2116" s="18" t="inlineStr">
        <is>
          <t>¿Qué etapas existen y de qué catálogo provienen?</t>
        </is>
      </c>
      <c r="V2116" s="19" t="inlineStr">
        <is>
          <t>Pendiente</t>
        </is>
      </c>
      <c r="W2116" s="19" t="inlineStr"/>
      <c r="X2116" s="19" t="inlineStr"/>
      <c r="Y2116" s="20" t="n"/>
      <c r="Z2116" s="19" t="inlineStr"/>
      <c r="AA2116" s="18">
        <f>IF(OR(V2116="Aprobada"),R2116,IF(AND(OR(V2116="Aprobada con ajuste",V2116="Rechazada"),W2116&lt;&gt;""),W2116,""))</f>
        <v/>
      </c>
    </row>
    <row r="2117">
      <c r="A2117" s="18" t="inlineStr">
        <is>
          <t>C2116</t>
        </is>
      </c>
      <c r="B2117" s="18" t="inlineStr">
        <is>
          <t>Control disciplinario interno</t>
        </is>
      </c>
      <c r="C2117" s="18" t="inlineStr">
        <is>
          <t>internal_disciplinary_control</t>
        </is>
      </c>
      <c r="D2117" s="18" t="inlineStr">
        <is>
          <t>dias_festivos</t>
        </is>
      </c>
      <c r="E2117" s="18" t="n">
        <v>19</v>
      </c>
      <c r="F2117" s="18" t="inlineStr">
        <is>
          <t>fecha</t>
        </is>
      </c>
      <c r="G2117" s="18" t="inlineStr">
        <is>
          <t>date</t>
        </is>
      </c>
      <c r="H2117" s="18" t="inlineStr">
        <is>
          <t>No</t>
        </is>
      </c>
      <c r="I2117" s="18" t="inlineStr"/>
      <c r="J2117" s="18" t="inlineStr"/>
      <c r="K2117" s="18" t="inlineStr"/>
      <c r="L2117" s="18" t="inlineStr">
        <is>
          <t>No</t>
        </is>
      </c>
      <c r="M2117" s="18" t="inlineStr">
        <is>
          <t>No</t>
        </is>
      </c>
      <c r="N2117" s="18" t="inlineStr"/>
      <c r="O2117" s="18" t="inlineStr">
        <is>
          <t>idx_festivos_fecha, idx_unique_festivo_fecha_tipo_territorio</t>
        </is>
      </c>
      <c r="P2117" s="18" t="inlineStr">
        <is>
          <t>Mapeada en internal-disciplinary-control-service/src/entities/dia-festivo.entity.ts:26 (DiaFestivo.fecha) | Validación: IsDateString, IsNotEmpty, IsOptional</t>
        </is>
      </c>
      <c r="Q2117" s="18" t="inlineStr">
        <is>
          <t>Propuesta semántica</t>
        </is>
      </c>
      <c r="R2117" s="18" t="inlineStr">
        <is>
          <t>Fecha del día festivo; única por tipo y territorio.</t>
        </is>
      </c>
      <c r="S2117" s="18" t="inlineStr">
        <is>
          <t>Alta</t>
        </is>
      </c>
      <c r="T2117" s="18" t="inlineStr">
        <is>
          <t>nombre + índice único (fecha, tipo, territorio)</t>
        </is>
      </c>
      <c r="U2117" s="18" t="inlineStr"/>
      <c r="V2117" s="19" t="inlineStr">
        <is>
          <t>Pendiente</t>
        </is>
      </c>
      <c r="W2117" s="19" t="inlineStr"/>
      <c r="X2117" s="19" t="inlineStr"/>
      <c r="Y2117" s="20" t="n"/>
      <c r="Z2117" s="19" t="inlineStr"/>
      <c r="AA2117" s="18">
        <f>IF(OR(V2117="Aprobada"),R2117,IF(AND(OR(V2117="Aprobada con ajuste",V2117="Rechazada"),W2117&lt;&gt;""),W2117,""))</f>
        <v/>
      </c>
    </row>
    <row r="2118">
      <c r="A2118" s="18" t="inlineStr">
        <is>
          <t>C2117</t>
        </is>
      </c>
      <c r="B2118" s="18" t="inlineStr">
        <is>
          <t>Control disciplinario interno</t>
        </is>
      </c>
      <c r="C2118" s="18" t="inlineStr">
        <is>
          <t>internal_disciplinary_control</t>
        </is>
      </c>
      <c r="D2118" s="18" t="inlineStr">
        <is>
          <t>dias_festivos</t>
        </is>
      </c>
      <c r="E2118" s="18" t="n">
        <v>19</v>
      </c>
      <c r="F2118" s="18" t="inlineStr">
        <is>
          <t>descripcion</t>
        </is>
      </c>
      <c r="G2118" s="18" t="inlineStr">
        <is>
          <t>character varying(200)</t>
        </is>
      </c>
      <c r="H2118" s="18" t="inlineStr">
        <is>
          <t>No</t>
        </is>
      </c>
      <c r="I2118" s="18" t="inlineStr"/>
      <c r="J2118" s="18" t="inlineStr"/>
      <c r="K2118" s="18" t="inlineStr"/>
      <c r="L2118" s="18" t="inlineStr">
        <is>
          <t>No</t>
        </is>
      </c>
      <c r="M2118" s="18" t="inlineStr">
        <is>
          <t>No</t>
        </is>
      </c>
      <c r="N2118" s="18" t="inlineStr"/>
      <c r="O2118" s="18" t="inlineStr"/>
      <c r="P2118" s="18" t="inlineStr">
        <is>
          <t>Mapeada en internal-disciplinary-control-service/src/entities/dia-festivo.entity.ts:29 (DiaFestivo.descripcion) | Validación: IsNotEmpty, IsObject, IsOptional, IsString</t>
        </is>
      </c>
      <c r="Q2118" s="18" t="inlineStr">
        <is>
          <t>Regla estructural</t>
        </is>
      </c>
      <c r="R2118" s="18" t="inlineStr">
        <is>
          <t>Descripción del registro de dias_festivos.</t>
        </is>
      </c>
      <c r="S2118" s="18" t="inlineStr">
        <is>
          <t>Media</t>
        </is>
      </c>
      <c r="T2118" s="18" t="inlineStr">
        <is>
          <t>Convención de nombre de la columna.</t>
        </is>
      </c>
      <c r="U2118" s="18" t="inlineStr"/>
      <c r="V2118" s="19" t="inlineStr">
        <is>
          <t>Pendiente</t>
        </is>
      </c>
      <c r="W2118" s="19" t="inlineStr"/>
      <c r="X2118" s="19" t="inlineStr"/>
      <c r="Y2118" s="20" t="n"/>
      <c r="Z2118" s="19" t="inlineStr"/>
      <c r="AA2118" s="18">
        <f>IF(OR(V2118="Aprobada"),R2118,IF(AND(OR(V2118="Aprobada con ajuste",V2118="Rechazada"),W2118&lt;&gt;""),W2118,""))</f>
        <v/>
      </c>
    </row>
    <row r="2119">
      <c r="A2119" s="18" t="inlineStr">
        <is>
          <t>C2118</t>
        </is>
      </c>
      <c r="B2119" s="18" t="inlineStr">
        <is>
          <t>Control disciplinario interno</t>
        </is>
      </c>
      <c r="C2119" s="18" t="inlineStr">
        <is>
          <t>internal_disciplinary_control</t>
        </is>
      </c>
      <c r="D2119" s="18" t="inlineStr">
        <is>
          <t>dias_festivos</t>
        </is>
      </c>
      <c r="E2119" s="18" t="n">
        <v>19</v>
      </c>
      <c r="F2119" s="18" t="inlineStr">
        <is>
          <t>tipo</t>
        </is>
      </c>
      <c r="G2119" s="18" t="inlineStr">
        <is>
          <t>internal_disciplinary_control.tipo_festivo_enum</t>
        </is>
      </c>
      <c r="H2119" s="18" t="inlineStr">
        <is>
          <t>No</t>
        </is>
      </c>
      <c r="I2119" s="18" t="inlineStr">
        <is>
          <t>Enumerado</t>
        </is>
      </c>
      <c r="J2119" s="18" t="inlineStr">
        <is>
          <t>nacional, regional, institucional</t>
        </is>
      </c>
      <c r="K2119" s="18" t="inlineStr"/>
      <c r="L2119" s="18" t="inlineStr">
        <is>
          <t>Sí</t>
        </is>
      </c>
      <c r="M2119" s="18" t="inlineStr">
        <is>
          <t>No</t>
        </is>
      </c>
      <c r="N2119" s="18" t="inlineStr"/>
      <c r="O2119" s="18" t="inlineStr">
        <is>
          <t>idx_festivos_tipo, idx_unique_festivo_fecha_tipo_territorio</t>
        </is>
      </c>
      <c r="P2119" s="18" t="inlineStr">
        <is>
          <t>Mapeada en internal-disciplinary-control-service/src/entities/dia-festivo.entity.ts:32 (DiaFestivo.tipo) | Validación: IsEnum(TipoAlerta), IsEnum(TipoFestivo), IsNotEmpty, IsOptional, IsString, MaxLength(50)</t>
        </is>
      </c>
      <c r="Q2119" s="18" t="inlineStr">
        <is>
          <t>Regla estructural</t>
        </is>
      </c>
      <c r="R2119" s="18" t="inlineStr">
        <is>
          <t>Tipo del registro de dias_festivos.</t>
        </is>
      </c>
      <c r="S2119" s="18" t="inlineStr">
        <is>
          <t>Media</t>
        </is>
      </c>
      <c r="T2119" s="18" t="inlineStr">
        <is>
          <t>Convención de nombre de la columna.</t>
        </is>
      </c>
      <c r="U2119" s="18" t="inlineStr"/>
      <c r="V2119" s="19" t="inlineStr">
        <is>
          <t>Pendiente</t>
        </is>
      </c>
      <c r="W2119" s="19" t="inlineStr"/>
      <c r="X2119" s="19" t="inlineStr"/>
      <c r="Y2119" s="20" t="n"/>
      <c r="Z2119" s="19" t="inlineStr"/>
      <c r="AA2119" s="18">
        <f>IF(OR(V2119="Aprobada"),R2119,IF(AND(OR(V2119="Aprobada con ajuste",V2119="Rechazada"),W2119&lt;&gt;""),W2119,""))</f>
        <v/>
      </c>
    </row>
    <row r="2120">
      <c r="A2120" s="18" t="inlineStr">
        <is>
          <t>C2119</t>
        </is>
      </c>
      <c r="B2120" s="18" t="inlineStr">
        <is>
          <t>Control disciplinario interno</t>
        </is>
      </c>
      <c r="C2120" s="18" t="inlineStr">
        <is>
          <t>internal_disciplinary_control</t>
        </is>
      </c>
      <c r="D2120" s="18" t="inlineStr">
        <is>
          <t>dias_festivos</t>
        </is>
      </c>
      <c r="E2120" s="18" t="n">
        <v>19</v>
      </c>
      <c r="F2120" s="18" t="inlineStr">
        <is>
          <t>territorio</t>
        </is>
      </c>
      <c r="G2120" s="18" t="inlineStr">
        <is>
          <t>character varying(100)</t>
        </is>
      </c>
      <c r="H2120" s="18" t="inlineStr">
        <is>
          <t>Sí</t>
        </is>
      </c>
      <c r="I2120" s="18" t="inlineStr"/>
      <c r="J2120" s="18" t="inlineStr"/>
      <c r="K2120" s="18" t="inlineStr"/>
      <c r="L2120" s="18" t="inlineStr">
        <is>
          <t>No</t>
        </is>
      </c>
      <c r="M2120" s="18" t="inlineStr">
        <is>
          <t>No</t>
        </is>
      </c>
      <c r="N2120" s="18" t="inlineStr"/>
      <c r="O2120" s="18" t="inlineStr"/>
      <c r="P2120" s="18" t="inlineStr">
        <is>
          <t>internal-disciplinary-control-service/src/entities/dia-festivo.entity.ts:38: Solo si tipo = 'regional' | Validación: IsOptional, IsString</t>
        </is>
      </c>
      <c r="Q2120" s="18" t="inlineStr">
        <is>
          <t>Código fuente</t>
        </is>
      </c>
      <c r="R2120" s="18" t="inlineStr">
        <is>
          <t>Territorio al que aplica el día festivo; se diligencia solo si el tipo es regional.</t>
        </is>
      </c>
      <c r="S2120" s="18" t="inlineStr">
        <is>
          <t>Alta</t>
        </is>
      </c>
      <c r="T2120" s="18" t="inlineStr">
        <is>
          <t>código: internal-disciplinary-control-service/src/entities/dia-festivo.entity.ts:38</t>
        </is>
      </c>
      <c r="U2120" s="18" t="inlineStr"/>
      <c r="V2120" s="19" t="inlineStr">
        <is>
          <t>Pendiente</t>
        </is>
      </c>
      <c r="W2120" s="19" t="inlineStr"/>
      <c r="X2120" s="19" t="inlineStr"/>
      <c r="Y2120" s="20" t="n"/>
      <c r="Z2120" s="19" t="inlineStr"/>
      <c r="AA2120" s="18">
        <f>IF(OR(V2120="Aprobada"),R2120,IF(AND(OR(V2120="Aprobada con ajuste",V2120="Rechazada"),W2120&lt;&gt;""),W2120,""))</f>
        <v/>
      </c>
    </row>
    <row r="2121">
      <c r="A2121" s="18" t="inlineStr">
        <is>
          <t>C2120</t>
        </is>
      </c>
      <c r="B2121" s="18" t="inlineStr">
        <is>
          <t>Control disciplinario interno</t>
        </is>
      </c>
      <c r="C2121" s="18" t="inlineStr">
        <is>
          <t>internal_disciplinary_control</t>
        </is>
      </c>
      <c r="D2121" s="18" t="inlineStr">
        <is>
          <t>dias_festivos</t>
        </is>
      </c>
      <c r="E2121" s="18" t="n">
        <v>19</v>
      </c>
      <c r="F2121" s="18" t="inlineStr">
        <is>
          <t>activo</t>
        </is>
      </c>
      <c r="G2121" s="18" t="inlineStr">
        <is>
          <t>boolean</t>
        </is>
      </c>
      <c r="H2121" s="18" t="inlineStr">
        <is>
          <t>No</t>
        </is>
      </c>
      <c r="I2121" s="18" t="inlineStr"/>
      <c r="J2121" s="18" t="inlineStr"/>
      <c r="K2121" s="18" t="inlineStr"/>
      <c r="L2121" s="18" t="inlineStr">
        <is>
          <t>No</t>
        </is>
      </c>
      <c r="M2121" s="18" t="inlineStr">
        <is>
          <t>No</t>
        </is>
      </c>
      <c r="N2121" s="18" t="inlineStr"/>
      <c r="O2121" s="18" t="inlineStr">
        <is>
          <t>idx_festivos_activo</t>
        </is>
      </c>
      <c r="P2121" s="18" t="inlineStr">
        <is>
          <t>Mapeada en internal-disciplinary-control-service/src/entities/dia-festivo.entity.ts:41 (DiaFestivo.activo) | Validación: IsBoolean, IsOptional</t>
        </is>
      </c>
      <c r="Q2121" s="18" t="inlineStr">
        <is>
          <t>Regla estructural</t>
        </is>
      </c>
      <c r="R2121" s="18" t="inlineStr">
        <is>
          <t>Indica si el registro está activo.</t>
        </is>
      </c>
      <c r="S2121" s="18" t="inlineStr">
        <is>
          <t>Media</t>
        </is>
      </c>
      <c r="T2121" s="18" t="inlineStr">
        <is>
          <t>Convención de nombre de la columna.</t>
        </is>
      </c>
      <c r="U2121" s="18" t="inlineStr"/>
      <c r="V2121" s="19" t="inlineStr">
        <is>
          <t>Pendiente</t>
        </is>
      </c>
      <c r="W2121" s="19" t="inlineStr"/>
      <c r="X2121" s="19" t="inlineStr"/>
      <c r="Y2121" s="20" t="n"/>
      <c r="Z2121" s="19" t="inlineStr"/>
      <c r="AA2121" s="18">
        <f>IF(OR(V2121="Aprobada"),R2121,IF(AND(OR(V2121="Aprobada con ajuste",V2121="Rechazada"),W2121&lt;&gt;""),W2121,""))</f>
        <v/>
      </c>
    </row>
    <row r="2122">
      <c r="A2122" s="18" t="inlineStr">
        <is>
          <t>C2121</t>
        </is>
      </c>
      <c r="B2122" s="18" t="inlineStr">
        <is>
          <t>Control disciplinario interno</t>
        </is>
      </c>
      <c r="C2122" s="18" t="inlineStr">
        <is>
          <t>internal_disciplinary_control</t>
        </is>
      </c>
      <c r="D2122" s="18" t="inlineStr">
        <is>
          <t>dias_festivos</t>
        </is>
      </c>
      <c r="E2122" s="18" t="n">
        <v>19</v>
      </c>
      <c r="F2122" s="18" t="inlineStr">
        <is>
          <t>creado_por_id</t>
        </is>
      </c>
      <c r="G2122" s="18" t="inlineStr">
        <is>
          <t>uuid</t>
        </is>
      </c>
      <c r="H2122" s="18" t="inlineStr">
        <is>
          <t>No</t>
        </is>
      </c>
      <c r="I2122" s="18" t="inlineStr"/>
      <c r="J2122" s="18" t="inlineStr"/>
      <c r="K2122" s="18" t="inlineStr"/>
      <c r="L2122" s="18" t="inlineStr">
        <is>
          <t>No</t>
        </is>
      </c>
      <c r="M2122" s="18" t="inlineStr">
        <is>
          <t>No</t>
        </is>
      </c>
      <c r="N2122" s="18" t="inlineStr"/>
      <c r="O2122" s="18" t="inlineStr"/>
      <c r="P2122" s="18" t="inlineStr">
        <is>
          <t>internal-disciplinary-control-service/src/entities/dia-festivo.entity.ts:44: FK a personas</t>
        </is>
      </c>
      <c r="Q2122" s="18" t="inlineStr">
        <is>
          <t>Código fuente</t>
        </is>
      </c>
      <c r="R2122" s="18" t="inlineStr">
        <is>
          <t>Identificador de la persona que registró el día festivo.</t>
        </is>
      </c>
      <c r="S2122" s="18" t="inlineStr">
        <is>
          <t>Media</t>
        </is>
      </c>
      <c r="T2122" s="18" t="inlineStr">
        <is>
          <t>código: internal-disciplinary-control-service/src/entities/dia-festivo.entity.ts:44</t>
        </is>
      </c>
      <c r="U2122" s="18" t="inlineStr">
        <is>
          <t>¿Referencia auth.personas.id_person? No tiene FK declarada.</t>
        </is>
      </c>
      <c r="V2122" s="19" t="inlineStr">
        <is>
          <t>Pendiente</t>
        </is>
      </c>
      <c r="W2122" s="19" t="inlineStr"/>
      <c r="X2122" s="19" t="inlineStr"/>
      <c r="Y2122" s="20" t="n"/>
      <c r="Z2122" s="19" t="inlineStr"/>
      <c r="AA2122" s="18">
        <f>IF(OR(V2122="Aprobada"),R2122,IF(AND(OR(V2122="Aprobada con ajuste",V2122="Rechazada"),W2122&lt;&gt;""),W2122,""))</f>
        <v/>
      </c>
    </row>
    <row r="2123">
      <c r="A2123" s="18" t="inlineStr">
        <is>
          <t>C2122</t>
        </is>
      </c>
      <c r="B2123" s="18" t="inlineStr">
        <is>
          <t>Control disciplinario interno</t>
        </is>
      </c>
      <c r="C2123" s="18" t="inlineStr">
        <is>
          <t>internal_disciplinary_control</t>
        </is>
      </c>
      <c r="D2123" s="18" t="inlineStr">
        <is>
          <t>disciplinary_news</t>
        </is>
      </c>
      <c r="E2123" s="18" t="n">
        <v>35</v>
      </c>
      <c r="F2123" s="18" t="inlineStr">
        <is>
          <t>radicado</t>
        </is>
      </c>
      <c r="G2123" s="18" t="inlineStr">
        <is>
          <t>character varying(255)</t>
        </is>
      </c>
      <c r="H2123" s="18" t="inlineStr">
        <is>
          <t>No</t>
        </is>
      </c>
      <c r="I2123" s="18" t="inlineStr">
        <is>
          <t>Única</t>
        </is>
      </c>
      <c r="J2123" s="18" t="inlineStr"/>
      <c r="K2123" s="18" t="inlineStr"/>
      <c r="L2123" s="18" t="inlineStr">
        <is>
          <t>No</t>
        </is>
      </c>
      <c r="M2123" s="18" t="inlineStr">
        <is>
          <t>No</t>
        </is>
      </c>
      <c r="N2123" s="18" t="inlineStr"/>
      <c r="O2123" s="18" t="inlineStr">
        <is>
          <t>disciplinary_news_radicado_key, idx_disciplinary_news_radicado, idx_news_radicado</t>
        </is>
      </c>
      <c r="P2123" s="18" t="inlineStr">
        <is>
          <t>internal-disciplinary-control-service/src/entities/disciplinary-news.entity.ts:64: ND-2025-001 | Validación: IsOptional, IsString</t>
        </is>
      </c>
      <c r="Q2123" s="18" t="inlineStr">
        <is>
          <t>Código fuente</t>
        </is>
      </c>
      <c r="R2123" s="18" t="inlineStr">
        <is>
          <t>Número de radicado único de la noticia disciplinaria, por ejemplo ND-2025-001.</t>
        </is>
      </c>
      <c r="S2123" s="18" t="inlineStr">
        <is>
          <t>Alta</t>
        </is>
      </c>
      <c r="T2123" s="18" t="inlineStr">
        <is>
          <t>código: internal-disciplinary-control-service/src/entities/disciplinary-news.entity.ts:64</t>
        </is>
      </c>
      <c r="U2123" s="18" t="inlineStr"/>
      <c r="V2123" s="19" t="inlineStr">
        <is>
          <t>Pendiente</t>
        </is>
      </c>
      <c r="W2123" s="19" t="inlineStr"/>
      <c r="X2123" s="19" t="inlineStr"/>
      <c r="Y2123" s="20" t="n"/>
      <c r="Z2123" s="19" t="inlineStr"/>
      <c r="AA2123" s="18">
        <f>IF(OR(V2123="Aprobada"),R2123,IF(AND(OR(V2123="Aprobada con ajuste",V2123="Rechazada"),W2123&lt;&gt;""),W2123,""))</f>
        <v/>
      </c>
    </row>
    <row r="2124">
      <c r="A2124" s="18" t="inlineStr">
        <is>
          <t>C2123</t>
        </is>
      </c>
      <c r="B2124" s="18" t="inlineStr">
        <is>
          <t>Control disciplinario interno</t>
        </is>
      </c>
      <c r="C2124" s="18" t="inlineStr">
        <is>
          <t>internal_disciplinary_control</t>
        </is>
      </c>
      <c r="D2124" s="18" t="inlineStr">
        <is>
          <t>disciplinary_news</t>
        </is>
      </c>
      <c r="E2124" s="18" t="n">
        <v>35</v>
      </c>
      <c r="F2124" s="18" t="inlineStr">
        <is>
          <t>fechaRecepcion</t>
        </is>
      </c>
      <c r="G2124" s="18" t="inlineStr">
        <is>
          <t>timestamp without time zone</t>
        </is>
      </c>
      <c r="H2124" s="18" t="inlineStr">
        <is>
          <t>No</t>
        </is>
      </c>
      <c r="I2124" s="18" t="inlineStr"/>
      <c r="J2124" s="18" t="inlineStr"/>
      <c r="K2124" s="18" t="inlineStr"/>
      <c r="L2124" s="18" t="inlineStr">
        <is>
          <t>No</t>
        </is>
      </c>
      <c r="M2124" s="18" t="inlineStr">
        <is>
          <t>No</t>
        </is>
      </c>
      <c r="N2124" s="18" t="inlineStr"/>
      <c r="O2124" s="18" t="inlineStr">
        <is>
          <t>idx_news_fecha</t>
        </is>
      </c>
      <c r="P2124" s="18" t="inlineStr">
        <is>
          <t>Mapeada en internal-disciplinary-control-service/src/entities/disciplinary-news.entity.ts:68 (DisciplinaryNews.fechaRecepcion)</t>
        </is>
      </c>
      <c r="Q2124" s="18" t="inlineStr">
        <is>
          <t>Propuesta semántica</t>
        </is>
      </c>
      <c r="R2124" s="18" t="inlineStr">
        <is>
          <t>Fecha y hora de recepción de la noticia disciplinaria. Por defecto, la fecha y hora de creación del registro.</t>
        </is>
      </c>
      <c r="S2124" s="18" t="inlineStr">
        <is>
          <t>Alta</t>
        </is>
      </c>
      <c r="T2124" s="18" t="inlineStr">
        <is>
          <t>nombre + tipo + defecto</t>
        </is>
      </c>
      <c r="U2124" s="18" t="inlineStr"/>
      <c r="V2124" s="19" t="inlineStr">
        <is>
          <t>Pendiente</t>
        </is>
      </c>
      <c r="W2124" s="19" t="inlineStr"/>
      <c r="X2124" s="19" t="inlineStr"/>
      <c r="Y2124" s="20" t="n"/>
      <c r="Z2124" s="19" t="inlineStr"/>
      <c r="AA2124" s="18">
        <f>IF(OR(V2124="Aprobada"),R2124,IF(AND(OR(V2124="Aprobada con ajuste",V2124="Rechazada"),W2124&lt;&gt;""),W2124,""))</f>
        <v/>
      </c>
    </row>
    <row r="2125">
      <c r="A2125" s="18" t="inlineStr">
        <is>
          <t>C2124</t>
        </is>
      </c>
      <c r="B2125" s="18" t="inlineStr">
        <is>
          <t>Control disciplinario interno</t>
        </is>
      </c>
      <c r="C2125" s="18" t="inlineStr">
        <is>
          <t>internal_disciplinary_control</t>
        </is>
      </c>
      <c r="D2125" s="18" t="inlineStr">
        <is>
          <t>disciplinary_news</t>
        </is>
      </c>
      <c r="E2125" s="18" t="n">
        <v>35</v>
      </c>
      <c r="F2125" s="18" t="inlineStr">
        <is>
          <t>origen</t>
        </is>
      </c>
      <c r="G2125" s="18" t="inlineStr">
        <is>
          <t>internal_disciplinary_control.disciplinary_news_origen_enum</t>
        </is>
      </c>
      <c r="H2125" s="18" t="inlineStr">
        <is>
          <t>Sí</t>
        </is>
      </c>
      <c r="I2125" s="18" t="inlineStr">
        <is>
          <t>Enumerado</t>
        </is>
      </c>
      <c r="J2125" s="18" t="inlineStr">
        <is>
          <t>ANONIMO, QUEJOSO, OFICIO, REMISION, POR_DETERMINAR</t>
        </is>
      </c>
      <c r="K2125" s="18" t="inlineStr"/>
      <c r="L2125" s="18" t="inlineStr">
        <is>
          <t>Sí</t>
        </is>
      </c>
      <c r="M2125" s="18" t="inlineStr">
        <is>
          <t>No</t>
        </is>
      </c>
      <c r="N2125" s="18" t="inlineStr"/>
      <c r="O2125" s="18" t="inlineStr"/>
      <c r="P2125" s="18" t="inlineStr">
        <is>
          <t>Mapeada en internal-disciplinary-control-service/src/entities/disciplinary-news.entity.ts:74 (DisciplinaryNews.origen)</t>
        </is>
      </c>
      <c r="Q2125" s="18" t="inlineStr">
        <is>
          <t>Propuesta semántica</t>
        </is>
      </c>
      <c r="R2125" s="18" t="inlineStr">
        <is>
          <t>Origen de la noticia disciplinaria. Valores permitidos: ANONIMO, QUEJOSO, OFICIO, REMISION, POR_DETERMINAR.</t>
        </is>
      </c>
      <c r="S2125" s="18" t="inlineStr">
        <is>
          <t>Alta</t>
        </is>
      </c>
      <c r="T2125" s="18" t="inlineStr">
        <is>
          <t>valores del tipo enumerado</t>
        </is>
      </c>
      <c r="U2125" s="18" t="inlineStr"/>
      <c r="V2125" s="19" t="inlineStr">
        <is>
          <t>Pendiente</t>
        </is>
      </c>
      <c r="W2125" s="19" t="inlineStr"/>
      <c r="X2125" s="19" t="inlineStr"/>
      <c r="Y2125" s="20" t="n"/>
      <c r="Z2125" s="19" t="inlineStr"/>
      <c r="AA2125" s="18">
        <f>IF(OR(V2125="Aprobada"),R2125,IF(AND(OR(V2125="Aprobada con ajuste",V2125="Rechazada"),W2125&lt;&gt;""),W2125,""))</f>
        <v/>
      </c>
    </row>
    <row r="2126">
      <c r="A2126" s="18" t="inlineStr">
        <is>
          <t>C2125</t>
        </is>
      </c>
      <c r="B2126" s="18" t="inlineStr">
        <is>
          <t>Control disciplinario interno</t>
        </is>
      </c>
      <c r="C2126" s="18" t="inlineStr">
        <is>
          <t>internal_disciplinary_control</t>
        </is>
      </c>
      <c r="D2126" s="18" t="inlineStr">
        <is>
          <t>disciplinary_news</t>
        </is>
      </c>
      <c r="E2126" s="18" t="n">
        <v>35</v>
      </c>
      <c r="F2126" s="18" t="inlineStr">
        <is>
          <t>territorial</t>
        </is>
      </c>
      <c r="G2126" s="18" t="inlineStr">
        <is>
          <t>character varying(100)</t>
        </is>
      </c>
      <c r="H2126" s="18" t="inlineStr">
        <is>
          <t>Sí</t>
        </is>
      </c>
      <c r="I2126" s="18" t="inlineStr"/>
      <c r="J2126" s="18" t="inlineStr"/>
      <c r="K2126" s="18" t="inlineStr"/>
      <c r="L2126" s="18" t="inlineStr">
        <is>
          <t>No</t>
        </is>
      </c>
      <c r="M2126" s="18" t="inlineStr">
        <is>
          <t>No</t>
        </is>
      </c>
      <c r="N2126" s="18" t="inlineStr"/>
      <c r="O2126" s="18" t="inlineStr">
        <is>
          <t>idx_news_territorial</t>
        </is>
      </c>
      <c r="P2126" s="18" t="inlineStr">
        <is>
          <t>Mapeada en internal-disciplinary-control-service/src/entities/disciplinary-news.entity.ts:77 (DisciplinaryNews.territorial) | Validación: IsString</t>
        </is>
      </c>
      <c r="Q2126" s="18" t="inlineStr">
        <is>
          <t>Propuesta semántica</t>
        </is>
      </c>
      <c r="R2126" s="18" t="inlineStr">
        <is>
          <t>Dirección territorial donde se recibe o a la que corresponde la noticia disciplinaria.</t>
        </is>
      </c>
      <c r="S2126" s="18" t="inlineStr">
        <is>
          <t>Media</t>
        </is>
      </c>
      <c r="T2126" s="18" t="inlineStr">
        <is>
          <t>nombre + tipo + columnas vecinas</t>
        </is>
      </c>
      <c r="U2126" s="18" t="inlineStr">
        <is>
          <t>¿Es la territorial del denunciado o la de recepción?</t>
        </is>
      </c>
      <c r="V2126" s="19" t="inlineStr">
        <is>
          <t>Pendiente</t>
        </is>
      </c>
      <c r="W2126" s="19" t="inlineStr"/>
      <c r="X2126" s="19" t="inlineStr"/>
      <c r="Y2126" s="20" t="n"/>
      <c r="Z2126" s="19" t="inlineStr"/>
      <c r="AA2126" s="18">
        <f>IF(OR(V2126="Aprobada"),R2126,IF(AND(OR(V2126="Aprobada con ajuste",V2126="Rechazada"),W2126&lt;&gt;""),W2126,""))</f>
        <v/>
      </c>
    </row>
    <row r="2127">
      <c r="A2127" s="18" t="inlineStr">
        <is>
          <t>C2126</t>
        </is>
      </c>
      <c r="B2127" s="18" t="inlineStr">
        <is>
          <t>Control disciplinario interno</t>
        </is>
      </c>
      <c r="C2127" s="18" t="inlineStr">
        <is>
          <t>internal_disciplinary_control</t>
        </is>
      </c>
      <c r="D2127" s="18" t="inlineStr">
        <is>
          <t>disciplinary_news</t>
        </is>
      </c>
      <c r="E2127" s="18" t="n">
        <v>35</v>
      </c>
      <c r="F2127" s="18" t="inlineStr">
        <is>
          <t>dependenciaDenunciado</t>
        </is>
      </c>
      <c r="G2127" s="18" t="inlineStr">
        <is>
          <t>character varying(255)</t>
        </is>
      </c>
      <c r="H2127" s="18" t="inlineStr">
        <is>
          <t>Sí</t>
        </is>
      </c>
      <c r="I2127" s="18" t="inlineStr"/>
      <c r="J2127" s="18" t="inlineStr"/>
      <c r="K2127" s="18" t="inlineStr"/>
      <c r="L2127" s="18" t="inlineStr">
        <is>
          <t>No</t>
        </is>
      </c>
      <c r="M2127" s="18" t="inlineStr">
        <is>
          <t>No</t>
        </is>
      </c>
      <c r="N2127" s="18" t="inlineStr"/>
      <c r="O2127" s="18" t="inlineStr"/>
      <c r="P2127" s="18" t="inlineStr">
        <is>
          <t>Mapeada en internal-disciplinary-control-service/src/entities/disciplinary-news.entity.ts:80 (DisciplinaryNews.dependenciaDenunciado) | Validación: IsString</t>
        </is>
      </c>
      <c r="Q2127" s="18" t="inlineStr">
        <is>
          <t>Propuesta semántica</t>
        </is>
      </c>
      <c r="R2127" s="18" t="inlineStr">
        <is>
          <t>Dependencia a la que pertenece el denunciado.</t>
        </is>
      </c>
      <c r="S2127" s="18" t="inlineStr">
        <is>
          <t>Alta</t>
        </is>
      </c>
      <c r="T2127" s="18" t="inlineStr">
        <is>
          <t>nombre + tipo + columnas vecinas</t>
        </is>
      </c>
      <c r="U2127" s="18" t="inlineStr"/>
      <c r="V2127" s="19" t="inlineStr">
        <is>
          <t>Pendiente</t>
        </is>
      </c>
      <c r="W2127" s="19" t="inlineStr"/>
      <c r="X2127" s="19" t="inlineStr"/>
      <c r="Y2127" s="20" t="n"/>
      <c r="Z2127" s="19" t="inlineStr"/>
      <c r="AA2127" s="18">
        <f>IF(OR(V2127="Aprobada"),R2127,IF(AND(OR(V2127="Aprobada con ajuste",V2127="Rechazada"),W2127&lt;&gt;""),W2127,""))</f>
        <v/>
      </c>
    </row>
    <row r="2128">
      <c r="A2128" s="18" t="inlineStr">
        <is>
          <t>C2127</t>
        </is>
      </c>
      <c r="B2128" s="18" t="inlineStr">
        <is>
          <t>Control disciplinario interno</t>
        </is>
      </c>
      <c r="C2128" s="18" t="inlineStr">
        <is>
          <t>internal_disciplinary_control</t>
        </is>
      </c>
      <c r="D2128" s="18" t="inlineStr">
        <is>
          <t>disciplinary_news</t>
        </is>
      </c>
      <c r="E2128" s="18" t="n">
        <v>35</v>
      </c>
      <c r="F2128" s="18" t="inlineStr">
        <is>
          <t>hechos</t>
        </is>
      </c>
      <c r="G2128" s="18" t="inlineStr">
        <is>
          <t>text</t>
        </is>
      </c>
      <c r="H2128" s="18" t="inlineStr">
        <is>
          <t>No</t>
        </is>
      </c>
      <c r="I2128" s="18" t="inlineStr"/>
      <c r="J2128" s="18" t="inlineStr"/>
      <c r="K2128" s="18" t="inlineStr"/>
      <c r="L2128" s="18" t="inlineStr">
        <is>
          <t>No</t>
        </is>
      </c>
      <c r="M2128" s="18" t="inlineStr">
        <is>
          <t>No</t>
        </is>
      </c>
      <c r="N2128" s="18" t="inlineStr"/>
      <c r="O2128" s="18" t="inlineStr"/>
      <c r="P2128" s="18" t="inlineStr">
        <is>
          <t>Mapeada en internal-disciplinary-control-service/src/entities/disciplinary-news.entity.ts:89 (DisciplinaryNews.hechos) | Validación: IsOptional, IsString</t>
        </is>
      </c>
      <c r="Q2128" s="18" t="inlineStr">
        <is>
          <t>Propuesta semántica</t>
        </is>
      </c>
      <c r="R2128" s="18" t="inlineStr">
        <is>
          <t>Descripción de los hechos objeto de la noticia disciplinaria.</t>
        </is>
      </c>
      <c r="S2128" s="18" t="inlineStr">
        <is>
          <t>Alta</t>
        </is>
      </c>
      <c r="T2128" s="18" t="inlineStr">
        <is>
          <t>nombre + tipo + columnas vecinas</t>
        </is>
      </c>
      <c r="U2128" s="18" t="inlineStr"/>
      <c r="V2128" s="19" t="inlineStr">
        <is>
          <t>Pendiente</t>
        </is>
      </c>
      <c r="W2128" s="19" t="inlineStr"/>
      <c r="X2128" s="19" t="inlineStr"/>
      <c r="Y2128" s="20" t="n"/>
      <c r="Z2128" s="19" t="inlineStr"/>
      <c r="AA2128" s="18">
        <f>IF(OR(V2128="Aprobada"),R2128,IF(AND(OR(V2128="Aprobada con ajuste",V2128="Rechazada"),W2128&lt;&gt;""),W2128,""))</f>
        <v/>
      </c>
    </row>
    <row r="2129">
      <c r="A2129" s="18" t="inlineStr">
        <is>
          <t>C2128</t>
        </is>
      </c>
      <c r="B2129" s="18" t="inlineStr">
        <is>
          <t>Control disciplinario interno</t>
        </is>
      </c>
      <c r="C2129" s="18" t="inlineStr">
        <is>
          <t>internal_disciplinary_control</t>
        </is>
      </c>
      <c r="D2129" s="18" t="inlineStr">
        <is>
          <t>disciplinary_news</t>
        </is>
      </c>
      <c r="E2129" s="18" t="n">
        <v>35</v>
      </c>
      <c r="F2129" s="18" t="inlineStr">
        <is>
          <t>adjuntos</t>
        </is>
      </c>
      <c r="G2129" s="18" t="inlineStr">
        <is>
          <t>text[]</t>
        </is>
      </c>
      <c r="H2129" s="18" t="inlineStr">
        <is>
          <t>Sí</t>
        </is>
      </c>
      <c r="I2129" s="18" t="inlineStr"/>
      <c r="J2129" s="18" t="inlineStr"/>
      <c r="K2129" s="18" t="inlineStr"/>
      <c r="L2129" s="18" t="inlineStr">
        <is>
          <t>No</t>
        </is>
      </c>
      <c r="M2129" s="18" t="inlineStr">
        <is>
          <t>No</t>
        </is>
      </c>
      <c r="N2129" s="18" t="inlineStr"/>
      <c r="O2129" s="18" t="inlineStr"/>
      <c r="P2129" s="18" t="inlineStr">
        <is>
          <t>Mapeada en internal-disciplinary-control-service/src/entities/disciplinary-news.entity.ts:102 (DisciplinaryNews.adjuntos)</t>
        </is>
      </c>
      <c r="Q2129" s="18" t="inlineStr">
        <is>
          <t>Propuesta semántica</t>
        </is>
      </c>
      <c r="R2129" s="18" t="inlineStr">
        <is>
          <t>Archivos adjuntos de la noticia disciplinaria, como arreglo de textos.</t>
        </is>
      </c>
      <c r="S2129" s="18" t="inlineStr">
        <is>
          <t>Media</t>
        </is>
      </c>
      <c r="T2129" s="18" t="inlineStr">
        <is>
          <t>nombre + tipo + columnas vecinas</t>
        </is>
      </c>
      <c r="U2129" s="18" t="inlineStr">
        <is>
          <t>¿Cada elemento es una ruta, una URL o un identificador de documento?</t>
        </is>
      </c>
      <c r="V2129" s="19" t="inlineStr">
        <is>
          <t>Pendiente</t>
        </is>
      </c>
      <c r="W2129" s="19" t="inlineStr"/>
      <c r="X2129" s="19" t="inlineStr"/>
      <c r="Y2129" s="20" t="n"/>
      <c r="Z2129" s="19" t="inlineStr"/>
      <c r="AA2129" s="18">
        <f>IF(OR(V2129="Aprobada"),R2129,IF(AND(OR(V2129="Aprobada con ajuste",V2129="Rechazada"),W2129&lt;&gt;""),W2129,""))</f>
        <v/>
      </c>
    </row>
    <row r="2130">
      <c r="A2130" s="18" t="inlineStr">
        <is>
          <t>C2129</t>
        </is>
      </c>
      <c r="B2130" s="18" t="inlineStr">
        <is>
          <t>Control disciplinario interno</t>
        </is>
      </c>
      <c r="C2130" s="18" t="inlineStr">
        <is>
          <t>internal_disciplinary_control</t>
        </is>
      </c>
      <c r="D2130" s="18" t="inlineStr">
        <is>
          <t>disciplinary_news</t>
        </is>
      </c>
      <c r="E2130" s="18" t="n">
        <v>35</v>
      </c>
      <c r="F2130" s="18" t="inlineStr">
        <is>
          <t>observaciones</t>
        </is>
      </c>
      <c r="G2130" s="18" t="inlineStr">
        <is>
          <t>text</t>
        </is>
      </c>
      <c r="H2130" s="18" t="inlineStr">
        <is>
          <t>Sí</t>
        </is>
      </c>
      <c r="I2130" s="18" t="inlineStr"/>
      <c r="J2130" s="18" t="inlineStr"/>
      <c r="K2130" s="18" t="inlineStr"/>
      <c r="L2130" s="18" t="inlineStr">
        <is>
          <t>No</t>
        </is>
      </c>
      <c r="M2130" s="18" t="inlineStr">
        <is>
          <t>No</t>
        </is>
      </c>
      <c r="N2130" s="18" t="inlineStr"/>
      <c r="O2130" s="18" t="inlineStr"/>
      <c r="P2130" s="18" t="inlineStr">
        <is>
          <t>Mapeada en internal-disciplinary-control-service/src/entities/disciplinary-news.entity.ts:105 (DisciplinaryNews.observaciones) | Validación: IsNotEmpty, IsOptional, IsString</t>
        </is>
      </c>
      <c r="Q2130" s="18" t="inlineStr">
        <is>
          <t>Regla estructural</t>
        </is>
      </c>
      <c r="R2130" s="18" t="inlineStr">
        <is>
          <t>Observaciones registradas sobre el registro.</t>
        </is>
      </c>
      <c r="S2130" s="18" t="inlineStr">
        <is>
          <t>Media</t>
        </is>
      </c>
      <c r="T2130" s="18" t="inlineStr">
        <is>
          <t>Convención de nombre de la columna.</t>
        </is>
      </c>
      <c r="U2130" s="18" t="inlineStr"/>
      <c r="V2130" s="19" t="inlineStr">
        <is>
          <t>Pendiente</t>
        </is>
      </c>
      <c r="W2130" s="19" t="inlineStr"/>
      <c r="X2130" s="19" t="inlineStr"/>
      <c r="Y2130" s="20" t="n"/>
      <c r="Z2130" s="19" t="inlineStr"/>
      <c r="AA2130" s="18">
        <f>IF(OR(V2130="Aprobada"),R2130,IF(AND(OR(V2130="Aprobada con ajuste",V2130="Rechazada"),W2130&lt;&gt;""),W2130,""))</f>
        <v/>
      </c>
    </row>
    <row r="2131">
      <c r="A2131" s="18" t="inlineStr">
        <is>
          <t>C2130</t>
        </is>
      </c>
      <c r="B2131" s="18" t="inlineStr">
        <is>
          <t>Control disciplinario interno</t>
        </is>
      </c>
      <c r="C2131" s="18" t="inlineStr">
        <is>
          <t>internal_disciplinary_control</t>
        </is>
      </c>
      <c r="D2131" s="18" t="inlineStr">
        <is>
          <t>disciplinary_news</t>
        </is>
      </c>
      <c r="E2131" s="18" t="n">
        <v>35</v>
      </c>
      <c r="F2131" s="18" t="inlineStr">
        <is>
          <t>historialAuditoria</t>
        </is>
      </c>
      <c r="G2131" s="18" t="inlineStr">
        <is>
          <t>jsonb</t>
        </is>
      </c>
      <c r="H2131" s="18" t="inlineStr">
        <is>
          <t>Sí</t>
        </is>
      </c>
      <c r="I2131" s="18" t="inlineStr"/>
      <c r="J2131" s="18" t="inlineStr"/>
      <c r="K2131" s="18" t="inlineStr"/>
      <c r="L2131" s="18" t="inlineStr">
        <is>
          <t>No</t>
        </is>
      </c>
      <c r="M2131" s="18" t="inlineStr">
        <is>
          <t>No</t>
        </is>
      </c>
      <c r="N2131" s="18" t="inlineStr"/>
      <c r="O2131" s="18" t="inlineStr"/>
      <c r="P2131" s="18" t="inlineStr">
        <is>
          <t>Mapeada en internal-disciplinary-control-service/src/entities/disciplinary-news.entity.ts:126 (DisciplinaryNews.historialAuditoria)</t>
        </is>
      </c>
      <c r="Q2131" s="18" t="inlineStr">
        <is>
          <t>Propuesta semántica</t>
        </is>
      </c>
      <c r="R2131" s="18" t="inlineStr">
        <is>
          <t>Historial de cambios de la noticia disciplinaria, como arreglo JSON.</t>
        </is>
      </c>
      <c r="S2131" s="18" t="inlineStr">
        <is>
          <t>Media</t>
        </is>
      </c>
      <c r="T2131" s="18" t="inlineStr">
        <is>
          <t>nombre + defecto</t>
        </is>
      </c>
      <c r="U2131" s="18" t="inlineStr">
        <is>
          <t>¿Qué datos se registran por cada cambio (usuario, fecha, acción)?</t>
        </is>
      </c>
      <c r="V2131" s="19" t="inlineStr">
        <is>
          <t>Pendiente</t>
        </is>
      </c>
      <c r="W2131" s="19" t="inlineStr"/>
      <c r="X2131" s="19" t="inlineStr"/>
      <c r="Y2131" s="20" t="n"/>
      <c r="Z2131" s="19" t="inlineStr"/>
      <c r="AA2131" s="18">
        <f>IF(OR(V2131="Aprobada"),R2131,IF(AND(OR(V2131="Aprobada con ajuste",V2131="Rechazada"),W2131&lt;&gt;""),W2131,""))</f>
        <v/>
      </c>
    </row>
    <row r="2132">
      <c r="A2132" s="18" t="inlineStr">
        <is>
          <t>C2131</t>
        </is>
      </c>
      <c r="B2132" s="18" t="inlineStr">
        <is>
          <t>Control disciplinario interno</t>
        </is>
      </c>
      <c r="C2132" s="18" t="inlineStr">
        <is>
          <t>internal_disciplinary_control</t>
        </is>
      </c>
      <c r="D2132" s="18" t="inlineStr">
        <is>
          <t>disciplinary_news</t>
        </is>
      </c>
      <c r="E2132" s="18" t="n">
        <v>35</v>
      </c>
      <c r="F2132" s="18" t="inlineStr">
        <is>
          <t>kanbanStage</t>
        </is>
      </c>
      <c r="G2132" s="18" t="inlineStr">
        <is>
          <t>uuid</t>
        </is>
      </c>
      <c r="H2132" s="18" t="inlineStr">
        <is>
          <t>Sí</t>
        </is>
      </c>
      <c r="I2132" s="18" t="inlineStr"/>
      <c r="J2132" s="18" t="inlineStr"/>
      <c r="K2132" s="18" t="inlineStr"/>
      <c r="L2132" s="18" t="inlineStr">
        <is>
          <t>No</t>
        </is>
      </c>
      <c r="M2132" s="18" t="inlineStr">
        <is>
          <t>No</t>
        </is>
      </c>
      <c r="N2132" s="18" t="inlineStr"/>
      <c r="O2132" s="18" t="inlineStr"/>
      <c r="P2132" s="18" t="inlineStr">
        <is>
          <t>Mapeada en internal-disciplinary-control-service/src/entities/disciplinary-news.entity.ts:111 (DisciplinaryNews.kanbanStage) | Validación: IsNumber, IsOptional</t>
        </is>
      </c>
      <c r="Q2132" s="18" t="inlineStr">
        <is>
          <t>Propuesta semántica</t>
        </is>
      </c>
      <c r="R2132" s="18" t="inlineStr">
        <is>
          <t>Identificador de la etapa del tablero Kanban en que se encuentra la noticia disciplinaria.</t>
        </is>
      </c>
      <c r="S2132" s="18" t="inlineStr">
        <is>
          <t>Media</t>
        </is>
      </c>
      <c r="T2132" s="18" t="inlineStr">
        <is>
          <t>nombre + tipo + columnas vecinas</t>
        </is>
      </c>
      <c r="U2132" s="18" t="inlineStr">
        <is>
          <t>La validación espera un número y la columna es uuid: ¿a qué tabla de etapas apunta?</t>
        </is>
      </c>
      <c r="V2132" s="19" t="inlineStr">
        <is>
          <t>Pendiente</t>
        </is>
      </c>
      <c r="W2132" s="19" t="inlineStr"/>
      <c r="X2132" s="19" t="inlineStr"/>
      <c r="Y2132" s="20" t="n"/>
      <c r="Z2132" s="19" t="inlineStr"/>
      <c r="AA2132" s="18">
        <f>IF(OR(V2132="Aprobada"),R2132,IF(AND(OR(V2132="Aprobada con ajuste",V2132="Rechazada"),W2132&lt;&gt;""),W2132,""))</f>
        <v/>
      </c>
    </row>
    <row r="2133">
      <c r="A2133" s="18" t="inlineStr">
        <is>
          <t>C2132</t>
        </is>
      </c>
      <c r="B2133" s="18" t="inlineStr">
        <is>
          <t>Control disciplinario interno</t>
        </is>
      </c>
      <c r="C2133" s="18" t="inlineStr">
        <is>
          <t>internal_disciplinary_control</t>
        </is>
      </c>
      <c r="D2133" s="18" t="inlineStr">
        <is>
          <t>disciplinary_news</t>
        </is>
      </c>
      <c r="E2133" s="18" t="n">
        <v>35</v>
      </c>
      <c r="F2133" s="18" t="inlineStr">
        <is>
          <t>fechaHechos</t>
        </is>
      </c>
      <c r="G2133" s="18" t="inlineStr">
        <is>
          <t>timestamp without time zone</t>
        </is>
      </c>
      <c r="H2133" s="18" t="inlineStr">
        <is>
          <t>Sí</t>
        </is>
      </c>
      <c r="I2133" s="18" t="inlineStr"/>
      <c r="J2133" s="18" t="inlineStr"/>
      <c r="K2133" s="18" t="inlineStr"/>
      <c r="L2133" s="18" t="inlineStr">
        <is>
          <t>No</t>
        </is>
      </c>
      <c r="M2133" s="18" t="inlineStr">
        <is>
          <t>No</t>
        </is>
      </c>
      <c r="N2133" s="18" t="inlineStr"/>
      <c r="O2133" s="18" t="inlineStr"/>
      <c r="P2133" s="18" t="inlineStr">
        <is>
          <t>Mapeada en internal-disciplinary-control-service/src/entities/disciplinary-news.entity.ts:120 (DisciplinaryNews.fechaHechos)</t>
        </is>
      </c>
      <c r="Q2133" s="18" t="inlineStr">
        <is>
          <t>Propuesta semántica</t>
        </is>
      </c>
      <c r="R2133" s="18" t="inlineStr">
        <is>
          <t>Fecha en que ocurrieron los hechos.</t>
        </is>
      </c>
      <c r="S2133" s="18" t="inlineStr">
        <is>
          <t>Alta</t>
        </is>
      </c>
      <c r="T2133" s="18" t="inlineStr">
        <is>
          <t>nombre + tipo + columnas vecinas</t>
        </is>
      </c>
      <c r="U2133" s="18" t="inlineStr"/>
      <c r="V2133" s="19" t="inlineStr">
        <is>
          <t>Pendiente</t>
        </is>
      </c>
      <c r="W2133" s="19" t="inlineStr"/>
      <c r="X2133" s="19" t="inlineStr"/>
      <c r="Y2133" s="20" t="n"/>
      <c r="Z2133" s="19" t="inlineStr"/>
      <c r="AA2133" s="18">
        <f>IF(OR(V2133="Aprobada"),R2133,IF(AND(OR(V2133="Aprobada con ajuste",V2133="Rechazada"),W2133&lt;&gt;""),W2133,""))</f>
        <v/>
      </c>
    </row>
    <row r="2134">
      <c r="A2134" s="18" t="inlineStr">
        <is>
          <t>C2133</t>
        </is>
      </c>
      <c r="B2134" s="18" t="inlineStr">
        <is>
          <t>Control disciplinario interno</t>
        </is>
      </c>
      <c r="C2134" s="18" t="inlineStr">
        <is>
          <t>internal_disciplinary_control</t>
        </is>
      </c>
      <c r="D2134" s="18" t="inlineStr">
        <is>
          <t>disciplinary_news</t>
        </is>
      </c>
      <c r="E2134" s="18" t="n">
        <v>35</v>
      </c>
      <c r="F2134" s="18" t="inlineStr">
        <is>
          <t>fechaCaducidad</t>
        </is>
      </c>
      <c r="G2134" s="18" t="inlineStr">
        <is>
          <t>timestamp without time zone</t>
        </is>
      </c>
      <c r="H2134" s="18" t="inlineStr">
        <is>
          <t>Sí</t>
        </is>
      </c>
      <c r="I2134" s="18" t="inlineStr"/>
      <c r="J2134" s="18" t="inlineStr"/>
      <c r="K2134" s="18" t="inlineStr"/>
      <c r="L2134" s="18" t="inlineStr">
        <is>
          <t>No</t>
        </is>
      </c>
      <c r="M2134" s="18" t="inlineStr">
        <is>
          <t>No</t>
        </is>
      </c>
      <c r="N2134" s="18" t="inlineStr"/>
      <c r="O2134" s="18" t="inlineStr"/>
      <c r="P2134" s="18" t="inlineStr">
        <is>
          <t>Mapeada en internal-disciplinary-control-service/src/entities/disciplinary-news.entity.ts:123 (DisciplinaryNews.fechaCaducidad)</t>
        </is>
      </c>
      <c r="Q2134" s="18" t="inlineStr">
        <is>
          <t>Propuesta semántica</t>
        </is>
      </c>
      <c r="R2134" s="18" t="inlineStr">
        <is>
          <t>Fecha de caducidad de la acción disciplinaria.</t>
        </is>
      </c>
      <c r="S2134" s="18" t="inlineStr">
        <is>
          <t>Media</t>
        </is>
      </c>
      <c r="T2134" s="18" t="inlineStr">
        <is>
          <t>nombre + tipo + columnas vecinas</t>
        </is>
      </c>
      <c r="U2134" s="18" t="inlineStr">
        <is>
          <t>¿Se calcula a partir de fechaHechos según el término legal?</t>
        </is>
      </c>
      <c r="V2134" s="19" t="inlineStr">
        <is>
          <t>Pendiente</t>
        </is>
      </c>
      <c r="W2134" s="19" t="inlineStr"/>
      <c r="X2134" s="19" t="inlineStr"/>
      <c r="Y2134" s="20" t="n"/>
      <c r="Z2134" s="19" t="inlineStr"/>
      <c r="AA2134" s="18">
        <f>IF(OR(V2134="Aprobada"),R2134,IF(AND(OR(V2134="Aprobada con ajuste",V2134="Rechazada"),W2134&lt;&gt;""),W2134,""))</f>
        <v/>
      </c>
    </row>
    <row r="2135">
      <c r="A2135" s="18" t="inlineStr">
        <is>
          <t>C2134</t>
        </is>
      </c>
      <c r="B2135" s="18" t="inlineStr">
        <is>
          <t>Control disciplinario interno</t>
        </is>
      </c>
      <c r="C2135" s="18" t="inlineStr">
        <is>
          <t>internal_disciplinary_control</t>
        </is>
      </c>
      <c r="D2135" s="18" t="inlineStr">
        <is>
          <t>disciplinary_news</t>
        </is>
      </c>
      <c r="E2135" s="18" t="n">
        <v>35</v>
      </c>
      <c r="F2135" s="18" t="inlineStr">
        <is>
          <t>proceso_asociado_id</t>
        </is>
      </c>
      <c r="G2135" s="18" t="inlineStr">
        <is>
          <t>uuid</t>
        </is>
      </c>
      <c r="H2135" s="18" t="inlineStr">
        <is>
          <t>Sí</t>
        </is>
      </c>
      <c r="I2135" s="18" t="inlineStr"/>
      <c r="J2135" s="18" t="inlineStr"/>
      <c r="K2135" s="18" t="inlineStr"/>
      <c r="L2135" s="18" t="inlineStr">
        <is>
          <t>No</t>
        </is>
      </c>
      <c r="M2135" s="18" t="inlineStr">
        <is>
          <t>No</t>
        </is>
      </c>
      <c r="N2135" s="18" t="inlineStr"/>
      <c r="O2135" s="18" t="inlineStr">
        <is>
          <t>idx_news_proceso_asociado_id</t>
        </is>
      </c>
      <c r="P2135" s="18" t="inlineStr">
        <is>
          <t>internal-disciplinary-control-service/src/entities/disciplinary-news.entity.ts:140: Nota: Relación con asociaciones noticia-proceso se maneja via consultas directas para evitar dependencias circulares con DisciplinaryNewsProcess</t>
        </is>
      </c>
      <c r="Q2135" s="18" t="inlineStr">
        <is>
          <t>Código fuente</t>
        </is>
      </c>
      <c r="R2135" s="18" t="inlineStr">
        <is>
          <t>Identificador del proceso disciplinario asociado a la noticia.</t>
        </is>
      </c>
      <c r="S2135" s="18" t="inlineStr">
        <is>
          <t>Media</t>
        </is>
      </c>
      <c r="T2135" s="18" t="inlineStr">
        <is>
          <t>nombre + tipo + columnas vecinas</t>
        </is>
      </c>
      <c r="U2135" s="18" t="inlineStr">
        <is>
          <t>¿A qué tabla de procesos disciplinarios corresponde el identificador? No tiene FK declarada.</t>
        </is>
      </c>
      <c r="V2135" s="19" t="inlineStr">
        <is>
          <t>Pendiente</t>
        </is>
      </c>
      <c r="W2135" s="19" t="inlineStr"/>
      <c r="X2135" s="19" t="inlineStr"/>
      <c r="Y2135" s="20" t="n"/>
      <c r="Z2135" s="19" t="inlineStr"/>
      <c r="AA2135" s="18">
        <f>IF(OR(V2135="Aprobada"),R2135,IF(AND(OR(V2135="Aprobada con ajuste",V2135="Rechazada"),W2135&lt;&gt;""),W2135,""))</f>
        <v/>
      </c>
    </row>
    <row r="2136">
      <c r="A2136" s="18" t="inlineStr">
        <is>
          <t>C2135</t>
        </is>
      </c>
      <c r="B2136" s="18" t="inlineStr">
        <is>
          <t>Control disciplinario interno</t>
        </is>
      </c>
      <c r="C2136" s="18" t="inlineStr">
        <is>
          <t>internal_disciplinary_control</t>
        </is>
      </c>
      <c r="D2136" s="18" t="inlineStr">
        <is>
          <t>disciplinary_news</t>
        </is>
      </c>
      <c r="E2136" s="18" t="n">
        <v>35</v>
      </c>
      <c r="F2136" s="18" t="inlineStr">
        <is>
          <t>proceso_asociado_numero</t>
        </is>
      </c>
      <c r="G2136" s="18" t="inlineStr">
        <is>
          <t>character varying(50)</t>
        </is>
      </c>
      <c r="H2136" s="18" t="inlineStr">
        <is>
          <t>Sí</t>
        </is>
      </c>
      <c r="I2136" s="18" t="inlineStr"/>
      <c r="J2136" s="18" t="inlineStr"/>
      <c r="K2136" s="18" t="inlineStr"/>
      <c r="L2136" s="18" t="inlineStr">
        <is>
          <t>No</t>
        </is>
      </c>
      <c r="M2136" s="18" t="inlineStr">
        <is>
          <t>No</t>
        </is>
      </c>
      <c r="N2136" s="18" t="inlineStr"/>
      <c r="O2136" s="18" t="inlineStr"/>
      <c r="P2136" s="18" t="inlineStr">
        <is>
          <t>internal-disciplinary-control-service/src/entities/disciplinary-news.entity.ts:143: Nota: Relación con asociaciones noticia-proceso se maneja via consultas directas para evitar dependencias circulares con DisciplinaryNewsProcess</t>
        </is>
      </c>
      <c r="Q2136" s="18" t="inlineStr">
        <is>
          <t>Código fuente</t>
        </is>
      </c>
      <c r="R2136" s="18" t="inlineStr">
        <is>
          <t>Número del proceso disciplinario asociado a la noticia.</t>
        </is>
      </c>
      <c r="S2136" s="18" t="inlineStr">
        <is>
          <t>Media</t>
        </is>
      </c>
      <c r="T2136" s="18" t="inlineStr">
        <is>
          <t>nombre + tipo + columnas vecinas (proceso_asociado_id)</t>
        </is>
      </c>
      <c r="U2136" s="18" t="inlineStr">
        <is>
          <t>¿Es una copia del número del proceso referenciado por proceso_asociado_id?</t>
        </is>
      </c>
      <c r="V2136" s="19" t="inlineStr">
        <is>
          <t>Pendiente</t>
        </is>
      </c>
      <c r="W2136" s="19" t="inlineStr"/>
      <c r="X2136" s="19" t="inlineStr"/>
      <c r="Y2136" s="20" t="n"/>
      <c r="Z2136" s="19" t="inlineStr"/>
      <c r="AA2136" s="18">
        <f>IF(OR(V2136="Aprobada"),R2136,IF(AND(OR(V2136="Aprobada con ajuste",V2136="Rechazada"),W2136&lt;&gt;""),W2136,""))</f>
        <v/>
      </c>
    </row>
    <row r="2137">
      <c r="A2137" s="18" t="inlineStr">
        <is>
          <t>C2136</t>
        </is>
      </c>
      <c r="B2137" s="18" t="inlineStr">
        <is>
          <t>Control disciplinario interno</t>
        </is>
      </c>
      <c r="C2137" s="18" t="inlineStr">
        <is>
          <t>internal_disciplinary_control</t>
        </is>
      </c>
      <c r="D2137" s="18" t="inlineStr">
        <is>
          <t>disciplinary_news</t>
        </is>
      </c>
      <c r="E2137" s="18" t="n">
        <v>35</v>
      </c>
      <c r="F2137" s="18" t="inlineStr">
        <is>
          <t>proceso_asociado_fecha</t>
        </is>
      </c>
      <c r="G2137" s="18" t="inlineStr">
        <is>
          <t>timestamp with time zone</t>
        </is>
      </c>
      <c r="H2137" s="18" t="inlineStr">
        <is>
          <t>Sí</t>
        </is>
      </c>
      <c r="I2137" s="18" t="inlineStr"/>
      <c r="J2137" s="18" t="inlineStr"/>
      <c r="K2137" s="18" t="inlineStr"/>
      <c r="L2137" s="18" t="inlineStr">
        <is>
          <t>No</t>
        </is>
      </c>
      <c r="M2137" s="18" t="inlineStr">
        <is>
          <t>No</t>
        </is>
      </c>
      <c r="N2137" s="18" t="inlineStr"/>
      <c r="O2137" s="18" t="inlineStr"/>
      <c r="P2137" s="18" t="inlineStr">
        <is>
          <t>internal-disciplinary-control-service/src/entities/disciplinary-news.entity.ts:146: Nota: Relación con asociaciones noticia-proceso se maneja via consultas directas para evitar dependencias circulares con DisciplinaryNewsProcess</t>
        </is>
      </c>
      <c r="Q2137" s="18" t="inlineStr">
        <is>
          <t>Código fuente</t>
        </is>
      </c>
      <c r="R2137" s="18" t="inlineStr">
        <is>
          <t>Fecha y hora de la asociación de la noticia con el proceso disciplinario.</t>
        </is>
      </c>
      <c r="S2137" s="18" t="inlineStr">
        <is>
          <t>Media</t>
        </is>
      </c>
      <c r="T2137" s="18" t="inlineStr">
        <is>
          <t>nombre + tipo + columnas vecinas</t>
        </is>
      </c>
      <c r="U2137" s="18" t="inlineStr">
        <is>
          <t>¿Es la fecha en que se hizo la asociación o la fecha del proceso asociado?</t>
        </is>
      </c>
      <c r="V2137" s="19" t="inlineStr">
        <is>
          <t>Pendiente</t>
        </is>
      </c>
      <c r="W2137" s="19" t="inlineStr"/>
      <c r="X2137" s="19" t="inlineStr"/>
      <c r="Y2137" s="20" t="n"/>
      <c r="Z2137" s="19" t="inlineStr"/>
      <c r="AA2137" s="18">
        <f>IF(OR(V2137="Aprobada"),R2137,IF(AND(OR(V2137="Aprobada con ajuste",V2137="Rechazada"),W2137&lt;&gt;""),W2137,""))</f>
        <v/>
      </c>
    </row>
    <row r="2138">
      <c r="A2138" s="18" t="inlineStr">
        <is>
          <t>C2137</t>
        </is>
      </c>
      <c r="B2138" s="18" t="inlineStr">
        <is>
          <t>Control disciplinario interno</t>
        </is>
      </c>
      <c r="C2138" s="18" t="inlineStr">
        <is>
          <t>internal_disciplinary_control</t>
        </is>
      </c>
      <c r="D2138" s="18" t="inlineStr">
        <is>
          <t>disciplinary_news</t>
        </is>
      </c>
      <c r="E2138" s="18" t="n">
        <v>35</v>
      </c>
      <c r="F2138" s="18" t="inlineStr">
        <is>
          <t>proceso_asociado_justificacion</t>
        </is>
      </c>
      <c r="G2138" s="18" t="inlineStr">
        <is>
          <t>text</t>
        </is>
      </c>
      <c r="H2138" s="18" t="inlineStr">
        <is>
          <t>Sí</t>
        </is>
      </c>
      <c r="I2138" s="18" t="inlineStr"/>
      <c r="J2138" s="18" t="inlineStr"/>
      <c r="K2138" s="18" t="inlineStr"/>
      <c r="L2138" s="18" t="inlineStr">
        <is>
          <t>No</t>
        </is>
      </c>
      <c r="M2138" s="18" t="inlineStr">
        <is>
          <t>No</t>
        </is>
      </c>
      <c r="N2138" s="18" t="inlineStr"/>
      <c r="O2138" s="18" t="inlineStr"/>
      <c r="P2138" s="18" t="inlineStr">
        <is>
          <t>internal-disciplinary-control-service/src/entities/disciplinary-news.entity.ts:149: Nota: Relación con asociaciones noticia-proceso se maneja via consultas directas para evitar dependencias circulares con DisciplinaryNewsProcess</t>
        </is>
      </c>
      <c r="Q2138" s="18" t="inlineStr">
        <is>
          <t>Código fuente</t>
        </is>
      </c>
      <c r="R2138" s="18" t="inlineStr">
        <is>
          <t>Justificación de la asociación de la noticia con el proceso disciplinario.</t>
        </is>
      </c>
      <c r="S2138" s="18" t="inlineStr">
        <is>
          <t>Alta</t>
        </is>
      </c>
      <c r="T2138" s="18" t="inlineStr">
        <is>
          <t>nombre + tipo + columnas vecinas</t>
        </is>
      </c>
      <c r="U2138" s="18" t="inlineStr"/>
      <c r="V2138" s="19" t="inlineStr">
        <is>
          <t>Pendiente</t>
        </is>
      </c>
      <c r="W2138" s="19" t="inlineStr"/>
      <c r="X2138" s="19" t="inlineStr"/>
      <c r="Y2138" s="20" t="n"/>
      <c r="Z2138" s="19" t="inlineStr"/>
      <c r="AA2138" s="18">
        <f>IF(OR(V2138="Aprobada"),R2138,IF(AND(OR(V2138="Aprobada con ajuste",V2138="Rechazada"),W2138&lt;&gt;""),W2138,""))</f>
        <v/>
      </c>
    </row>
    <row r="2139">
      <c r="A2139" s="18" t="inlineStr">
        <is>
          <t>C2138</t>
        </is>
      </c>
      <c r="B2139" s="18" t="inlineStr">
        <is>
          <t>Control disciplinario interno</t>
        </is>
      </c>
      <c r="C2139" s="18" t="inlineStr">
        <is>
          <t>internal_disciplinary_control</t>
        </is>
      </c>
      <c r="D2139" s="18" t="inlineStr">
        <is>
          <t>disciplinary_news</t>
        </is>
      </c>
      <c r="E2139" s="18" t="n">
        <v>35</v>
      </c>
      <c r="F2139" s="18" t="inlineStr">
        <is>
          <t>numero_rc</t>
        </is>
      </c>
      <c r="G2139" s="18" t="inlineStr">
        <is>
          <t>character varying(50)</t>
        </is>
      </c>
      <c r="H2139" s="18" t="inlineStr">
        <is>
          <t>Sí</t>
        </is>
      </c>
      <c r="I2139" s="18" t="inlineStr"/>
      <c r="J2139" s="18" t="inlineStr"/>
      <c r="K2139" s="18" t="inlineStr"/>
      <c r="L2139" s="18" t="inlineStr">
        <is>
          <t>No</t>
        </is>
      </c>
      <c r="M2139" s="18" t="inlineStr">
        <is>
          <t>No</t>
        </is>
      </c>
      <c r="N2139" s="18" t="inlineStr"/>
      <c r="O2139" s="18" t="inlineStr">
        <is>
          <t>idx_news_numero_rc</t>
        </is>
      </c>
      <c r="P2139" s="18" t="inlineStr">
        <is>
          <t>internal-disciplinary-control-service/src/entities/disciplinary-news.entity.ts:155: Nota: Relación con asociaciones noticia-proceso se maneja via consultas directas para evitar dependencias circulares con DisciplinaryNewsProcess</t>
        </is>
      </c>
      <c r="Q2139" s="18" t="inlineStr">
        <is>
          <t>Código fuente</t>
        </is>
      </c>
      <c r="R2139" s="18" t="inlineStr">
        <is>
          <t>Número RC de la noticia disciplinaria.</t>
        </is>
      </c>
      <c r="S2139" s="18" t="inlineStr">
        <is>
          <t>Baja</t>
        </is>
      </c>
      <c r="T2139" s="18" t="inlineStr">
        <is>
          <t>nombre + tipo</t>
        </is>
      </c>
      <c r="U2139" s="18" t="inlineStr">
        <is>
          <t>¿Qué significa la sigla RC y quién asigna el número?</t>
        </is>
      </c>
      <c r="V2139" s="19" t="inlineStr">
        <is>
          <t>Pendiente</t>
        </is>
      </c>
      <c r="W2139" s="19" t="inlineStr"/>
      <c r="X2139" s="19" t="inlineStr"/>
      <c r="Y2139" s="20" t="n"/>
      <c r="Z2139" s="19" t="inlineStr"/>
      <c r="AA2139" s="18">
        <f>IF(OR(V2139="Aprobada"),R2139,IF(AND(OR(V2139="Aprobada con ajuste",V2139="Rechazada"),W2139&lt;&gt;""),W2139,""))</f>
        <v/>
      </c>
    </row>
    <row r="2140">
      <c r="A2140" s="18" t="inlineStr">
        <is>
          <t>C2139</t>
        </is>
      </c>
      <c r="B2140" s="18" t="inlineStr">
        <is>
          <t>Control disciplinario interno</t>
        </is>
      </c>
      <c r="C2140" s="18" t="inlineStr">
        <is>
          <t>internal_disciplinary_control</t>
        </is>
      </c>
      <c r="D2140" s="18" t="inlineStr">
        <is>
          <t>disciplinary_news</t>
        </is>
      </c>
      <c r="E2140" s="18" t="n">
        <v>35</v>
      </c>
      <c r="F2140" s="18" t="inlineStr">
        <is>
          <t>entidad_remision</t>
        </is>
      </c>
      <c r="G2140" s="18" t="inlineStr">
        <is>
          <t>character varying(255)</t>
        </is>
      </c>
      <c r="H2140" s="18" t="inlineStr">
        <is>
          <t>Sí</t>
        </is>
      </c>
      <c r="I2140" s="18" t="inlineStr"/>
      <c r="J2140" s="18" t="inlineStr"/>
      <c r="K2140" s="18" t="inlineStr"/>
      <c r="L2140" s="18" t="inlineStr">
        <is>
          <t>No</t>
        </is>
      </c>
      <c r="M2140" s="18" t="inlineStr">
        <is>
          <t>No</t>
        </is>
      </c>
      <c r="N2140" s="18" t="inlineStr"/>
      <c r="O2140" s="18" t="inlineStr">
        <is>
          <t>idx_news_entidad_remision</t>
        </is>
      </c>
      <c r="P2140" s="18" t="inlineStr">
        <is>
          <t>internal-disciplinary-control-service/src/entities/disciplinary-news.entity.ts:158: Nota: Relación con asociaciones noticia-proceso se maneja via consultas directas para evitar dependencias circulares con DisciplinaryNewsProcess</t>
        </is>
      </c>
      <c r="Q2140" s="18" t="inlineStr">
        <is>
          <t>Código fuente</t>
        </is>
      </c>
      <c r="R2140" s="18" t="inlineStr">
        <is>
          <t>Entidad a la que se remite la noticia disciplinaria.</t>
        </is>
      </c>
      <c r="S2140" s="18" t="inlineStr">
        <is>
          <t>Media</t>
        </is>
      </c>
      <c r="T2140" s="18" t="inlineStr">
        <is>
          <t>nombre + tipo + columnas vecinas</t>
        </is>
      </c>
      <c r="U2140" s="18" t="inlineStr">
        <is>
          <t>¿La remisión es por competencia a otra entidad?</t>
        </is>
      </c>
      <c r="V2140" s="19" t="inlineStr">
        <is>
          <t>Pendiente</t>
        </is>
      </c>
      <c r="W2140" s="19" t="inlineStr"/>
      <c r="X2140" s="19" t="inlineStr"/>
      <c r="Y2140" s="20" t="n"/>
      <c r="Z2140" s="19" t="inlineStr"/>
      <c r="AA2140" s="18">
        <f>IF(OR(V2140="Aprobada"),R2140,IF(AND(OR(V2140="Aprobada con ajuste",V2140="Rechazada"),W2140&lt;&gt;""),W2140,""))</f>
        <v/>
      </c>
    </row>
    <row r="2141">
      <c r="A2141" s="18" t="inlineStr">
        <is>
          <t>C2140</t>
        </is>
      </c>
      <c r="B2141" s="18" t="inlineStr">
        <is>
          <t>Control disciplinario interno</t>
        </is>
      </c>
      <c r="C2141" s="18" t="inlineStr">
        <is>
          <t>internal_disciplinary_control</t>
        </is>
      </c>
      <c r="D2141" s="18" t="inlineStr">
        <is>
          <t>disciplinary_news</t>
        </is>
      </c>
      <c r="E2141" s="18" t="n">
        <v>35</v>
      </c>
      <c r="F2141" s="18" t="inlineStr">
        <is>
          <t>correo_entidad_remision</t>
        </is>
      </c>
      <c r="G2141" s="18" t="inlineStr">
        <is>
          <t>character varying(255)</t>
        </is>
      </c>
      <c r="H2141" s="18" t="inlineStr">
        <is>
          <t>Sí</t>
        </is>
      </c>
      <c r="I2141" s="18" t="inlineStr"/>
      <c r="J2141" s="18" t="inlineStr"/>
      <c r="K2141" s="18" t="inlineStr"/>
      <c r="L2141" s="18" t="inlineStr">
        <is>
          <t>No</t>
        </is>
      </c>
      <c r="M2141" s="18" t="inlineStr">
        <is>
          <t>No</t>
        </is>
      </c>
      <c r="N2141" s="18" t="inlineStr"/>
      <c r="O2141" s="18" t="inlineStr"/>
      <c r="P2141" s="18" t="inlineStr">
        <is>
          <t>internal-disciplinary-control-service/src/entities/disciplinary-news.entity.ts:161: Nota: Relación con asociaciones noticia-proceso se maneja via consultas directas para evitar dependencias circulares con DisciplinaryNewsProcess</t>
        </is>
      </c>
      <c r="Q2141" s="18" t="inlineStr">
        <is>
          <t>Código fuente</t>
        </is>
      </c>
      <c r="R2141" s="18" t="inlineStr">
        <is>
          <t>Correo electrónico de la entidad a la que se remite la noticia.</t>
        </is>
      </c>
      <c r="S2141" s="18" t="inlineStr">
        <is>
          <t>Alta</t>
        </is>
      </c>
      <c r="T2141" s="18" t="inlineStr">
        <is>
          <t>nombre + tipo + columnas vecinas</t>
        </is>
      </c>
      <c r="U2141" s="18" t="inlineStr"/>
      <c r="V2141" s="19" t="inlineStr">
        <is>
          <t>Pendiente</t>
        </is>
      </c>
      <c r="W2141" s="19" t="inlineStr"/>
      <c r="X2141" s="19" t="inlineStr"/>
      <c r="Y2141" s="20" t="n"/>
      <c r="Z2141" s="19" t="inlineStr"/>
      <c r="AA2141" s="18">
        <f>IF(OR(V2141="Aprobada"),R2141,IF(AND(OR(V2141="Aprobada con ajuste",V2141="Rechazada"),W2141&lt;&gt;""),W2141,""))</f>
        <v/>
      </c>
    </row>
    <row r="2142">
      <c r="A2142" s="18" t="inlineStr">
        <is>
          <t>C2141</t>
        </is>
      </c>
      <c r="B2142" s="18" t="inlineStr">
        <is>
          <t>Control disciplinario interno</t>
        </is>
      </c>
      <c r="C2142" s="18" t="inlineStr">
        <is>
          <t>internal_disciplinary_control</t>
        </is>
      </c>
      <c r="D2142" s="18" t="inlineStr">
        <is>
          <t>disciplinary_news</t>
        </is>
      </c>
      <c r="E2142" s="18" t="n">
        <v>35</v>
      </c>
      <c r="F2142" s="18" t="inlineStr">
        <is>
          <t>fecha_remision</t>
        </is>
      </c>
      <c r="G2142" s="18" t="inlineStr">
        <is>
          <t>timestamp with time zone</t>
        </is>
      </c>
      <c r="H2142" s="18" t="inlineStr">
        <is>
          <t>Sí</t>
        </is>
      </c>
      <c r="I2142" s="18" t="inlineStr"/>
      <c r="J2142" s="18" t="inlineStr"/>
      <c r="K2142" s="18" t="inlineStr"/>
      <c r="L2142" s="18" t="inlineStr">
        <is>
          <t>No</t>
        </is>
      </c>
      <c r="M2142" s="18" t="inlineStr">
        <is>
          <t>No</t>
        </is>
      </c>
      <c r="N2142" s="18" t="inlineStr"/>
      <c r="O2142" s="18" t="inlineStr">
        <is>
          <t>idx_news_fecha_remision</t>
        </is>
      </c>
      <c r="P2142" s="18" t="inlineStr">
        <is>
          <t>internal-disciplinary-control-service/src/entities/disciplinary-news.entity.ts:164: Nota: Relación con asociaciones noticia-proceso se maneja via consultas directas para evitar dependencias circulares con DisciplinaryNewsProcess</t>
        </is>
      </c>
      <c r="Q2142" s="18" t="inlineStr">
        <is>
          <t>Código fuente</t>
        </is>
      </c>
      <c r="R2142" s="18" t="inlineStr">
        <is>
          <t>Fecha y hora de remisión de la noticia a la entidad destino.</t>
        </is>
      </c>
      <c r="S2142" s="18" t="inlineStr">
        <is>
          <t>Alta</t>
        </is>
      </c>
      <c r="T2142" s="18" t="inlineStr">
        <is>
          <t>nombre + tipo + propuesta por regla</t>
        </is>
      </c>
      <c r="U2142" s="18" t="inlineStr"/>
      <c r="V2142" s="19" t="inlineStr">
        <is>
          <t>Pendiente</t>
        </is>
      </c>
      <c r="W2142" s="19" t="inlineStr"/>
      <c r="X2142" s="19" t="inlineStr"/>
      <c r="Y2142" s="20" t="n"/>
      <c r="Z2142" s="19" t="inlineStr"/>
      <c r="AA2142" s="18">
        <f>IF(OR(V2142="Aprobada"),R2142,IF(AND(OR(V2142="Aprobada con ajuste",V2142="Rechazada"),W2142&lt;&gt;""),W2142,""))</f>
        <v/>
      </c>
    </row>
    <row r="2143">
      <c r="A2143" s="18" t="inlineStr">
        <is>
          <t>C2142</t>
        </is>
      </c>
      <c r="B2143" s="18" t="inlineStr">
        <is>
          <t>Control disciplinario interno</t>
        </is>
      </c>
      <c r="C2143" s="18" t="inlineStr">
        <is>
          <t>internal_disciplinary_control</t>
        </is>
      </c>
      <c r="D2143" s="18" t="inlineStr">
        <is>
          <t>disciplinary_news</t>
        </is>
      </c>
      <c r="E2143" s="18" t="n">
        <v>35</v>
      </c>
      <c r="F2143" s="18" t="inlineStr">
        <is>
          <t>tipo_remision</t>
        </is>
      </c>
      <c r="G2143" s="18" t="inlineStr">
        <is>
          <t>character varying(100)</t>
        </is>
      </c>
      <c r="H2143" s="18" t="inlineStr">
        <is>
          <t>Sí</t>
        </is>
      </c>
      <c r="I2143" s="18" t="inlineStr"/>
      <c r="J2143" s="18" t="inlineStr"/>
      <c r="K2143" s="18" t="inlineStr"/>
      <c r="L2143" s="18" t="inlineStr">
        <is>
          <t>No</t>
        </is>
      </c>
      <c r="M2143" s="18" t="inlineStr">
        <is>
          <t>No</t>
        </is>
      </c>
      <c r="N2143" s="18" t="inlineStr"/>
      <c r="O2143" s="18" t="inlineStr"/>
      <c r="P2143" s="18" t="inlineStr">
        <is>
          <t>internal-disciplinary-control-service/src/entities/disciplinary-news.entity.ts:167: Nota: Relación con asociaciones noticia-proceso se maneja via consultas directas para evitar dependencias circulares con DisciplinaryNewsProcess | Validación: IsOptional, IsString</t>
        </is>
      </c>
      <c r="Q2143" s="18" t="inlineStr">
        <is>
          <t>Código fuente</t>
        </is>
      </c>
      <c r="R2143" s="18" t="inlineStr">
        <is>
          <t>Tipo de remisión de la noticia disciplinaria.</t>
        </is>
      </c>
      <c r="S2143" s="18" t="inlineStr">
        <is>
          <t>Baja</t>
        </is>
      </c>
      <c r="T2143" s="18" t="inlineStr">
        <is>
          <t>nombre + tipo</t>
        </is>
      </c>
      <c r="U2143" s="18" t="inlineStr">
        <is>
          <t>¿Qué valores admite tipo_remision?</t>
        </is>
      </c>
      <c r="V2143" s="19" t="inlineStr">
        <is>
          <t>Pendiente</t>
        </is>
      </c>
      <c r="W2143" s="19" t="inlineStr"/>
      <c r="X2143" s="19" t="inlineStr"/>
      <c r="Y2143" s="20" t="n"/>
      <c r="Z2143" s="19" t="inlineStr"/>
      <c r="AA2143" s="18">
        <f>IF(OR(V2143="Aprobada"),R2143,IF(AND(OR(V2143="Aprobada con ajuste",V2143="Rechazada"),W2143&lt;&gt;""),W2143,""))</f>
        <v/>
      </c>
    </row>
    <row r="2144">
      <c r="A2144" s="18" t="inlineStr">
        <is>
          <t>C2143</t>
        </is>
      </c>
      <c r="B2144" s="18" t="inlineStr">
        <is>
          <t>Control disciplinario interno</t>
        </is>
      </c>
      <c r="C2144" s="18" t="inlineStr">
        <is>
          <t>internal_disciplinary_control</t>
        </is>
      </c>
      <c r="D2144" s="18" t="inlineStr">
        <is>
          <t>disciplinary_news</t>
        </is>
      </c>
      <c r="E2144" s="18" t="n">
        <v>35</v>
      </c>
      <c r="F2144" s="18" t="inlineStr">
        <is>
          <t>justificacion_remision</t>
        </is>
      </c>
      <c r="G2144" s="18" t="inlineStr">
        <is>
          <t>text</t>
        </is>
      </c>
      <c r="H2144" s="18" t="inlineStr">
        <is>
          <t>Sí</t>
        </is>
      </c>
      <c r="I2144" s="18" t="inlineStr"/>
      <c r="J2144" s="18" t="inlineStr"/>
      <c r="K2144" s="18" t="inlineStr"/>
      <c r="L2144" s="18" t="inlineStr">
        <is>
          <t>No</t>
        </is>
      </c>
      <c r="M2144" s="18" t="inlineStr">
        <is>
          <t>No</t>
        </is>
      </c>
      <c r="N2144" s="18" t="inlineStr"/>
      <c r="O2144" s="18" t="inlineStr"/>
      <c r="P2144" s="18" t="inlineStr">
        <is>
          <t>internal-disciplinary-control-service/src/entities/disciplinary-news.entity.ts:170: Nota: Relación con asociaciones noticia-proceso se maneja via consultas directas para evitar dependencias circulares con DisciplinaryNewsProcess</t>
        </is>
      </c>
      <c r="Q2144" s="18" t="inlineStr">
        <is>
          <t>Código fuente</t>
        </is>
      </c>
      <c r="R2144" s="18" t="inlineStr">
        <is>
          <t>Justificación de la remisión de la noticia disciplinaria.</t>
        </is>
      </c>
      <c r="S2144" s="18" t="inlineStr">
        <is>
          <t>Alta</t>
        </is>
      </c>
      <c r="T2144" s="18" t="inlineStr">
        <is>
          <t>nombre + tipo + columnas vecinas</t>
        </is>
      </c>
      <c r="U2144" s="18" t="inlineStr"/>
      <c r="V2144" s="19" t="inlineStr">
        <is>
          <t>Pendiente</t>
        </is>
      </c>
      <c r="W2144" s="19" t="inlineStr"/>
      <c r="X2144" s="19" t="inlineStr"/>
      <c r="Y2144" s="20" t="n"/>
      <c r="Z2144" s="19" t="inlineStr"/>
      <c r="AA2144" s="18">
        <f>IF(OR(V2144="Aprobada"),R2144,IF(AND(OR(V2144="Aprobada con ajuste",V2144="Rechazada"),W2144&lt;&gt;""),W2144,""))</f>
        <v/>
      </c>
    </row>
    <row r="2145">
      <c r="A2145" s="18" t="inlineStr">
        <is>
          <t>C2144</t>
        </is>
      </c>
      <c r="B2145" s="18" t="inlineStr">
        <is>
          <t>Control disciplinario interno</t>
        </is>
      </c>
      <c r="C2145" s="18" t="inlineStr">
        <is>
          <t>internal_disciplinary_control</t>
        </is>
      </c>
      <c r="D2145" s="18" t="inlineStr">
        <is>
          <t>disciplinary_news</t>
        </is>
      </c>
      <c r="E2145" s="18" t="n">
        <v>35</v>
      </c>
      <c r="F2145" s="18" t="inlineStr">
        <is>
          <t>descripcion_remision</t>
        </is>
      </c>
      <c r="G2145" s="18" t="inlineStr">
        <is>
          <t>jsonb</t>
        </is>
      </c>
      <c r="H2145" s="18" t="inlineStr">
        <is>
          <t>Sí</t>
        </is>
      </c>
      <c r="I2145" s="18" t="inlineStr"/>
      <c r="J2145" s="18" t="inlineStr"/>
      <c r="K2145" s="18" t="inlineStr"/>
      <c r="L2145" s="18" t="inlineStr">
        <is>
          <t>No</t>
        </is>
      </c>
      <c r="M2145" s="18" t="inlineStr">
        <is>
          <t>No</t>
        </is>
      </c>
      <c r="N2145" s="18" t="inlineStr"/>
      <c r="O2145" s="18" t="inlineStr"/>
      <c r="P2145" s="18" t="inlineStr">
        <is>
          <t>internal-disciplinary-control-service/src/entities/disciplinary-news.entity.ts:173: Nota: Relación con asociaciones noticia-proceso se maneja via consultas directas para evitar dependencias circulares con DisciplinaryNewsProcess</t>
        </is>
      </c>
      <c r="Q2145" s="18" t="inlineStr">
        <is>
          <t>Código fuente</t>
        </is>
      </c>
      <c r="R2145" s="18" t="inlineStr">
        <is>
          <t>Descripción de la remisión de la noticia, como arreglo JSON. Por defecto, arreglo vacío.</t>
        </is>
      </c>
      <c r="S2145" s="18" t="inlineStr">
        <is>
          <t>Baja</t>
        </is>
      </c>
      <c r="T2145" s="18" t="inlineStr">
        <is>
          <t>nombre + tipo + defecto</t>
        </is>
      </c>
      <c r="U2145" s="18" t="inlineStr">
        <is>
          <t>¿Qué estructura tienen los elementos del arreglo?</t>
        </is>
      </c>
      <c r="V2145" s="19" t="inlineStr">
        <is>
          <t>Pendiente</t>
        </is>
      </c>
      <c r="W2145" s="19" t="inlineStr"/>
      <c r="X2145" s="19" t="inlineStr"/>
      <c r="Y2145" s="20" t="n"/>
      <c r="Z2145" s="19" t="inlineStr"/>
      <c r="AA2145" s="18">
        <f>IF(OR(V2145="Aprobada"),R2145,IF(AND(OR(V2145="Aprobada con ajuste",V2145="Rechazada"),W2145&lt;&gt;""),W2145,""))</f>
        <v/>
      </c>
    </row>
    <row r="2146">
      <c r="A2146" s="18" t="inlineStr">
        <is>
          <t>C2145</t>
        </is>
      </c>
      <c r="B2146" s="18" t="inlineStr">
        <is>
          <t>Control disciplinario interno</t>
        </is>
      </c>
      <c r="C2146" s="18" t="inlineStr">
        <is>
          <t>internal_disciplinary_control</t>
        </is>
      </c>
      <c r="D2146" s="18" t="inlineStr">
        <is>
          <t>disciplinary_news</t>
        </is>
      </c>
      <c r="E2146" s="18" t="n">
        <v>35</v>
      </c>
      <c r="F2146" s="18" t="inlineStr">
        <is>
          <t>radicador_id</t>
        </is>
      </c>
      <c r="G2146" s="18" t="inlineStr">
        <is>
          <t>uuid</t>
        </is>
      </c>
      <c r="H2146" s="18" t="inlineStr">
        <is>
          <t>Sí</t>
        </is>
      </c>
      <c r="I2146" s="18" t="inlineStr"/>
      <c r="J2146" s="18" t="inlineStr"/>
      <c r="K2146" s="18" t="inlineStr"/>
      <c r="L2146" s="18" t="inlineStr">
        <is>
          <t>No</t>
        </is>
      </c>
      <c r="M2146" s="18" t="inlineStr">
        <is>
          <t>No</t>
        </is>
      </c>
      <c r="N2146" s="18" t="inlineStr"/>
      <c r="O2146" s="18" t="inlineStr"/>
      <c r="P2146" s="18" t="inlineStr">
        <is>
          <t>Mapeada en internal-disciplinary-control-service/src/entities/disciplinary-news.entity.ts:108 (DisciplinaryNews.radicadorId) | Validación: IsOptional, IsString, IsUUID</t>
        </is>
      </c>
      <c r="Q2146" s="18" t="inlineStr">
        <is>
          <t>Propuesta semántica</t>
        </is>
      </c>
      <c r="R2146" s="18" t="inlineStr">
        <is>
          <t>Identificador del usuario que radicó la noticia disciplinaria.</t>
        </is>
      </c>
      <c r="S2146" s="18" t="inlineStr">
        <is>
          <t>Media</t>
        </is>
      </c>
      <c r="T2146" s="18" t="inlineStr">
        <is>
          <t>nombre + tipo + validaciones del DTO</t>
        </is>
      </c>
      <c r="U2146" s="18" t="inlineStr">
        <is>
          <t>¿Es el id de auth."user" o de auth.personas?</t>
        </is>
      </c>
      <c r="V2146" s="19" t="inlineStr">
        <is>
          <t>Pendiente</t>
        </is>
      </c>
      <c r="W2146" s="19" t="inlineStr"/>
      <c r="X2146" s="19" t="inlineStr"/>
      <c r="Y2146" s="20" t="n"/>
      <c r="Z2146" s="19" t="inlineStr"/>
      <c r="AA2146" s="18">
        <f>IF(OR(V2146="Aprobada"),R2146,IF(AND(OR(V2146="Aprobada con ajuste",V2146="Rechazada"),W2146&lt;&gt;""),W2146,""))</f>
        <v/>
      </c>
    </row>
    <row r="2147">
      <c r="A2147" s="18" t="inlineStr">
        <is>
          <t>C2146</t>
        </is>
      </c>
      <c r="B2147" s="18" t="inlineStr">
        <is>
          <t>Control disciplinario interno</t>
        </is>
      </c>
      <c r="C2147" s="18" t="inlineStr">
        <is>
          <t>internal_disciplinary_control</t>
        </is>
      </c>
      <c r="D2147" s="18" t="inlineStr">
        <is>
          <t>disciplinary_news</t>
        </is>
      </c>
      <c r="E2147" s="18" t="n">
        <v>35</v>
      </c>
      <c r="F2147" s="18" t="inlineStr">
        <is>
          <t>conducta_disciplinaria</t>
        </is>
      </c>
      <c r="G2147" s="18" t="inlineStr">
        <is>
          <t>character varying(255)</t>
        </is>
      </c>
      <c r="H2147" s="18" t="inlineStr">
        <is>
          <t>Sí</t>
        </is>
      </c>
      <c r="I2147" s="18" t="inlineStr"/>
      <c r="J2147" s="18" t="inlineStr"/>
      <c r="K2147" s="18" t="inlineStr"/>
      <c r="L2147" s="18" t="inlineStr">
        <is>
          <t>No</t>
        </is>
      </c>
      <c r="M2147" s="18" t="inlineStr">
        <is>
          <t>No</t>
        </is>
      </c>
      <c r="N2147" s="18" t="inlineStr"/>
      <c r="O2147" s="18" t="inlineStr"/>
      <c r="P2147" s="18" t="inlineStr">
        <is>
          <t>db/migrations/220_add_conducta_column_disciplinary.sql:8: Conducta indisciplinaria seleccionada | Validación: IsString</t>
        </is>
      </c>
      <c r="Q2147" s="18" t="inlineStr">
        <is>
          <t>Código fuente</t>
        </is>
      </c>
      <c r="R2147" s="18" t="inlineStr">
        <is>
          <t>Conducta disciplinaria seleccionada para la noticia.</t>
        </is>
      </c>
      <c r="S2147" s="18" t="inlineStr">
        <is>
          <t>Alta</t>
        </is>
      </c>
      <c r="T2147" s="18" t="inlineStr">
        <is>
          <t>código: db/migrations/220_add_conducta_column_disciplinary.sql:8</t>
        </is>
      </c>
      <c r="U2147" s="18" t="inlineStr"/>
      <c r="V2147" s="19" t="inlineStr">
        <is>
          <t>Pendiente</t>
        </is>
      </c>
      <c r="W2147" s="19" t="inlineStr"/>
      <c r="X2147" s="19" t="inlineStr"/>
      <c r="Y2147" s="20" t="n"/>
      <c r="Z2147" s="19" t="inlineStr"/>
      <c r="AA2147" s="18">
        <f>IF(OR(V2147="Aprobada"),R2147,IF(AND(OR(V2147="Aprobada con ajuste",V2147="Rechazada"),W2147&lt;&gt;""),W2147,""))</f>
        <v/>
      </c>
    </row>
    <row r="2148">
      <c r="A2148" s="18" t="inlineStr">
        <is>
          <t>C2147</t>
        </is>
      </c>
      <c r="B2148" s="18" t="inlineStr">
        <is>
          <t>Control disciplinario interno</t>
        </is>
      </c>
      <c r="C2148" s="18" t="inlineStr">
        <is>
          <t>internal_disciplinary_control</t>
        </is>
      </c>
      <c r="D2148" s="18" t="inlineStr">
        <is>
          <t>disciplinary_process_actuaciones</t>
        </is>
      </c>
      <c r="E2148" s="18" t="n">
        <v>148</v>
      </c>
      <c r="F2148" s="18" t="inlineStr">
        <is>
          <t>tipo</t>
        </is>
      </c>
      <c r="G2148" s="18" t="inlineStr">
        <is>
          <t>character varying(50)</t>
        </is>
      </c>
      <c r="H2148" s="18" t="inlineStr">
        <is>
          <t>No</t>
        </is>
      </c>
      <c r="I2148" s="18" t="inlineStr"/>
      <c r="J2148" s="18" t="inlineStr"/>
      <c r="K2148" s="18" t="inlineStr"/>
      <c r="L2148" s="18" t="inlineStr">
        <is>
          <t>No</t>
        </is>
      </c>
      <c r="M2148" s="18" t="inlineStr">
        <is>
          <t>No</t>
        </is>
      </c>
      <c r="N2148" s="18" t="inlineStr"/>
      <c r="O2148" s="18" t="inlineStr"/>
      <c r="P2148" s="18" t="inlineStr">
        <is>
          <t>Mapeada en internal-disciplinary-control-service/src/entities/disciplinary-process-actuacion.entity.ts:40 (DisciplinaryProcessActuacion.tipo) | Validación: IsEnum(TipoAlerta), IsEnum(TipoFestivo), IsNotEmpty, IsOptional, IsString, MaxLength(50)</t>
        </is>
      </c>
      <c r="Q2148" s="18" t="inlineStr">
        <is>
          <t>Regla estructural</t>
        </is>
      </c>
      <c r="R2148" s="18" t="inlineStr">
        <is>
          <t>Tipo del registro de disciplinary_process_actuaciones.</t>
        </is>
      </c>
      <c r="S2148" s="18" t="inlineStr">
        <is>
          <t>Media</t>
        </is>
      </c>
      <c r="T2148" s="18" t="inlineStr">
        <is>
          <t>Convención de nombre de la columna.</t>
        </is>
      </c>
      <c r="U2148" s="18" t="inlineStr"/>
      <c r="V2148" s="19" t="inlineStr">
        <is>
          <t>Pendiente</t>
        </is>
      </c>
      <c r="W2148" s="19" t="inlineStr"/>
      <c r="X2148" s="19" t="inlineStr"/>
      <c r="Y2148" s="20" t="n"/>
      <c r="Z2148" s="19" t="inlineStr"/>
      <c r="AA2148" s="18">
        <f>IF(OR(V2148="Aprobada"),R2148,IF(AND(OR(V2148="Aprobada con ajuste",V2148="Rechazada"),W2148&lt;&gt;""),W2148,""))</f>
        <v/>
      </c>
    </row>
    <row r="2149">
      <c r="A2149" s="18" t="inlineStr">
        <is>
          <t>C2148</t>
        </is>
      </c>
      <c r="B2149" s="18" t="inlineStr">
        <is>
          <t>Control disciplinario interno</t>
        </is>
      </c>
      <c r="C2149" s="18" t="inlineStr">
        <is>
          <t>internal_disciplinary_control</t>
        </is>
      </c>
      <c r="D2149" s="18" t="inlineStr">
        <is>
          <t>disciplinary_process_actuaciones</t>
        </is>
      </c>
      <c r="E2149" s="18" t="n">
        <v>148</v>
      </c>
      <c r="F2149" s="18" t="inlineStr">
        <is>
          <t>etapa</t>
        </is>
      </c>
      <c r="G2149" s="18" t="inlineStr">
        <is>
          <t>character varying(80)</t>
        </is>
      </c>
      <c r="H2149" s="18" t="inlineStr">
        <is>
          <t>Sí</t>
        </is>
      </c>
      <c r="I2149" s="18" t="inlineStr"/>
      <c r="J2149" s="18" t="inlineStr"/>
      <c r="K2149" s="18" t="inlineStr"/>
      <c r="L2149" s="18" t="inlineStr">
        <is>
          <t>No</t>
        </is>
      </c>
      <c r="M2149" s="18" t="inlineStr">
        <is>
          <t>No</t>
        </is>
      </c>
      <c r="N2149" s="18" t="inlineStr"/>
      <c r="O2149" s="18" t="inlineStr"/>
      <c r="P2149" s="18" t="inlineStr">
        <is>
          <t>Mapeada en internal-disciplinary-control-service/src/entities/disciplinary-process-actuacion.entity.ts:43 (DisciplinaryProcessActuacion.etapa) | Validación: IsOptional, IsString, MaxLength(80)</t>
        </is>
      </c>
      <c r="Q2149" s="18" t="inlineStr">
        <is>
          <t>Propuesta semántica</t>
        </is>
      </c>
      <c r="R2149" s="18" t="inlineStr">
        <is>
          <t>Etapa del proceso disciplinario en que se registra la actuación.</t>
        </is>
      </c>
      <c r="S2149" s="18" t="inlineStr">
        <is>
          <t>Media</t>
        </is>
      </c>
      <c r="T2149" s="18" t="inlineStr">
        <is>
          <t>nombre + tipo + columnas vecinas</t>
        </is>
      </c>
      <c r="U2149" s="18" t="inlineStr">
        <is>
          <t>¿Qué etapas existen y de qué catálogo provienen?</t>
        </is>
      </c>
      <c r="V2149" s="19" t="inlineStr">
        <is>
          <t>Pendiente</t>
        </is>
      </c>
      <c r="W2149" s="19" t="inlineStr"/>
      <c r="X2149" s="19" t="inlineStr"/>
      <c r="Y2149" s="20" t="n"/>
      <c r="Z2149" s="19" t="inlineStr"/>
      <c r="AA2149" s="18">
        <f>IF(OR(V2149="Aprobada"),R2149,IF(AND(OR(V2149="Aprobada con ajuste",V2149="Rechazada"),W2149&lt;&gt;""),W2149,""))</f>
        <v/>
      </c>
    </row>
    <row r="2150">
      <c r="A2150" s="18" t="inlineStr">
        <is>
          <t>C2149</t>
        </is>
      </c>
      <c r="B2150" s="18" t="inlineStr">
        <is>
          <t>Control disciplinario interno</t>
        </is>
      </c>
      <c r="C2150" s="18" t="inlineStr">
        <is>
          <t>internal_disciplinary_control</t>
        </is>
      </c>
      <c r="D2150" s="18" t="inlineStr">
        <is>
          <t>disciplinary_process_actuaciones</t>
        </is>
      </c>
      <c r="E2150" s="18" t="n">
        <v>148</v>
      </c>
      <c r="F2150" s="18" t="inlineStr">
        <is>
          <t>descripcion</t>
        </is>
      </c>
      <c r="G2150" s="18" t="inlineStr">
        <is>
          <t>text</t>
        </is>
      </c>
      <c r="H2150" s="18" t="inlineStr">
        <is>
          <t>No</t>
        </is>
      </c>
      <c r="I2150" s="18" t="inlineStr"/>
      <c r="J2150" s="18" t="inlineStr"/>
      <c r="K2150" s="18" t="inlineStr"/>
      <c r="L2150" s="18" t="inlineStr">
        <is>
          <t>No</t>
        </is>
      </c>
      <c r="M2150" s="18" t="inlineStr">
        <is>
          <t>No</t>
        </is>
      </c>
      <c r="N2150" s="18" t="inlineStr"/>
      <c r="O2150" s="18" t="inlineStr"/>
      <c r="P2150" s="18" t="inlineStr">
        <is>
          <t>Mapeada en internal-disciplinary-control-service/src/entities/disciplinary-process-actuacion.entity.ts:46 (DisciplinaryProcessActuacion.descripcion) | Validación: IsNotEmpty, IsObject, IsOptional, IsString</t>
        </is>
      </c>
      <c r="Q2150" s="18" t="inlineStr">
        <is>
          <t>Regla estructural</t>
        </is>
      </c>
      <c r="R2150" s="18" t="inlineStr">
        <is>
          <t>Descripción del registro de disciplinary_process_actuaciones.</t>
        </is>
      </c>
      <c r="S2150" s="18" t="inlineStr">
        <is>
          <t>Media</t>
        </is>
      </c>
      <c r="T2150" s="18" t="inlineStr">
        <is>
          <t>Convención de nombre de la columna.</t>
        </is>
      </c>
      <c r="U2150" s="18" t="inlineStr"/>
      <c r="V2150" s="19" t="inlineStr">
        <is>
          <t>Pendiente</t>
        </is>
      </c>
      <c r="W2150" s="19" t="inlineStr"/>
      <c r="X2150" s="19" t="inlineStr"/>
      <c r="Y2150" s="20" t="n"/>
      <c r="Z2150" s="19" t="inlineStr"/>
      <c r="AA2150" s="18">
        <f>IF(OR(V2150="Aprobada"),R2150,IF(AND(OR(V2150="Aprobada con ajuste",V2150="Rechazada"),W2150&lt;&gt;""),W2150,""))</f>
        <v/>
      </c>
    </row>
    <row r="2151">
      <c r="A2151" s="18" t="inlineStr">
        <is>
          <t>C2150</t>
        </is>
      </c>
      <c r="B2151" s="18" t="inlineStr">
        <is>
          <t>Control disciplinario interno</t>
        </is>
      </c>
      <c r="C2151" s="18" t="inlineStr">
        <is>
          <t>internal_disciplinary_control</t>
        </is>
      </c>
      <c r="D2151" s="18" t="inlineStr">
        <is>
          <t>disciplinary_process_actuaciones</t>
        </is>
      </c>
      <c r="E2151" s="18" t="n">
        <v>148</v>
      </c>
      <c r="F2151" s="18" t="inlineStr">
        <is>
          <t>responsableNombre</t>
        </is>
      </c>
      <c r="G2151" s="18" t="inlineStr">
        <is>
          <t>character varying(255)</t>
        </is>
      </c>
      <c r="H2151" s="18" t="inlineStr">
        <is>
          <t>No</t>
        </is>
      </c>
      <c r="I2151" s="18" t="inlineStr"/>
      <c r="J2151" s="18" t="inlineStr"/>
      <c r="K2151" s="18" t="inlineStr"/>
      <c r="L2151" s="18" t="inlineStr">
        <is>
          <t>No</t>
        </is>
      </c>
      <c r="M2151" s="18" t="inlineStr">
        <is>
          <t>No</t>
        </is>
      </c>
      <c r="N2151" s="18" t="inlineStr"/>
      <c r="O2151" s="18" t="inlineStr"/>
      <c r="P2151" s="18" t="inlineStr">
        <is>
          <t>Mapeada en internal-disciplinary-control-service/src/entities/disciplinary-process-actuacion.entity.ts:49 (DisciplinaryProcessActuacion.responsableNombre) | Validación: IsNotEmpty, IsOptional, IsString, MaxLength(255)</t>
        </is>
      </c>
      <c r="Q2151" s="18" t="inlineStr">
        <is>
          <t>Propuesta semántica</t>
        </is>
      </c>
      <c r="R2151" s="18" t="inlineStr">
        <is>
          <t>Nombre del responsable de la actuación.</t>
        </is>
      </c>
      <c r="S2151" s="18" t="inlineStr">
        <is>
          <t>Alta</t>
        </is>
      </c>
      <c r="T2151" s="18" t="inlineStr">
        <is>
          <t>nombre + tipo + columnas vecinas</t>
        </is>
      </c>
      <c r="U2151" s="18" t="inlineStr"/>
      <c r="V2151" s="19" t="inlineStr">
        <is>
          <t>Pendiente</t>
        </is>
      </c>
      <c r="W2151" s="19" t="inlineStr"/>
      <c r="X2151" s="19" t="inlineStr"/>
      <c r="Y2151" s="20" t="n"/>
      <c r="Z2151" s="19" t="inlineStr"/>
      <c r="AA2151" s="18">
        <f>IF(OR(V2151="Aprobada"),R2151,IF(AND(OR(V2151="Aprobada con ajuste",V2151="Rechazada"),W2151&lt;&gt;""),W2151,""))</f>
        <v/>
      </c>
    </row>
    <row r="2152">
      <c r="A2152" s="18" t="inlineStr">
        <is>
          <t>C2151</t>
        </is>
      </c>
      <c r="B2152" s="18" t="inlineStr">
        <is>
          <t>Control disciplinario interno</t>
        </is>
      </c>
      <c r="C2152" s="18" t="inlineStr">
        <is>
          <t>internal_disciplinary_control</t>
        </is>
      </c>
      <c r="D2152" s="18" t="inlineStr">
        <is>
          <t>disciplinary_process_actuaciones</t>
        </is>
      </c>
      <c r="E2152" s="18" t="n">
        <v>148</v>
      </c>
      <c r="F2152" s="18" t="inlineStr">
        <is>
          <t>fechaActuacion</t>
        </is>
      </c>
      <c r="G2152" s="18" t="inlineStr">
        <is>
          <t>timestamp with time zone</t>
        </is>
      </c>
      <c r="H2152" s="18" t="inlineStr">
        <is>
          <t>No</t>
        </is>
      </c>
      <c r="I2152" s="18" t="inlineStr"/>
      <c r="J2152" s="18" t="inlineStr"/>
      <c r="K2152" s="18" t="inlineStr"/>
      <c r="L2152" s="18" t="inlineStr">
        <is>
          <t>No</t>
        </is>
      </c>
      <c r="M2152" s="18" t="inlineStr">
        <is>
          <t>No</t>
        </is>
      </c>
      <c r="N2152" s="18" t="inlineStr"/>
      <c r="O2152" s="18" t="inlineStr">
        <is>
          <t>idx_disciplinary_process_actuaciones_fecha</t>
        </is>
      </c>
      <c r="P2152" s="18" t="inlineStr">
        <is>
          <t>Mapeada en internal-disciplinary-control-service/src/entities/disciplinary-process-actuacion.entity.ts:52 (DisciplinaryProcessActuacion.fechaActuacion) | Validación: IsDateString, IsNotEmpty</t>
        </is>
      </c>
      <c r="Q2152" s="18" t="inlineStr">
        <is>
          <t>Propuesta semántica</t>
        </is>
      </c>
      <c r="R2152" s="18" t="inlineStr">
        <is>
          <t>Fecha y hora de la actuación; por defecto, la del registro.</t>
        </is>
      </c>
      <c r="S2152" s="18" t="inlineStr">
        <is>
          <t>Alta</t>
        </is>
      </c>
      <c r="T2152" s="18" t="inlineStr">
        <is>
          <t>nombre + defecto CURRENT_TIMESTAMP</t>
        </is>
      </c>
      <c r="U2152" s="18" t="inlineStr"/>
      <c r="V2152" s="19" t="inlineStr">
        <is>
          <t>Pendiente</t>
        </is>
      </c>
      <c r="W2152" s="19" t="inlineStr"/>
      <c r="X2152" s="19" t="inlineStr"/>
      <c r="Y2152" s="20" t="n"/>
      <c r="Z2152" s="19" t="inlineStr"/>
      <c r="AA2152" s="18">
        <f>IF(OR(V2152="Aprobada"),R2152,IF(AND(OR(V2152="Aprobada con ajuste",V2152="Rechazada"),W2152&lt;&gt;""),W2152,""))</f>
        <v/>
      </c>
    </row>
    <row r="2153">
      <c r="A2153" s="18" t="inlineStr">
        <is>
          <t>C2152</t>
        </is>
      </c>
      <c r="B2153" s="18" t="inlineStr">
        <is>
          <t>Control disciplinario interno</t>
        </is>
      </c>
      <c r="C2153" s="18" t="inlineStr">
        <is>
          <t>internal_disciplinary_control</t>
        </is>
      </c>
      <c r="D2153" s="18" t="inlineStr">
        <is>
          <t>disciplinary_process_actuaciones</t>
        </is>
      </c>
      <c r="E2153" s="18" t="n">
        <v>148</v>
      </c>
      <c r="F2153" s="18" t="inlineStr">
        <is>
          <t>observaciones</t>
        </is>
      </c>
      <c r="G2153" s="18" t="inlineStr">
        <is>
          <t>text</t>
        </is>
      </c>
      <c r="H2153" s="18" t="inlineStr">
        <is>
          <t>Sí</t>
        </is>
      </c>
      <c r="I2153" s="18" t="inlineStr"/>
      <c r="J2153" s="18" t="inlineStr"/>
      <c r="K2153" s="18" t="inlineStr"/>
      <c r="L2153" s="18" t="inlineStr">
        <is>
          <t>No</t>
        </is>
      </c>
      <c r="M2153" s="18" t="inlineStr">
        <is>
          <t>No</t>
        </is>
      </c>
      <c r="N2153" s="18" t="inlineStr"/>
      <c r="O2153" s="18" t="inlineStr"/>
      <c r="P2153" s="18" t="inlineStr">
        <is>
          <t>Mapeada en internal-disciplinary-control-service/src/entities/disciplinary-process-actuacion.entity.ts:55 (DisciplinaryProcessActuacion.observaciones) | Validación: IsNotEmpty, IsOptional, IsString</t>
        </is>
      </c>
      <c r="Q2153" s="18" t="inlineStr">
        <is>
          <t>Regla estructural</t>
        </is>
      </c>
      <c r="R2153" s="18" t="inlineStr">
        <is>
          <t>Observaciones registradas sobre el registro.</t>
        </is>
      </c>
      <c r="S2153" s="18" t="inlineStr">
        <is>
          <t>Media</t>
        </is>
      </c>
      <c r="T2153" s="18" t="inlineStr">
        <is>
          <t>Convención de nombre de la columna.</t>
        </is>
      </c>
      <c r="U2153" s="18" t="inlineStr"/>
      <c r="V2153" s="19" t="inlineStr">
        <is>
          <t>Pendiente</t>
        </is>
      </c>
      <c r="W2153" s="19" t="inlineStr"/>
      <c r="X2153" s="19" t="inlineStr"/>
      <c r="Y2153" s="20" t="n"/>
      <c r="Z2153" s="19" t="inlineStr"/>
      <c r="AA2153" s="18">
        <f>IF(OR(V2153="Aprobada"),R2153,IF(AND(OR(V2153="Aprobada con ajuste",V2153="Rechazada"),W2153&lt;&gt;""),W2153,""))</f>
        <v/>
      </c>
    </row>
    <row r="2154">
      <c r="A2154" s="18" t="inlineStr">
        <is>
          <t>C2153</t>
        </is>
      </c>
      <c r="B2154" s="18" t="inlineStr">
        <is>
          <t>Control disciplinario interno</t>
        </is>
      </c>
      <c r="C2154" s="18" t="inlineStr">
        <is>
          <t>internal_disciplinary_control</t>
        </is>
      </c>
      <c r="D2154" s="18" t="inlineStr">
        <is>
          <t>disciplinary_process_notes</t>
        </is>
      </c>
      <c r="E2154" s="18" t="n">
        <v>14</v>
      </c>
      <c r="F2154" s="18" t="inlineStr">
        <is>
          <t>texto</t>
        </is>
      </c>
      <c r="G2154" s="18" t="inlineStr">
        <is>
          <t>text</t>
        </is>
      </c>
      <c r="H2154" s="18" t="inlineStr">
        <is>
          <t>No</t>
        </is>
      </c>
      <c r="I2154" s="18" t="inlineStr"/>
      <c r="J2154" s="18" t="inlineStr"/>
      <c r="K2154" s="18" t="inlineStr"/>
      <c r="L2154" s="18" t="inlineStr">
        <is>
          <t>No</t>
        </is>
      </c>
      <c r="M2154" s="18" t="inlineStr">
        <is>
          <t>No</t>
        </is>
      </c>
      <c r="N2154" s="18" t="inlineStr"/>
      <c r="O2154" s="18" t="inlineStr"/>
      <c r="P2154" s="18" t="inlineStr">
        <is>
          <t>Mapeada en internal-disciplinary-control-service/src/entities/disciplinary-process-note.entity.ts:26 (DisciplinaryProcessNote.texto) | Validación: IsNotEmpty, IsString</t>
        </is>
      </c>
      <c r="Q2154" s="18" t="inlineStr">
        <is>
          <t>Propuesta semántica</t>
        </is>
      </c>
      <c r="R2154" s="18" t="inlineStr">
        <is>
          <t>Texto de la nota del proceso disciplinario.</t>
        </is>
      </c>
      <c r="S2154" s="18" t="inlineStr">
        <is>
          <t>Alta</t>
        </is>
      </c>
      <c r="T2154" s="18" t="inlineStr">
        <is>
          <t>nombre + tipo + columnas vecinas</t>
        </is>
      </c>
      <c r="U2154" s="18" t="inlineStr"/>
      <c r="V2154" s="19" t="inlineStr">
        <is>
          <t>Pendiente</t>
        </is>
      </c>
      <c r="W2154" s="19" t="inlineStr"/>
      <c r="X2154" s="19" t="inlineStr"/>
      <c r="Y2154" s="20" t="n"/>
      <c r="Z2154" s="19" t="inlineStr"/>
      <c r="AA2154" s="18">
        <f>IF(OR(V2154="Aprobada"),R2154,IF(AND(OR(V2154="Aprobada con ajuste",V2154="Rechazada"),W2154&lt;&gt;""),W2154,""))</f>
        <v/>
      </c>
    </row>
    <row r="2155">
      <c r="A2155" s="18" t="inlineStr">
        <is>
          <t>C2154</t>
        </is>
      </c>
      <c r="B2155" s="18" t="inlineStr">
        <is>
          <t>Control disciplinario interno</t>
        </is>
      </c>
      <c r="C2155" s="18" t="inlineStr">
        <is>
          <t>internal_disciplinary_control</t>
        </is>
      </c>
      <c r="D2155" s="18" t="inlineStr">
        <is>
          <t>disciplinary_process_notes</t>
        </is>
      </c>
      <c r="E2155" s="18" t="n">
        <v>14</v>
      </c>
      <c r="F2155" s="18" t="inlineStr">
        <is>
          <t>etapa</t>
        </is>
      </c>
      <c r="G2155" s="18" t="inlineStr">
        <is>
          <t>character varying(80)</t>
        </is>
      </c>
      <c r="H2155" s="18" t="inlineStr">
        <is>
          <t>Sí</t>
        </is>
      </c>
      <c r="I2155" s="18" t="inlineStr"/>
      <c r="J2155" s="18" t="inlineStr"/>
      <c r="K2155" s="18" t="inlineStr"/>
      <c r="L2155" s="18" t="inlineStr">
        <is>
          <t>No</t>
        </is>
      </c>
      <c r="M2155" s="18" t="inlineStr">
        <is>
          <t>No</t>
        </is>
      </c>
      <c r="N2155" s="18" t="inlineStr"/>
      <c r="O2155" s="18" t="inlineStr"/>
      <c r="P2155" s="18" t="inlineStr">
        <is>
          <t>Mapeada en internal-disciplinary-control-service/src/entities/disciplinary-process-note.entity.ts:29 (DisciplinaryProcessNote.etapa) | Validación: IsOptional, IsString, MaxLength(80)</t>
        </is>
      </c>
      <c r="Q2155" s="18" t="inlineStr">
        <is>
          <t>Propuesta semántica</t>
        </is>
      </c>
      <c r="R2155" s="18" t="inlineStr">
        <is>
          <t>Etapa del proceso disciplinario a la que corresponde la nota.</t>
        </is>
      </c>
      <c r="S2155" s="18" t="inlineStr">
        <is>
          <t>Media</t>
        </is>
      </c>
      <c r="T2155" s="18" t="inlineStr">
        <is>
          <t>nombre + tipo + columnas vecinas</t>
        </is>
      </c>
      <c r="U2155" s="18" t="inlineStr">
        <is>
          <t>¿Qué etapas existen y de qué catálogo provienen?</t>
        </is>
      </c>
      <c r="V2155" s="19" t="inlineStr">
        <is>
          <t>Pendiente</t>
        </is>
      </c>
      <c r="W2155" s="19" t="inlineStr"/>
      <c r="X2155" s="19" t="inlineStr"/>
      <c r="Y2155" s="20" t="n"/>
      <c r="Z2155" s="19" t="inlineStr"/>
      <c r="AA2155" s="18">
        <f>IF(OR(V2155="Aprobada"),R2155,IF(AND(OR(V2155="Aprobada con ajuste",V2155="Rechazada"),W2155&lt;&gt;""),W2155,""))</f>
        <v/>
      </c>
    </row>
    <row r="2156">
      <c r="A2156" s="18" t="inlineStr">
        <is>
          <t>C2155</t>
        </is>
      </c>
      <c r="B2156" s="18" t="inlineStr">
        <is>
          <t>Control disciplinario interno</t>
        </is>
      </c>
      <c r="C2156" s="18" t="inlineStr">
        <is>
          <t>internal_disciplinary_control</t>
        </is>
      </c>
      <c r="D2156" s="18" t="inlineStr">
        <is>
          <t>disciplinary_process_reassignment_requests</t>
        </is>
      </c>
      <c r="E2156" s="18" t="n">
        <v>24</v>
      </c>
      <c r="F2156" s="18" t="inlineStr">
        <is>
          <t>was_initially_unassigned</t>
        </is>
      </c>
      <c r="G2156" s="18" t="inlineStr">
        <is>
          <t>boolean</t>
        </is>
      </c>
      <c r="H2156" s="18" t="inlineStr">
        <is>
          <t>Sí</t>
        </is>
      </c>
      <c r="I2156" s="18" t="inlineStr"/>
      <c r="J2156" s="18" t="inlineStr"/>
      <c r="K2156" s="18" t="inlineStr"/>
      <c r="L2156" s="18" t="inlineStr">
        <is>
          <t>No</t>
        </is>
      </c>
      <c r="M2156" s="18" t="inlineStr">
        <is>
          <t>No</t>
        </is>
      </c>
      <c r="N2156" s="18" t="inlineStr"/>
      <c r="O2156" s="18" t="inlineStr"/>
      <c r="P2156" s="18" t="inlineStr">
        <is>
          <t>Mapeada en internal-disciplinary-control-service/src/entities/disciplinary-process-reassignment-request.entity.ts:45 (DisciplinaryProcessReassignmentRequest.wasInitiallyUnassigned)</t>
        </is>
      </c>
      <c r="Q2156" s="18" t="inlineStr">
        <is>
          <t>Regla estructural</t>
        </is>
      </c>
      <c r="R2156" s="18" t="inlineStr">
        <is>
          <t>Indica si aplica: was initially unassigned.</t>
        </is>
      </c>
      <c r="S2156" s="18" t="inlineStr">
        <is>
          <t>Media</t>
        </is>
      </c>
      <c r="T2156" s="18" t="inlineStr">
        <is>
          <t>Convención de nombre de la columna.</t>
        </is>
      </c>
      <c r="U2156" s="18" t="inlineStr"/>
      <c r="V2156" s="19" t="inlineStr">
        <is>
          <t>Pendiente</t>
        </is>
      </c>
      <c r="W2156" s="19" t="inlineStr"/>
      <c r="X2156" s="19" t="inlineStr"/>
      <c r="Y2156" s="20" t="n"/>
      <c r="Z2156" s="19" t="inlineStr"/>
      <c r="AA2156" s="18">
        <f>IF(OR(V2156="Aprobada"),R2156,IF(AND(OR(V2156="Aprobada con ajuste",V2156="Rechazada"),W2156&lt;&gt;""),W2156,""))</f>
        <v/>
      </c>
    </row>
    <row r="2157">
      <c r="A2157" s="18" t="inlineStr">
        <is>
          <t>C2156</t>
        </is>
      </c>
      <c r="B2157" s="18" t="inlineStr">
        <is>
          <t>Control disciplinario interno</t>
        </is>
      </c>
      <c r="C2157" s="18" t="inlineStr">
        <is>
          <t>internal_disciplinary_control</t>
        </is>
      </c>
      <c r="D2157" s="18" t="inlineStr">
        <is>
          <t>disciplinary_process_tasks</t>
        </is>
      </c>
      <c r="E2157" s="18" t="n">
        <v>15</v>
      </c>
      <c r="F2157" s="18" t="inlineStr">
        <is>
          <t>titulo</t>
        </is>
      </c>
      <c r="G2157" s="18" t="inlineStr">
        <is>
          <t>character varying(255)</t>
        </is>
      </c>
      <c r="H2157" s="18" t="inlineStr">
        <is>
          <t>No</t>
        </is>
      </c>
      <c r="I2157" s="18" t="inlineStr"/>
      <c r="J2157" s="18" t="inlineStr"/>
      <c r="K2157" s="18" t="inlineStr"/>
      <c r="L2157" s="18" t="inlineStr">
        <is>
          <t>No</t>
        </is>
      </c>
      <c r="M2157" s="18" t="inlineStr">
        <is>
          <t>No</t>
        </is>
      </c>
      <c r="N2157" s="18" t="inlineStr"/>
      <c r="O2157" s="18" t="inlineStr"/>
      <c r="P2157" s="18" t="inlineStr">
        <is>
          <t>Mapeada en internal-disciplinary-control-service/src/entities/disciplinary-process-task.entity.ts:26 (DisciplinaryProcessTask.titulo) | Validación: IsNotEmpty, IsString, MaxLength(255)</t>
        </is>
      </c>
      <c r="Q2157" s="18" t="inlineStr">
        <is>
          <t>Propuesta semántica</t>
        </is>
      </c>
      <c r="R2157" s="18" t="inlineStr">
        <is>
          <t>Título de la tarea del proceso disciplinario.</t>
        </is>
      </c>
      <c r="S2157" s="18" t="inlineStr">
        <is>
          <t>Alta</t>
        </is>
      </c>
      <c r="T2157" s="18" t="inlineStr">
        <is>
          <t>nombre + tipo + columnas vecinas</t>
        </is>
      </c>
      <c r="U2157" s="18" t="inlineStr"/>
      <c r="V2157" s="19" t="inlineStr">
        <is>
          <t>Pendiente</t>
        </is>
      </c>
      <c r="W2157" s="19" t="inlineStr"/>
      <c r="X2157" s="19" t="inlineStr"/>
      <c r="Y2157" s="20" t="n"/>
      <c r="Z2157" s="19" t="inlineStr"/>
      <c r="AA2157" s="18">
        <f>IF(OR(V2157="Aprobada"),R2157,IF(AND(OR(V2157="Aprobada con ajuste",V2157="Rechazada"),W2157&lt;&gt;""),W2157,""))</f>
        <v/>
      </c>
    </row>
    <row r="2158">
      <c r="A2158" s="18" t="inlineStr">
        <is>
          <t>C2157</t>
        </is>
      </c>
      <c r="B2158" s="18" t="inlineStr">
        <is>
          <t>Control disciplinario interno</t>
        </is>
      </c>
      <c r="C2158" s="18" t="inlineStr">
        <is>
          <t>internal_disciplinary_control</t>
        </is>
      </c>
      <c r="D2158" s="18" t="inlineStr">
        <is>
          <t>disciplinary_process_tasks</t>
        </is>
      </c>
      <c r="E2158" s="18" t="n">
        <v>15</v>
      </c>
      <c r="F2158" s="18" t="inlineStr">
        <is>
          <t>descripcion</t>
        </is>
      </c>
      <c r="G2158" s="18" t="inlineStr">
        <is>
          <t>text</t>
        </is>
      </c>
      <c r="H2158" s="18" t="inlineStr">
        <is>
          <t>Sí</t>
        </is>
      </c>
      <c r="I2158" s="18" t="inlineStr"/>
      <c r="J2158" s="18" t="inlineStr"/>
      <c r="K2158" s="18" t="inlineStr"/>
      <c r="L2158" s="18" t="inlineStr">
        <is>
          <t>No</t>
        </is>
      </c>
      <c r="M2158" s="18" t="inlineStr">
        <is>
          <t>No</t>
        </is>
      </c>
      <c r="N2158" s="18" t="inlineStr"/>
      <c r="O2158" s="18" t="inlineStr"/>
      <c r="P2158" s="18" t="inlineStr">
        <is>
          <t>Mapeada en internal-disciplinary-control-service/src/entities/disciplinary-process-task.entity.ts:29 (DisciplinaryProcessTask.descripcion) | Validación: IsNotEmpty, IsObject, IsOptional, IsString</t>
        </is>
      </c>
      <c r="Q2158" s="18" t="inlineStr">
        <is>
          <t>Regla estructural</t>
        </is>
      </c>
      <c r="R2158" s="18" t="inlineStr">
        <is>
          <t>Descripción del registro de disciplinary_process_tasks.</t>
        </is>
      </c>
      <c r="S2158" s="18" t="inlineStr">
        <is>
          <t>Media</t>
        </is>
      </c>
      <c r="T2158" s="18" t="inlineStr">
        <is>
          <t>Convención de nombre de la columna.</t>
        </is>
      </c>
      <c r="U2158" s="18" t="inlineStr"/>
      <c r="V2158" s="19" t="inlineStr">
        <is>
          <t>Pendiente</t>
        </is>
      </c>
      <c r="W2158" s="19" t="inlineStr"/>
      <c r="X2158" s="19" t="inlineStr"/>
      <c r="Y2158" s="20" t="n"/>
      <c r="Z2158" s="19" t="inlineStr"/>
      <c r="AA2158" s="18">
        <f>IF(OR(V2158="Aprobada"),R2158,IF(AND(OR(V2158="Aprobada con ajuste",V2158="Rechazada"),W2158&lt;&gt;""),W2158,""))</f>
        <v/>
      </c>
    </row>
    <row r="2159">
      <c r="A2159" s="18" t="inlineStr">
        <is>
          <t>C2158</t>
        </is>
      </c>
      <c r="B2159" s="18" t="inlineStr">
        <is>
          <t>Control disciplinario interno</t>
        </is>
      </c>
      <c r="C2159" s="18" t="inlineStr">
        <is>
          <t>internal_disciplinary_control</t>
        </is>
      </c>
      <c r="D2159" s="18" t="inlineStr">
        <is>
          <t>disciplinary_process_tasks</t>
        </is>
      </c>
      <c r="E2159" s="18" t="n">
        <v>15</v>
      </c>
      <c r="F2159" s="18" t="inlineStr">
        <is>
          <t>prioridad</t>
        </is>
      </c>
      <c r="G2159" s="18" t="inlineStr">
        <is>
          <t>character varying(20)</t>
        </is>
      </c>
      <c r="H2159" s="18" t="inlineStr">
        <is>
          <t>No</t>
        </is>
      </c>
      <c r="I2159" s="18" t="inlineStr"/>
      <c r="J2159" s="18" t="inlineStr"/>
      <c r="K2159" s="18" t="inlineStr"/>
      <c r="L2159" s="18" t="inlineStr">
        <is>
          <t>No</t>
        </is>
      </c>
      <c r="M2159" s="18" t="inlineStr">
        <is>
          <t>No</t>
        </is>
      </c>
      <c r="N2159" s="18" t="inlineStr"/>
      <c r="O2159" s="18" t="inlineStr"/>
      <c r="P2159" s="18" t="inlineStr">
        <is>
          <t>Mapeada en internal-disciplinary-control-service/src/entities/disciplinary-process-task.entity.ts:32 (DisciplinaryProcessTask.prioridad) | Validación: IsIn(['alta', 'media', 'baja']), IsString</t>
        </is>
      </c>
      <c r="Q2159" s="18" t="inlineStr">
        <is>
          <t>Propuesta semántica</t>
        </is>
      </c>
      <c r="R2159" s="18" t="inlineStr">
        <is>
          <t>Prioridad de la tarea. Valores permitidos: alta, media, baja.</t>
        </is>
      </c>
      <c r="S2159" s="18" t="inlineStr">
        <is>
          <t>Alta</t>
        </is>
      </c>
      <c r="T2159" s="18" t="inlineStr">
        <is>
          <t>validación IsIn + defecto</t>
        </is>
      </c>
      <c r="U2159" s="18" t="inlineStr"/>
      <c r="V2159" s="19" t="inlineStr">
        <is>
          <t>Pendiente</t>
        </is>
      </c>
      <c r="W2159" s="19" t="inlineStr"/>
      <c r="X2159" s="19" t="inlineStr"/>
      <c r="Y2159" s="20" t="n"/>
      <c r="Z2159" s="19" t="inlineStr"/>
      <c r="AA2159" s="18">
        <f>IF(OR(V2159="Aprobada"),R2159,IF(AND(OR(V2159="Aprobada con ajuste",V2159="Rechazada"),W2159&lt;&gt;""),W2159,""))</f>
        <v/>
      </c>
    </row>
    <row r="2160">
      <c r="A2160" s="18" t="inlineStr">
        <is>
          <t>C2159</t>
        </is>
      </c>
      <c r="B2160" s="18" t="inlineStr">
        <is>
          <t>Control disciplinario interno</t>
        </is>
      </c>
      <c r="C2160" s="18" t="inlineStr">
        <is>
          <t>internal_disciplinary_control</t>
        </is>
      </c>
      <c r="D2160" s="18" t="inlineStr">
        <is>
          <t>disciplinary_process_tasks</t>
        </is>
      </c>
      <c r="E2160" s="18" t="n">
        <v>15</v>
      </c>
      <c r="F2160" s="18" t="inlineStr">
        <is>
          <t>etapa</t>
        </is>
      </c>
      <c r="G2160" s="18" t="inlineStr">
        <is>
          <t>character varying(80)</t>
        </is>
      </c>
      <c r="H2160" s="18" t="inlineStr">
        <is>
          <t>Sí</t>
        </is>
      </c>
      <c r="I2160" s="18" t="inlineStr"/>
      <c r="J2160" s="18" t="inlineStr"/>
      <c r="K2160" s="18" t="inlineStr"/>
      <c r="L2160" s="18" t="inlineStr">
        <is>
          <t>No</t>
        </is>
      </c>
      <c r="M2160" s="18" t="inlineStr">
        <is>
          <t>No</t>
        </is>
      </c>
      <c r="N2160" s="18" t="inlineStr"/>
      <c r="O2160" s="18" t="inlineStr"/>
      <c r="P2160" s="18" t="inlineStr">
        <is>
          <t>Mapeada en internal-disciplinary-control-service/src/entities/disciplinary-process-task.entity.ts:35 (DisciplinaryProcessTask.etapa) | Validación: IsOptional, IsString, MaxLength(80)</t>
        </is>
      </c>
      <c r="Q2160" s="18" t="inlineStr">
        <is>
          <t>Propuesta semántica</t>
        </is>
      </c>
      <c r="R2160" s="18" t="inlineStr">
        <is>
          <t>Etapa del proceso disciplinario a la que corresponde la tarea.</t>
        </is>
      </c>
      <c r="S2160" s="18" t="inlineStr">
        <is>
          <t>Media</t>
        </is>
      </c>
      <c r="T2160" s="18" t="inlineStr">
        <is>
          <t>nombre + tipo + columnas vecinas</t>
        </is>
      </c>
      <c r="U2160" s="18" t="inlineStr">
        <is>
          <t>¿Qué etapas existen y de qué catálogo provienen?</t>
        </is>
      </c>
      <c r="V2160" s="19" t="inlineStr">
        <is>
          <t>Pendiente</t>
        </is>
      </c>
      <c r="W2160" s="19" t="inlineStr"/>
      <c r="X2160" s="19" t="inlineStr"/>
      <c r="Y2160" s="20" t="n"/>
      <c r="Z2160" s="19" t="inlineStr"/>
      <c r="AA2160" s="18">
        <f>IF(OR(V2160="Aprobada"),R2160,IF(AND(OR(V2160="Aprobada con ajuste",V2160="Rechazada"),W2160&lt;&gt;""),W2160,""))</f>
        <v/>
      </c>
    </row>
    <row r="2161">
      <c r="A2161" s="18" t="inlineStr">
        <is>
          <t>C2160</t>
        </is>
      </c>
      <c r="B2161" s="18" t="inlineStr">
        <is>
          <t>Control disciplinario interno</t>
        </is>
      </c>
      <c r="C2161" s="18" t="inlineStr">
        <is>
          <t>internal_disciplinary_control</t>
        </is>
      </c>
      <c r="D2161" s="18" t="inlineStr">
        <is>
          <t>disciplinary_process_tasks</t>
        </is>
      </c>
      <c r="E2161" s="18" t="n">
        <v>15</v>
      </c>
      <c r="F2161" s="18" t="inlineStr">
        <is>
          <t>responsableNombre</t>
        </is>
      </c>
      <c r="G2161" s="18" t="inlineStr">
        <is>
          <t>character varying(255)</t>
        </is>
      </c>
      <c r="H2161" s="18" t="inlineStr">
        <is>
          <t>Sí</t>
        </is>
      </c>
      <c r="I2161" s="18" t="inlineStr"/>
      <c r="J2161" s="18" t="inlineStr"/>
      <c r="K2161" s="18" t="inlineStr"/>
      <c r="L2161" s="18" t="inlineStr">
        <is>
          <t>No</t>
        </is>
      </c>
      <c r="M2161" s="18" t="inlineStr">
        <is>
          <t>No</t>
        </is>
      </c>
      <c r="N2161" s="18" t="inlineStr"/>
      <c r="O2161" s="18" t="inlineStr"/>
      <c r="P2161" s="18" t="inlineStr">
        <is>
          <t>Mapeada en internal-disciplinary-control-service/src/entities/disciplinary-process-task.entity.ts:38 (DisciplinaryProcessTask.responsableNombre) | Validación: IsNotEmpty, IsOptional, IsString, MaxLength(255)</t>
        </is>
      </c>
      <c r="Q2161" s="18" t="inlineStr">
        <is>
          <t>Propuesta semántica</t>
        </is>
      </c>
      <c r="R2161" s="18" t="inlineStr">
        <is>
          <t>Nombre del responsable de la tarea.</t>
        </is>
      </c>
      <c r="S2161" s="18" t="inlineStr">
        <is>
          <t>Alta</t>
        </is>
      </c>
      <c r="T2161" s="18" t="inlineStr">
        <is>
          <t>nombre + tipo + columnas vecinas</t>
        </is>
      </c>
      <c r="U2161" s="18" t="inlineStr"/>
      <c r="V2161" s="19" t="inlineStr">
        <is>
          <t>Pendiente</t>
        </is>
      </c>
      <c r="W2161" s="19" t="inlineStr"/>
      <c r="X2161" s="19" t="inlineStr"/>
      <c r="Y2161" s="20" t="n"/>
      <c r="Z2161" s="19" t="inlineStr"/>
      <c r="AA2161" s="18">
        <f>IF(OR(V2161="Aprobada"),R2161,IF(AND(OR(V2161="Aprobada con ajuste",V2161="Rechazada"),W2161&lt;&gt;""),W2161,""))</f>
        <v/>
      </c>
    </row>
    <row r="2162">
      <c r="A2162" s="18" t="inlineStr">
        <is>
          <t>C2161</t>
        </is>
      </c>
      <c r="B2162" s="18" t="inlineStr">
        <is>
          <t>Control disciplinario interno</t>
        </is>
      </c>
      <c r="C2162" s="18" t="inlineStr">
        <is>
          <t>internal_disciplinary_control</t>
        </is>
      </c>
      <c r="D2162" s="18" t="inlineStr">
        <is>
          <t>disciplinary_process_tasks</t>
        </is>
      </c>
      <c r="E2162" s="18" t="n">
        <v>15</v>
      </c>
      <c r="F2162" s="18" t="inlineStr">
        <is>
          <t>fechaVencimiento</t>
        </is>
      </c>
      <c r="G2162" s="18" t="inlineStr">
        <is>
          <t>date</t>
        </is>
      </c>
      <c r="H2162" s="18" t="inlineStr">
        <is>
          <t>No</t>
        </is>
      </c>
      <c r="I2162" s="18" t="inlineStr"/>
      <c r="J2162" s="18" t="inlineStr"/>
      <c r="K2162" s="18" t="inlineStr"/>
      <c r="L2162" s="18" t="inlineStr">
        <is>
          <t>No</t>
        </is>
      </c>
      <c r="M2162" s="18" t="inlineStr">
        <is>
          <t>No</t>
        </is>
      </c>
      <c r="N2162" s="18" t="inlineStr"/>
      <c r="O2162" s="18" t="inlineStr">
        <is>
          <t>idx_disciplinary_process_tasks_vencimiento</t>
        </is>
      </c>
      <c r="P2162" s="18" t="inlineStr">
        <is>
          <t>Mapeada en internal-disciplinary-control-service/src/entities/disciplinary-process-task.entity.ts:41 (DisciplinaryProcessTask.fechaVencimiento) | Validación: IsDateString, IsNotEmpty</t>
        </is>
      </c>
      <c r="Q2162" s="18" t="inlineStr">
        <is>
          <t>Propuesta semántica</t>
        </is>
      </c>
      <c r="R2162" s="18" t="inlineStr">
        <is>
          <t>Fecha de vencimiento de la tarea.</t>
        </is>
      </c>
      <c r="S2162" s="18" t="inlineStr">
        <is>
          <t>Alta</t>
        </is>
      </c>
      <c r="T2162" s="18" t="inlineStr">
        <is>
          <t>nombre + tipo + columnas vecinas</t>
        </is>
      </c>
      <c r="U2162" s="18" t="inlineStr"/>
      <c r="V2162" s="19" t="inlineStr">
        <is>
          <t>Pendiente</t>
        </is>
      </c>
      <c r="W2162" s="19" t="inlineStr"/>
      <c r="X2162" s="19" t="inlineStr"/>
      <c r="Y2162" s="20" t="n"/>
      <c r="Z2162" s="19" t="inlineStr"/>
      <c r="AA2162" s="18">
        <f>IF(OR(V2162="Aprobada"),R2162,IF(AND(OR(V2162="Aprobada con ajuste",V2162="Rechazada"),W2162&lt;&gt;""),W2162,""))</f>
        <v/>
      </c>
    </row>
    <row r="2163">
      <c r="A2163" s="18" t="inlineStr">
        <is>
          <t>C2162</t>
        </is>
      </c>
      <c r="B2163" s="18" t="inlineStr">
        <is>
          <t>Control disciplinario interno</t>
        </is>
      </c>
      <c r="C2163" s="18" t="inlineStr">
        <is>
          <t>internal_disciplinary_control</t>
        </is>
      </c>
      <c r="D2163" s="18" t="inlineStr">
        <is>
          <t>disciplinary_process_tasks</t>
        </is>
      </c>
      <c r="E2163" s="18" t="n">
        <v>15</v>
      </c>
      <c r="F2163" s="18" t="inlineStr">
        <is>
          <t>completada</t>
        </is>
      </c>
      <c r="G2163" s="18" t="inlineStr">
        <is>
          <t>boolean</t>
        </is>
      </c>
      <c r="H2163" s="18" t="inlineStr">
        <is>
          <t>No</t>
        </is>
      </c>
      <c r="I2163" s="18" t="inlineStr"/>
      <c r="J2163" s="18" t="inlineStr"/>
      <c r="K2163" s="18" t="inlineStr"/>
      <c r="L2163" s="18" t="inlineStr">
        <is>
          <t>No</t>
        </is>
      </c>
      <c r="M2163" s="18" t="inlineStr">
        <is>
          <t>No</t>
        </is>
      </c>
      <c r="N2163" s="18" t="inlineStr"/>
      <c r="O2163" s="18" t="inlineStr">
        <is>
          <t>idx_disciplinary_process_tasks_completada</t>
        </is>
      </c>
      <c r="P2163" s="18" t="inlineStr">
        <is>
          <t>Mapeada en internal-disciplinary-control-service/src/entities/disciplinary-process-task.entity.ts:44 (DisciplinaryProcessTask.completada) | Validación: IsBoolean</t>
        </is>
      </c>
      <c r="Q2163" s="18" t="inlineStr">
        <is>
          <t>Regla estructural</t>
        </is>
      </c>
      <c r="R2163" s="18" t="inlineStr">
        <is>
          <t>Indica si el registro está completada.</t>
        </is>
      </c>
      <c r="S2163" s="18" t="inlineStr">
        <is>
          <t>Media</t>
        </is>
      </c>
      <c r="T2163" s="18" t="inlineStr">
        <is>
          <t>Convención de nombre de la columna.</t>
        </is>
      </c>
      <c r="U2163" s="18" t="inlineStr"/>
      <c r="V2163" s="19" t="inlineStr">
        <is>
          <t>Pendiente</t>
        </is>
      </c>
      <c r="W2163" s="19" t="inlineStr"/>
      <c r="X2163" s="19" t="inlineStr"/>
      <c r="Y2163" s="20" t="n"/>
      <c r="Z2163" s="19" t="inlineStr"/>
      <c r="AA2163" s="18">
        <f>IF(OR(V2163="Aprobada"),R2163,IF(AND(OR(V2163="Aprobada con ajuste",V2163="Rechazada"),W2163&lt;&gt;""),W2163,""))</f>
        <v/>
      </c>
    </row>
    <row r="2164">
      <c r="A2164" s="18" t="inlineStr">
        <is>
          <t>C2163</t>
        </is>
      </c>
      <c r="B2164" s="18" t="inlineStr">
        <is>
          <t>Control disciplinario interno</t>
        </is>
      </c>
      <c r="C2164" s="18" t="inlineStr">
        <is>
          <t>internal_disciplinary_control</t>
        </is>
      </c>
      <c r="D2164" s="18" t="inlineStr">
        <is>
          <t>disciplinary_process_tasks</t>
        </is>
      </c>
      <c r="E2164" s="18" t="n">
        <v>15</v>
      </c>
      <c r="F2164" s="18" t="inlineStr">
        <is>
          <t>fechaCompletada</t>
        </is>
      </c>
      <c r="G2164" s="18" t="inlineStr">
        <is>
          <t>timestamp with time zone</t>
        </is>
      </c>
      <c r="H2164" s="18" t="inlineStr">
        <is>
          <t>Sí</t>
        </is>
      </c>
      <c r="I2164" s="18" t="inlineStr"/>
      <c r="J2164" s="18" t="inlineStr"/>
      <c r="K2164" s="18" t="inlineStr"/>
      <c r="L2164" s="18" t="inlineStr">
        <is>
          <t>No</t>
        </is>
      </c>
      <c r="M2164" s="18" t="inlineStr">
        <is>
          <t>No</t>
        </is>
      </c>
      <c r="N2164" s="18" t="inlineStr"/>
      <c r="O2164" s="18" t="inlineStr"/>
      <c r="P2164" s="18" t="inlineStr">
        <is>
          <t>Mapeada en internal-disciplinary-control-service/src/entities/disciplinary-process-task.entity.ts:47 (DisciplinaryProcessTask.fechaCompletada)</t>
        </is>
      </c>
      <c r="Q2164" s="18" t="inlineStr">
        <is>
          <t>Propuesta semántica</t>
        </is>
      </c>
      <c r="R2164" s="18" t="inlineStr">
        <is>
          <t>Fecha y hora en que se completó la tarea.</t>
        </is>
      </c>
      <c r="S2164" s="18" t="inlineStr">
        <is>
          <t>Alta</t>
        </is>
      </c>
      <c r="T2164" s="18" t="inlineStr">
        <is>
          <t>nombre + tipo + columnas vecinas</t>
        </is>
      </c>
      <c r="U2164" s="18" t="inlineStr"/>
      <c r="V2164" s="19" t="inlineStr">
        <is>
          <t>Pendiente</t>
        </is>
      </c>
      <c r="W2164" s="19" t="inlineStr"/>
      <c r="X2164" s="19" t="inlineStr"/>
      <c r="Y2164" s="20" t="n"/>
      <c r="Z2164" s="19" t="inlineStr"/>
      <c r="AA2164" s="18">
        <f>IF(OR(V2164="Aprobada"),R2164,IF(AND(OR(V2164="Aprobada con ajuste",V2164="Rechazada"),W2164&lt;&gt;""),W2164,""))</f>
        <v/>
      </c>
    </row>
    <row r="2165">
      <c r="A2165" s="18" t="inlineStr">
        <is>
          <t>C2164</t>
        </is>
      </c>
      <c r="B2165" s="18" t="inlineStr">
        <is>
          <t>Control disciplinario interno</t>
        </is>
      </c>
      <c r="C2165" s="18" t="inlineStr">
        <is>
          <t>internal_disciplinary_control</t>
        </is>
      </c>
      <c r="D2165" s="18" t="inlineStr">
        <is>
          <t>disciplinary_process_tasks</t>
        </is>
      </c>
      <c r="E2165" s="18" t="n">
        <v>15</v>
      </c>
      <c r="F2165" s="18" t="inlineStr">
        <is>
          <t>observaciones</t>
        </is>
      </c>
      <c r="G2165" s="18" t="inlineStr">
        <is>
          <t>text</t>
        </is>
      </c>
      <c r="H2165" s="18" t="inlineStr">
        <is>
          <t>Sí</t>
        </is>
      </c>
      <c r="I2165" s="18" t="inlineStr"/>
      <c r="J2165" s="18" t="inlineStr"/>
      <c r="K2165" s="18" t="inlineStr"/>
      <c r="L2165" s="18" t="inlineStr">
        <is>
          <t>No</t>
        </is>
      </c>
      <c r="M2165" s="18" t="inlineStr">
        <is>
          <t>No</t>
        </is>
      </c>
      <c r="N2165" s="18" t="inlineStr"/>
      <c r="O2165" s="18" t="inlineStr"/>
      <c r="P2165" s="18" t="inlineStr">
        <is>
          <t>Mapeada en internal-disciplinary-control-service/src/entities/disciplinary-process-task.entity.ts:50 (DisciplinaryProcessTask.observaciones) | Validación: IsNotEmpty, IsOptional, IsString</t>
        </is>
      </c>
      <c r="Q2165" s="18" t="inlineStr">
        <is>
          <t>Regla estructural</t>
        </is>
      </c>
      <c r="R2165" s="18" t="inlineStr">
        <is>
          <t>Observaciones registradas sobre el registro.</t>
        </is>
      </c>
      <c r="S2165" s="18" t="inlineStr">
        <is>
          <t>Media</t>
        </is>
      </c>
      <c r="T2165" s="18" t="inlineStr">
        <is>
          <t>Convención de nombre de la columna.</t>
        </is>
      </c>
      <c r="U2165" s="18" t="inlineStr"/>
      <c r="V2165" s="19" t="inlineStr">
        <is>
          <t>Pendiente</t>
        </is>
      </c>
      <c r="W2165" s="19" t="inlineStr"/>
      <c r="X2165" s="19" t="inlineStr"/>
      <c r="Y2165" s="20" t="n"/>
      <c r="Z2165" s="19" t="inlineStr"/>
      <c r="AA2165" s="18">
        <f>IF(OR(V2165="Aprobada"),R2165,IF(AND(OR(V2165="Aprobada con ajuste",V2165="Rechazada"),W2165&lt;&gt;""),W2165,""))</f>
        <v/>
      </c>
    </row>
    <row r="2166">
      <c r="A2166" s="18" t="inlineStr">
        <is>
          <t>C2165</t>
        </is>
      </c>
      <c r="B2166" s="18" t="inlineStr">
        <is>
          <t>Control disciplinario interno</t>
        </is>
      </c>
      <c r="C2166" s="18" t="inlineStr">
        <is>
          <t>internal_disciplinary_control</t>
        </is>
      </c>
      <c r="D2166" s="18" t="inlineStr">
        <is>
          <t>disciplinary_processes</t>
        </is>
      </c>
      <c r="E2166" s="18" t="n">
        <v>26</v>
      </c>
      <c r="F2166" s="18" t="inlineStr">
        <is>
          <t>radicadoProceso</t>
        </is>
      </c>
      <c r="G2166" s="18" t="inlineStr">
        <is>
          <t>character varying(255)</t>
        </is>
      </c>
      <c r="H2166" s="18" t="inlineStr">
        <is>
          <t>No</t>
        </is>
      </c>
      <c r="I2166" s="18" t="inlineStr">
        <is>
          <t>Única</t>
        </is>
      </c>
      <c r="J2166" s="18" t="inlineStr"/>
      <c r="K2166" s="18" t="inlineStr"/>
      <c r="L2166" s="18" t="inlineStr">
        <is>
          <t>No</t>
        </is>
      </c>
      <c r="M2166" s="18" t="inlineStr">
        <is>
          <t>No</t>
        </is>
      </c>
      <c r="N2166" s="18" t="inlineStr"/>
      <c r="O2166" s="18" t="inlineStr">
        <is>
          <t>disciplinary_processes_radicadoProceso_key, idx_disciplinary_processes_radicado, idx_process_radicado</t>
        </is>
      </c>
      <c r="P2166" s="18" t="inlineStr">
        <is>
          <t>internal-disciplinary-control-service/src/entities/disciplinary-process.entity.ts:43: P-###-YYYY</t>
        </is>
      </c>
      <c r="Q2166" s="18" t="inlineStr">
        <is>
          <t>Código fuente</t>
        </is>
      </c>
      <c r="R2166" s="18" t="inlineStr">
        <is>
          <t>Número de radicado del proceso disciplinario, único, con formato P-###-YYYY.</t>
        </is>
      </c>
      <c r="S2166" s="18" t="inlineStr">
        <is>
          <t>Alta</t>
        </is>
      </c>
      <c r="T2166" s="18" t="inlineStr">
        <is>
          <t>código: disciplinary-process.entity.ts:43 + restricción única</t>
        </is>
      </c>
      <c r="U2166" s="18" t="inlineStr"/>
      <c r="V2166" s="19" t="inlineStr">
        <is>
          <t>Pendiente</t>
        </is>
      </c>
      <c r="W2166" s="19" t="inlineStr"/>
      <c r="X2166" s="19" t="inlineStr"/>
      <c r="Y2166" s="20" t="n"/>
      <c r="Z2166" s="19" t="inlineStr"/>
      <c r="AA2166" s="18">
        <f>IF(OR(V2166="Aprobada"),R2166,IF(AND(OR(V2166="Aprobada con ajuste",V2166="Rechazada"),W2166&lt;&gt;""),W2166,""))</f>
        <v/>
      </c>
    </row>
    <row r="2167">
      <c r="A2167" s="18" t="inlineStr">
        <is>
          <t>C2166</t>
        </is>
      </c>
      <c r="B2167" s="18" t="inlineStr">
        <is>
          <t>Control disciplinario interno</t>
        </is>
      </c>
      <c r="C2167" s="18" t="inlineStr">
        <is>
          <t>internal_disciplinary_control</t>
        </is>
      </c>
      <c r="D2167" s="18" t="inlineStr">
        <is>
          <t>disciplinary_processes</t>
        </is>
      </c>
      <c r="E2167" s="18" t="n">
        <v>26</v>
      </c>
      <c r="F2167" s="18" t="inlineStr">
        <is>
          <t>newsId</t>
        </is>
      </c>
      <c r="G2167" s="18" t="inlineStr">
        <is>
          <t>uuid</t>
        </is>
      </c>
      <c r="H2167" s="18" t="inlineStr">
        <is>
          <t>No</t>
        </is>
      </c>
      <c r="I2167" s="18" t="inlineStr"/>
      <c r="J2167" s="18" t="inlineStr"/>
      <c r="K2167" s="18" t="inlineStr"/>
      <c r="L2167" s="18" t="inlineStr">
        <is>
          <t>No</t>
        </is>
      </c>
      <c r="M2167" s="18" t="inlineStr">
        <is>
          <t>No</t>
        </is>
      </c>
      <c r="N2167" s="18" t="inlineStr"/>
      <c r="O2167" s="18" t="inlineStr">
        <is>
          <t>idx_process_news</t>
        </is>
      </c>
      <c r="P2167" s="18" t="inlineStr">
        <is>
          <t>Mapeada en internal-disciplinary-control-service/src/entities/disciplinary-process.entity.ts:49 (DisciplinaryProcess.news) | Validación: IsOptional, IsString, IsUUID</t>
        </is>
      </c>
      <c r="Q2167" s="18" t="inlineStr">
        <is>
          <t>Propuesta semántica</t>
        </is>
      </c>
      <c r="R2167" s="18" t="inlineStr">
        <is>
          <t>Identificador (UUID) de la novedad o queja que dio origen al proceso disciplinario.</t>
        </is>
      </c>
      <c r="S2167" s="18" t="inlineStr">
        <is>
          <t>Media</t>
        </is>
      </c>
      <c r="T2167" s="18" t="inlineStr">
        <is>
          <t>nombre + tipo + columnas vecinas + validación IsUUID</t>
        </is>
      </c>
      <c r="U2167" s="18" t="inlineStr">
        <is>
          <t>¿newsId referencia a qué tabla de novedades o quejas, y por qué no tiene FK declarada?</t>
        </is>
      </c>
      <c r="V2167" s="19" t="inlineStr">
        <is>
          <t>Pendiente</t>
        </is>
      </c>
      <c r="W2167" s="19" t="inlineStr"/>
      <c r="X2167" s="19" t="inlineStr"/>
      <c r="Y2167" s="20" t="n"/>
      <c r="Z2167" s="19" t="inlineStr"/>
      <c r="AA2167" s="18">
        <f>IF(OR(V2167="Aprobada"),R2167,IF(AND(OR(V2167="Aprobada con ajuste",V2167="Rechazada"),W2167&lt;&gt;""),W2167,""))</f>
        <v/>
      </c>
    </row>
    <row r="2168">
      <c r="A2168" s="18" t="inlineStr">
        <is>
          <t>C2167</t>
        </is>
      </c>
      <c r="B2168" s="18" t="inlineStr">
        <is>
          <t>Control disciplinario interno</t>
        </is>
      </c>
      <c r="C2168" s="18" t="inlineStr">
        <is>
          <t>internal_disciplinary_control</t>
        </is>
      </c>
      <c r="D2168" s="18" t="inlineStr">
        <is>
          <t>disciplinary_processes</t>
        </is>
      </c>
      <c r="E2168" s="18" t="n">
        <v>26</v>
      </c>
      <c r="F2168" s="18" t="inlineStr">
        <is>
          <t>fechaPrescripcion</t>
        </is>
      </c>
      <c r="G2168" s="18" t="inlineStr">
        <is>
          <t>timestamp with time zone</t>
        </is>
      </c>
      <c r="H2168" s="18" t="inlineStr">
        <is>
          <t>Sí</t>
        </is>
      </c>
      <c r="I2168" s="18" t="inlineStr"/>
      <c r="J2168" s="18" t="inlineStr"/>
      <c r="K2168" s="18" t="inlineStr"/>
      <c r="L2168" s="18" t="inlineStr">
        <is>
          <t>No</t>
        </is>
      </c>
      <c r="M2168" s="18" t="inlineStr">
        <is>
          <t>No</t>
        </is>
      </c>
      <c r="N2168" s="18" t="inlineStr"/>
      <c r="O2168" s="18" t="inlineStr"/>
      <c r="P2168" s="18" t="inlineStr">
        <is>
          <t>Mapeada en internal-disciplinary-control-service/src/entities/disciplinary-process.entity.ts:82 (DisciplinaryProcess.fechaPrescripcion)</t>
        </is>
      </c>
      <c r="Q2168" s="18" t="inlineStr">
        <is>
          <t>Propuesta semántica</t>
        </is>
      </c>
      <c r="R2168" s="18" t="inlineStr">
        <is>
          <t>Fecha en que prescribe la acción disciplinaria del proceso.</t>
        </is>
      </c>
      <c r="S2168" s="18" t="inlineStr">
        <is>
          <t>Media</t>
        </is>
      </c>
      <c r="T2168" s="18" t="inlineStr">
        <is>
          <t>nombre + tipo + columnas vecinas</t>
        </is>
      </c>
      <c r="U2168" s="18" t="inlineStr">
        <is>
          <t>¿La fecha de prescripción se calcula automáticamente o la registra el abogado?</t>
        </is>
      </c>
      <c r="V2168" s="19" t="inlineStr">
        <is>
          <t>Pendiente</t>
        </is>
      </c>
      <c r="W2168" s="19" t="inlineStr"/>
      <c r="X2168" s="19" t="inlineStr"/>
      <c r="Y2168" s="20" t="n"/>
      <c r="Z2168" s="19" t="inlineStr"/>
      <c r="AA2168" s="18">
        <f>IF(OR(V2168="Aprobada"),R2168,IF(AND(OR(V2168="Aprobada con ajuste",V2168="Rechazada"),W2168&lt;&gt;""),W2168,""))</f>
        <v/>
      </c>
    </row>
    <row r="2169">
      <c r="A2169" s="18" t="inlineStr">
        <is>
          <t>C2168</t>
        </is>
      </c>
      <c r="B2169" s="18" t="inlineStr">
        <is>
          <t>Control disciplinario interno</t>
        </is>
      </c>
      <c r="C2169" s="18" t="inlineStr">
        <is>
          <t>internal_disciplinary_control</t>
        </is>
      </c>
      <c r="D2169" s="18" t="inlineStr">
        <is>
          <t>disciplinary_processes</t>
        </is>
      </c>
      <c r="E2169" s="18" t="n">
        <v>26</v>
      </c>
      <c r="F2169" s="18" t="inlineStr">
        <is>
          <t>fechaVencimientoEtapa</t>
        </is>
      </c>
      <c r="G2169" s="18" t="inlineStr">
        <is>
          <t>timestamp with time zone</t>
        </is>
      </c>
      <c r="H2169" s="18" t="inlineStr">
        <is>
          <t>Sí</t>
        </is>
      </c>
      <c r="I2169" s="18" t="inlineStr"/>
      <c r="J2169" s="18" t="inlineStr"/>
      <c r="K2169" s="18" t="inlineStr"/>
      <c r="L2169" s="18" t="inlineStr">
        <is>
          <t>No</t>
        </is>
      </c>
      <c r="M2169" s="18" t="inlineStr">
        <is>
          <t>No</t>
        </is>
      </c>
      <c r="N2169" s="18" t="inlineStr"/>
      <c r="O2169" s="18" t="inlineStr"/>
      <c r="P2169" s="18" t="inlineStr">
        <is>
          <t>Mapeada en internal-disciplinary-control-service/src/entities/disciplinary-process.entity.ts:85 (DisciplinaryProcess.fechaVencimientoEtapa)</t>
        </is>
      </c>
      <c r="Q2169" s="18" t="inlineStr">
        <is>
          <t>Propuesta semántica</t>
        </is>
      </c>
      <c r="R2169" s="18" t="inlineStr">
        <is>
          <t>Fecha en que vence el término de la etapa actual del proceso.</t>
        </is>
      </c>
      <c r="S2169" s="18" t="inlineStr">
        <is>
          <t>Media</t>
        </is>
      </c>
      <c r="T2169" s="18" t="inlineStr">
        <is>
          <t>nombre + tipo + columnas vecinas (etapaActual, fechaInicioEtapa)</t>
        </is>
      </c>
      <c r="U2169" s="18" t="inlineStr">
        <is>
          <t>¿Se calcula a partir de fechaInicioEtapa y los días hábiles de stage_configuration?</t>
        </is>
      </c>
      <c r="V2169" s="19" t="inlineStr">
        <is>
          <t>Pendiente</t>
        </is>
      </c>
      <c r="W2169" s="19" t="inlineStr"/>
      <c r="X2169" s="19" t="inlineStr"/>
      <c r="Y2169" s="20" t="n"/>
      <c r="Z2169" s="19" t="inlineStr"/>
      <c r="AA2169" s="18">
        <f>IF(OR(V2169="Aprobada"),R2169,IF(AND(OR(V2169="Aprobada con ajuste",V2169="Rechazada"),W2169&lt;&gt;""),W2169,""))</f>
        <v/>
      </c>
    </row>
    <row r="2170">
      <c r="A2170" s="18" t="inlineStr">
        <is>
          <t>C2169</t>
        </is>
      </c>
      <c r="B2170" s="18" t="inlineStr">
        <is>
          <t>Control disciplinario interno</t>
        </is>
      </c>
      <c r="C2170" s="18" t="inlineStr">
        <is>
          <t>internal_disciplinary_control</t>
        </is>
      </c>
      <c r="D2170" s="18" t="inlineStr">
        <is>
          <t>disciplinary_processes</t>
        </is>
      </c>
      <c r="E2170" s="18" t="n">
        <v>26</v>
      </c>
      <c r="F2170" s="18" t="inlineStr">
        <is>
          <t>observaciones</t>
        </is>
      </c>
      <c r="G2170" s="18" t="inlineStr">
        <is>
          <t>text</t>
        </is>
      </c>
      <c r="H2170" s="18" t="inlineStr">
        <is>
          <t>Sí</t>
        </is>
      </c>
      <c r="I2170" s="18" t="inlineStr"/>
      <c r="J2170" s="18" t="inlineStr"/>
      <c r="K2170" s="18" t="inlineStr"/>
      <c r="L2170" s="18" t="inlineStr">
        <is>
          <t>No</t>
        </is>
      </c>
      <c r="M2170" s="18" t="inlineStr">
        <is>
          <t>No</t>
        </is>
      </c>
      <c r="N2170" s="18" t="inlineStr"/>
      <c r="O2170" s="18" t="inlineStr"/>
      <c r="P2170" s="18" t="inlineStr">
        <is>
          <t>Mapeada en internal-disciplinary-control-service/src/entities/disciplinary-process.entity.ts:91 (DisciplinaryProcess.observaciones) | Validación: IsNotEmpty, IsOptional, IsString</t>
        </is>
      </c>
      <c r="Q2170" s="18" t="inlineStr">
        <is>
          <t>Regla estructural</t>
        </is>
      </c>
      <c r="R2170" s="18" t="inlineStr">
        <is>
          <t>Observaciones registradas sobre el registro.</t>
        </is>
      </c>
      <c r="S2170" s="18" t="inlineStr">
        <is>
          <t>Media</t>
        </is>
      </c>
      <c r="T2170" s="18" t="inlineStr">
        <is>
          <t>Convención de nombre de la columna.</t>
        </is>
      </c>
      <c r="U2170" s="18" t="inlineStr"/>
      <c r="V2170" s="19" t="inlineStr">
        <is>
          <t>Pendiente</t>
        </is>
      </c>
      <c r="W2170" s="19" t="inlineStr"/>
      <c r="X2170" s="19" t="inlineStr"/>
      <c r="Y2170" s="20" t="n"/>
      <c r="Z2170" s="19" t="inlineStr"/>
      <c r="AA2170" s="18">
        <f>IF(OR(V2170="Aprobada"),R2170,IF(AND(OR(V2170="Aprobada con ajuste",V2170="Rechazada"),W2170&lt;&gt;""),W2170,""))</f>
        <v/>
      </c>
    </row>
    <row r="2171">
      <c r="A2171" s="18" t="inlineStr">
        <is>
          <t>C2170</t>
        </is>
      </c>
      <c r="B2171" s="18" t="inlineStr">
        <is>
          <t>Control disciplinario interno</t>
        </is>
      </c>
      <c r="C2171" s="18" t="inlineStr">
        <is>
          <t>internal_disciplinary_control</t>
        </is>
      </c>
      <c r="D2171" s="18" t="inlineStr">
        <is>
          <t>disciplinary_processes</t>
        </is>
      </c>
      <c r="E2171" s="18" t="n">
        <v>26</v>
      </c>
      <c r="F2171" s="18" t="inlineStr">
        <is>
          <t>pruebas</t>
        </is>
      </c>
      <c r="G2171" s="18" t="inlineStr">
        <is>
          <t>text[]</t>
        </is>
      </c>
      <c r="H2171" s="18" t="inlineStr">
        <is>
          <t>Sí</t>
        </is>
      </c>
      <c r="I2171" s="18" t="inlineStr"/>
      <c r="J2171" s="18" t="inlineStr"/>
      <c r="K2171" s="18" t="inlineStr"/>
      <c r="L2171" s="18" t="inlineStr">
        <is>
          <t>No</t>
        </is>
      </c>
      <c r="M2171" s="18" t="inlineStr">
        <is>
          <t>No</t>
        </is>
      </c>
      <c r="N2171" s="18" t="inlineStr"/>
      <c r="O2171" s="18" t="inlineStr"/>
      <c r="P2171" s="18" t="inlineStr">
        <is>
          <t>Mapeada en internal-disciplinary-control-service/src/entities/disciplinary-process.entity.ts:94 (DisciplinaryProcess.pruebas)</t>
        </is>
      </c>
      <c r="Q2171" s="18" t="inlineStr">
        <is>
          <t>Propuesta semántica</t>
        </is>
      </c>
      <c r="R2171" s="18" t="inlineStr">
        <is>
          <t>Lista de pruebas asociadas al proceso disciplinario.</t>
        </is>
      </c>
      <c r="S2171" s="18" t="inlineStr">
        <is>
          <t>Baja</t>
        </is>
      </c>
      <c r="T2171" s="18" t="inlineStr">
        <is>
          <t>nombre + tipo + columnas vecinas</t>
        </is>
      </c>
      <c r="U2171" s="18" t="inlineStr">
        <is>
          <t>¿Qué contiene cada elemento del arreglo: URL, nombre de documento o descripción de la prueba?</t>
        </is>
      </c>
      <c r="V2171" s="19" t="inlineStr">
        <is>
          <t>Pendiente</t>
        </is>
      </c>
      <c r="W2171" s="19" t="inlineStr"/>
      <c r="X2171" s="19" t="inlineStr"/>
      <c r="Y2171" s="20" t="n"/>
      <c r="Z2171" s="19" t="inlineStr"/>
      <c r="AA2171" s="18">
        <f>IF(OR(V2171="Aprobada"),R2171,IF(AND(OR(V2171="Aprobada con ajuste",V2171="Rechazada"),W2171&lt;&gt;""),W2171,""))</f>
        <v/>
      </c>
    </row>
    <row r="2172">
      <c r="A2172" s="18" t="inlineStr">
        <is>
          <t>C2171</t>
        </is>
      </c>
      <c r="B2172" s="18" t="inlineStr">
        <is>
          <t>Control disciplinario interno</t>
        </is>
      </c>
      <c r="C2172" s="18" t="inlineStr">
        <is>
          <t>internal_disciplinary_control</t>
        </is>
      </c>
      <c r="D2172" s="18" t="inlineStr">
        <is>
          <t>disciplinary_processes</t>
        </is>
      </c>
      <c r="E2172" s="18" t="n">
        <v>26</v>
      </c>
      <c r="F2172" s="18" t="inlineStr">
        <is>
          <t>kanbanStage</t>
        </is>
      </c>
      <c r="G2172" s="18" t="inlineStr">
        <is>
          <t>uuid</t>
        </is>
      </c>
      <c r="H2172" s="18" t="inlineStr">
        <is>
          <t>Sí</t>
        </is>
      </c>
      <c r="I2172" s="18" t="inlineStr"/>
      <c r="J2172" s="18" t="inlineStr"/>
      <c r="K2172" s="18" t="inlineStr"/>
      <c r="L2172" s="18" t="inlineStr">
        <is>
          <t>No</t>
        </is>
      </c>
      <c r="M2172" s="18" t="inlineStr">
        <is>
          <t>No</t>
        </is>
      </c>
      <c r="N2172" s="18" t="inlineStr"/>
      <c r="O2172" s="18" t="inlineStr"/>
      <c r="P2172" s="18" t="inlineStr">
        <is>
          <t>Mapeada en internal-disciplinary-control-service/src/entities/disciplinary-process.entity.ts:73 (DisciplinaryProcess.kanbanStage) | Validación: IsNumber, IsOptional</t>
        </is>
      </c>
      <c r="Q2172" s="18" t="inlineStr">
        <is>
          <t>Propuesta semántica</t>
        </is>
      </c>
      <c r="R2172" s="18" t="inlineStr">
        <is>
          <t>Identificador de la columna del tablero kanban en la que se ubica el proceso.</t>
        </is>
      </c>
      <c r="S2172" s="18" t="inlineStr">
        <is>
          <t>Baja</t>
        </is>
      </c>
      <c r="T2172" s="18" t="inlineStr">
        <is>
          <t>nombre + tipo + columnas vecinas</t>
        </is>
      </c>
      <c r="U2172" s="18" t="inlineStr">
        <is>
          <t>El tipo es uuid pero la validación es IsNumber: ¿qué valor se guarda y a qué tabla corresponde?</t>
        </is>
      </c>
      <c r="V2172" s="19" t="inlineStr">
        <is>
          <t>Pendiente</t>
        </is>
      </c>
      <c r="W2172" s="19" t="inlineStr"/>
      <c r="X2172" s="19" t="inlineStr"/>
      <c r="Y2172" s="20" t="n"/>
      <c r="Z2172" s="19" t="inlineStr"/>
      <c r="AA2172" s="18">
        <f>IF(OR(V2172="Aprobada"),R2172,IF(AND(OR(V2172="Aprobada con ajuste",V2172="Rechazada"),W2172&lt;&gt;""),W2172,""))</f>
        <v/>
      </c>
    </row>
    <row r="2173">
      <c r="A2173" s="18" t="inlineStr">
        <is>
          <t>C2172</t>
        </is>
      </c>
      <c r="B2173" s="18" t="inlineStr">
        <is>
          <t>Control disciplinario interno</t>
        </is>
      </c>
      <c r="C2173" s="18" t="inlineStr">
        <is>
          <t>internal_disciplinary_control</t>
        </is>
      </c>
      <c r="D2173" s="18" t="inlineStr">
        <is>
          <t>disciplinary_processes</t>
        </is>
      </c>
      <c r="E2173" s="18" t="n">
        <v>26</v>
      </c>
      <c r="F2173" s="18" t="inlineStr">
        <is>
          <t>kanbanNotice</t>
        </is>
      </c>
      <c r="G2173" s="18" t="inlineStr">
        <is>
          <t>text</t>
        </is>
      </c>
      <c r="H2173" s="18" t="inlineStr">
        <is>
          <t>Sí</t>
        </is>
      </c>
      <c r="I2173" s="18" t="inlineStr"/>
      <c r="J2173" s="18" t="inlineStr"/>
      <c r="K2173" s="18" t="inlineStr"/>
      <c r="L2173" s="18" t="inlineStr">
        <is>
          <t>No</t>
        </is>
      </c>
      <c r="M2173" s="18" t="inlineStr">
        <is>
          <t>No</t>
        </is>
      </c>
      <c r="N2173" s="18" t="inlineStr"/>
      <c r="O2173" s="18" t="inlineStr"/>
      <c r="P2173" s="18" t="inlineStr">
        <is>
          <t>Mapeada en internal-disciplinary-control-service/src/entities/disciplinary-process.entity.ts:76 (DisciplinaryProcess.kanbanNotice) | Validación: IsOptional, IsString</t>
        </is>
      </c>
      <c r="Q2173" s="18" t="inlineStr">
        <is>
          <t>Propuesta semántica</t>
        </is>
      </c>
      <c r="R2173" s="18" t="inlineStr">
        <is>
          <t>Aviso o nota visible en la tarjeta del proceso en el tablero kanban.</t>
        </is>
      </c>
      <c r="S2173" s="18" t="inlineStr">
        <is>
          <t>Baja</t>
        </is>
      </c>
      <c r="T2173" s="18" t="inlineStr">
        <is>
          <t>nombre + tipo + columnas vecinas</t>
        </is>
      </c>
      <c r="U2173" s="18" t="inlineStr">
        <is>
          <t>¿Qué contenido se guarda en kanbanNotice y quién lo genera?</t>
        </is>
      </c>
      <c r="V2173" s="19" t="inlineStr">
        <is>
          <t>Pendiente</t>
        </is>
      </c>
      <c r="W2173" s="19" t="inlineStr"/>
      <c r="X2173" s="19" t="inlineStr"/>
      <c r="Y2173" s="20" t="n"/>
      <c r="Z2173" s="19" t="inlineStr"/>
      <c r="AA2173" s="18">
        <f>IF(OR(V2173="Aprobada"),R2173,IF(AND(OR(V2173="Aprobada con ajuste",V2173="Rechazada"),W2173&lt;&gt;""),W2173,""))</f>
        <v/>
      </c>
    </row>
    <row r="2174">
      <c r="A2174" s="18" t="inlineStr">
        <is>
          <t>C2173</t>
        </is>
      </c>
      <c r="B2174" s="18" t="inlineStr">
        <is>
          <t>Control disciplinario interno</t>
        </is>
      </c>
      <c r="C2174" s="18" t="inlineStr">
        <is>
          <t>internal_disciplinary_control</t>
        </is>
      </c>
      <c r="D2174" s="18" t="inlineStr">
        <is>
          <t>disciplinary_processes</t>
        </is>
      </c>
      <c r="E2174" s="18" t="n">
        <v>26</v>
      </c>
      <c r="F2174" s="18" t="inlineStr">
        <is>
          <t>drafts_count</t>
        </is>
      </c>
      <c r="G2174" s="18" t="inlineStr">
        <is>
          <t>integer</t>
        </is>
      </c>
      <c r="H2174" s="18" t="inlineStr">
        <is>
          <t>Sí</t>
        </is>
      </c>
      <c r="I2174" s="18" t="inlineStr"/>
      <c r="J2174" s="18" t="inlineStr"/>
      <c r="K2174" s="18" t="inlineStr"/>
      <c r="L2174" s="18" t="inlineStr">
        <is>
          <t>No</t>
        </is>
      </c>
      <c r="M2174" s="18" t="inlineStr">
        <is>
          <t>Sí</t>
        </is>
      </c>
      <c r="N2174" s="18" t="inlineStr">
        <is>
          <t>Función public.update_process_statistics — public.update_process_statistics: -- Update drafts_count</t>
        </is>
      </c>
      <c r="O2174" s="18" t="inlineStr"/>
      <c r="P2174" s="18" t="inlineStr"/>
      <c r="Q2174" s="18" t="inlineStr">
        <is>
          <t>Propuesta semántica</t>
        </is>
      </c>
      <c r="R2174" s="18" t="inlineStr">
        <is>
          <t>Cantidad de borradores asociados al proceso. Se actualiza mediante la función public.update_process_statistics.</t>
        </is>
      </c>
      <c r="S2174" s="18" t="inlineStr">
        <is>
          <t>Alta</t>
        </is>
      </c>
      <c r="T2174" s="18" t="inlineStr">
        <is>
          <t>uso en la función public.update_process_statistics</t>
        </is>
      </c>
      <c r="U2174" s="18" t="inlineStr"/>
      <c r="V2174" s="19" t="inlineStr">
        <is>
          <t>Pendiente</t>
        </is>
      </c>
      <c r="W2174" s="19" t="inlineStr"/>
      <c r="X2174" s="19" t="inlineStr"/>
      <c r="Y2174" s="20" t="n"/>
      <c r="Z2174" s="19" t="inlineStr"/>
      <c r="AA2174" s="18">
        <f>IF(OR(V2174="Aprobada"),R2174,IF(AND(OR(V2174="Aprobada con ajuste",V2174="Rechazada"),W2174&lt;&gt;""),W2174,""))</f>
        <v/>
      </c>
    </row>
    <row r="2175">
      <c r="A2175" s="18" t="inlineStr">
        <is>
          <t>C2174</t>
        </is>
      </c>
      <c r="B2175" s="18" t="inlineStr">
        <is>
          <t>Control disciplinario interno</t>
        </is>
      </c>
      <c r="C2175" s="18" t="inlineStr">
        <is>
          <t>internal_disciplinary_control</t>
        </is>
      </c>
      <c r="D2175" s="18" t="inlineStr">
        <is>
          <t>disciplinary_processes</t>
        </is>
      </c>
      <c r="E2175" s="18" t="n">
        <v>26</v>
      </c>
      <c r="F2175" s="18" t="inlineStr">
        <is>
          <t>documents_count</t>
        </is>
      </c>
      <c r="G2175" s="18" t="inlineStr">
        <is>
          <t>integer</t>
        </is>
      </c>
      <c r="H2175" s="18" t="inlineStr">
        <is>
          <t>Sí</t>
        </is>
      </c>
      <c r="I2175" s="18" t="inlineStr"/>
      <c r="J2175" s="18" t="inlineStr"/>
      <c r="K2175" s="18" t="inlineStr"/>
      <c r="L2175" s="18" t="inlineStr">
        <is>
          <t>No</t>
        </is>
      </c>
      <c r="M2175" s="18" t="inlineStr">
        <is>
          <t>Sí</t>
        </is>
      </c>
      <c r="N2175" s="18" t="inlineStr">
        <is>
          <t>Función public.update_process_documents_count — public.update_process_documents_count: SET documents_count = (</t>
        </is>
      </c>
      <c r="O2175" s="18" t="inlineStr"/>
      <c r="P2175" s="18" t="inlineStr"/>
      <c r="Q2175" s="18" t="inlineStr">
        <is>
          <t>Propuesta semántica</t>
        </is>
      </c>
      <c r="R2175" s="18" t="inlineStr">
        <is>
          <t>Cantidad de documentos asociados al proceso. Se actualiza mediante la función public.update_process_documents_count.</t>
        </is>
      </c>
      <c r="S2175" s="18" t="inlineStr">
        <is>
          <t>Alta</t>
        </is>
      </c>
      <c r="T2175" s="18" t="inlineStr">
        <is>
          <t>uso en la función public.update_process_documents_count</t>
        </is>
      </c>
      <c r="U2175" s="18" t="inlineStr"/>
      <c r="V2175" s="19" t="inlineStr">
        <is>
          <t>Pendiente</t>
        </is>
      </c>
      <c r="W2175" s="19" t="inlineStr"/>
      <c r="X2175" s="19" t="inlineStr"/>
      <c r="Y2175" s="20" t="n"/>
      <c r="Z2175" s="19" t="inlineStr"/>
      <c r="AA2175" s="18">
        <f>IF(OR(V2175="Aprobada"),R2175,IF(AND(OR(V2175="Aprobada con ajuste",V2175="Rechazada"),W2175&lt;&gt;""),W2175,""))</f>
        <v/>
      </c>
    </row>
    <row r="2176">
      <c r="A2176" s="18" t="inlineStr">
        <is>
          <t>C2175</t>
        </is>
      </c>
      <c r="B2176" s="18" t="inlineStr">
        <is>
          <t>Control disciplinario interno</t>
        </is>
      </c>
      <c r="C2176" s="18" t="inlineStr">
        <is>
          <t>internal_disciplinary_control</t>
        </is>
      </c>
      <c r="D2176" s="18" t="inlineStr">
        <is>
          <t>disciplinary_processes</t>
        </is>
      </c>
      <c r="E2176" s="18" t="n">
        <v>26</v>
      </c>
      <c r="F2176" s="18" t="inlineStr">
        <is>
          <t>time_percentage</t>
        </is>
      </c>
      <c r="G2176" s="18" t="inlineStr">
        <is>
          <t>numeric(5,2)</t>
        </is>
      </c>
      <c r="H2176" s="18" t="inlineStr">
        <is>
          <t>Sí</t>
        </is>
      </c>
      <c r="I2176" s="18" t="inlineStr"/>
      <c r="J2176" s="18" t="inlineStr"/>
      <c r="K2176" s="18" t="inlineStr"/>
      <c r="L2176" s="18" t="inlineStr">
        <is>
          <t>No</t>
        </is>
      </c>
      <c r="M2176" s="18" t="inlineStr">
        <is>
          <t>No</t>
        </is>
      </c>
      <c r="N2176" s="18" t="inlineStr"/>
      <c r="O2176" s="18" t="inlineStr"/>
      <c r="P2176" s="18" t="inlineStr"/>
      <c r="Q2176" s="18" t="inlineStr">
        <is>
          <t>Propuesta semántica</t>
        </is>
      </c>
      <c r="R2176" s="18" t="inlineStr">
        <is>
          <t>Porcentaje del término de la etapa actual que ya ha transcurrido.</t>
        </is>
      </c>
      <c r="S2176" s="18" t="inlineStr">
        <is>
          <t>Media</t>
        </is>
      </c>
      <c r="T2176" s="18" t="inlineStr">
        <is>
          <t>nombre + tipo + columnas vecinas (numeric(5,2), fechas de etapa)</t>
        </is>
      </c>
      <c r="U2176" s="18" t="inlineStr">
        <is>
          <t>¿El porcentaje se mide sobre el término de la etapa o sobre la prescripción del proceso?</t>
        </is>
      </c>
      <c r="V2176" s="19" t="inlineStr">
        <is>
          <t>Pendiente</t>
        </is>
      </c>
      <c r="W2176" s="19" t="inlineStr"/>
      <c r="X2176" s="19" t="inlineStr"/>
      <c r="Y2176" s="20" t="n"/>
      <c r="Z2176" s="19" t="inlineStr"/>
      <c r="AA2176" s="18">
        <f>IF(OR(V2176="Aprobada"),R2176,IF(AND(OR(V2176="Aprobada con ajuste",V2176="Rechazada"),W2176&lt;&gt;""),W2176,""))</f>
        <v/>
      </c>
    </row>
    <row r="2177">
      <c r="A2177" s="18" t="inlineStr">
        <is>
          <t>C2176</t>
        </is>
      </c>
      <c r="B2177" s="18" t="inlineStr">
        <is>
          <t>Control disciplinario interno</t>
        </is>
      </c>
      <c r="C2177" s="18" t="inlineStr">
        <is>
          <t>internal_disciplinary_control</t>
        </is>
      </c>
      <c r="D2177" s="18" t="inlineStr">
        <is>
          <t>disciplinary_processes</t>
        </is>
      </c>
      <c r="E2177" s="18" t="n">
        <v>26</v>
      </c>
      <c r="F2177" s="18" t="inlineStr">
        <is>
          <t>proceso_asociado_id</t>
        </is>
      </c>
      <c r="G2177" s="18" t="inlineStr">
        <is>
          <t>uuid</t>
        </is>
      </c>
      <c r="H2177" s="18" t="inlineStr">
        <is>
          <t>Sí</t>
        </is>
      </c>
      <c r="I2177" s="18" t="inlineStr"/>
      <c r="J2177" s="18" t="inlineStr"/>
      <c r="K2177" s="18" t="inlineStr"/>
      <c r="L2177" s="18" t="inlineStr">
        <is>
          <t>No</t>
        </is>
      </c>
      <c r="M2177" s="18" t="inlineStr">
        <is>
          <t>No</t>
        </is>
      </c>
      <c r="N2177" s="18" t="inlineStr"/>
      <c r="O2177" s="18" t="inlineStr">
        <is>
          <t>idx_proceso_asociado_id</t>
        </is>
      </c>
      <c r="P2177" s="18" t="inlineStr">
        <is>
          <t>internal-disciplinary-control-service/src/entities/disciplinary-process.entity.ts:131: Nota: Relación con asociaciones noticia-proceso se maneja via consultas directas para evitar dependencias circulares con DisciplinaryNewsProcess</t>
        </is>
      </c>
      <c r="Q2177" s="18" t="inlineStr">
        <is>
          <t>Código fuente</t>
        </is>
      </c>
      <c r="R2177" s="18" t="inlineStr">
        <is>
          <t>Identificador del proceso disciplinario asociado a este proceso.</t>
        </is>
      </c>
      <c r="S2177" s="18" t="inlineStr">
        <is>
          <t>Media</t>
        </is>
      </c>
      <c r="T2177" s="18" t="inlineStr">
        <is>
          <t>nombre + tipo + columnas vecinas; el comentario de código disciplinary-process.entity.ts:131 no define el dato</t>
        </is>
      </c>
      <c r="U2177" s="18" t="inlineStr">
        <is>
          <t>¿proceso_asociado_id referencia a disciplinary_processes.id y en qué caso se asocia un proceso con otro?</t>
        </is>
      </c>
      <c r="V2177" s="19" t="inlineStr">
        <is>
          <t>Pendiente</t>
        </is>
      </c>
      <c r="W2177" s="19" t="inlineStr"/>
      <c r="X2177" s="19" t="inlineStr"/>
      <c r="Y2177" s="20" t="n"/>
      <c r="Z2177" s="19" t="inlineStr"/>
      <c r="AA2177" s="18">
        <f>IF(OR(V2177="Aprobada"),R2177,IF(AND(OR(V2177="Aprobada con ajuste",V2177="Rechazada"),W2177&lt;&gt;""),W2177,""))</f>
        <v/>
      </c>
    </row>
    <row r="2178">
      <c r="A2178" s="18" t="inlineStr">
        <is>
          <t>C2177</t>
        </is>
      </c>
      <c r="B2178" s="18" t="inlineStr">
        <is>
          <t>Control disciplinario interno</t>
        </is>
      </c>
      <c r="C2178" s="18" t="inlineStr">
        <is>
          <t>internal_disciplinary_control</t>
        </is>
      </c>
      <c r="D2178" s="18" t="inlineStr">
        <is>
          <t>disciplinary_processes</t>
        </is>
      </c>
      <c r="E2178" s="18" t="n">
        <v>26</v>
      </c>
      <c r="F2178" s="18" t="inlineStr">
        <is>
          <t>proceso_asociado_numero</t>
        </is>
      </c>
      <c r="G2178" s="18" t="inlineStr">
        <is>
          <t>character varying(50)</t>
        </is>
      </c>
      <c r="H2178" s="18" t="inlineStr">
        <is>
          <t>Sí</t>
        </is>
      </c>
      <c r="I2178" s="18" t="inlineStr"/>
      <c r="J2178" s="18" t="inlineStr"/>
      <c r="K2178" s="18" t="inlineStr"/>
      <c r="L2178" s="18" t="inlineStr">
        <is>
          <t>No</t>
        </is>
      </c>
      <c r="M2178" s="18" t="inlineStr">
        <is>
          <t>No</t>
        </is>
      </c>
      <c r="N2178" s="18" t="inlineStr"/>
      <c r="O2178" s="18" t="inlineStr"/>
      <c r="P2178" s="18" t="inlineStr">
        <is>
          <t>internal-disciplinary-control-service/src/entities/disciplinary-process.entity.ts:134: Nota: Relación con asociaciones noticia-proceso se maneja via consultas directas para evitar dependencias circulares con DisciplinaryNewsProcess</t>
        </is>
      </c>
      <c r="Q2178" s="18" t="inlineStr">
        <is>
          <t>Código fuente</t>
        </is>
      </c>
      <c r="R2178" s="18" t="inlineStr">
        <is>
          <t>Número de radicado del proceso asociado.</t>
        </is>
      </c>
      <c r="S2178" s="18" t="inlineStr">
        <is>
          <t>Media</t>
        </is>
      </c>
      <c r="T2178" s="18" t="inlineStr">
        <is>
          <t>nombre + tipo + columnas vecinas; el comentario de código disciplinary-process.entity.ts:134 no define el dato</t>
        </is>
      </c>
      <c r="U2178" s="18" t="inlineStr">
        <is>
          <t>¿Corresponde al radicadoProceso del proceso asociado?</t>
        </is>
      </c>
      <c r="V2178" s="19" t="inlineStr">
        <is>
          <t>Pendiente</t>
        </is>
      </c>
      <c r="W2178" s="19" t="inlineStr"/>
      <c r="X2178" s="19" t="inlineStr"/>
      <c r="Y2178" s="20" t="n"/>
      <c r="Z2178" s="19" t="inlineStr"/>
      <c r="AA2178" s="18">
        <f>IF(OR(V2178="Aprobada"),R2178,IF(AND(OR(V2178="Aprobada con ajuste",V2178="Rechazada"),W2178&lt;&gt;""),W2178,""))</f>
        <v/>
      </c>
    </row>
    <row r="2179">
      <c r="A2179" s="18" t="inlineStr">
        <is>
          <t>C2178</t>
        </is>
      </c>
      <c r="B2179" s="18" t="inlineStr">
        <is>
          <t>Control disciplinario interno</t>
        </is>
      </c>
      <c r="C2179" s="18" t="inlineStr">
        <is>
          <t>internal_disciplinary_control</t>
        </is>
      </c>
      <c r="D2179" s="18" t="inlineStr">
        <is>
          <t>disciplinary_processes</t>
        </is>
      </c>
      <c r="E2179" s="18" t="n">
        <v>26</v>
      </c>
      <c r="F2179" s="18" t="inlineStr">
        <is>
          <t>proceso_asociado_tipo</t>
        </is>
      </c>
      <c r="G2179" s="18" t="inlineStr">
        <is>
          <t>character varying(20)</t>
        </is>
      </c>
      <c r="H2179" s="18" t="inlineStr">
        <is>
          <t>Sí</t>
        </is>
      </c>
      <c r="I2179" s="18" t="inlineStr"/>
      <c r="J2179" s="18" t="inlineStr"/>
      <c r="K2179" s="18" t="inlineStr"/>
      <c r="L2179" s="18" t="inlineStr">
        <is>
          <t>No</t>
        </is>
      </c>
      <c r="M2179" s="18" t="inlineStr">
        <is>
          <t>No</t>
        </is>
      </c>
      <c r="N2179" s="18" t="inlineStr"/>
      <c r="O2179" s="18" t="inlineStr"/>
      <c r="P2179" s="18" t="inlineStr">
        <is>
          <t>internal-disciplinary-control-service/src/entities/disciplinary-process.entity.ts:137: Nota: Relación con asociaciones noticia-proceso se maneja via consultas directas para evitar dependencias circulares con DisciplinaryNewsProcess</t>
        </is>
      </c>
      <c r="Q2179" s="18" t="inlineStr">
        <is>
          <t>Código fuente</t>
        </is>
      </c>
      <c r="R2179" s="18" t="inlineStr">
        <is>
          <t>Tipo del proceso asociado o de la asociación entre procesos.</t>
        </is>
      </c>
      <c r="S2179" s="18" t="inlineStr">
        <is>
          <t>Baja</t>
        </is>
      </c>
      <c r="T2179" s="18" t="inlineStr">
        <is>
          <t>nombre + tipo + columnas vecinas; el comentario de código disciplinary-process.entity.ts:137 no define el dato</t>
        </is>
      </c>
      <c r="U2179" s="18" t="inlineStr">
        <is>
          <t>¿Qué valores toma proceso_asociado_tipo y describe el tipo de proceso o el tipo de vínculo?</t>
        </is>
      </c>
      <c r="V2179" s="19" t="inlineStr">
        <is>
          <t>Pendiente</t>
        </is>
      </c>
      <c r="W2179" s="19" t="inlineStr"/>
      <c r="X2179" s="19" t="inlineStr"/>
      <c r="Y2179" s="20" t="n"/>
      <c r="Z2179" s="19" t="inlineStr"/>
      <c r="AA2179" s="18">
        <f>IF(OR(V2179="Aprobada"),R2179,IF(AND(OR(V2179="Aprobada con ajuste",V2179="Rechazada"),W2179&lt;&gt;""),W2179,""))</f>
        <v/>
      </c>
    </row>
    <row r="2180">
      <c r="A2180" s="18" t="inlineStr">
        <is>
          <t>C2179</t>
        </is>
      </c>
      <c r="B2180" s="18" t="inlineStr">
        <is>
          <t>Control disciplinario interno</t>
        </is>
      </c>
      <c r="C2180" s="18" t="inlineStr">
        <is>
          <t>internal_disciplinary_control</t>
        </is>
      </c>
      <c r="D2180" s="18" t="inlineStr">
        <is>
          <t>disciplinary_processes</t>
        </is>
      </c>
      <c r="E2180" s="18" t="n">
        <v>26</v>
      </c>
      <c r="F2180" s="18" t="inlineStr">
        <is>
          <t>proceso_asociado_fecha</t>
        </is>
      </c>
      <c r="G2180" s="18" t="inlineStr">
        <is>
          <t>timestamp with time zone</t>
        </is>
      </c>
      <c r="H2180" s="18" t="inlineStr">
        <is>
          <t>Sí</t>
        </is>
      </c>
      <c r="I2180" s="18" t="inlineStr"/>
      <c r="J2180" s="18" t="inlineStr"/>
      <c r="K2180" s="18" t="inlineStr"/>
      <c r="L2180" s="18" t="inlineStr">
        <is>
          <t>No</t>
        </is>
      </c>
      <c r="M2180" s="18" t="inlineStr">
        <is>
          <t>No</t>
        </is>
      </c>
      <c r="N2180" s="18" t="inlineStr"/>
      <c r="O2180" s="18" t="inlineStr"/>
      <c r="P2180" s="18" t="inlineStr">
        <is>
          <t>internal-disciplinary-control-service/src/entities/disciplinary-process.entity.ts:140: Nota: Relación con asociaciones noticia-proceso se maneja via consultas directas para evitar dependencias circulares con DisciplinaryNewsProcess</t>
        </is>
      </c>
      <c r="Q2180" s="18" t="inlineStr">
        <is>
          <t>Código fuente</t>
        </is>
      </c>
      <c r="R2180" s="18" t="inlineStr">
        <is>
          <t>Fecha y hora de la asociación con otro proceso.</t>
        </is>
      </c>
      <c r="S2180" s="18" t="inlineStr">
        <is>
          <t>Media</t>
        </is>
      </c>
      <c r="T2180" s="18" t="inlineStr">
        <is>
          <t>nombre + tipo + columnas vecinas; el comentario de código disciplinary-process.entity.ts:140 no define el dato</t>
        </is>
      </c>
      <c r="U2180" s="18" t="inlineStr">
        <is>
          <t>¿Es la fecha en que se registró la asociación o la fecha del proceso asociado?</t>
        </is>
      </c>
      <c r="V2180" s="19" t="inlineStr">
        <is>
          <t>Pendiente</t>
        </is>
      </c>
      <c r="W2180" s="19" t="inlineStr"/>
      <c r="X2180" s="19" t="inlineStr"/>
      <c r="Y2180" s="20" t="n"/>
      <c r="Z2180" s="19" t="inlineStr"/>
      <c r="AA2180" s="18">
        <f>IF(OR(V2180="Aprobada"),R2180,IF(AND(OR(V2180="Aprobada con ajuste",V2180="Rechazada"),W2180&lt;&gt;""),W2180,""))</f>
        <v/>
      </c>
    </row>
    <row r="2181">
      <c r="A2181" s="18" t="inlineStr">
        <is>
          <t>C2180</t>
        </is>
      </c>
      <c r="B2181" s="18" t="inlineStr">
        <is>
          <t>Control disciplinario interno</t>
        </is>
      </c>
      <c r="C2181" s="18" t="inlineStr">
        <is>
          <t>internal_disciplinary_control</t>
        </is>
      </c>
      <c r="D2181" s="18" t="inlineStr">
        <is>
          <t>disciplinary_processes</t>
        </is>
      </c>
      <c r="E2181" s="18" t="n">
        <v>26</v>
      </c>
      <c r="F2181" s="18" t="inlineStr">
        <is>
          <t>proceso_asociado_justificacion</t>
        </is>
      </c>
      <c r="G2181" s="18" t="inlineStr">
        <is>
          <t>text</t>
        </is>
      </c>
      <c r="H2181" s="18" t="inlineStr">
        <is>
          <t>Sí</t>
        </is>
      </c>
      <c r="I2181" s="18" t="inlineStr"/>
      <c r="J2181" s="18" t="inlineStr"/>
      <c r="K2181" s="18" t="inlineStr"/>
      <c r="L2181" s="18" t="inlineStr">
        <is>
          <t>No</t>
        </is>
      </c>
      <c r="M2181" s="18" t="inlineStr">
        <is>
          <t>No</t>
        </is>
      </c>
      <c r="N2181" s="18" t="inlineStr"/>
      <c r="O2181" s="18" t="inlineStr"/>
      <c r="P2181" s="18" t="inlineStr">
        <is>
          <t>internal-disciplinary-control-service/src/entities/disciplinary-process.entity.ts:143: Nota: Relación con asociaciones noticia-proceso se maneja via consultas directas para evitar dependencias circulares con DisciplinaryNewsProcess</t>
        </is>
      </c>
      <c r="Q2181" s="18" t="inlineStr">
        <is>
          <t>Código fuente</t>
        </is>
      </c>
      <c r="R2181" s="18" t="inlineStr">
        <is>
          <t>Justificación de la asociación del proceso con otro proceso.</t>
        </is>
      </c>
      <c r="S2181" s="18" t="inlineStr">
        <is>
          <t>Media</t>
        </is>
      </c>
      <c r="T2181" s="18" t="inlineStr">
        <is>
          <t>nombre + tipo + columnas vecinas; el comentario de código disciplinary-process.entity.ts:143 no define el dato</t>
        </is>
      </c>
      <c r="U2181" s="18" t="inlineStr">
        <is>
          <t>¿Quién registra la justificación y es obligatoria al asociar procesos?</t>
        </is>
      </c>
      <c r="V2181" s="19" t="inlineStr">
        <is>
          <t>Pendiente</t>
        </is>
      </c>
      <c r="W2181" s="19" t="inlineStr"/>
      <c r="X2181" s="19" t="inlineStr"/>
      <c r="Y2181" s="20" t="n"/>
      <c r="Z2181" s="19" t="inlineStr"/>
      <c r="AA2181" s="18">
        <f>IF(OR(V2181="Aprobada"),R2181,IF(AND(OR(V2181="Aprobada con ajuste",V2181="Rechazada"),W2181&lt;&gt;""),W2181,""))</f>
        <v/>
      </c>
    </row>
    <row r="2182">
      <c r="A2182" s="18" t="inlineStr">
        <is>
          <t>C2181</t>
        </is>
      </c>
      <c r="B2182" s="18" t="inlineStr">
        <is>
          <t>Control disciplinario interno</t>
        </is>
      </c>
      <c r="C2182" s="18" t="inlineStr">
        <is>
          <t>internal_disciplinary_control</t>
        </is>
      </c>
      <c r="D2182" s="18" t="inlineStr">
        <is>
          <t>disciplinary_processes</t>
        </is>
      </c>
      <c r="E2182" s="18" t="n">
        <v>26</v>
      </c>
      <c r="F2182" s="18" t="inlineStr">
        <is>
          <t>procesos_consolidados</t>
        </is>
      </c>
      <c r="G2182" s="18" t="inlineStr">
        <is>
          <t>text[]</t>
        </is>
      </c>
      <c r="H2182" s="18" t="inlineStr">
        <is>
          <t>Sí</t>
        </is>
      </c>
      <c r="I2182" s="18" t="inlineStr"/>
      <c r="J2182" s="18" t="inlineStr"/>
      <c r="K2182" s="18" t="inlineStr"/>
      <c r="L2182" s="18" t="inlineStr">
        <is>
          <t>No</t>
        </is>
      </c>
      <c r="M2182" s="18" t="inlineStr">
        <is>
          <t>No</t>
        </is>
      </c>
      <c r="N2182" s="18" t="inlineStr"/>
      <c r="O2182" s="18" t="inlineStr"/>
      <c r="P2182" s="18" t="inlineStr">
        <is>
          <t>internal-disciplinary-control-service/src/entities/disciplinary-process.entity.ts:147: Nota: Relación con asociaciones noticia-proceso se maneja via consultas directas para evitar dependencias circulares con DisciplinaryNewsProcess</t>
        </is>
      </c>
      <c r="Q2182" s="18" t="inlineStr">
        <is>
          <t>Código fuente</t>
        </is>
      </c>
      <c r="R2182" s="18" t="inlineStr">
        <is>
          <t>Lista de los procesos consolidados en este proceso.</t>
        </is>
      </c>
      <c r="S2182" s="18" t="inlineStr">
        <is>
          <t>Media</t>
        </is>
      </c>
      <c r="T2182" s="18" t="inlineStr">
        <is>
          <t>nombre + tipo + columnas vecinas; el comentario de código disciplinary-process.entity.ts:147 no define el dato</t>
        </is>
      </c>
      <c r="U2182" s="18" t="inlineStr">
        <is>
          <t>¿El arreglo guarda identificadores (uuid) o radicados de los procesos consolidados?</t>
        </is>
      </c>
      <c r="V2182" s="19" t="inlineStr">
        <is>
          <t>Pendiente</t>
        </is>
      </c>
      <c r="W2182" s="19" t="inlineStr"/>
      <c r="X2182" s="19" t="inlineStr"/>
      <c r="Y2182" s="20" t="n"/>
      <c r="Z2182" s="19" t="inlineStr"/>
      <c r="AA2182" s="18">
        <f>IF(OR(V2182="Aprobada"),R2182,IF(AND(OR(V2182="Aprobada con ajuste",V2182="Rechazada"),W2182&lt;&gt;""),W2182,""))</f>
        <v/>
      </c>
    </row>
    <row r="2183">
      <c r="A2183" s="18" t="inlineStr">
        <is>
          <t>C2182</t>
        </is>
      </c>
      <c r="B2183" s="18" t="inlineStr">
        <is>
          <t>Control disciplinario interno</t>
        </is>
      </c>
      <c r="C2183" s="18" t="inlineStr">
        <is>
          <t>internal_disciplinary_control</t>
        </is>
      </c>
      <c r="D2183" s="18" t="inlineStr">
        <is>
          <t>disciplinary_processes</t>
        </is>
      </c>
      <c r="E2183" s="18" t="n">
        <v>26</v>
      </c>
      <c r="F2183" s="18" t="inlineStr">
        <is>
          <t>proceso_consolidado_principal</t>
        </is>
      </c>
      <c r="G2183" s="18" t="inlineStr">
        <is>
          <t>uuid</t>
        </is>
      </c>
      <c r="H2183" s="18" t="inlineStr">
        <is>
          <t>Sí</t>
        </is>
      </c>
      <c r="I2183" s="18" t="inlineStr"/>
      <c r="J2183" s="18" t="inlineStr"/>
      <c r="K2183" s="18" t="inlineStr"/>
      <c r="L2183" s="18" t="inlineStr">
        <is>
          <t>No</t>
        </is>
      </c>
      <c r="M2183" s="18" t="inlineStr">
        <is>
          <t>No</t>
        </is>
      </c>
      <c r="N2183" s="18" t="inlineStr"/>
      <c r="O2183" s="18" t="inlineStr">
        <is>
          <t>idx_proceso_consolidado_principal</t>
        </is>
      </c>
      <c r="P2183" s="18" t="inlineStr">
        <is>
          <t>internal-disciplinary-control-service/src/entities/disciplinary-process.entity.ts:150: Nota: Relación con asociaciones noticia-proceso se maneja via consultas directas para evitar dependencias circulares con DisciplinaryNewsProcess</t>
        </is>
      </c>
      <c r="Q2183" s="18" t="inlineStr">
        <is>
          <t>Código fuente</t>
        </is>
      </c>
      <c r="R2183" s="18" t="inlineStr">
        <is>
          <t>Identificador del proceso principal en el que se consolidó este proceso.</t>
        </is>
      </c>
      <c r="S2183" s="18" t="inlineStr">
        <is>
          <t>Media</t>
        </is>
      </c>
      <c r="T2183" s="18" t="inlineStr">
        <is>
          <t>nombre + tipo + columnas vecinas; el comentario de código disciplinary-process.entity.ts:150 no define el dato</t>
        </is>
      </c>
      <c r="U2183" s="18" t="inlineStr">
        <is>
          <t>¿Apunta a disciplinary_processes.id del proceso principal de la consolidación?</t>
        </is>
      </c>
      <c r="V2183" s="19" t="inlineStr">
        <is>
          <t>Pendiente</t>
        </is>
      </c>
      <c r="W2183" s="19" t="inlineStr"/>
      <c r="X2183" s="19" t="inlineStr"/>
      <c r="Y2183" s="20" t="n"/>
      <c r="Z2183" s="19" t="inlineStr"/>
      <c r="AA2183" s="18">
        <f>IF(OR(V2183="Aprobada"),R2183,IF(AND(OR(V2183="Aprobada con ajuste",V2183="Rechazada"),W2183&lt;&gt;""),W2183,""))</f>
        <v/>
      </c>
    </row>
    <row r="2184">
      <c r="A2184" s="18" t="inlineStr">
        <is>
          <t>C2183</t>
        </is>
      </c>
      <c r="B2184" s="18" t="inlineStr">
        <is>
          <t>Control disciplinario interno</t>
        </is>
      </c>
      <c r="C2184" s="18" t="inlineStr">
        <is>
          <t>internal_disciplinary_control</t>
        </is>
      </c>
      <c r="D2184" s="18" t="inlineStr">
        <is>
          <t>disciplinary_processes</t>
        </is>
      </c>
      <c r="E2184" s="18" t="n">
        <v>26</v>
      </c>
      <c r="F2184" s="18" t="inlineStr">
        <is>
          <t>informacion_consolidada</t>
        </is>
      </c>
      <c r="G2184" s="18" t="inlineStr">
        <is>
          <t>jsonb</t>
        </is>
      </c>
      <c r="H2184" s="18" t="inlineStr">
        <is>
          <t>Sí</t>
        </is>
      </c>
      <c r="I2184" s="18" t="inlineStr"/>
      <c r="J2184" s="18" t="inlineStr"/>
      <c r="K2184" s="18" t="inlineStr"/>
      <c r="L2184" s="18" t="inlineStr">
        <is>
          <t>No</t>
        </is>
      </c>
      <c r="M2184" s="18" t="inlineStr">
        <is>
          <t>No</t>
        </is>
      </c>
      <c r="N2184" s="18" t="inlineStr"/>
      <c r="O2184" s="18" t="inlineStr"/>
      <c r="P2184" s="18" t="inlineStr">
        <is>
          <t>internal-disciplinary-control-service/src/entities/disciplinary-process.entity.ts:153: Nota: Relación con asociaciones noticia-proceso se maneja via consultas directas para evitar dependencias circulares con DisciplinaryNewsProcess</t>
        </is>
      </c>
      <c r="Q2184" s="18" t="inlineStr">
        <is>
          <t>Código fuente</t>
        </is>
      </c>
      <c r="R2184" s="18" t="inlineStr">
        <is>
          <t>Información de la consolidación de procesos, en formato JSON.</t>
        </is>
      </c>
      <c r="S2184" s="18" t="inlineStr">
        <is>
          <t>Baja</t>
        </is>
      </c>
      <c r="T2184" s="18" t="inlineStr">
        <is>
          <t>nombre + tipo + columnas vecinas; el comentario de código disciplinary-process.entity.ts:153 no define el dato</t>
        </is>
      </c>
      <c r="U2184" s="18" t="inlineStr">
        <is>
          <t>¿Qué estructura tiene el JSON de informacion_consolidada y quién lo llena?</t>
        </is>
      </c>
      <c r="V2184" s="19" t="inlineStr">
        <is>
          <t>Pendiente</t>
        </is>
      </c>
      <c r="W2184" s="19" t="inlineStr"/>
      <c r="X2184" s="19" t="inlineStr"/>
      <c r="Y2184" s="20" t="n"/>
      <c r="Z2184" s="19" t="inlineStr"/>
      <c r="AA2184" s="18">
        <f>IF(OR(V2184="Aprobada"),R2184,IF(AND(OR(V2184="Aprobada con ajuste",V2184="Rechazada"),W2184&lt;&gt;""),W2184,""))</f>
        <v/>
      </c>
    </row>
    <row r="2185">
      <c r="A2185" s="18" t="inlineStr">
        <is>
          <t>C2184</t>
        </is>
      </c>
      <c r="B2185" s="18" t="inlineStr">
        <is>
          <t>Control disciplinario interno</t>
        </is>
      </c>
      <c r="C2185" s="18" t="inlineStr">
        <is>
          <t>internal_disciplinary_control</t>
        </is>
      </c>
      <c r="D2185" s="18" t="inlineStr">
        <is>
          <t>disciplinary_processes</t>
        </is>
      </c>
      <c r="E2185" s="18" t="n">
        <v>26</v>
      </c>
      <c r="F2185" s="18" t="inlineStr">
        <is>
          <t>fechaInicioEtapa</t>
        </is>
      </c>
      <c r="G2185" s="18" t="inlineStr">
        <is>
          <t>timestamp with time zone</t>
        </is>
      </c>
      <c r="H2185" s="18" t="inlineStr">
        <is>
          <t>Sí</t>
        </is>
      </c>
      <c r="I2185" s="18" t="inlineStr"/>
      <c r="J2185" s="18" t="inlineStr"/>
      <c r="K2185" s="18" t="inlineStr"/>
      <c r="L2185" s="18" t="inlineStr">
        <is>
          <t>No</t>
        </is>
      </c>
      <c r="M2185" s="18" t="inlineStr">
        <is>
          <t>No</t>
        </is>
      </c>
      <c r="N2185" s="18" t="inlineStr"/>
      <c r="O2185" s="18" t="inlineStr"/>
      <c r="P2185" s="18" t="inlineStr">
        <is>
          <t>Mapeada en internal-disciplinary-control-service/src/entities/disciplinary-process.entity.ts:88 (DisciplinaryProcess.fechaInicioEtapa)</t>
        </is>
      </c>
      <c r="Q2185" s="18" t="inlineStr">
        <is>
          <t>Propuesta semántica</t>
        </is>
      </c>
      <c r="R2185" s="18" t="inlineStr">
        <is>
          <t>Fecha de inicio de la etapa actual del proceso.</t>
        </is>
      </c>
      <c r="S2185" s="18" t="inlineStr">
        <is>
          <t>Alta</t>
        </is>
      </c>
      <c r="T2185" s="18" t="inlineStr">
        <is>
          <t>nombre + tipo + columnas vecinas (etapaActual, fechaVencimientoEtapa)</t>
        </is>
      </c>
      <c r="U2185" s="18" t="inlineStr"/>
      <c r="V2185" s="19" t="inlineStr">
        <is>
          <t>Pendiente</t>
        </is>
      </c>
      <c r="W2185" s="19" t="inlineStr"/>
      <c r="X2185" s="19" t="inlineStr"/>
      <c r="Y2185" s="20" t="n"/>
      <c r="Z2185" s="19" t="inlineStr"/>
      <c r="AA2185" s="18">
        <f>IF(OR(V2185="Aprobada"),R2185,IF(AND(OR(V2185="Aprobada con ajuste",V2185="Rechazada"),W2185&lt;&gt;""),W2185,""))</f>
        <v/>
      </c>
    </row>
    <row r="2186">
      <c r="A2186" s="18" t="inlineStr">
        <is>
          <t>C2185</t>
        </is>
      </c>
      <c r="B2186" s="18" t="inlineStr">
        <is>
          <t>Control disciplinario interno</t>
        </is>
      </c>
      <c r="C2186" s="18" t="inlineStr">
        <is>
          <t>internal_disciplinary_control</t>
        </is>
      </c>
      <c r="D2186" s="18" t="inlineStr">
        <is>
          <t>disciplinary_processes</t>
        </is>
      </c>
      <c r="E2186" s="18" t="n">
        <v>26</v>
      </c>
      <c r="F2186" s="18" t="inlineStr">
        <is>
          <t>fecha_cierre</t>
        </is>
      </c>
      <c r="G2186" s="18" t="inlineStr">
        <is>
          <t>timestamp with time zone</t>
        </is>
      </c>
      <c r="H2186" s="18" t="inlineStr">
        <is>
          <t>Sí</t>
        </is>
      </c>
      <c r="I2186" s="18" t="inlineStr"/>
      <c r="J2186" s="18" t="inlineStr"/>
      <c r="K2186" s="18" t="inlineStr"/>
      <c r="L2186" s="18" t="inlineStr">
        <is>
          <t>No</t>
        </is>
      </c>
      <c r="M2186" s="18" t="inlineStr">
        <is>
          <t>No</t>
        </is>
      </c>
      <c r="N2186" s="18" t="inlineStr"/>
      <c r="O2186" s="18" t="inlineStr"/>
      <c r="P2186" s="18" t="inlineStr">
        <is>
          <t>internal-disciplinary-control-service/src/entities/disciplinary-process.entity.ts:116: Nota: Relación con asociaciones noticia-proceso se maneja via consultas directas para evitar dependencias circulares con DisciplinaryNewsProcess</t>
        </is>
      </c>
      <c r="Q2186" s="18" t="inlineStr">
        <is>
          <t>Código fuente</t>
        </is>
      </c>
      <c r="R2186" s="18" t="inlineStr">
        <is>
          <t>Fecha y hora de cierre del proceso disciplinario.</t>
        </is>
      </c>
      <c r="S2186" s="18" t="inlineStr">
        <is>
          <t>Media</t>
        </is>
      </c>
      <c r="T2186" s="18" t="inlineStr">
        <is>
          <t>nombre + tipo + columnas vecinas; el comentario de código disciplinary-process.entity.ts:116 no define el dato</t>
        </is>
      </c>
      <c r="U2186" s="18" t="inlineStr">
        <is>
          <t>¿Se llena al cerrar el proceso y se borra si el proceso se restaura (columna restaurado)?</t>
        </is>
      </c>
      <c r="V2186" s="19" t="inlineStr">
        <is>
          <t>Pendiente</t>
        </is>
      </c>
      <c r="W2186" s="19" t="inlineStr"/>
      <c r="X2186" s="19" t="inlineStr"/>
      <c r="Y2186" s="20" t="n"/>
      <c r="Z2186" s="19" t="inlineStr"/>
      <c r="AA2186" s="18">
        <f>IF(OR(V2186="Aprobada"),R2186,IF(AND(OR(V2186="Aprobada con ajuste",V2186="Rechazada"),W2186&lt;&gt;""),W2186,""))</f>
        <v/>
      </c>
    </row>
    <row r="2187">
      <c r="A2187" s="18" t="inlineStr">
        <is>
          <t>C2186</t>
        </is>
      </c>
      <c r="B2187" s="18" t="inlineStr">
        <is>
          <t>Control disciplinario interno</t>
        </is>
      </c>
      <c r="C2187" s="18" t="inlineStr">
        <is>
          <t>internal_disciplinary_control</t>
        </is>
      </c>
      <c r="D2187" s="18" t="inlineStr">
        <is>
          <t>disciplinary_processes</t>
        </is>
      </c>
      <c r="E2187" s="18" t="n">
        <v>26</v>
      </c>
      <c r="F2187" s="18" t="inlineStr">
        <is>
          <t>etapa_al_cierre</t>
        </is>
      </c>
      <c r="G2187" s="18" t="inlineStr">
        <is>
          <t>character varying(100)</t>
        </is>
      </c>
      <c r="H2187" s="18" t="inlineStr">
        <is>
          <t>Sí</t>
        </is>
      </c>
      <c r="I2187" s="18" t="inlineStr"/>
      <c r="J2187" s="18" t="inlineStr"/>
      <c r="K2187" s="18" t="inlineStr"/>
      <c r="L2187" s="18" t="inlineStr">
        <is>
          <t>No</t>
        </is>
      </c>
      <c r="M2187" s="18" t="inlineStr">
        <is>
          <t>No</t>
        </is>
      </c>
      <c r="N2187" s="18" t="inlineStr"/>
      <c r="O2187" s="18" t="inlineStr"/>
      <c r="P2187" s="18" t="inlineStr">
        <is>
          <t>internal-disciplinary-control-service/src/entities/disciplinary-process.entity.ts:119: Nota: Relación con asociaciones noticia-proceso se maneja via consultas directas para evitar dependencias circulares con DisciplinaryNewsProcess</t>
        </is>
      </c>
      <c r="Q2187" s="18" t="inlineStr">
        <is>
          <t>Código fuente</t>
        </is>
      </c>
      <c r="R2187" s="18" t="inlineStr">
        <is>
          <t>Etapa en que se encontraba el proceso al momento del cierre.</t>
        </is>
      </c>
      <c r="S2187" s="18" t="inlineStr">
        <is>
          <t>Media</t>
        </is>
      </c>
      <c r="T2187" s="18" t="inlineStr">
        <is>
          <t>nombre + tipo + columnas vecinas; el comentario de código disciplinary-process.entity.ts:119 no define el dato</t>
        </is>
      </c>
      <c r="U2187" s="18" t="inlineStr">
        <is>
          <t>¿Toma los mismos valores que etapaActual?</t>
        </is>
      </c>
      <c r="V2187" s="19" t="inlineStr">
        <is>
          <t>Pendiente</t>
        </is>
      </c>
      <c r="W2187" s="19" t="inlineStr"/>
      <c r="X2187" s="19" t="inlineStr"/>
      <c r="Y2187" s="20" t="n"/>
      <c r="Z2187" s="19" t="inlineStr"/>
      <c r="AA2187" s="18">
        <f>IF(OR(V2187="Aprobada"),R2187,IF(AND(OR(V2187="Aprobada con ajuste",V2187="Rechazada"),W2187&lt;&gt;""),W2187,""))</f>
        <v/>
      </c>
    </row>
    <row r="2188">
      <c r="A2188" s="18" t="inlineStr">
        <is>
          <t>C2187</t>
        </is>
      </c>
      <c r="B2188" s="18" t="inlineStr">
        <is>
          <t>Control disciplinario interno</t>
        </is>
      </c>
      <c r="C2188" s="18" t="inlineStr">
        <is>
          <t>internal_disciplinary_control</t>
        </is>
      </c>
      <c r="D2188" s="18" t="inlineStr">
        <is>
          <t>disciplinary_processes</t>
        </is>
      </c>
      <c r="E2188" s="18" t="n">
        <v>26</v>
      </c>
      <c r="F2188" s="18" t="inlineStr">
        <is>
          <t>cerrado_por_id</t>
        </is>
      </c>
      <c r="G2188" s="18" t="inlineStr">
        <is>
          <t>uuid</t>
        </is>
      </c>
      <c r="H2188" s="18" t="inlineStr">
        <is>
          <t>Sí</t>
        </is>
      </c>
      <c r="I2188" s="18" t="inlineStr"/>
      <c r="J2188" s="18" t="inlineStr"/>
      <c r="K2188" s="18" t="inlineStr"/>
      <c r="L2188" s="18" t="inlineStr">
        <is>
          <t>No</t>
        </is>
      </c>
      <c r="M2188" s="18" t="inlineStr">
        <is>
          <t>No</t>
        </is>
      </c>
      <c r="N2188" s="18" t="inlineStr"/>
      <c r="O2188" s="18" t="inlineStr"/>
      <c r="P2188" s="18" t="inlineStr">
        <is>
          <t>internal-disciplinary-control-service/src/entities/disciplinary-process.entity.ts:122: Nota: Relación con asociaciones noticia-proceso se maneja via consultas directas para evitar dependencias circulares con DisciplinaryNewsProcess</t>
        </is>
      </c>
      <c r="Q2188" s="18" t="inlineStr">
        <is>
          <t>Código fuente</t>
        </is>
      </c>
      <c r="R2188" s="18" t="inlineStr">
        <is>
          <t>Identificador del usuario que cerró el proceso.</t>
        </is>
      </c>
      <c r="S2188" s="18" t="inlineStr">
        <is>
          <t>Media</t>
        </is>
      </c>
      <c r="T2188" s="18" t="inlineStr">
        <is>
          <t>nombre + tipo + columnas vecinas; el comentario de código disciplinary-process.entity.ts:122 no define el dato</t>
        </is>
      </c>
      <c r="U2188" s="18" t="inlineStr">
        <is>
          <t>¿cerrado_por_id referencia a auth."user" o a auth.personas?</t>
        </is>
      </c>
      <c r="V2188" s="19" t="inlineStr">
        <is>
          <t>Pendiente</t>
        </is>
      </c>
      <c r="W2188" s="19" t="inlineStr"/>
      <c r="X2188" s="19" t="inlineStr"/>
      <c r="Y2188" s="20" t="n"/>
      <c r="Z2188" s="19" t="inlineStr"/>
      <c r="AA2188" s="18">
        <f>IF(OR(V2188="Aprobada"),R2188,IF(AND(OR(V2188="Aprobada con ajuste",V2188="Rechazada"),W2188&lt;&gt;""),W2188,""))</f>
        <v/>
      </c>
    </row>
    <row r="2189">
      <c r="A2189" s="18" t="inlineStr">
        <is>
          <t>C2188</t>
        </is>
      </c>
      <c r="B2189" s="18" t="inlineStr">
        <is>
          <t>Control disciplinario interno</t>
        </is>
      </c>
      <c r="C2189" s="18" t="inlineStr">
        <is>
          <t>internal_disciplinary_control</t>
        </is>
      </c>
      <c r="D2189" s="18" t="inlineStr">
        <is>
          <t>disciplinary_processes</t>
        </is>
      </c>
      <c r="E2189" s="18" t="n">
        <v>26</v>
      </c>
      <c r="F2189" s="18" t="inlineStr">
        <is>
          <t>correo_juridica_enviado</t>
        </is>
      </c>
      <c r="G2189" s="18" t="inlineStr">
        <is>
          <t>boolean</t>
        </is>
      </c>
      <c r="H2189" s="18" t="inlineStr">
        <is>
          <t>Sí</t>
        </is>
      </c>
      <c r="I2189" s="18" t="inlineStr"/>
      <c r="J2189" s="18" t="inlineStr"/>
      <c r="K2189" s="18" t="inlineStr"/>
      <c r="L2189" s="18" t="inlineStr">
        <is>
          <t>No</t>
        </is>
      </c>
      <c r="M2189" s="18" t="inlineStr">
        <is>
          <t>No</t>
        </is>
      </c>
      <c r="N2189" s="18" t="inlineStr"/>
      <c r="O2189" s="18" t="inlineStr"/>
      <c r="P2189" s="18" t="inlineStr">
        <is>
          <t>internal-disciplinary-control-service/src/entities/disciplinary-process.entity.ts:125: Nota: Relación con asociaciones noticia-proceso se maneja via consultas directas para evitar dependencias circulares con DisciplinaryNewsProcess</t>
        </is>
      </c>
      <c r="Q2189" s="18" t="inlineStr">
        <is>
          <t>Código fuente</t>
        </is>
      </c>
      <c r="R2189" s="18" t="inlineStr">
        <is>
          <t>Indica si se envió el correo a jurídica sobre el proceso. Por defecto, falso.</t>
        </is>
      </c>
      <c r="S2189" s="18" t="inlineStr">
        <is>
          <t>Media</t>
        </is>
      </c>
      <c r="T2189" s="18" t="inlineStr">
        <is>
          <t>nombre + tipo + columnas vecinas; el comentario de código disciplinary-process.entity.ts:125 no define el dato</t>
        </is>
      </c>
      <c r="U2189" s="18" t="inlineStr">
        <is>
          <t>¿Qué evento del proceso dispara el envío del correo a jurídica y a qué buzón se envía?</t>
        </is>
      </c>
      <c r="V2189" s="19" t="inlineStr">
        <is>
          <t>Pendiente</t>
        </is>
      </c>
      <c r="W2189" s="19" t="inlineStr"/>
      <c r="X2189" s="19" t="inlineStr"/>
      <c r="Y2189" s="20" t="n"/>
      <c r="Z2189" s="19" t="inlineStr"/>
      <c r="AA2189" s="18">
        <f>IF(OR(V2189="Aprobada"),R2189,IF(AND(OR(V2189="Aprobada con ajuste",V2189="Rechazada"),W2189&lt;&gt;""),W2189,""))</f>
        <v/>
      </c>
    </row>
    <row r="2190">
      <c r="A2190" s="18" t="inlineStr">
        <is>
          <t>C2189</t>
        </is>
      </c>
      <c r="B2190" s="18" t="inlineStr">
        <is>
          <t>Control disciplinario interno</t>
        </is>
      </c>
      <c r="C2190" s="18" t="inlineStr">
        <is>
          <t>internal_disciplinary_control</t>
        </is>
      </c>
      <c r="D2190" s="18" t="inlineStr">
        <is>
          <t>disciplinary_processes</t>
        </is>
      </c>
      <c r="E2190" s="18" t="n">
        <v>26</v>
      </c>
      <c r="F2190" s="18" t="inlineStr">
        <is>
          <t>correo_juridica_fecha_envio</t>
        </is>
      </c>
      <c r="G2190" s="18" t="inlineStr">
        <is>
          <t>timestamp with time zone</t>
        </is>
      </c>
      <c r="H2190" s="18" t="inlineStr">
        <is>
          <t>Sí</t>
        </is>
      </c>
      <c r="I2190" s="18" t="inlineStr"/>
      <c r="J2190" s="18" t="inlineStr"/>
      <c r="K2190" s="18" t="inlineStr"/>
      <c r="L2190" s="18" t="inlineStr">
        <is>
          <t>No</t>
        </is>
      </c>
      <c r="M2190" s="18" t="inlineStr">
        <is>
          <t>No</t>
        </is>
      </c>
      <c r="N2190" s="18" t="inlineStr"/>
      <c r="O2190" s="18" t="inlineStr"/>
      <c r="P2190" s="18" t="inlineStr">
        <is>
          <t>internal-disciplinary-control-service/src/entities/disciplinary-process.entity.ts:128: Nota: Relación con asociaciones noticia-proceso se maneja via consultas directas para evitar dependencias circulares con DisciplinaryNewsProcess</t>
        </is>
      </c>
      <c r="Q2190" s="18" t="inlineStr">
        <is>
          <t>Código fuente</t>
        </is>
      </c>
      <c r="R2190" s="18" t="inlineStr">
        <is>
          <t>Fecha y hora de envío del correo a jurídica.</t>
        </is>
      </c>
      <c r="S2190" s="18" t="inlineStr">
        <is>
          <t>Media</t>
        </is>
      </c>
      <c r="T2190" s="18" t="inlineStr">
        <is>
          <t>nombre + tipo + columnas vecinas; el comentario de código disciplinary-process.entity.ts:128 no define el dato</t>
        </is>
      </c>
      <c r="U2190" s="18" t="inlineStr">
        <is>
          <t>¿Se llena junto con correo_juridica_enviado = verdadero?</t>
        </is>
      </c>
      <c r="V2190" s="19" t="inlineStr">
        <is>
          <t>Pendiente</t>
        </is>
      </c>
      <c r="W2190" s="19" t="inlineStr"/>
      <c r="X2190" s="19" t="inlineStr"/>
      <c r="Y2190" s="20" t="n"/>
      <c r="Z2190" s="19" t="inlineStr"/>
      <c r="AA2190" s="18">
        <f>IF(OR(V2190="Aprobada"),R2190,IF(AND(OR(V2190="Aprobada con ajuste",V2190="Rechazada"),W2190&lt;&gt;""),W2190,""))</f>
        <v/>
      </c>
    </row>
    <row r="2191">
      <c r="A2191" s="18" t="inlineStr">
        <is>
          <t>C2190</t>
        </is>
      </c>
      <c r="B2191" s="18" t="inlineStr">
        <is>
          <t>Control disciplinario interno</t>
        </is>
      </c>
      <c r="C2191" s="18" t="inlineStr">
        <is>
          <t>internal_disciplinary_control</t>
        </is>
      </c>
      <c r="D2191" s="18" t="inlineStr">
        <is>
          <t>disciplinary_processes</t>
        </is>
      </c>
      <c r="E2191" s="18" t="n">
        <v>26</v>
      </c>
      <c r="F2191" s="18" t="inlineStr">
        <is>
          <t>en_proceso_remision</t>
        </is>
      </c>
      <c r="G2191" s="18" t="inlineStr">
        <is>
          <t>boolean</t>
        </is>
      </c>
      <c r="H2191" s="18" t="inlineStr">
        <is>
          <t>Sí</t>
        </is>
      </c>
      <c r="I2191" s="18" t="inlineStr"/>
      <c r="J2191" s="18" t="inlineStr"/>
      <c r="K2191" s="18" t="inlineStr"/>
      <c r="L2191" s="18" t="inlineStr">
        <is>
          <t>No</t>
        </is>
      </c>
      <c r="M2191" s="18" t="inlineStr">
        <is>
          <t>No</t>
        </is>
      </c>
      <c r="N2191" s="18" t="inlineStr"/>
      <c r="O2191" s="18" t="inlineStr"/>
      <c r="P2191" s="18" t="inlineStr">
        <is>
          <t>internal-disciplinary-control-service/src/entities/disciplinary-process.entity.ts:165: Nota: Relación con asociaciones noticia-proceso se maneja via consultas directas para evitar dependencias circulares con DisciplinaryNewsProcess</t>
        </is>
      </c>
      <c r="Q2191" s="18" t="inlineStr">
        <is>
          <t>Código fuente</t>
        </is>
      </c>
      <c r="R2191" s="18" t="inlineStr">
        <is>
          <t>Indica si el proceso está en trámite de remisión a otra entidad. Por defecto, falso.</t>
        </is>
      </c>
      <c r="S2191" s="18" t="inlineStr">
        <is>
          <t>Media</t>
        </is>
      </c>
      <c r="T2191" s="18" t="inlineStr">
        <is>
          <t>nombre + tipo + columnas vecinas; el comentario de código disciplinary-process.entity.ts:165 no define el dato</t>
        </is>
      </c>
      <c r="U2191" s="18" t="inlineStr">
        <is>
          <t>¿La remisión corresponde al traslado del proceso a otra entidad competente?</t>
        </is>
      </c>
      <c r="V2191" s="19" t="inlineStr">
        <is>
          <t>Pendiente</t>
        </is>
      </c>
      <c r="W2191" s="19" t="inlineStr"/>
      <c r="X2191" s="19" t="inlineStr"/>
      <c r="Y2191" s="20" t="n"/>
      <c r="Z2191" s="19" t="inlineStr"/>
      <c r="AA2191" s="18">
        <f>IF(OR(V2191="Aprobada"),R2191,IF(AND(OR(V2191="Aprobada con ajuste",V2191="Rechazada"),W2191&lt;&gt;""),W2191,""))</f>
        <v/>
      </c>
    </row>
    <row r="2192">
      <c r="A2192" s="18" t="inlineStr">
        <is>
          <t>C2191</t>
        </is>
      </c>
      <c r="B2192" s="18" t="inlineStr">
        <is>
          <t>Control disciplinario interno</t>
        </is>
      </c>
      <c r="C2192" s="18" t="inlineStr">
        <is>
          <t>internal_disciplinary_control</t>
        </is>
      </c>
      <c r="D2192" s="18" t="inlineStr">
        <is>
          <t>disciplinary_processes</t>
        </is>
      </c>
      <c r="E2192" s="18" t="n">
        <v>26</v>
      </c>
      <c r="F2192" s="18" t="inlineStr">
        <is>
          <t>remision_aprobada</t>
        </is>
      </c>
      <c r="G2192" s="18" t="inlineStr">
        <is>
          <t>boolean</t>
        </is>
      </c>
      <c r="H2192" s="18" t="inlineStr">
        <is>
          <t>Sí</t>
        </is>
      </c>
      <c r="I2192" s="18" t="inlineStr"/>
      <c r="J2192" s="18" t="inlineStr"/>
      <c r="K2192" s="18" t="inlineStr"/>
      <c r="L2192" s="18" t="inlineStr">
        <is>
          <t>No</t>
        </is>
      </c>
      <c r="M2192" s="18" t="inlineStr">
        <is>
          <t>No</t>
        </is>
      </c>
      <c r="N2192" s="18" t="inlineStr"/>
      <c r="O2192" s="18" t="inlineStr"/>
      <c r="P2192" s="18" t="inlineStr">
        <is>
          <t>internal-disciplinary-control-service/src/entities/disciplinary-process.entity.ts:168: Nota: Relación con asociaciones noticia-proceso se maneja via consultas directas para evitar dependencias circulares con DisciplinaryNewsProcess</t>
        </is>
      </c>
      <c r="Q2192" s="18" t="inlineStr">
        <is>
          <t>Código fuente</t>
        </is>
      </c>
      <c r="R2192" s="18" t="inlineStr">
        <is>
          <t>Indica si la remisión del proceso fue aprobada. Por defecto, falso.</t>
        </is>
      </c>
      <c r="S2192" s="18" t="inlineStr">
        <is>
          <t>Media</t>
        </is>
      </c>
      <c r="T2192" s="18" t="inlineStr">
        <is>
          <t>nombre + tipo + columnas vecinas; el comentario de código disciplinary-process.entity.ts:168 no define el dato</t>
        </is>
      </c>
      <c r="U2192" s="18" t="inlineStr">
        <is>
          <t>¿Quién aprueba la remisión y en qué paso del flujo?</t>
        </is>
      </c>
      <c r="V2192" s="19" t="inlineStr">
        <is>
          <t>Pendiente</t>
        </is>
      </c>
      <c r="W2192" s="19" t="inlineStr"/>
      <c r="X2192" s="19" t="inlineStr"/>
      <c r="Y2192" s="20" t="n"/>
      <c r="Z2192" s="19" t="inlineStr"/>
      <c r="AA2192" s="18">
        <f>IF(OR(V2192="Aprobada"),R2192,IF(AND(OR(V2192="Aprobada con ajuste",V2192="Rechazada"),W2192&lt;&gt;""),W2192,""))</f>
        <v/>
      </c>
    </row>
    <row r="2193">
      <c r="A2193" s="18" t="inlineStr">
        <is>
          <t>C2192</t>
        </is>
      </c>
      <c r="B2193" s="18" t="inlineStr">
        <is>
          <t>Control disciplinario interno</t>
        </is>
      </c>
      <c r="C2193" s="18" t="inlineStr">
        <is>
          <t>internal_disciplinary_control</t>
        </is>
      </c>
      <c r="D2193" s="18" t="inlineStr">
        <is>
          <t>disciplinary_processes</t>
        </is>
      </c>
      <c r="E2193" s="18" t="n">
        <v>26</v>
      </c>
      <c r="F2193" s="18" t="inlineStr">
        <is>
          <t>numero_rc</t>
        </is>
      </c>
      <c r="G2193" s="18" t="inlineStr">
        <is>
          <t>character varying(50)</t>
        </is>
      </c>
      <c r="H2193" s="18" t="inlineStr">
        <is>
          <t>Sí</t>
        </is>
      </c>
      <c r="I2193" s="18" t="inlineStr"/>
      <c r="J2193" s="18" t="inlineStr"/>
      <c r="K2193" s="18" t="inlineStr"/>
      <c r="L2193" s="18" t="inlineStr">
        <is>
          <t>No</t>
        </is>
      </c>
      <c r="M2193" s="18" t="inlineStr">
        <is>
          <t>No</t>
        </is>
      </c>
      <c r="N2193" s="18" t="inlineStr"/>
      <c r="O2193" s="18" t="inlineStr"/>
      <c r="P2193" s="18" t="inlineStr">
        <is>
          <t>internal-disciplinary-control-service/src/entities/disciplinary-process.entity.ts:171: Nota: Relación con asociaciones noticia-proceso se maneja via consultas directas para evitar dependencias circulares con DisciplinaryNewsProcess</t>
        </is>
      </c>
      <c r="Q2193" s="18" t="inlineStr">
        <is>
          <t>Código fuente</t>
        </is>
      </c>
      <c r="R2193" s="18" t="inlineStr">
        <is>
          <t>Número RC asociado a la remisión del proceso.</t>
        </is>
      </c>
      <c r="S2193" s="18" t="inlineStr">
        <is>
          <t>Baja</t>
        </is>
      </c>
      <c r="T2193" s="18" t="inlineStr">
        <is>
          <t>nombre + tipo + columnas vecinas; el comentario de código disciplinary-process.entity.ts:171 no define el dato</t>
        </is>
      </c>
      <c r="U2193" s="18" t="inlineStr">
        <is>
          <t>¿Qué significa RC en numero_rc y de qué sistema proviene ese número?</t>
        </is>
      </c>
      <c r="V2193" s="19" t="inlineStr">
        <is>
          <t>Pendiente</t>
        </is>
      </c>
      <c r="W2193" s="19" t="inlineStr"/>
      <c r="X2193" s="19" t="inlineStr"/>
      <c r="Y2193" s="20" t="n"/>
      <c r="Z2193" s="19" t="inlineStr"/>
      <c r="AA2193" s="18">
        <f>IF(OR(V2193="Aprobada"),R2193,IF(AND(OR(V2193="Aprobada con ajuste",V2193="Rechazada"),W2193&lt;&gt;""),W2193,""))</f>
        <v/>
      </c>
    </row>
    <row r="2194">
      <c r="A2194" s="18" t="inlineStr">
        <is>
          <t>C2193</t>
        </is>
      </c>
      <c r="B2194" s="18" t="inlineStr">
        <is>
          <t>Control disciplinario interno</t>
        </is>
      </c>
      <c r="C2194" s="18" t="inlineStr">
        <is>
          <t>internal_disciplinary_control</t>
        </is>
      </c>
      <c r="D2194" s="18" t="inlineStr">
        <is>
          <t>disciplinary_processes</t>
        </is>
      </c>
      <c r="E2194" s="18" t="n">
        <v>26</v>
      </c>
      <c r="F2194" s="18" t="inlineStr">
        <is>
          <t>entidad_remision</t>
        </is>
      </c>
      <c r="G2194" s="18" t="inlineStr">
        <is>
          <t>character varying(255)</t>
        </is>
      </c>
      <c r="H2194" s="18" t="inlineStr">
        <is>
          <t>Sí</t>
        </is>
      </c>
      <c r="I2194" s="18" t="inlineStr"/>
      <c r="J2194" s="18" t="inlineStr"/>
      <c r="K2194" s="18" t="inlineStr"/>
      <c r="L2194" s="18" t="inlineStr">
        <is>
          <t>No</t>
        </is>
      </c>
      <c r="M2194" s="18" t="inlineStr">
        <is>
          <t>No</t>
        </is>
      </c>
      <c r="N2194" s="18" t="inlineStr"/>
      <c r="O2194" s="18" t="inlineStr"/>
      <c r="P2194" s="18" t="inlineStr">
        <is>
          <t>internal-disciplinary-control-service/src/entities/disciplinary-process.entity.ts:174: Nota: Relación con asociaciones noticia-proceso se maneja via consultas directas para evitar dependencias circulares con DisciplinaryNewsProcess</t>
        </is>
      </c>
      <c r="Q2194" s="18" t="inlineStr">
        <is>
          <t>Código fuente</t>
        </is>
      </c>
      <c r="R2194" s="18" t="inlineStr">
        <is>
          <t>Nombre de la entidad a la que se remite el proceso.</t>
        </is>
      </c>
      <c r="S2194" s="18" t="inlineStr">
        <is>
          <t>Media</t>
        </is>
      </c>
      <c r="T2194" s="18" t="inlineStr">
        <is>
          <t>nombre + tipo + columnas vecinas; el comentario de código disciplinary-process.entity.ts:174 no define el dato</t>
        </is>
      </c>
      <c r="U2194" s="18" t="inlineStr">
        <is>
          <t>¿Es texto libre o proviene de un catálogo de entidades?</t>
        </is>
      </c>
      <c r="V2194" s="19" t="inlineStr">
        <is>
          <t>Pendiente</t>
        </is>
      </c>
      <c r="W2194" s="19" t="inlineStr"/>
      <c r="X2194" s="19" t="inlineStr"/>
      <c r="Y2194" s="20" t="n"/>
      <c r="Z2194" s="19" t="inlineStr"/>
      <c r="AA2194" s="18">
        <f>IF(OR(V2194="Aprobada"),R2194,IF(AND(OR(V2194="Aprobada con ajuste",V2194="Rechazada"),W2194&lt;&gt;""),W2194,""))</f>
        <v/>
      </c>
    </row>
    <row r="2195">
      <c r="A2195" s="18" t="inlineStr">
        <is>
          <t>C2194</t>
        </is>
      </c>
      <c r="B2195" s="18" t="inlineStr">
        <is>
          <t>Control disciplinario interno</t>
        </is>
      </c>
      <c r="C2195" s="18" t="inlineStr">
        <is>
          <t>internal_disciplinary_control</t>
        </is>
      </c>
      <c r="D2195" s="18" t="inlineStr">
        <is>
          <t>disciplinary_processes</t>
        </is>
      </c>
      <c r="E2195" s="18" t="n">
        <v>26</v>
      </c>
      <c r="F2195" s="18" t="inlineStr">
        <is>
          <t>correo_entidad_remision</t>
        </is>
      </c>
      <c r="G2195" s="18" t="inlineStr">
        <is>
          <t>character varying(255)</t>
        </is>
      </c>
      <c r="H2195" s="18" t="inlineStr">
        <is>
          <t>Sí</t>
        </is>
      </c>
      <c r="I2195" s="18" t="inlineStr"/>
      <c r="J2195" s="18" t="inlineStr"/>
      <c r="K2195" s="18" t="inlineStr"/>
      <c r="L2195" s="18" t="inlineStr">
        <is>
          <t>No</t>
        </is>
      </c>
      <c r="M2195" s="18" t="inlineStr">
        <is>
          <t>No</t>
        </is>
      </c>
      <c r="N2195" s="18" t="inlineStr"/>
      <c r="O2195" s="18" t="inlineStr"/>
      <c r="P2195" s="18" t="inlineStr">
        <is>
          <t>internal-disciplinary-control-service/src/entities/disciplinary-process.entity.ts:177: Nota: Relación con asociaciones noticia-proceso se maneja via consultas directas para evitar dependencias circulares con DisciplinaryNewsProcess</t>
        </is>
      </c>
      <c r="Q2195" s="18" t="inlineStr">
        <is>
          <t>Código fuente</t>
        </is>
      </c>
      <c r="R2195" s="18" t="inlineStr">
        <is>
          <t>Correo electrónico de la entidad a la que se remite el proceso.</t>
        </is>
      </c>
      <c r="S2195" s="18" t="inlineStr">
        <is>
          <t>Media</t>
        </is>
      </c>
      <c r="T2195" s="18" t="inlineStr">
        <is>
          <t>nombre + tipo + columnas vecinas; el comentario de código disciplinary-process.entity.ts:177 no define el dato</t>
        </is>
      </c>
      <c r="U2195" s="18" t="inlineStr">
        <is>
          <t>¿Es la dirección a la que se envía la remisión?</t>
        </is>
      </c>
      <c r="V2195" s="19" t="inlineStr">
        <is>
          <t>Pendiente</t>
        </is>
      </c>
      <c r="W2195" s="19" t="inlineStr"/>
      <c r="X2195" s="19" t="inlineStr"/>
      <c r="Y2195" s="20" t="n"/>
      <c r="Z2195" s="19" t="inlineStr"/>
      <c r="AA2195" s="18">
        <f>IF(OR(V2195="Aprobada"),R2195,IF(AND(OR(V2195="Aprobada con ajuste",V2195="Rechazada"),W2195&lt;&gt;""),W2195,""))</f>
        <v/>
      </c>
    </row>
    <row r="2196">
      <c r="A2196" s="18" t="inlineStr">
        <is>
          <t>C2195</t>
        </is>
      </c>
      <c r="B2196" s="18" t="inlineStr">
        <is>
          <t>Control disciplinario interno</t>
        </is>
      </c>
      <c r="C2196" s="18" t="inlineStr">
        <is>
          <t>internal_disciplinary_control</t>
        </is>
      </c>
      <c r="D2196" s="18" t="inlineStr">
        <is>
          <t>disciplinary_processes</t>
        </is>
      </c>
      <c r="E2196" s="18" t="n">
        <v>26</v>
      </c>
      <c r="F2196" s="18" t="inlineStr">
        <is>
          <t>fecha_remision</t>
        </is>
      </c>
      <c r="G2196" s="18" t="inlineStr">
        <is>
          <t>timestamp with time zone</t>
        </is>
      </c>
      <c r="H2196" s="18" t="inlineStr">
        <is>
          <t>Sí</t>
        </is>
      </c>
      <c r="I2196" s="18" t="inlineStr"/>
      <c r="J2196" s="18" t="inlineStr"/>
      <c r="K2196" s="18" t="inlineStr"/>
      <c r="L2196" s="18" t="inlineStr">
        <is>
          <t>No</t>
        </is>
      </c>
      <c r="M2196" s="18" t="inlineStr">
        <is>
          <t>No</t>
        </is>
      </c>
      <c r="N2196" s="18" t="inlineStr"/>
      <c r="O2196" s="18" t="inlineStr"/>
      <c r="P2196" s="18" t="inlineStr">
        <is>
          <t>internal-disciplinary-control-service/src/entities/disciplinary-process.entity.ts:180: Nota: Relación con asociaciones noticia-proceso se maneja via consultas directas para evitar dependencias circulares con DisciplinaryNewsProcess</t>
        </is>
      </c>
      <c r="Q2196" s="18" t="inlineStr">
        <is>
          <t>Código fuente</t>
        </is>
      </c>
      <c r="R2196" s="18" t="inlineStr">
        <is>
          <t>Fecha y hora de remisión del proceso a la entidad destino.</t>
        </is>
      </c>
      <c r="S2196" s="18" t="inlineStr">
        <is>
          <t>Media</t>
        </is>
      </c>
      <c r="T2196" s="18" t="inlineStr">
        <is>
          <t>nombre + tipo + columnas vecinas; el comentario de código disciplinary-process.entity.ts:180 no define el dato</t>
        </is>
      </c>
      <c r="U2196" s="18" t="inlineStr">
        <is>
          <t>¿Es la fecha de envío de la remisión o la de su aprobación?</t>
        </is>
      </c>
      <c r="V2196" s="19" t="inlineStr">
        <is>
          <t>Pendiente</t>
        </is>
      </c>
      <c r="W2196" s="19" t="inlineStr"/>
      <c r="X2196" s="19" t="inlineStr"/>
      <c r="Y2196" s="20" t="n"/>
      <c r="Z2196" s="19" t="inlineStr"/>
      <c r="AA2196" s="18">
        <f>IF(OR(V2196="Aprobada"),R2196,IF(AND(OR(V2196="Aprobada con ajuste",V2196="Rechazada"),W2196&lt;&gt;""),W2196,""))</f>
        <v/>
      </c>
    </row>
    <row r="2197">
      <c r="A2197" s="18" t="inlineStr">
        <is>
          <t>C2196</t>
        </is>
      </c>
      <c r="B2197" s="18" t="inlineStr">
        <is>
          <t>Control disciplinario interno</t>
        </is>
      </c>
      <c r="C2197" s="18" t="inlineStr">
        <is>
          <t>internal_disciplinary_control</t>
        </is>
      </c>
      <c r="D2197" s="18" t="inlineStr">
        <is>
          <t>disciplinary_processes</t>
        </is>
      </c>
      <c r="E2197" s="18" t="n">
        <v>26</v>
      </c>
      <c r="F2197" s="18" t="inlineStr">
        <is>
          <t>tipo_remision</t>
        </is>
      </c>
      <c r="G2197" s="18" t="inlineStr">
        <is>
          <t>character varying(100)</t>
        </is>
      </c>
      <c r="H2197" s="18" t="inlineStr">
        <is>
          <t>Sí</t>
        </is>
      </c>
      <c r="I2197" s="18" t="inlineStr"/>
      <c r="J2197" s="18" t="inlineStr"/>
      <c r="K2197" s="18" t="inlineStr"/>
      <c r="L2197" s="18" t="inlineStr">
        <is>
          <t>No</t>
        </is>
      </c>
      <c r="M2197" s="18" t="inlineStr">
        <is>
          <t>No</t>
        </is>
      </c>
      <c r="N2197" s="18" t="inlineStr"/>
      <c r="O2197" s="18" t="inlineStr"/>
      <c r="P2197" s="18" t="inlineStr">
        <is>
          <t>internal-disciplinary-control-service/src/entities/disciplinary-process.entity.ts:183: Nota: Relación con asociaciones noticia-proceso se maneja via consultas directas para evitar dependencias circulares con DisciplinaryNewsProcess | Validación: IsOptional, IsString</t>
        </is>
      </c>
      <c r="Q2197" s="18" t="inlineStr">
        <is>
          <t>Código fuente</t>
        </is>
      </c>
      <c r="R2197" s="18" t="inlineStr">
        <is>
          <t>Tipo de remisión del proceso.</t>
        </is>
      </c>
      <c r="S2197" s="18" t="inlineStr">
        <is>
          <t>Baja</t>
        </is>
      </c>
      <c r="T2197" s="18" t="inlineStr">
        <is>
          <t>nombre + tipo + columnas vecinas; el comentario de código disciplinary-process.entity.ts:183 no define el dato</t>
        </is>
      </c>
      <c r="U2197" s="18" t="inlineStr">
        <is>
          <t>¿Qué valores admite tipo_remision?</t>
        </is>
      </c>
      <c r="V2197" s="19" t="inlineStr">
        <is>
          <t>Pendiente</t>
        </is>
      </c>
      <c r="W2197" s="19" t="inlineStr"/>
      <c r="X2197" s="19" t="inlineStr"/>
      <c r="Y2197" s="20" t="n"/>
      <c r="Z2197" s="19" t="inlineStr"/>
      <c r="AA2197" s="18">
        <f>IF(OR(V2197="Aprobada"),R2197,IF(AND(OR(V2197="Aprobada con ajuste",V2197="Rechazada"),W2197&lt;&gt;""),W2197,""))</f>
        <v/>
      </c>
    </row>
    <row r="2198">
      <c r="A2198" s="18" t="inlineStr">
        <is>
          <t>C2197</t>
        </is>
      </c>
      <c r="B2198" s="18" t="inlineStr">
        <is>
          <t>Control disciplinario interno</t>
        </is>
      </c>
      <c r="C2198" s="18" t="inlineStr">
        <is>
          <t>internal_disciplinary_control</t>
        </is>
      </c>
      <c r="D2198" s="18" t="inlineStr">
        <is>
          <t>disciplinary_processes</t>
        </is>
      </c>
      <c r="E2198" s="18" t="n">
        <v>26</v>
      </c>
      <c r="F2198" s="18" t="inlineStr">
        <is>
          <t>justificacion_remision</t>
        </is>
      </c>
      <c r="G2198" s="18" t="inlineStr">
        <is>
          <t>text</t>
        </is>
      </c>
      <c r="H2198" s="18" t="inlineStr">
        <is>
          <t>Sí</t>
        </is>
      </c>
      <c r="I2198" s="18" t="inlineStr"/>
      <c r="J2198" s="18" t="inlineStr"/>
      <c r="K2198" s="18" t="inlineStr"/>
      <c r="L2198" s="18" t="inlineStr">
        <is>
          <t>No</t>
        </is>
      </c>
      <c r="M2198" s="18" t="inlineStr">
        <is>
          <t>No</t>
        </is>
      </c>
      <c r="N2198" s="18" t="inlineStr"/>
      <c r="O2198" s="18" t="inlineStr"/>
      <c r="P2198" s="18" t="inlineStr">
        <is>
          <t>internal-disciplinary-control-service/src/entities/disciplinary-process.entity.ts:186: Nota: Relación con asociaciones noticia-proceso se maneja via consultas directas para evitar dependencias circulares con DisciplinaryNewsProcess</t>
        </is>
      </c>
      <c r="Q2198" s="18" t="inlineStr">
        <is>
          <t>Código fuente</t>
        </is>
      </c>
      <c r="R2198" s="18" t="inlineStr">
        <is>
          <t>Justificación de la remisión del proceso a otra entidad.</t>
        </is>
      </c>
      <c r="S2198" s="18" t="inlineStr">
        <is>
          <t>Media</t>
        </is>
      </c>
      <c r="T2198" s="18" t="inlineStr">
        <is>
          <t>nombre + tipo + columnas vecinas; el comentario de código disciplinary-process.entity.ts:186 no define el dato</t>
        </is>
      </c>
      <c r="U2198" s="18" t="inlineStr">
        <is>
          <t>¿Quién registra la justificación de la remisión?</t>
        </is>
      </c>
      <c r="V2198" s="19" t="inlineStr">
        <is>
          <t>Pendiente</t>
        </is>
      </c>
      <c r="W2198" s="19" t="inlineStr"/>
      <c r="X2198" s="19" t="inlineStr"/>
      <c r="Y2198" s="20" t="n"/>
      <c r="Z2198" s="19" t="inlineStr"/>
      <c r="AA2198" s="18">
        <f>IF(OR(V2198="Aprobada"),R2198,IF(AND(OR(V2198="Aprobada con ajuste",V2198="Rechazada"),W2198&lt;&gt;""),W2198,""))</f>
        <v/>
      </c>
    </row>
    <row r="2199">
      <c r="A2199" s="18" t="inlineStr">
        <is>
          <t>C2198</t>
        </is>
      </c>
      <c r="B2199" s="18" t="inlineStr">
        <is>
          <t>Control disciplinario interno</t>
        </is>
      </c>
      <c r="C2199" s="18" t="inlineStr">
        <is>
          <t>internal_disciplinary_control</t>
        </is>
      </c>
      <c r="D2199" s="18" t="inlineStr">
        <is>
          <t>disciplinary_processes</t>
        </is>
      </c>
      <c r="E2199" s="18" t="n">
        <v>26</v>
      </c>
      <c r="F2199" s="18" t="inlineStr">
        <is>
          <t>descripcion_remision</t>
        </is>
      </c>
      <c r="G2199" s="18" t="inlineStr">
        <is>
          <t>jsonb</t>
        </is>
      </c>
      <c r="H2199" s="18" t="inlineStr">
        <is>
          <t>Sí</t>
        </is>
      </c>
      <c r="I2199" s="18" t="inlineStr"/>
      <c r="J2199" s="18" t="inlineStr"/>
      <c r="K2199" s="18" t="inlineStr"/>
      <c r="L2199" s="18" t="inlineStr">
        <is>
          <t>No</t>
        </is>
      </c>
      <c r="M2199" s="18" t="inlineStr">
        <is>
          <t>No</t>
        </is>
      </c>
      <c r="N2199" s="18" t="inlineStr"/>
      <c r="O2199" s="18" t="inlineStr"/>
      <c r="P2199" s="18" t="inlineStr">
        <is>
          <t>internal-disciplinary-control-service/src/entities/disciplinary-process.entity.ts:189: Nota: Relación con asociaciones noticia-proceso se maneja via consultas directas para evitar dependencias circulares con DisciplinaryNewsProcess</t>
        </is>
      </c>
      <c r="Q2199" s="18" t="inlineStr">
        <is>
          <t>Código fuente</t>
        </is>
      </c>
      <c r="R2199" s="18" t="inlineStr">
        <is>
          <t>Descripción de la remisión, en formato JSON.</t>
        </is>
      </c>
      <c r="S2199" s="18" t="inlineStr">
        <is>
          <t>Baja</t>
        </is>
      </c>
      <c r="T2199" s="18" t="inlineStr">
        <is>
          <t>nombre + tipo + columnas vecinas; el comentario de código disciplinary-process.entity.ts:189 no define el dato</t>
        </is>
      </c>
      <c r="U2199" s="18" t="inlineStr">
        <is>
          <t>¿Qué estructura tiene el JSON de descripcion_remision?</t>
        </is>
      </c>
      <c r="V2199" s="19" t="inlineStr">
        <is>
          <t>Pendiente</t>
        </is>
      </c>
      <c r="W2199" s="19" t="inlineStr"/>
      <c r="X2199" s="19" t="inlineStr"/>
      <c r="Y2199" s="20" t="n"/>
      <c r="Z2199" s="19" t="inlineStr"/>
      <c r="AA2199" s="18">
        <f>IF(OR(V2199="Aprobada"),R2199,IF(AND(OR(V2199="Aprobada con ajuste",V2199="Rechazada"),W2199&lt;&gt;""),W2199,""))</f>
        <v/>
      </c>
    </row>
    <row r="2200">
      <c r="A2200" s="18" t="inlineStr">
        <is>
          <t>C2199</t>
        </is>
      </c>
      <c r="B2200" s="18" t="inlineStr">
        <is>
          <t>Control disciplinario interno</t>
        </is>
      </c>
      <c r="C2200" s="18" t="inlineStr">
        <is>
          <t>internal_disciplinary_control</t>
        </is>
      </c>
      <c r="D2200" s="18" t="inlineStr">
        <is>
          <t>disciplinary_professional</t>
        </is>
      </c>
      <c r="E2200" s="18" t="n">
        <v>9</v>
      </c>
      <c r="F2200" s="18" t="inlineStr">
        <is>
          <t>nombre_completo</t>
        </is>
      </c>
      <c r="G2200" s="18" t="inlineStr">
        <is>
          <t>character varying(255)</t>
        </is>
      </c>
      <c r="H2200" s="18" t="inlineStr">
        <is>
          <t>No</t>
        </is>
      </c>
      <c r="I2200" s="18" t="inlineStr"/>
      <c r="J2200" s="18" t="inlineStr"/>
      <c r="K2200" s="18" t="inlineStr"/>
      <c r="L2200" s="18" t="inlineStr">
        <is>
          <t>No</t>
        </is>
      </c>
      <c r="M2200" s="18" t="inlineStr">
        <is>
          <t>No</t>
        </is>
      </c>
      <c r="N2200" s="18" t="inlineStr"/>
      <c r="O2200" s="18" t="inlineStr"/>
      <c r="P2200" s="18" t="inlineStr">
        <is>
          <t>Mapeada en internal-disciplinary-control-service/src/entities/disciplinary-professional.entity.ts:14 (DisciplinaryProfessional.nombreCompleto)</t>
        </is>
      </c>
      <c r="Q2200" s="18" t="inlineStr">
        <is>
          <t>Propuesta semántica</t>
        </is>
      </c>
      <c r="R2200" s="18" t="inlineStr">
        <is>
          <t>Nombre completo del profesional.</t>
        </is>
      </c>
      <c r="S2200" s="18" t="inlineStr">
        <is>
          <t>Alta</t>
        </is>
      </c>
      <c r="T2200" s="18" t="inlineStr">
        <is>
          <t>nombre + tipo + columnas vecinas</t>
        </is>
      </c>
      <c r="U2200" s="18" t="inlineStr"/>
      <c r="V2200" s="19" t="inlineStr">
        <is>
          <t>Pendiente</t>
        </is>
      </c>
      <c r="W2200" s="19" t="inlineStr"/>
      <c r="X2200" s="19" t="inlineStr"/>
      <c r="Y2200" s="20" t="n"/>
      <c r="Z2200" s="19" t="inlineStr"/>
      <c r="AA2200" s="18">
        <f>IF(OR(V2200="Aprobada"),R2200,IF(AND(OR(V2200="Aprobada con ajuste",V2200="Rechazada"),W2200&lt;&gt;""),W2200,""))</f>
        <v/>
      </c>
    </row>
    <row r="2201">
      <c r="A2201" s="18" t="inlineStr">
        <is>
          <t>C2200</t>
        </is>
      </c>
      <c r="B2201" s="18" t="inlineStr">
        <is>
          <t>Control disciplinario interno</t>
        </is>
      </c>
      <c r="C2201" s="18" t="inlineStr">
        <is>
          <t>internal_disciplinary_control</t>
        </is>
      </c>
      <c r="D2201" s="18" t="inlineStr">
        <is>
          <t>disciplinary_professional</t>
        </is>
      </c>
      <c r="E2201" s="18" t="n">
        <v>9</v>
      </c>
      <c r="F2201" s="18" t="inlineStr">
        <is>
          <t>email</t>
        </is>
      </c>
      <c r="G2201" s="18" t="inlineStr">
        <is>
          <t>character varying(255)</t>
        </is>
      </c>
      <c r="H2201" s="18" t="inlineStr">
        <is>
          <t>No</t>
        </is>
      </c>
      <c r="I2201" s="18" t="inlineStr">
        <is>
          <t>Única</t>
        </is>
      </c>
      <c r="J2201" s="18" t="inlineStr"/>
      <c r="K2201" s="18" t="inlineStr"/>
      <c r="L2201" s="18" t="inlineStr">
        <is>
          <t>No</t>
        </is>
      </c>
      <c r="M2201" s="18" t="inlineStr">
        <is>
          <t>No</t>
        </is>
      </c>
      <c r="N2201" s="18" t="inlineStr"/>
      <c r="O2201" s="18" t="inlineStr">
        <is>
          <t>disciplinary_professional_email_key, idx_disciplinary_professional_email, idx_professional_email</t>
        </is>
      </c>
      <c r="P2201" s="18" t="inlineStr">
        <is>
          <t>Mapeada en internal-disciplinary-control-service/src/entities/disciplinary-professional.entity.ts:17 (DisciplinaryProfessional.email) | Validación: IsEmail, IsOptional, IsString</t>
        </is>
      </c>
      <c r="Q2201" s="18" t="inlineStr">
        <is>
          <t>Regla estructural</t>
        </is>
      </c>
      <c r="R2201" s="18" t="inlineStr">
        <is>
          <t>Correo electrónico.</t>
        </is>
      </c>
      <c r="S2201" s="18" t="inlineStr">
        <is>
          <t>Media</t>
        </is>
      </c>
      <c r="T2201" s="18" t="inlineStr">
        <is>
          <t>Convención de nombre de la columna.</t>
        </is>
      </c>
      <c r="U2201" s="18" t="inlineStr"/>
      <c r="V2201" s="19" t="inlineStr">
        <is>
          <t>Pendiente</t>
        </is>
      </c>
      <c r="W2201" s="19" t="inlineStr"/>
      <c r="X2201" s="19" t="inlineStr"/>
      <c r="Y2201" s="20" t="n"/>
      <c r="Z2201" s="19" t="inlineStr"/>
      <c r="AA2201" s="18">
        <f>IF(OR(V2201="Aprobada"),R2201,IF(AND(OR(V2201="Aprobada con ajuste",V2201="Rechazada"),W2201&lt;&gt;""),W2201,""))</f>
        <v/>
      </c>
    </row>
    <row r="2202">
      <c r="A2202" s="18" t="inlineStr">
        <is>
          <t>C2201</t>
        </is>
      </c>
      <c r="B2202" s="18" t="inlineStr">
        <is>
          <t>Control disciplinario interno</t>
        </is>
      </c>
      <c r="C2202" s="18" t="inlineStr">
        <is>
          <t>internal_disciplinary_control</t>
        </is>
      </c>
      <c r="D2202" s="18" t="inlineStr">
        <is>
          <t>disciplinary_professional</t>
        </is>
      </c>
      <c r="E2202" s="18" t="n">
        <v>9</v>
      </c>
      <c r="F2202" s="18" t="inlineStr">
        <is>
          <t>telefono</t>
        </is>
      </c>
      <c r="G2202" s="18" t="inlineStr">
        <is>
          <t>character varying(50)</t>
        </is>
      </c>
      <c r="H2202" s="18" t="inlineStr">
        <is>
          <t>Sí</t>
        </is>
      </c>
      <c r="I2202" s="18" t="inlineStr"/>
      <c r="J2202" s="18" t="inlineStr"/>
      <c r="K2202" s="18" t="inlineStr"/>
      <c r="L2202" s="18" t="inlineStr">
        <is>
          <t>No</t>
        </is>
      </c>
      <c r="M2202" s="18" t="inlineStr">
        <is>
          <t>No</t>
        </is>
      </c>
      <c r="N2202" s="18" t="inlineStr"/>
      <c r="O2202" s="18" t="inlineStr"/>
      <c r="P2202" s="18" t="inlineStr">
        <is>
          <t>Mapeada en internal-disciplinary-control-service/src/entities/disciplinary-professional.entity.ts:20 (DisciplinaryProfessional.telefono) | Validación: IsOptional, IsString</t>
        </is>
      </c>
      <c r="Q2202" s="18" t="inlineStr">
        <is>
          <t>Regla estructural</t>
        </is>
      </c>
      <c r="R2202" s="18" t="inlineStr">
        <is>
          <t>Número de teléfono.</t>
        </is>
      </c>
      <c r="S2202" s="18" t="inlineStr">
        <is>
          <t>Media</t>
        </is>
      </c>
      <c r="T2202" s="18" t="inlineStr">
        <is>
          <t>Convención de nombre de la columna.</t>
        </is>
      </c>
      <c r="U2202" s="18" t="inlineStr"/>
      <c r="V2202" s="19" t="inlineStr">
        <is>
          <t>Pendiente</t>
        </is>
      </c>
      <c r="W2202" s="19" t="inlineStr"/>
      <c r="X2202" s="19" t="inlineStr"/>
      <c r="Y2202" s="20" t="n"/>
      <c r="Z2202" s="19" t="inlineStr"/>
      <c r="AA2202" s="18">
        <f>IF(OR(V2202="Aprobada"),R2202,IF(AND(OR(V2202="Aprobada con ajuste",V2202="Rechazada"),W2202&lt;&gt;""),W2202,""))</f>
        <v/>
      </c>
    </row>
    <row r="2203">
      <c r="A2203" s="18" t="inlineStr">
        <is>
          <t>C2202</t>
        </is>
      </c>
      <c r="B2203" s="18" t="inlineStr">
        <is>
          <t>Control disciplinario interno</t>
        </is>
      </c>
      <c r="C2203" s="18" t="inlineStr">
        <is>
          <t>internal_disciplinary_control</t>
        </is>
      </c>
      <c r="D2203" s="18" t="inlineStr">
        <is>
          <t>disciplinary_professional</t>
        </is>
      </c>
      <c r="E2203" s="18" t="n">
        <v>9</v>
      </c>
      <c r="F2203" s="18" t="inlineStr">
        <is>
          <t>cargo</t>
        </is>
      </c>
      <c r="G2203" s="18" t="inlineStr">
        <is>
          <t>character varying(100)</t>
        </is>
      </c>
      <c r="H2203" s="18" t="inlineStr">
        <is>
          <t>No</t>
        </is>
      </c>
      <c r="I2203" s="18" t="inlineStr"/>
      <c r="J2203" s="18" t="inlineStr"/>
      <c r="K2203" s="18" t="inlineStr"/>
      <c r="L2203" s="18" t="inlineStr">
        <is>
          <t>No</t>
        </is>
      </c>
      <c r="M2203" s="18" t="inlineStr">
        <is>
          <t>No</t>
        </is>
      </c>
      <c r="N2203" s="18" t="inlineStr"/>
      <c r="O2203" s="18" t="inlineStr"/>
      <c r="P2203" s="18" t="inlineStr">
        <is>
          <t>internal-disciplinary-control-service/src/entities/disciplinary-professional.entity.ts:23: 'Jefe de Oficina', 'Profesional Universitario', etc. | Validación: IsOptional, IsString</t>
        </is>
      </c>
      <c r="Q2203" s="18" t="inlineStr">
        <is>
          <t>Código fuente</t>
        </is>
      </c>
      <c r="R2203" s="18" t="inlineStr">
        <is>
          <t>Cargo del profesional, por ejemplo Jefe de Oficina o Profesional Universitario.</t>
        </is>
      </c>
      <c r="S2203" s="18" t="inlineStr">
        <is>
          <t>Alta</t>
        </is>
      </c>
      <c r="T2203" s="18" t="inlineStr">
        <is>
          <t>código: disciplinary-professional.entity.ts:23</t>
        </is>
      </c>
      <c r="U2203" s="18" t="inlineStr"/>
      <c r="V2203" s="19" t="inlineStr">
        <is>
          <t>Pendiente</t>
        </is>
      </c>
      <c r="W2203" s="19" t="inlineStr"/>
      <c r="X2203" s="19" t="inlineStr"/>
      <c r="Y2203" s="20" t="n"/>
      <c r="Z2203" s="19" t="inlineStr"/>
      <c r="AA2203" s="18">
        <f>IF(OR(V2203="Aprobada"),R2203,IF(AND(OR(V2203="Aprobada con ajuste",V2203="Rechazada"),W2203&lt;&gt;""),W2203,""))</f>
        <v/>
      </c>
    </row>
    <row r="2204">
      <c r="A2204" s="18" t="inlineStr">
        <is>
          <t>C2203</t>
        </is>
      </c>
      <c r="B2204" s="18" t="inlineStr">
        <is>
          <t>Control disciplinario interno</t>
        </is>
      </c>
      <c r="C2204" s="18" t="inlineStr">
        <is>
          <t>internal_disciplinary_control</t>
        </is>
      </c>
      <c r="D2204" s="18" t="inlineStr">
        <is>
          <t>disciplinary_professional</t>
        </is>
      </c>
      <c r="E2204" s="18" t="n">
        <v>9</v>
      </c>
      <c r="F2204" s="18" t="inlineStr">
        <is>
          <t>especialidad</t>
        </is>
      </c>
      <c r="G2204" s="18" t="inlineStr">
        <is>
          <t>character varying(100)</t>
        </is>
      </c>
      <c r="H2204" s="18" t="inlineStr">
        <is>
          <t>Sí</t>
        </is>
      </c>
      <c r="I2204" s="18" t="inlineStr"/>
      <c r="J2204" s="18" t="inlineStr"/>
      <c r="K2204" s="18" t="inlineStr"/>
      <c r="L2204" s="18" t="inlineStr">
        <is>
          <t>No</t>
        </is>
      </c>
      <c r="M2204" s="18" t="inlineStr">
        <is>
          <t>No</t>
        </is>
      </c>
      <c r="N2204" s="18" t="inlineStr"/>
      <c r="O2204" s="18" t="inlineStr"/>
      <c r="P2204" s="18" t="inlineStr">
        <is>
          <t>Mapeada en internal-disciplinary-control-service/src/entities/disciplinary-professional.entity.ts:26 (DisciplinaryProfessional.especialidad)</t>
        </is>
      </c>
      <c r="Q2204" s="18" t="inlineStr">
        <is>
          <t>Propuesta semántica</t>
        </is>
      </c>
      <c r="R2204" s="18" t="inlineStr">
        <is>
          <t>Especialidad del profesional.</t>
        </is>
      </c>
      <c r="S2204" s="18" t="inlineStr">
        <is>
          <t>Media</t>
        </is>
      </c>
      <c r="T2204" s="18" t="inlineStr">
        <is>
          <t>nombre + tipo + columnas vecinas</t>
        </is>
      </c>
      <c r="U2204" s="18" t="inlineStr">
        <is>
          <t>¿La especialidad es texto libre o una lista de áreas del derecho?</t>
        </is>
      </c>
      <c r="V2204" s="19" t="inlineStr">
        <is>
          <t>Pendiente</t>
        </is>
      </c>
      <c r="W2204" s="19" t="inlineStr"/>
      <c r="X2204" s="19" t="inlineStr"/>
      <c r="Y2204" s="20" t="n"/>
      <c r="Z2204" s="19" t="inlineStr"/>
      <c r="AA2204" s="18">
        <f>IF(OR(V2204="Aprobada"),R2204,IF(AND(OR(V2204="Aprobada con ajuste",V2204="Rechazada"),W2204&lt;&gt;""),W2204,""))</f>
        <v/>
      </c>
    </row>
    <row r="2205">
      <c r="A2205" s="18" t="inlineStr">
        <is>
          <t>C2204</t>
        </is>
      </c>
      <c r="B2205" s="18" t="inlineStr">
        <is>
          <t>Control disciplinario interno</t>
        </is>
      </c>
      <c r="C2205" s="18" t="inlineStr">
        <is>
          <t>internal_disciplinary_control</t>
        </is>
      </c>
      <c r="D2205" s="18" t="inlineStr">
        <is>
          <t>disciplinary_professional</t>
        </is>
      </c>
      <c r="E2205" s="18" t="n">
        <v>9</v>
      </c>
      <c r="F2205" s="18" t="inlineStr">
        <is>
          <t>tipo_contrato</t>
        </is>
      </c>
      <c r="G2205" s="18" t="inlineStr">
        <is>
          <t>character varying(50)</t>
        </is>
      </c>
      <c r="H2205" s="18" t="inlineStr">
        <is>
          <t>Sí</t>
        </is>
      </c>
      <c r="I2205" s="18" t="inlineStr"/>
      <c r="J2205" s="18" t="inlineStr"/>
      <c r="K2205" s="18" t="inlineStr"/>
      <c r="L2205" s="18" t="inlineStr">
        <is>
          <t>No</t>
        </is>
      </c>
      <c r="M2205" s="18" t="inlineStr">
        <is>
          <t>No</t>
        </is>
      </c>
      <c r="N2205" s="18" t="inlineStr"/>
      <c r="O2205" s="18" t="inlineStr"/>
      <c r="P2205" s="18" t="inlineStr">
        <is>
          <t>Mapeada en internal-disciplinary-control-service/src/entities/disciplinary-professional.entity.ts:29 (DisciplinaryProfessional.tipoContrato)</t>
        </is>
      </c>
      <c r="Q2205" s="18" t="inlineStr">
        <is>
          <t>Propuesta semántica</t>
        </is>
      </c>
      <c r="R2205" s="18" t="inlineStr">
        <is>
          <t>Tipo de vinculación o contrato del profesional.</t>
        </is>
      </c>
      <c r="S2205" s="18" t="inlineStr">
        <is>
          <t>Media</t>
        </is>
      </c>
      <c r="T2205" s="18" t="inlineStr">
        <is>
          <t>nombre + tipo + columnas vecinas</t>
        </is>
      </c>
      <c r="U2205" s="18" t="inlineStr">
        <is>
          <t>¿Qué valores admite tipo_contrato (planta, contratista…)?</t>
        </is>
      </c>
      <c r="V2205" s="19" t="inlineStr">
        <is>
          <t>Pendiente</t>
        </is>
      </c>
      <c r="W2205" s="19" t="inlineStr"/>
      <c r="X2205" s="19" t="inlineStr"/>
      <c r="Y2205" s="20" t="n"/>
      <c r="Z2205" s="19" t="inlineStr"/>
      <c r="AA2205" s="18">
        <f>IF(OR(V2205="Aprobada"),R2205,IF(AND(OR(V2205="Aprobada con ajuste",V2205="Rechazada"),W2205&lt;&gt;""),W2205,""))</f>
        <v/>
      </c>
    </row>
    <row r="2206">
      <c r="A2206" s="18" t="inlineStr">
        <is>
          <t>C2205</t>
        </is>
      </c>
      <c r="B2206" s="18" t="inlineStr">
        <is>
          <t>Control disciplinario interno</t>
        </is>
      </c>
      <c r="C2206" s="18" t="inlineStr">
        <is>
          <t>internal_disciplinary_control</t>
        </is>
      </c>
      <c r="D2206" s="18" t="inlineStr">
        <is>
          <t>disciplinary_professional</t>
        </is>
      </c>
      <c r="E2206" s="18" t="n">
        <v>9</v>
      </c>
      <c r="F2206" s="18" t="inlineStr">
        <is>
          <t>territorial</t>
        </is>
      </c>
      <c r="G2206" s="18" t="inlineStr">
        <is>
          <t>character varying(100)</t>
        </is>
      </c>
      <c r="H2206" s="18" t="inlineStr">
        <is>
          <t>Sí</t>
        </is>
      </c>
      <c r="I2206" s="18" t="inlineStr"/>
      <c r="J2206" s="18" t="inlineStr"/>
      <c r="K2206" s="18" t="inlineStr"/>
      <c r="L2206" s="18" t="inlineStr">
        <is>
          <t>No</t>
        </is>
      </c>
      <c r="M2206" s="18" t="inlineStr">
        <is>
          <t>No</t>
        </is>
      </c>
      <c r="N2206" s="18" t="inlineStr"/>
      <c r="O2206" s="18" t="inlineStr"/>
      <c r="P2206" s="18" t="inlineStr">
        <is>
          <t>Mapeada en internal-disciplinary-control-service/src/entities/disciplinary-professional.entity.ts:32 (DisciplinaryProfessional.territorial) | Validación: IsString</t>
        </is>
      </c>
      <c r="Q2206" s="18" t="inlineStr">
        <is>
          <t>Propuesta semántica</t>
        </is>
      </c>
      <c r="R2206" s="18" t="inlineStr">
        <is>
          <t>Dirección territorial a la que pertenece el profesional.</t>
        </is>
      </c>
      <c r="S2206" s="18" t="inlineStr">
        <is>
          <t>Media</t>
        </is>
      </c>
      <c r="T2206" s="18" t="inlineStr">
        <is>
          <t>nombre + tipo + columnas vecinas</t>
        </is>
      </c>
      <c r="U2206" s="18" t="inlineStr">
        <is>
          <t>¿Es un texto libre o un código de la sede/territorial?</t>
        </is>
      </c>
      <c r="V2206" s="19" t="inlineStr">
        <is>
          <t>Pendiente</t>
        </is>
      </c>
      <c r="W2206" s="19" t="inlineStr"/>
      <c r="X2206" s="19" t="inlineStr"/>
      <c r="Y2206" s="20" t="n"/>
      <c r="Z2206" s="19" t="inlineStr"/>
      <c r="AA2206" s="18">
        <f>IF(OR(V2206="Aprobada"),R2206,IF(AND(OR(V2206="Aprobada con ajuste",V2206="Rechazada"),W2206&lt;&gt;""),W2206,""))</f>
        <v/>
      </c>
    </row>
    <row r="2207">
      <c r="A2207" s="18" t="inlineStr">
        <is>
          <t>C2206</t>
        </is>
      </c>
      <c r="B2207" s="18" t="inlineStr">
        <is>
          <t>Control disciplinario interno</t>
        </is>
      </c>
      <c r="C2207" s="18" t="inlineStr">
        <is>
          <t>internal_disciplinary_control</t>
        </is>
      </c>
      <c r="D2207" s="18" t="inlineStr">
        <is>
          <t>disciplinary_professional</t>
        </is>
      </c>
      <c r="E2207" s="18" t="n">
        <v>9</v>
      </c>
      <c r="F2207" s="18" t="inlineStr">
        <is>
          <t>capacidad_maxima</t>
        </is>
      </c>
      <c r="G2207" s="18" t="inlineStr">
        <is>
          <t>integer</t>
        </is>
      </c>
      <c r="H2207" s="18" t="inlineStr">
        <is>
          <t>Sí</t>
        </is>
      </c>
      <c r="I2207" s="18" t="inlineStr"/>
      <c r="J2207" s="18" t="inlineStr"/>
      <c r="K2207" s="18" t="inlineStr"/>
      <c r="L2207" s="18" t="inlineStr">
        <is>
          <t>No</t>
        </is>
      </c>
      <c r="M2207" s="18" t="inlineStr">
        <is>
          <t>No</t>
        </is>
      </c>
      <c r="N2207" s="18" t="inlineStr"/>
      <c r="O2207" s="18" t="inlineStr"/>
      <c r="P2207" s="18" t="inlineStr">
        <is>
          <t>Mapeada en internal-disciplinary-control-service/src/entities/disciplinary-professional.entity.ts:35 (DisciplinaryProfessional.capacidadMaxima)</t>
        </is>
      </c>
      <c r="Q2207" s="18" t="inlineStr">
        <is>
          <t>Propuesta semántica</t>
        </is>
      </c>
      <c r="R2207" s="18" t="inlineStr">
        <is>
          <t>Número máximo de procesos que se pueden asignar al profesional. Valor por defecto: 10.</t>
        </is>
      </c>
      <c r="S2207" s="18" t="inlineStr">
        <is>
          <t>Media</t>
        </is>
      </c>
      <c r="T2207" s="18" t="inlineStr">
        <is>
          <t>nombre + tipo + columnas vecinas + defecto</t>
        </is>
      </c>
      <c r="U2207" s="18" t="inlineStr">
        <is>
          <t>¿La capacidad se cuenta en procesos activos simultáneos?</t>
        </is>
      </c>
      <c r="V2207" s="19" t="inlineStr">
        <is>
          <t>Pendiente</t>
        </is>
      </c>
      <c r="W2207" s="19" t="inlineStr"/>
      <c r="X2207" s="19" t="inlineStr"/>
      <c r="Y2207" s="20" t="n"/>
      <c r="Z2207" s="19" t="inlineStr"/>
      <c r="AA2207" s="18">
        <f>IF(OR(V2207="Aprobada"),R2207,IF(AND(OR(V2207="Aprobada con ajuste",V2207="Rechazada"),W2207&lt;&gt;""),W2207,""))</f>
        <v/>
      </c>
    </row>
    <row r="2208">
      <c r="A2208" s="18" t="inlineStr">
        <is>
          <t>C2207</t>
        </is>
      </c>
      <c r="B2208" s="18" t="inlineStr">
        <is>
          <t>Control disciplinario interno</t>
        </is>
      </c>
      <c r="C2208" s="18" t="inlineStr">
        <is>
          <t>internal_disciplinary_control</t>
        </is>
      </c>
      <c r="D2208" s="18" t="inlineStr">
        <is>
          <t>disciplinary_professional</t>
        </is>
      </c>
      <c r="E2208" s="18" t="n">
        <v>9</v>
      </c>
      <c r="F2208" s="18" t="inlineStr">
        <is>
          <t>estado</t>
        </is>
      </c>
      <c r="G2208" s="18" t="inlineStr">
        <is>
          <t>character varying(50)</t>
        </is>
      </c>
      <c r="H2208" s="18" t="inlineStr">
        <is>
          <t>Sí</t>
        </is>
      </c>
      <c r="I2208" s="18" t="inlineStr"/>
      <c r="J2208" s="18" t="inlineStr"/>
      <c r="K2208" s="18" t="inlineStr"/>
      <c r="L2208" s="18" t="inlineStr">
        <is>
          <t>No</t>
        </is>
      </c>
      <c r="M2208" s="18" t="inlineStr">
        <is>
          <t>No</t>
        </is>
      </c>
      <c r="N2208" s="18" t="inlineStr"/>
      <c r="O2208" s="18" t="inlineStr">
        <is>
          <t>idx_disciplinary_professional_estado, idx_professional_estado</t>
        </is>
      </c>
      <c r="P2208" s="18" t="inlineStr">
        <is>
          <t>Mapeada en internal-disciplinary-control-service/src/entities/disciplinary-professional.entity.ts:44 (DisciplinaryProfessional.estado) | Validación: IsBoolean, IsEnum(AutoStatus), IsEnum(EstadoAlerta), IsEnum(TerminoEstado), IsIn(['activo', 'inactivo']), IsOptional</t>
        </is>
      </c>
      <c r="Q2208" s="18" t="inlineStr">
        <is>
          <t>Regla estructural</t>
        </is>
      </c>
      <c r="R2208" s="18" t="inlineStr">
        <is>
          <t>Estado del registro de disciplinary_professional.</t>
        </is>
      </c>
      <c r="S2208" s="18" t="inlineStr">
        <is>
          <t>Media</t>
        </is>
      </c>
      <c r="T2208" s="18" t="inlineStr">
        <is>
          <t>Convención de nombre de la columna.</t>
        </is>
      </c>
      <c r="U2208" s="18" t="inlineStr"/>
      <c r="V2208" s="19" t="inlineStr">
        <is>
          <t>Pendiente</t>
        </is>
      </c>
      <c r="W2208" s="19" t="inlineStr"/>
      <c r="X2208" s="19" t="inlineStr"/>
      <c r="Y2208" s="20" t="n"/>
      <c r="Z2208" s="19" t="inlineStr"/>
      <c r="AA2208" s="18">
        <f>IF(OR(V2208="Aprobada"),R2208,IF(AND(OR(V2208="Aprobada con ajuste",V2208="Rechazada"),W2208&lt;&gt;""),W2208,""))</f>
        <v/>
      </c>
    </row>
    <row r="2209">
      <c r="A2209" s="18" t="inlineStr">
        <is>
          <t>C2208</t>
        </is>
      </c>
      <c r="B2209" s="18" t="inlineStr">
        <is>
          <t>Control disciplinario interno</t>
        </is>
      </c>
      <c r="C2209" s="18" t="inlineStr">
        <is>
          <t>internal_disciplinary_control</t>
        </is>
      </c>
      <c r="D2209" s="18" t="inlineStr">
        <is>
          <t>disciplinary_professional</t>
        </is>
      </c>
      <c r="E2209" s="18" t="n">
        <v>9</v>
      </c>
      <c r="F2209" s="18" t="inlineStr">
        <is>
          <t>id_user</t>
        </is>
      </c>
      <c r="G2209" s="18" t="inlineStr">
        <is>
          <t>uuid</t>
        </is>
      </c>
      <c r="H2209" s="18" t="inlineStr">
        <is>
          <t>Sí</t>
        </is>
      </c>
      <c r="I2209" s="18" t="inlineStr"/>
      <c r="J2209" s="18" t="inlineStr"/>
      <c r="K2209" s="18" t="inlineStr"/>
      <c r="L2209" s="18" t="inlineStr">
        <is>
          <t>No</t>
        </is>
      </c>
      <c r="M2209" s="18" t="inlineStr">
        <is>
          <t>No</t>
        </is>
      </c>
      <c r="N2209" s="18" t="inlineStr"/>
      <c r="O2209" s="18" t="inlineStr"/>
      <c r="P2209" s="18" t="inlineStr">
        <is>
          <t>Mapeada en internal-disciplinary-control-service/src/entities/disciplinary-professional.entity.ts:41 (DisciplinaryProfessional.idUser)</t>
        </is>
      </c>
      <c r="Q2209" s="18" t="inlineStr">
        <is>
          <t>Regla estructural</t>
        </is>
      </c>
      <c r="R2209" s="18" t="inlineStr">
        <is>
          <t>Referencia al registro de auth.user (id_user); relación sin llave foránea declarada.</t>
        </is>
      </c>
      <c r="S2209" s="18" t="inlineStr">
        <is>
          <t>Media</t>
        </is>
      </c>
      <c r="T2209" s="18" t="inlineStr">
        <is>
          <t>Convención de nombre de la columna.</t>
        </is>
      </c>
      <c r="U2209" s="18" t="inlineStr"/>
      <c r="V2209" s="19" t="inlineStr">
        <is>
          <t>Pendiente</t>
        </is>
      </c>
      <c r="W2209" s="19" t="inlineStr"/>
      <c r="X2209" s="19" t="inlineStr"/>
      <c r="Y2209" s="20" t="n"/>
      <c r="Z2209" s="19" t="inlineStr"/>
      <c r="AA2209" s="18">
        <f>IF(OR(V2209="Aprobada"),R2209,IF(AND(OR(V2209="Aprobada con ajuste",V2209="Rechazada"),W2209&lt;&gt;""),W2209,""))</f>
        <v/>
      </c>
    </row>
    <row r="2210">
      <c r="A2210" s="18" t="inlineStr">
        <is>
          <t>C2209</t>
        </is>
      </c>
      <c r="B2210" s="18" t="inlineStr">
        <is>
          <t>Control disciplinario interno</t>
        </is>
      </c>
      <c r="C2210" s="18" t="inlineStr">
        <is>
          <t>internal_disciplinary_control</t>
        </is>
      </c>
      <c r="D2210" s="18" t="inlineStr">
        <is>
          <t>evidence</t>
        </is>
      </c>
      <c r="E2210" s="18" t="n">
        <v>70</v>
      </c>
      <c r="F2210" s="18" t="inlineStr">
        <is>
          <t>url</t>
        </is>
      </c>
      <c r="G2210" s="18" t="inlineStr">
        <is>
          <t>text</t>
        </is>
      </c>
      <c r="H2210" s="18" t="inlineStr">
        <is>
          <t>No</t>
        </is>
      </c>
      <c r="I2210" s="18" t="inlineStr"/>
      <c r="J2210" s="18" t="inlineStr"/>
      <c r="K2210" s="18" t="inlineStr"/>
      <c r="L2210" s="18" t="inlineStr">
        <is>
          <t>No</t>
        </is>
      </c>
      <c r="M2210" s="18" t="inlineStr">
        <is>
          <t>No</t>
        </is>
      </c>
      <c r="N2210" s="18" t="inlineStr"/>
      <c r="O2210" s="18" t="inlineStr"/>
      <c r="P2210" s="18" t="inlineStr">
        <is>
          <t>db/migrations/old/032_fix_disciplinay_schema.sql:171: Cambiado a TEXT para soportar URLs externas largas | db/init/old/007_schema_disciplinary.sql:171: Cambiado a TEXT para soportar URLs externas largas | db/init/old/007_schema_disciplinary_fixed_final.sql:171: Cambiado a TEXT para soportar URLs externas largas</t>
        </is>
      </c>
      <c r="Q2210" s="18" t="inlineStr">
        <is>
          <t>Código fuente</t>
        </is>
      </c>
      <c r="R2210" s="18" t="inlineStr">
        <is>
          <t>Dirección web (URL) del archivo de la evidencia; admite URL externas largas.</t>
        </is>
      </c>
      <c r="S2210" s="18" t="inlineStr">
        <is>
          <t>Alta</t>
        </is>
      </c>
      <c r="T2210" s="18" t="inlineStr">
        <is>
          <t>código: db/migrations/old/032_fix_disciplinay_schema.sql:171</t>
        </is>
      </c>
      <c r="U2210" s="18" t="inlineStr"/>
      <c r="V2210" s="19" t="inlineStr">
        <is>
          <t>Pendiente</t>
        </is>
      </c>
      <c r="W2210" s="19" t="inlineStr"/>
      <c r="X2210" s="19" t="inlineStr"/>
      <c r="Y2210" s="20" t="n"/>
      <c r="Z2210" s="19" t="inlineStr"/>
      <c r="AA2210" s="18">
        <f>IF(OR(V2210="Aprobada"),R2210,IF(AND(OR(V2210="Aprobada con ajuste",V2210="Rechazada"),W2210&lt;&gt;""),W2210,""))</f>
        <v/>
      </c>
    </row>
    <row r="2211">
      <c r="A2211" s="18" t="inlineStr">
        <is>
          <t>C2210</t>
        </is>
      </c>
      <c r="B2211" s="18" t="inlineStr">
        <is>
          <t>Control disciplinario interno</t>
        </is>
      </c>
      <c r="C2211" s="18" t="inlineStr">
        <is>
          <t>internal_disciplinary_control</t>
        </is>
      </c>
      <c r="D2211" s="18" t="inlineStr">
        <is>
          <t>evidence</t>
        </is>
      </c>
      <c r="E2211" s="18" t="n">
        <v>70</v>
      </c>
      <c r="F2211" s="18" t="inlineStr">
        <is>
          <t>filename</t>
        </is>
      </c>
      <c r="G2211" s="18" t="inlineStr">
        <is>
          <t>character varying(255)</t>
        </is>
      </c>
      <c r="H2211" s="18" t="inlineStr">
        <is>
          <t>Sí</t>
        </is>
      </c>
      <c r="I2211" s="18" t="inlineStr"/>
      <c r="J2211" s="18" t="inlineStr"/>
      <c r="K2211" s="18" t="inlineStr"/>
      <c r="L2211" s="18" t="inlineStr">
        <is>
          <t>No</t>
        </is>
      </c>
      <c r="M2211" s="18" t="inlineStr">
        <is>
          <t>No</t>
        </is>
      </c>
      <c r="N2211" s="18" t="inlineStr"/>
      <c r="O2211" s="18" t="inlineStr"/>
      <c r="P2211" s="18" t="inlineStr">
        <is>
          <t>Mapeada en internal-disciplinary-control-service/src/entities/evidence.entity.ts:25 (Evidence.filename)</t>
        </is>
      </c>
      <c r="Q2211" s="18" t="inlineStr">
        <is>
          <t>Propuesta semántica</t>
        </is>
      </c>
      <c r="R2211" s="18" t="inlineStr">
        <is>
          <t>Nombre del archivo de la evidencia.</t>
        </is>
      </c>
      <c r="S2211" s="18" t="inlineStr">
        <is>
          <t>Alta</t>
        </is>
      </c>
      <c r="T2211" s="18" t="inlineStr">
        <is>
          <t>nombre + tipo + columnas vecinas (url, fileType)</t>
        </is>
      </c>
      <c r="U2211" s="18" t="inlineStr"/>
      <c r="V2211" s="19" t="inlineStr">
        <is>
          <t>Pendiente</t>
        </is>
      </c>
      <c r="W2211" s="19" t="inlineStr"/>
      <c r="X2211" s="19" t="inlineStr"/>
      <c r="Y2211" s="20" t="n"/>
      <c r="Z2211" s="19" t="inlineStr"/>
      <c r="AA2211" s="18">
        <f>IF(OR(V2211="Aprobada"),R2211,IF(AND(OR(V2211="Aprobada con ajuste",V2211="Rechazada"),W2211&lt;&gt;""),W2211,""))</f>
        <v/>
      </c>
    </row>
    <row r="2212">
      <c r="A2212" s="18" t="inlineStr">
        <is>
          <t>C2211</t>
        </is>
      </c>
      <c r="B2212" s="18" t="inlineStr">
        <is>
          <t>Control disciplinario interno</t>
        </is>
      </c>
      <c r="C2212" s="18" t="inlineStr">
        <is>
          <t>internal_disciplinary_control</t>
        </is>
      </c>
      <c r="D2212" s="18" t="inlineStr">
        <is>
          <t>evidence</t>
        </is>
      </c>
      <c r="E2212" s="18" t="n">
        <v>70</v>
      </c>
      <c r="F2212" s="18" t="inlineStr">
        <is>
          <t>description</t>
        </is>
      </c>
      <c r="G2212" s="18" t="inlineStr">
        <is>
          <t>text</t>
        </is>
      </c>
      <c r="H2212" s="18" t="inlineStr">
        <is>
          <t>Sí</t>
        </is>
      </c>
      <c r="I2212" s="18" t="inlineStr"/>
      <c r="J2212" s="18" t="inlineStr"/>
      <c r="K2212" s="18" t="inlineStr"/>
      <c r="L2212" s="18" t="inlineStr">
        <is>
          <t>No</t>
        </is>
      </c>
      <c r="M2212" s="18" t="inlineStr">
        <is>
          <t>No</t>
        </is>
      </c>
      <c r="N2212" s="18" t="inlineStr"/>
      <c r="O2212" s="18" t="inlineStr"/>
      <c r="P2212" s="18" t="inlineStr">
        <is>
          <t>Mapeada en internal-disciplinary-control-service/src/entities/evidence.entity.ts:28 (Evidence.description)</t>
        </is>
      </c>
      <c r="Q2212" s="18" t="inlineStr">
        <is>
          <t>Regla estructural</t>
        </is>
      </c>
      <c r="R2212" s="18" t="inlineStr">
        <is>
          <t>Descripción del registro de evidence.</t>
        </is>
      </c>
      <c r="S2212" s="18" t="inlineStr">
        <is>
          <t>Media</t>
        </is>
      </c>
      <c r="T2212" s="18" t="inlineStr">
        <is>
          <t>Convención de nombre de la columna.</t>
        </is>
      </c>
      <c r="U2212" s="18" t="inlineStr"/>
      <c r="V2212" s="19" t="inlineStr">
        <is>
          <t>Pendiente</t>
        </is>
      </c>
      <c r="W2212" s="19" t="inlineStr"/>
      <c r="X2212" s="19" t="inlineStr"/>
      <c r="Y2212" s="20" t="n"/>
      <c r="Z2212" s="19" t="inlineStr"/>
      <c r="AA2212" s="18">
        <f>IF(OR(V2212="Aprobada"),R2212,IF(AND(OR(V2212="Aprobada con ajuste",V2212="Rechazada"),W2212&lt;&gt;""),W2212,""))</f>
        <v/>
      </c>
    </row>
    <row r="2213">
      <c r="A2213" s="18" t="inlineStr">
        <is>
          <t>C2212</t>
        </is>
      </c>
      <c r="B2213" s="18" t="inlineStr">
        <is>
          <t>Control disciplinario interno</t>
        </is>
      </c>
      <c r="C2213" s="18" t="inlineStr">
        <is>
          <t>internal_disciplinary_control</t>
        </is>
      </c>
      <c r="D2213" s="18" t="inlineStr">
        <is>
          <t>evidence</t>
        </is>
      </c>
      <c r="E2213" s="18" t="n">
        <v>70</v>
      </c>
      <c r="F2213" s="18" t="inlineStr">
        <is>
          <t>fileSize</t>
        </is>
      </c>
      <c r="G2213" s="18" t="inlineStr">
        <is>
          <t>integer</t>
        </is>
      </c>
      <c r="H2213" s="18" t="inlineStr">
        <is>
          <t>Sí</t>
        </is>
      </c>
      <c r="I2213" s="18" t="inlineStr"/>
      <c r="J2213" s="18" t="inlineStr"/>
      <c r="K2213" s="18" t="inlineStr"/>
      <c r="L2213" s="18" t="inlineStr">
        <is>
          <t>No</t>
        </is>
      </c>
      <c r="M2213" s="18" t="inlineStr">
        <is>
          <t>No</t>
        </is>
      </c>
      <c r="N2213" s="18" t="inlineStr"/>
      <c r="O2213" s="18" t="inlineStr"/>
      <c r="P2213" s="18" t="inlineStr">
        <is>
          <t>Mapeada en internal-disciplinary-control-service/src/entities/evidence.entity.ts:34 (Evidence.fileSize)</t>
        </is>
      </c>
      <c r="Q2213" s="18" t="inlineStr">
        <is>
          <t>Propuesta semántica</t>
        </is>
      </c>
      <c r="R2213" s="18" t="inlineStr">
        <is>
          <t>Tamaño del archivo de la evidencia.</t>
        </is>
      </c>
      <c r="S2213" s="18" t="inlineStr">
        <is>
          <t>Media</t>
        </is>
      </c>
      <c r="T2213" s="18" t="inlineStr">
        <is>
          <t>nombre + tipo + columnas vecinas</t>
        </is>
      </c>
      <c r="U2213" s="18" t="inlineStr">
        <is>
          <t>¿La unidad del tamaño es bytes?</t>
        </is>
      </c>
      <c r="V2213" s="19" t="inlineStr">
        <is>
          <t>Pendiente</t>
        </is>
      </c>
      <c r="W2213" s="19" t="inlineStr"/>
      <c r="X2213" s="19" t="inlineStr"/>
      <c r="Y2213" s="20" t="n"/>
      <c r="Z2213" s="19" t="inlineStr"/>
      <c r="AA2213" s="18">
        <f>IF(OR(V2213="Aprobada"),R2213,IF(AND(OR(V2213="Aprobada con ajuste",V2213="Rechazada"),W2213&lt;&gt;""),W2213,""))</f>
        <v/>
      </c>
    </row>
    <row r="2214">
      <c r="A2214" s="18" t="inlineStr">
        <is>
          <t>C2213</t>
        </is>
      </c>
      <c r="B2214" s="18" t="inlineStr">
        <is>
          <t>Control disciplinario interno</t>
        </is>
      </c>
      <c r="C2214" s="18" t="inlineStr">
        <is>
          <t>internal_disciplinary_control</t>
        </is>
      </c>
      <c r="D2214" s="18" t="inlineStr">
        <is>
          <t>evidence</t>
        </is>
      </c>
      <c r="E2214" s="18" t="n">
        <v>70</v>
      </c>
      <c r="F2214" s="18" t="inlineStr">
        <is>
          <t>nombreDocumento</t>
        </is>
      </c>
      <c r="G2214" s="18" t="inlineStr">
        <is>
          <t>character varying(255)</t>
        </is>
      </c>
      <c r="H2214" s="18" t="inlineStr">
        <is>
          <t>Sí</t>
        </is>
      </c>
      <c r="I2214" s="18" t="inlineStr"/>
      <c r="J2214" s="18" t="inlineStr"/>
      <c r="K2214" s="18" t="inlineStr"/>
      <c r="L2214" s="18" t="inlineStr">
        <is>
          <t>No</t>
        </is>
      </c>
      <c r="M2214" s="18" t="inlineStr">
        <is>
          <t>No</t>
        </is>
      </c>
      <c r="N2214" s="18" t="inlineStr"/>
      <c r="O2214" s="18" t="inlineStr"/>
      <c r="P2214" s="18" t="inlineStr">
        <is>
          <t>Mapeada en internal-disciplinary-control-service/src/entities/evidence.entity.ts:37 (Evidence.nombreDocumento)</t>
        </is>
      </c>
      <c r="Q2214" s="18" t="inlineStr">
        <is>
          <t>Propuesta semántica</t>
        </is>
      </c>
      <c r="R2214" s="18" t="inlineStr">
        <is>
          <t>Nombre del documento cargado como evidencia.</t>
        </is>
      </c>
      <c r="S2214" s="18" t="inlineStr">
        <is>
          <t>Media</t>
        </is>
      </c>
      <c r="T2214" s="18" t="inlineStr">
        <is>
          <t>nombre + tipo + columnas vecinas</t>
        </is>
      </c>
      <c r="U2214" s="18" t="inlineStr">
        <is>
          <t>¿En qué se diferencia nombreDocumento de filename y nombreArchivo?</t>
        </is>
      </c>
      <c r="V2214" s="19" t="inlineStr">
        <is>
          <t>Pendiente</t>
        </is>
      </c>
      <c r="W2214" s="19" t="inlineStr"/>
      <c r="X2214" s="19" t="inlineStr"/>
      <c r="Y2214" s="20" t="n"/>
      <c r="Z2214" s="19" t="inlineStr"/>
      <c r="AA2214" s="18">
        <f>IF(OR(V2214="Aprobada"),R2214,IF(AND(OR(V2214="Aprobada con ajuste",V2214="Rechazada"),W2214&lt;&gt;""),W2214,""))</f>
        <v/>
      </c>
    </row>
    <row r="2215">
      <c r="A2215" s="18" t="inlineStr">
        <is>
          <t>C2214</t>
        </is>
      </c>
      <c r="B2215" s="18" t="inlineStr">
        <is>
          <t>Control disciplinario interno</t>
        </is>
      </c>
      <c r="C2215" s="18" t="inlineStr">
        <is>
          <t>internal_disciplinary_control</t>
        </is>
      </c>
      <c r="D2215" s="18" t="inlineStr">
        <is>
          <t>evidence</t>
        </is>
      </c>
      <c r="E2215" s="18" t="n">
        <v>70</v>
      </c>
      <c r="F2215" s="18" t="inlineStr">
        <is>
          <t>tipoDocumento</t>
        </is>
      </c>
      <c r="G2215" s="18" t="inlineStr">
        <is>
          <t>character varying(50)</t>
        </is>
      </c>
      <c r="H2215" s="18" t="inlineStr">
        <is>
          <t>Sí</t>
        </is>
      </c>
      <c r="I2215" s="18" t="inlineStr"/>
      <c r="J2215" s="18" t="inlineStr"/>
      <c r="K2215" s="18" t="inlineStr"/>
      <c r="L2215" s="18" t="inlineStr">
        <is>
          <t>No</t>
        </is>
      </c>
      <c r="M2215" s="18" t="inlineStr">
        <is>
          <t>No</t>
        </is>
      </c>
      <c r="N2215" s="18" t="inlineStr"/>
      <c r="O2215" s="18" t="inlineStr">
        <is>
          <t>idx_evidence_tipo_documento</t>
        </is>
      </c>
      <c r="P2215" s="18" t="inlineStr">
        <is>
          <t>Mapeada en internal-disciplinary-control-service/src/entities/evidence.entity.ts:40 (Evidence.tipoDocumento)</t>
        </is>
      </c>
      <c r="Q2215" s="18" t="inlineStr">
        <is>
          <t>Propuesta semántica</t>
        </is>
      </c>
      <c r="R2215" s="18" t="inlineStr">
        <is>
          <t>Tipo de documento de la evidencia.</t>
        </is>
      </c>
      <c r="S2215" s="18" t="inlineStr">
        <is>
          <t>Media</t>
        </is>
      </c>
      <c r="T2215" s="18" t="inlineStr">
        <is>
          <t>nombre + tipo + columnas vecinas</t>
        </is>
      </c>
      <c r="U2215" s="18" t="inlineStr">
        <is>
          <t>¿Qué valores admite tipoDocumento?</t>
        </is>
      </c>
      <c r="V2215" s="19" t="inlineStr">
        <is>
          <t>Pendiente</t>
        </is>
      </c>
      <c r="W2215" s="19" t="inlineStr"/>
      <c r="X2215" s="19" t="inlineStr"/>
      <c r="Y2215" s="20" t="n"/>
      <c r="Z2215" s="19" t="inlineStr"/>
      <c r="AA2215" s="18">
        <f>IF(OR(V2215="Aprobada"),R2215,IF(AND(OR(V2215="Aprobada con ajuste",V2215="Rechazada"),W2215&lt;&gt;""),W2215,""))</f>
        <v/>
      </c>
    </row>
    <row r="2216">
      <c r="A2216" s="18" t="inlineStr">
        <is>
          <t>C2215</t>
        </is>
      </c>
      <c r="B2216" s="18" t="inlineStr">
        <is>
          <t>Control disciplinario interno</t>
        </is>
      </c>
      <c r="C2216" s="18" t="inlineStr">
        <is>
          <t>internal_disciplinary_control</t>
        </is>
      </c>
      <c r="D2216" s="18" t="inlineStr">
        <is>
          <t>evidence</t>
        </is>
      </c>
      <c r="E2216" s="18" t="n">
        <v>70</v>
      </c>
      <c r="F2216" s="18" t="inlineStr">
        <is>
          <t>etapa</t>
        </is>
      </c>
      <c r="G2216" s="18" t="inlineStr">
        <is>
          <t>character varying(100)</t>
        </is>
      </c>
      <c r="H2216" s="18" t="inlineStr">
        <is>
          <t>Sí</t>
        </is>
      </c>
      <c r="I2216" s="18" t="inlineStr"/>
      <c r="J2216" s="18" t="inlineStr"/>
      <c r="K2216" s="18" t="inlineStr"/>
      <c r="L2216" s="18" t="inlineStr">
        <is>
          <t>No</t>
        </is>
      </c>
      <c r="M2216" s="18" t="inlineStr">
        <is>
          <t>No</t>
        </is>
      </c>
      <c r="N2216" s="18" t="inlineStr"/>
      <c r="O2216" s="18" t="inlineStr"/>
      <c r="P2216" s="18" t="inlineStr">
        <is>
          <t>Mapeada en internal-disciplinary-control-service/src/entities/evidence.entity.ts:58 (Evidence.etapa) | Validación: IsOptional, IsString, MaxLength(80)</t>
        </is>
      </c>
      <c r="Q2216" s="18" t="inlineStr">
        <is>
          <t>Propuesta semántica</t>
        </is>
      </c>
      <c r="R2216" s="18" t="inlineStr">
        <is>
          <t>Etapa del proceso disciplinario en la que se cargó la evidencia (máximo 80 caracteres).</t>
        </is>
      </c>
      <c r="S2216" s="18" t="inlineStr">
        <is>
          <t>Alta</t>
        </is>
      </c>
      <c r="T2216" s="18" t="inlineStr">
        <is>
          <t>nombre + tipo + columnas vecinas + validación MaxLength(80)</t>
        </is>
      </c>
      <c r="U2216" s="18" t="inlineStr"/>
      <c r="V2216" s="19" t="inlineStr">
        <is>
          <t>Pendiente</t>
        </is>
      </c>
      <c r="W2216" s="19" t="inlineStr"/>
      <c r="X2216" s="19" t="inlineStr"/>
      <c r="Y2216" s="20" t="n"/>
      <c r="Z2216" s="19" t="inlineStr"/>
      <c r="AA2216" s="18">
        <f>IF(OR(V2216="Aprobada"),R2216,IF(AND(OR(V2216="Aprobada con ajuste",V2216="Rechazada"),W2216&lt;&gt;""),W2216,""))</f>
        <v/>
      </c>
    </row>
    <row r="2217">
      <c r="A2217" s="18" t="inlineStr">
        <is>
          <t>C2216</t>
        </is>
      </c>
      <c r="B2217" s="18" t="inlineStr">
        <is>
          <t>Control disciplinario interno</t>
        </is>
      </c>
      <c r="C2217" s="18" t="inlineStr">
        <is>
          <t>internal_disciplinary_control</t>
        </is>
      </c>
      <c r="D2217" s="18" t="inlineStr">
        <is>
          <t>evidence</t>
        </is>
      </c>
      <c r="E2217" s="18" t="n">
        <v>70</v>
      </c>
      <c r="F2217" s="18" t="inlineStr">
        <is>
          <t>usuarioCarga</t>
        </is>
      </c>
      <c r="G2217" s="18" t="inlineStr">
        <is>
          <t>character varying(255)</t>
        </is>
      </c>
      <c r="H2217" s="18" t="inlineStr">
        <is>
          <t>Sí</t>
        </is>
      </c>
      <c r="I2217" s="18" t="inlineStr"/>
      <c r="J2217" s="18" t="inlineStr"/>
      <c r="K2217" s="18" t="inlineStr"/>
      <c r="L2217" s="18" t="inlineStr">
        <is>
          <t>No</t>
        </is>
      </c>
      <c r="M2217" s="18" t="inlineStr">
        <is>
          <t>No</t>
        </is>
      </c>
      <c r="N2217" s="18" t="inlineStr"/>
      <c r="O2217" s="18" t="inlineStr"/>
      <c r="P2217" s="18" t="inlineStr">
        <is>
          <t>Mapeada en internal-disciplinary-control-service/src/entities/evidence.entity.ts:61 (Evidence.usuarioCarga)</t>
        </is>
      </c>
      <c r="Q2217" s="18" t="inlineStr">
        <is>
          <t>Propuesta semántica</t>
        </is>
      </c>
      <c r="R2217" s="18" t="inlineStr">
        <is>
          <t>Usuario que cargó la evidencia.</t>
        </is>
      </c>
      <c r="S2217" s="18" t="inlineStr">
        <is>
          <t>Media</t>
        </is>
      </c>
      <c r="T2217" s="18" t="inlineStr">
        <is>
          <t>nombre + tipo + columnas vecinas</t>
        </is>
      </c>
      <c r="U2217" s="18" t="inlineStr">
        <is>
          <t>¿Se guarda el nombre, el correo o el identificador del usuario?</t>
        </is>
      </c>
      <c r="V2217" s="19" t="inlineStr">
        <is>
          <t>Pendiente</t>
        </is>
      </c>
      <c r="W2217" s="19" t="inlineStr"/>
      <c r="X2217" s="19" t="inlineStr"/>
      <c r="Y2217" s="20" t="n"/>
      <c r="Z2217" s="19" t="inlineStr"/>
      <c r="AA2217" s="18">
        <f>IF(OR(V2217="Aprobada"),R2217,IF(AND(OR(V2217="Aprobada con ajuste",V2217="Rechazada"),W2217&lt;&gt;""),W2217,""))</f>
        <v/>
      </c>
    </row>
    <row r="2218">
      <c r="A2218" s="18" t="inlineStr">
        <is>
          <t>C2217</t>
        </is>
      </c>
      <c r="B2218" s="18" t="inlineStr">
        <is>
          <t>Control disciplinario interno</t>
        </is>
      </c>
      <c r="C2218" s="18" t="inlineStr">
        <is>
          <t>internal_disciplinary_control</t>
        </is>
      </c>
      <c r="D2218" s="18" t="inlineStr">
        <is>
          <t>evidence</t>
        </is>
      </c>
      <c r="E2218" s="18" t="n">
        <v>70</v>
      </c>
      <c r="F2218" s="18" t="inlineStr">
        <is>
          <t>categoria</t>
        </is>
      </c>
      <c r="G2218" s="18" t="inlineStr">
        <is>
          <t>character varying(50)</t>
        </is>
      </c>
      <c r="H2218" s="18" t="inlineStr">
        <is>
          <t>Sí</t>
        </is>
      </c>
      <c r="I2218" s="18" t="inlineStr"/>
      <c r="J2218" s="18" t="inlineStr"/>
      <c r="K2218" s="18" t="inlineStr"/>
      <c r="L2218" s="18" t="inlineStr">
        <is>
          <t>No</t>
        </is>
      </c>
      <c r="M2218" s="18" t="inlineStr">
        <is>
          <t>No</t>
        </is>
      </c>
      <c r="N2218" s="18" t="inlineStr"/>
      <c r="O2218" s="18" t="inlineStr"/>
      <c r="P2218" s="18" t="inlineStr">
        <is>
          <t>Mapeada en internal-disciplinary-control-service/src/entities/evidence.entity.ts:46 (Evidence.categoria)</t>
        </is>
      </c>
      <c r="Q2218" s="18" t="inlineStr">
        <is>
          <t>Propuesta semántica</t>
        </is>
      </c>
      <c r="R2218" s="18" t="inlineStr">
        <is>
          <t>Categoría de la evidencia.</t>
        </is>
      </c>
      <c r="S2218" s="18" t="inlineStr">
        <is>
          <t>Baja</t>
        </is>
      </c>
      <c r="T2218" s="18" t="inlineStr">
        <is>
          <t>nombre + tipo + columnas vecinas</t>
        </is>
      </c>
      <c r="U2218" s="18" t="inlineStr">
        <is>
          <t>¿Qué valores admite categoria?</t>
        </is>
      </c>
      <c r="V2218" s="19" t="inlineStr">
        <is>
          <t>Pendiente</t>
        </is>
      </c>
      <c r="W2218" s="19" t="inlineStr"/>
      <c r="X2218" s="19" t="inlineStr"/>
      <c r="Y2218" s="20" t="n"/>
      <c r="Z2218" s="19" t="inlineStr"/>
      <c r="AA2218" s="18">
        <f>IF(OR(V2218="Aprobada"),R2218,IF(AND(OR(V2218="Aprobada con ajuste",V2218="Rechazada"),W2218&lt;&gt;""),W2218,""))</f>
        <v/>
      </c>
    </row>
    <row r="2219">
      <c r="A2219" s="18" t="inlineStr">
        <is>
          <t>C2218</t>
        </is>
      </c>
      <c r="B2219" s="18" t="inlineStr">
        <is>
          <t>Control disciplinario interno</t>
        </is>
      </c>
      <c r="C2219" s="18" t="inlineStr">
        <is>
          <t>internal_disciplinary_control</t>
        </is>
      </c>
      <c r="D2219" s="18" t="inlineStr">
        <is>
          <t>evidence</t>
        </is>
      </c>
      <c r="E2219" s="18" t="n">
        <v>70</v>
      </c>
      <c r="F2219" s="18" t="inlineStr">
        <is>
          <t>destinatario</t>
        </is>
      </c>
      <c r="G2219" s="18" t="inlineStr">
        <is>
          <t>character varying(255)</t>
        </is>
      </c>
      <c r="H2219" s="18" t="inlineStr">
        <is>
          <t>Sí</t>
        </is>
      </c>
      <c r="I2219" s="18" t="inlineStr"/>
      <c r="J2219" s="18" t="inlineStr"/>
      <c r="K2219" s="18" t="inlineStr"/>
      <c r="L2219" s="18" t="inlineStr">
        <is>
          <t>No</t>
        </is>
      </c>
      <c r="M2219" s="18" t="inlineStr">
        <is>
          <t>No</t>
        </is>
      </c>
      <c r="N2219" s="18" t="inlineStr"/>
      <c r="O2219" s="18" t="inlineStr"/>
      <c r="P2219" s="18" t="inlineStr">
        <is>
          <t>Mapeada en internal-disciplinary-control-service/src/entities/evidence.entity.ts:49 (Evidence.destinatario)</t>
        </is>
      </c>
      <c r="Q2219" s="18" t="inlineStr">
        <is>
          <t>Propuesta semántica</t>
        </is>
      </c>
      <c r="R2219" s="18" t="inlineStr">
        <is>
          <t>Destinatario de la comunicación registrada como evidencia.</t>
        </is>
      </c>
      <c r="S2219" s="18" t="inlineStr">
        <is>
          <t>Media</t>
        </is>
      </c>
      <c r="T2219" s="18" t="inlineStr">
        <is>
          <t>nombre + tipo + columnas vecinas (asunto)</t>
        </is>
      </c>
      <c r="U2219" s="18" t="inlineStr">
        <is>
          <t>¿Aplica solo a evidencias de tipo comunicación u oficio?</t>
        </is>
      </c>
      <c r="V2219" s="19" t="inlineStr">
        <is>
          <t>Pendiente</t>
        </is>
      </c>
      <c r="W2219" s="19" t="inlineStr"/>
      <c r="X2219" s="19" t="inlineStr"/>
      <c r="Y2219" s="20" t="n"/>
      <c r="Z2219" s="19" t="inlineStr"/>
      <c r="AA2219" s="18">
        <f>IF(OR(V2219="Aprobada"),R2219,IF(AND(OR(V2219="Aprobada con ajuste",V2219="Rechazada"),W2219&lt;&gt;""),W2219,""))</f>
        <v/>
      </c>
    </row>
    <row r="2220">
      <c r="A2220" s="18" t="inlineStr">
        <is>
          <t>C2219</t>
        </is>
      </c>
      <c r="B2220" s="18" t="inlineStr">
        <is>
          <t>Control disciplinario interno</t>
        </is>
      </c>
      <c r="C2220" s="18" t="inlineStr">
        <is>
          <t>internal_disciplinary_control</t>
        </is>
      </c>
      <c r="D2220" s="18" t="inlineStr">
        <is>
          <t>evidence</t>
        </is>
      </c>
      <c r="E2220" s="18" t="n">
        <v>70</v>
      </c>
      <c r="F2220" s="18" t="inlineStr">
        <is>
          <t>asunto</t>
        </is>
      </c>
      <c r="G2220" s="18" t="inlineStr">
        <is>
          <t>character varying(255)</t>
        </is>
      </c>
      <c r="H2220" s="18" t="inlineStr">
        <is>
          <t>Sí</t>
        </is>
      </c>
      <c r="I2220" s="18" t="inlineStr"/>
      <c r="J2220" s="18" t="inlineStr"/>
      <c r="K2220" s="18" t="inlineStr"/>
      <c r="L2220" s="18" t="inlineStr">
        <is>
          <t>No</t>
        </is>
      </c>
      <c r="M2220" s="18" t="inlineStr">
        <is>
          <t>No</t>
        </is>
      </c>
      <c r="N2220" s="18" t="inlineStr"/>
      <c r="O2220" s="18" t="inlineStr"/>
      <c r="P2220" s="18" t="inlineStr">
        <is>
          <t>Mapeada en internal-disciplinary-control-service/src/entities/evidence.entity.ts:52 (Evidence.asunto)</t>
        </is>
      </c>
      <c r="Q2220" s="18" t="inlineStr">
        <is>
          <t>Propuesta semántica</t>
        </is>
      </c>
      <c r="R2220" s="18" t="inlineStr">
        <is>
          <t>Asunto de la comunicación registrada como evidencia.</t>
        </is>
      </c>
      <c r="S2220" s="18" t="inlineStr">
        <is>
          <t>Media</t>
        </is>
      </c>
      <c r="T2220" s="18" t="inlineStr">
        <is>
          <t>nombre + tipo + columnas vecinas (destinatario)</t>
        </is>
      </c>
      <c r="U2220" s="18" t="inlineStr">
        <is>
          <t>¿Aplica solo a evidencias de tipo comunicación u oficio?</t>
        </is>
      </c>
      <c r="V2220" s="19" t="inlineStr">
        <is>
          <t>Pendiente</t>
        </is>
      </c>
      <c r="W2220" s="19" t="inlineStr"/>
      <c r="X2220" s="19" t="inlineStr"/>
      <c r="Y2220" s="20" t="n"/>
      <c r="Z2220" s="19" t="inlineStr"/>
      <c r="AA2220" s="18">
        <f>IF(OR(V2220="Aprobada"),R2220,IF(AND(OR(V2220="Aprobada con ajuste",V2220="Rechazada"),W2220&lt;&gt;""),W2220,""))</f>
        <v/>
      </c>
    </row>
    <row r="2221">
      <c r="A2221" s="18" t="inlineStr">
        <is>
          <t>C2220</t>
        </is>
      </c>
      <c r="B2221" s="18" t="inlineStr">
        <is>
          <t>Control disciplinario interno</t>
        </is>
      </c>
      <c r="C2221" s="18" t="inlineStr">
        <is>
          <t>internal_disciplinary_control</t>
        </is>
      </c>
      <c r="D2221" s="18" t="inlineStr">
        <is>
          <t>evidence</t>
        </is>
      </c>
      <c r="E2221" s="18" t="n">
        <v>70</v>
      </c>
      <c r="F2221" s="18" t="inlineStr">
        <is>
          <t>participantes</t>
        </is>
      </c>
      <c r="G2221" s="18" t="inlineStr">
        <is>
          <t>integer</t>
        </is>
      </c>
      <c r="H2221" s="18" t="inlineStr">
        <is>
          <t>Sí</t>
        </is>
      </c>
      <c r="I2221" s="18" t="inlineStr"/>
      <c r="J2221" s="18" t="inlineStr"/>
      <c r="K2221" s="18" t="inlineStr"/>
      <c r="L2221" s="18" t="inlineStr">
        <is>
          <t>No</t>
        </is>
      </c>
      <c r="M2221" s="18" t="inlineStr">
        <is>
          <t>No</t>
        </is>
      </c>
      <c r="N2221" s="18" t="inlineStr"/>
      <c r="O2221" s="18" t="inlineStr"/>
      <c r="P2221" s="18" t="inlineStr">
        <is>
          <t>Mapeada en internal-disciplinary-control-service/src/entities/evidence.entity.ts:55 (Evidence.participantes)</t>
        </is>
      </c>
      <c r="Q2221" s="18" t="inlineStr">
        <is>
          <t>Propuesta semántica</t>
        </is>
      </c>
      <c r="R2221" s="18" t="inlineStr">
        <is>
          <t>Número de participantes registrados en la evidencia.</t>
        </is>
      </c>
      <c r="S2221" s="18" t="inlineStr">
        <is>
          <t>Baja</t>
        </is>
      </c>
      <c r="T2221" s="18" t="inlineStr">
        <is>
          <t>nombre + tipo + columnas vecinas</t>
        </is>
      </c>
      <c r="U2221" s="18" t="inlineStr">
        <is>
          <t>¿A qué corresponde participantes (por ejemplo, asistentes a una diligencia)?</t>
        </is>
      </c>
      <c r="V2221" s="19" t="inlineStr">
        <is>
          <t>Pendiente</t>
        </is>
      </c>
      <c r="W2221" s="19" t="inlineStr"/>
      <c r="X2221" s="19" t="inlineStr"/>
      <c r="Y2221" s="20" t="n"/>
      <c r="Z2221" s="19" t="inlineStr"/>
      <c r="AA2221" s="18">
        <f>IF(OR(V2221="Aprobada"),R2221,IF(AND(OR(V2221="Aprobada con ajuste",V2221="Rechazada"),W2221&lt;&gt;""),W2221,""))</f>
        <v/>
      </c>
    </row>
    <row r="2222">
      <c r="A2222" s="18" t="inlineStr">
        <is>
          <t>C2221</t>
        </is>
      </c>
      <c r="B2222" s="18" t="inlineStr">
        <is>
          <t>Control disciplinario interno</t>
        </is>
      </c>
      <c r="C2222" s="18" t="inlineStr">
        <is>
          <t>internal_disciplinary_control</t>
        </is>
      </c>
      <c r="D2222" s="18" t="inlineStr">
        <is>
          <t>evidence</t>
        </is>
      </c>
      <c r="E2222" s="18" t="n">
        <v>70</v>
      </c>
      <c r="F2222" s="18" t="inlineStr">
        <is>
          <t>archivoUrl</t>
        </is>
      </c>
      <c r="G2222" s="18" t="inlineStr">
        <is>
          <t>character varying</t>
        </is>
      </c>
      <c r="H2222" s="18" t="inlineStr">
        <is>
          <t>Sí</t>
        </is>
      </c>
      <c r="I2222" s="18" t="inlineStr"/>
      <c r="J2222" s="18" t="inlineStr"/>
      <c r="K2222" s="18" t="inlineStr"/>
      <c r="L2222" s="18" t="inlineStr">
        <is>
          <t>No</t>
        </is>
      </c>
      <c r="M2222" s="18" t="inlineStr">
        <is>
          <t>No</t>
        </is>
      </c>
      <c r="N2222" s="18" t="inlineStr"/>
      <c r="O2222" s="18" t="inlineStr"/>
      <c r="P2222" s="18" t="inlineStr">
        <is>
          <t>db/migrations/old/032_fix_disciplinay_schema.sql:172: Mantener compatibilidad con TypeORM | db/init/old/007_schema_disciplinary.sql:172: Mantener compatibilidad con TypeORM | db/init/old/007_schema_disciplinary_fixed_final.sql:172: Mantener compatibilidad con TypeORM</t>
        </is>
      </c>
      <c r="Q2222" s="18" t="inlineStr">
        <is>
          <t>Código fuente</t>
        </is>
      </c>
      <c r="R2222" s="18" t="inlineStr">
        <is>
          <t>URL del archivo de la evidencia, mantenida por compatibilidad con TypeORM.</t>
        </is>
      </c>
      <c r="S2222" s="18" t="inlineStr">
        <is>
          <t>Media</t>
        </is>
      </c>
      <c r="T2222" s="18" t="inlineStr">
        <is>
          <t>código: db/migrations/old/032_fix_disciplinay_schema.sql:172</t>
        </is>
      </c>
      <c r="U2222" s="18" t="inlineStr">
        <is>
          <t>¿Cuál de url y archivoUrl es la vigente y se llenan las dos?</t>
        </is>
      </c>
      <c r="V2222" s="19" t="inlineStr">
        <is>
          <t>Pendiente</t>
        </is>
      </c>
      <c r="W2222" s="19" t="inlineStr"/>
      <c r="X2222" s="19" t="inlineStr"/>
      <c r="Y2222" s="20" t="n"/>
      <c r="Z2222" s="19" t="inlineStr"/>
      <c r="AA2222" s="18">
        <f>IF(OR(V2222="Aprobada"),R2222,IF(AND(OR(V2222="Aprobada con ajuste",V2222="Rechazada"),W2222&lt;&gt;""),W2222,""))</f>
        <v/>
      </c>
    </row>
    <row r="2223">
      <c r="A2223" s="18" t="inlineStr">
        <is>
          <t>C2222</t>
        </is>
      </c>
      <c r="B2223" s="18" t="inlineStr">
        <is>
          <t>Control disciplinario interno</t>
        </is>
      </c>
      <c r="C2223" s="18" t="inlineStr">
        <is>
          <t>internal_disciplinary_control</t>
        </is>
      </c>
      <c r="D2223" s="18" t="inlineStr">
        <is>
          <t>evidence</t>
        </is>
      </c>
      <c r="E2223" s="18" t="n">
        <v>70</v>
      </c>
      <c r="F2223" s="18" t="inlineStr">
        <is>
          <t>nombreArchivo</t>
        </is>
      </c>
      <c r="G2223" s="18" t="inlineStr">
        <is>
          <t>character varying</t>
        </is>
      </c>
      <c r="H2223" s="18" t="inlineStr">
        <is>
          <t>Sí</t>
        </is>
      </c>
      <c r="I2223" s="18" t="inlineStr"/>
      <c r="J2223" s="18" t="inlineStr"/>
      <c r="K2223" s="18" t="inlineStr"/>
      <c r="L2223" s="18" t="inlineStr">
        <is>
          <t>No</t>
        </is>
      </c>
      <c r="M2223" s="18" t="inlineStr">
        <is>
          <t>No</t>
        </is>
      </c>
      <c r="N2223" s="18" t="inlineStr"/>
      <c r="O2223" s="18" t="inlineStr"/>
      <c r="P2223" s="18" t="inlineStr">
        <is>
          <t>db/migrations/old/032_fix_disciplinay_schema.sql:173: Mantener compatibilidad con TypeORM | db/init/old/007_schema_disciplinary.sql:173: Mantener compatibilidad con TypeORM | db/init/old/007_schema_disciplinary_fixed_final.sql:173: Mantener compatibilidad con TypeORM</t>
        </is>
      </c>
      <c r="Q2223" s="18" t="inlineStr">
        <is>
          <t>Código fuente</t>
        </is>
      </c>
      <c r="R2223" s="18" t="inlineStr">
        <is>
          <t>Nombre del archivo de la evidencia, mantenido por compatibilidad con TypeORM.</t>
        </is>
      </c>
      <c r="S2223" s="18" t="inlineStr">
        <is>
          <t>Media</t>
        </is>
      </c>
      <c r="T2223" s="18" t="inlineStr">
        <is>
          <t>código: db/migrations/old/032_fix_disciplinay_schema.sql:173</t>
        </is>
      </c>
      <c r="U2223" s="18" t="inlineStr">
        <is>
          <t>¿Equivale a filename o a nombreDocumento? ¿Cuál es la vigente?</t>
        </is>
      </c>
      <c r="V2223" s="19" t="inlineStr">
        <is>
          <t>Pendiente</t>
        </is>
      </c>
      <c r="W2223" s="19" t="inlineStr"/>
      <c r="X2223" s="19" t="inlineStr"/>
      <c r="Y2223" s="20" t="n"/>
      <c r="Z2223" s="19" t="inlineStr"/>
      <c r="AA2223" s="18">
        <f>IF(OR(V2223="Aprobada"),R2223,IF(AND(OR(V2223="Aprobada con ajuste",V2223="Rechazada"),W2223&lt;&gt;""),W2223,""))</f>
        <v/>
      </c>
    </row>
    <row r="2224">
      <c r="A2224" s="18" t="inlineStr">
        <is>
          <t>C2223</t>
        </is>
      </c>
      <c r="B2224" s="18" t="inlineStr">
        <is>
          <t>Control disciplinario interno</t>
        </is>
      </c>
      <c r="C2224" s="18" t="inlineStr">
        <is>
          <t>internal_disciplinary_control</t>
        </is>
      </c>
      <c r="D2224" s="18" t="inlineStr">
        <is>
          <t>evidence</t>
        </is>
      </c>
      <c r="E2224" s="18" t="n">
        <v>70</v>
      </c>
      <c r="F2224" s="18" t="inlineStr">
        <is>
          <t>tipo</t>
        </is>
      </c>
      <c r="G2224" s="18" t="inlineStr">
        <is>
          <t>character varying</t>
        </is>
      </c>
      <c r="H2224" s="18" t="inlineStr">
        <is>
          <t>Sí</t>
        </is>
      </c>
      <c r="I2224" s="18" t="inlineStr"/>
      <c r="J2224" s="18" t="inlineStr"/>
      <c r="K2224" s="18" t="inlineStr"/>
      <c r="L2224" s="18" t="inlineStr">
        <is>
          <t>No</t>
        </is>
      </c>
      <c r="M2224" s="18" t="inlineStr">
        <is>
          <t>No</t>
        </is>
      </c>
      <c r="N2224" s="18" t="inlineStr"/>
      <c r="O2224" s="18" t="inlineStr"/>
      <c r="P2224" s="18" t="inlineStr">
        <is>
          <t>db/migrations/old/012_create_disciplinary_schema.sql:171: Tipos: DENUNCIA, TESTIMONIO, PRUEBA_DOCUMENTAL, AUDIO, VIDEO, etc. | Validación: IsEnum(TipoAlerta), IsEnum(TipoFestivo), IsNotEmpty, IsOptional, IsString, MaxLength(50)</t>
        </is>
      </c>
      <c r="Q2224" s="18" t="inlineStr">
        <is>
          <t>Código fuente</t>
        </is>
      </c>
      <c r="R2224" s="18" t="inlineStr">
        <is>
          <t>Tipo de evidencia (por ejemplo, DENUNCIA, TESTIMONIO, PRUEBA_DOCUMENTAL, AUDIO, VIDEO). Valor por defecto: DOCUMENTO.</t>
        </is>
      </c>
      <c r="S2224" s="18" t="inlineStr">
        <is>
          <t>Media</t>
        </is>
      </c>
      <c r="T2224" s="18" t="inlineStr">
        <is>
          <t>código: db/migrations/old/012_create_disciplinary_schema.sql:171</t>
        </is>
      </c>
      <c r="U2224" s="18" t="inlineStr">
        <is>
          <t>¿Cuál es la lista completa de tipos de evidencia admitidos?</t>
        </is>
      </c>
      <c r="V2224" s="19" t="inlineStr">
        <is>
          <t>Pendiente</t>
        </is>
      </c>
      <c r="W2224" s="19" t="inlineStr"/>
      <c r="X2224" s="19" t="inlineStr"/>
      <c r="Y2224" s="20" t="n"/>
      <c r="Z2224" s="19" t="inlineStr"/>
      <c r="AA2224" s="18">
        <f>IF(OR(V2224="Aprobada"),R2224,IF(AND(OR(V2224="Aprobada con ajuste",V2224="Rechazada"),W2224&lt;&gt;""),W2224,""))</f>
        <v/>
      </c>
    </row>
    <row r="2225">
      <c r="A2225" s="18" t="inlineStr">
        <is>
          <t>C2224</t>
        </is>
      </c>
      <c r="B2225" s="18" t="inlineStr">
        <is>
          <t>Control disciplinario interno</t>
        </is>
      </c>
      <c r="C2225" s="18" t="inlineStr">
        <is>
          <t>internal_disciplinary_control</t>
        </is>
      </c>
      <c r="D2225" s="18" t="inlineStr">
        <is>
          <t>expediente_compartido</t>
        </is>
      </c>
      <c r="E2225" s="18" t="n">
        <v>95</v>
      </c>
      <c r="F2225" s="18" t="inlineStr">
        <is>
          <t>estado</t>
        </is>
      </c>
      <c r="G2225" s="18" t="inlineStr">
        <is>
          <t>internal_disciplinary_control.estado_compartido</t>
        </is>
      </c>
      <c r="H2225" s="18" t="inlineStr">
        <is>
          <t>No</t>
        </is>
      </c>
      <c r="I2225" s="18" t="inlineStr">
        <is>
          <t>Enumerado</t>
        </is>
      </c>
      <c r="J2225" s="18" t="inlineStr">
        <is>
          <t>ACTIVO, EXPIRADO, INACTIVO</t>
        </is>
      </c>
      <c r="K2225" s="18" t="inlineStr"/>
      <c r="L2225" s="18" t="inlineStr">
        <is>
          <t>Sí</t>
        </is>
      </c>
      <c r="M2225" s="18" t="inlineStr">
        <is>
          <t>No</t>
        </is>
      </c>
      <c r="N2225" s="18" t="inlineStr"/>
      <c r="O2225" s="18" t="inlineStr">
        <is>
          <t>idx_expediente_compartido_estado</t>
        </is>
      </c>
      <c r="P2225" s="18" t="inlineStr">
        <is>
          <t>Mapeada en internal-disciplinary-control-service/src/entities/expediente-compartido.entity.ts:50 (ExpedienteCompartido.estado) | Validación: IsBoolean, IsEnum(AutoStatus), IsEnum(EstadoAlerta), IsEnum(TerminoEstado), IsIn(['activo', 'inactivo']), IsOptional</t>
        </is>
      </c>
      <c r="Q2225" s="18" t="inlineStr">
        <is>
          <t>Regla estructural</t>
        </is>
      </c>
      <c r="R2225" s="18" t="inlineStr">
        <is>
          <t>Estado del registro de expediente_compartido.</t>
        </is>
      </c>
      <c r="S2225" s="18" t="inlineStr">
        <is>
          <t>Media</t>
        </is>
      </c>
      <c r="T2225" s="18" t="inlineStr">
        <is>
          <t>Convención de nombre de la columna.</t>
        </is>
      </c>
      <c r="U2225" s="18" t="inlineStr"/>
      <c r="V2225" s="19" t="inlineStr">
        <is>
          <t>Pendiente</t>
        </is>
      </c>
      <c r="W2225" s="19" t="inlineStr"/>
      <c r="X2225" s="19" t="inlineStr"/>
      <c r="Y2225" s="20" t="n"/>
      <c r="Z2225" s="19" t="inlineStr"/>
      <c r="AA2225" s="18">
        <f>IF(OR(V2225="Aprobada"),R2225,IF(AND(OR(V2225="Aprobada con ajuste",V2225="Rechazada"),W2225&lt;&gt;""),W2225,""))</f>
        <v/>
      </c>
    </row>
    <row r="2226">
      <c r="A2226" s="18" t="inlineStr">
        <is>
          <t>C2225</t>
        </is>
      </c>
      <c r="B2226" s="18" t="inlineStr">
        <is>
          <t>Control disciplinario interno</t>
        </is>
      </c>
      <c r="C2226" s="18" t="inlineStr">
        <is>
          <t>internal_disciplinary_control</t>
        </is>
      </c>
      <c r="D2226" s="18" t="inlineStr">
        <is>
          <t>expediente_compartido</t>
        </is>
      </c>
      <c r="E2226" s="18" t="n">
        <v>95</v>
      </c>
      <c r="F2226" s="18" t="inlineStr">
        <is>
          <t>contador_accesos</t>
        </is>
      </c>
      <c r="G2226" s="18" t="inlineStr">
        <is>
          <t>integer</t>
        </is>
      </c>
      <c r="H2226" s="18" t="inlineStr">
        <is>
          <t>Sí</t>
        </is>
      </c>
      <c r="I2226" s="18" t="inlineStr"/>
      <c r="J2226" s="18" t="inlineStr"/>
      <c r="K2226" s="18" t="inlineStr"/>
      <c r="L2226" s="18" t="inlineStr">
        <is>
          <t>No</t>
        </is>
      </c>
      <c r="M2226" s="18" t="inlineStr">
        <is>
          <t>No</t>
        </is>
      </c>
      <c r="N2226" s="18" t="inlineStr"/>
      <c r="O2226" s="18" t="inlineStr"/>
      <c r="P2226" s="18" t="inlineStr">
        <is>
          <t>Mapeada en internal-disciplinary-control-service/src/entities/expediente-compartido.entity.ts:79 (ExpedienteCompartido.contadorAccesos)</t>
        </is>
      </c>
      <c r="Q2226" s="18" t="inlineStr">
        <is>
          <t>Propuesta semántica</t>
        </is>
      </c>
      <c r="R2226" s="18" t="inlineStr">
        <is>
          <t>Número de veces que se ha accedido al enlace compartido. Valor por defecto: 0.</t>
        </is>
      </c>
      <c r="S2226" s="18" t="inlineStr">
        <is>
          <t>Alta</t>
        </is>
      </c>
      <c r="T2226" s="18" t="inlineStr">
        <is>
          <t>nombre + tipo + columnas vecinas + defecto</t>
        </is>
      </c>
      <c r="U2226" s="18" t="inlineStr"/>
      <c r="V2226" s="19" t="inlineStr">
        <is>
          <t>Pendiente</t>
        </is>
      </c>
      <c r="W2226" s="19" t="inlineStr"/>
      <c r="X2226" s="19" t="inlineStr"/>
      <c r="Y2226" s="20" t="n"/>
      <c r="Z2226" s="19" t="inlineStr"/>
      <c r="AA2226" s="18">
        <f>IF(OR(V2226="Aprobada"),R2226,IF(AND(OR(V2226="Aprobada con ajuste",V2226="Rechazada"),W2226&lt;&gt;""),W2226,""))</f>
        <v/>
      </c>
    </row>
    <row r="2227">
      <c r="A2227" s="18" t="inlineStr">
        <is>
          <t>C2226</t>
        </is>
      </c>
      <c r="B2227" s="18" t="inlineStr">
        <is>
          <t>Control disciplinario interno</t>
        </is>
      </c>
      <c r="C2227" s="18" t="inlineStr">
        <is>
          <t>internal_disciplinary_control</t>
        </is>
      </c>
      <c r="D2227" s="18" t="inlineStr">
        <is>
          <t>expediente_compartido</t>
        </is>
      </c>
      <c r="E2227" s="18" t="n">
        <v>95</v>
      </c>
      <c r="F2227" s="18" t="inlineStr">
        <is>
          <t>ultimo_acceso</t>
        </is>
      </c>
      <c r="G2227" s="18" t="inlineStr">
        <is>
          <t>timestamp without time zone</t>
        </is>
      </c>
      <c r="H2227" s="18" t="inlineStr">
        <is>
          <t>Sí</t>
        </is>
      </c>
      <c r="I2227" s="18" t="inlineStr"/>
      <c r="J2227" s="18" t="inlineStr"/>
      <c r="K2227" s="18" t="inlineStr"/>
      <c r="L2227" s="18" t="inlineStr">
        <is>
          <t>No</t>
        </is>
      </c>
      <c r="M2227" s="18" t="inlineStr">
        <is>
          <t>No</t>
        </is>
      </c>
      <c r="N2227" s="18" t="inlineStr"/>
      <c r="O2227" s="18" t="inlineStr"/>
      <c r="P2227" s="18" t="inlineStr">
        <is>
          <t>Mapeada en internal-disciplinary-control-service/src/entities/expediente-compartido.entity.ts:82 (ExpedienteCompartido.ultimoAcceso)</t>
        </is>
      </c>
      <c r="Q2227" s="18" t="inlineStr">
        <is>
          <t>Propuesta semántica</t>
        </is>
      </c>
      <c r="R2227" s="18" t="inlineStr">
        <is>
          <t>Fecha y hora del último acceso al enlace compartido.</t>
        </is>
      </c>
      <c r="S2227" s="18" t="inlineStr">
        <is>
          <t>Alta</t>
        </is>
      </c>
      <c r="T2227" s="18" t="inlineStr">
        <is>
          <t>nombre + tipo + columnas vecinas</t>
        </is>
      </c>
      <c r="U2227" s="18" t="inlineStr"/>
      <c r="V2227" s="19" t="inlineStr">
        <is>
          <t>Pendiente</t>
        </is>
      </c>
      <c r="W2227" s="19" t="inlineStr"/>
      <c r="X2227" s="19" t="inlineStr"/>
      <c r="Y2227" s="20" t="n"/>
      <c r="Z2227" s="19" t="inlineStr"/>
      <c r="AA2227" s="18">
        <f>IF(OR(V2227="Aprobada"),R2227,IF(AND(OR(V2227="Aprobada con ajuste",V2227="Rechazada"),W2227&lt;&gt;""),W2227,""))</f>
        <v/>
      </c>
    </row>
    <row r="2228">
      <c r="A2228" s="18" t="inlineStr">
        <is>
          <t>C2227</t>
        </is>
      </c>
      <c r="B2228" s="18" t="inlineStr">
        <is>
          <t>Control disciplinario interno</t>
        </is>
      </c>
      <c r="C2228" s="18" t="inlineStr">
        <is>
          <t>internal_disciplinary_control</t>
        </is>
      </c>
      <c r="D2228" s="18" t="inlineStr">
        <is>
          <t>expediente_compartido</t>
        </is>
      </c>
      <c r="E2228" s="18" t="n">
        <v>95</v>
      </c>
      <c r="F2228" s="18" t="inlineStr">
        <is>
          <t>ip_ultimo_acceso</t>
        </is>
      </c>
      <c r="G2228" s="18" t="inlineStr">
        <is>
          <t>character varying(45)</t>
        </is>
      </c>
      <c r="H2228" s="18" t="inlineStr">
        <is>
          <t>Sí</t>
        </is>
      </c>
      <c r="I2228" s="18" t="inlineStr"/>
      <c r="J2228" s="18" t="inlineStr"/>
      <c r="K2228" s="18" t="inlineStr"/>
      <c r="L2228" s="18" t="inlineStr">
        <is>
          <t>No</t>
        </is>
      </c>
      <c r="M2228" s="18" t="inlineStr">
        <is>
          <t>No</t>
        </is>
      </c>
      <c r="N2228" s="18" t="inlineStr"/>
      <c r="O2228" s="18" t="inlineStr"/>
      <c r="P2228" s="18" t="inlineStr">
        <is>
          <t>Mapeada en internal-disciplinary-control-service/src/entities/expediente-compartido.entity.ts:85 (ExpedienteCompartido.ipUltimoAcceso)</t>
        </is>
      </c>
      <c r="Q2228" s="18" t="inlineStr">
        <is>
          <t>Propuesta semántica</t>
        </is>
      </c>
      <c r="R2228" s="18" t="inlineStr">
        <is>
          <t>Dirección IP desde la que se hizo el último acceso al enlace compartido (IPv4 o IPv6).</t>
        </is>
      </c>
      <c r="S2228" s="18" t="inlineStr">
        <is>
          <t>Alta</t>
        </is>
      </c>
      <c r="T2228" s="18" t="inlineStr">
        <is>
          <t>nombre + tipo + columnas vecinas (longitud 45)</t>
        </is>
      </c>
      <c r="U2228" s="18" t="inlineStr"/>
      <c r="V2228" s="19" t="inlineStr">
        <is>
          <t>Pendiente</t>
        </is>
      </c>
      <c r="W2228" s="19" t="inlineStr"/>
      <c r="X2228" s="19" t="inlineStr"/>
      <c r="Y2228" s="20" t="n"/>
      <c r="Z2228" s="19" t="inlineStr"/>
      <c r="AA2228" s="18">
        <f>IF(OR(V2228="Aprobada"),R2228,IF(AND(OR(V2228="Aprobada con ajuste",V2228="Rechazada"),W2228&lt;&gt;""),W2228,""))</f>
        <v/>
      </c>
    </row>
    <row r="2229">
      <c r="A2229" s="18" t="inlineStr">
        <is>
          <t>C2228</t>
        </is>
      </c>
      <c r="B2229" s="18" t="inlineStr">
        <is>
          <t>Control disciplinario interno</t>
        </is>
      </c>
      <c r="C2229" s="18" t="inlineStr">
        <is>
          <t>internal_disciplinary_control</t>
        </is>
      </c>
      <c r="D2229" s="18" t="inlineStr">
        <is>
          <t>expediente_compartido</t>
        </is>
      </c>
      <c r="E2229" s="18" t="n">
        <v>95</v>
      </c>
      <c r="F2229" s="18" t="inlineStr">
        <is>
          <t>permite_descarga</t>
        </is>
      </c>
      <c r="G2229" s="18" t="inlineStr">
        <is>
          <t>boolean</t>
        </is>
      </c>
      <c r="H2229" s="18" t="inlineStr">
        <is>
          <t>Sí</t>
        </is>
      </c>
      <c r="I2229" s="18" t="inlineStr"/>
      <c r="J2229" s="18" t="inlineStr"/>
      <c r="K2229" s="18" t="inlineStr"/>
      <c r="L2229" s="18" t="inlineStr">
        <is>
          <t>No</t>
        </is>
      </c>
      <c r="M2229" s="18" t="inlineStr">
        <is>
          <t>No</t>
        </is>
      </c>
      <c r="N2229" s="18" t="inlineStr"/>
      <c r="O2229" s="18" t="inlineStr"/>
      <c r="P2229" s="18" t="inlineStr">
        <is>
          <t>Mapeada en internal-disciplinary-control-service/src/entities/expediente-compartido.entity.ts:97 (ExpedienteCompartido.permiteDescarga)</t>
        </is>
      </c>
      <c r="Q2229" s="18" t="inlineStr">
        <is>
          <t>Regla estructural</t>
        </is>
      </c>
      <c r="R2229" s="18" t="inlineStr">
        <is>
          <t>Indica si permite descarga.</t>
        </is>
      </c>
      <c r="S2229" s="18" t="inlineStr">
        <is>
          <t>Media</t>
        </is>
      </c>
      <c r="T2229" s="18" t="inlineStr">
        <is>
          <t>Convención de nombre de la columna.</t>
        </is>
      </c>
      <c r="U2229" s="18" t="inlineStr"/>
      <c r="V2229" s="19" t="inlineStr">
        <is>
          <t>Pendiente</t>
        </is>
      </c>
      <c r="W2229" s="19" t="inlineStr"/>
      <c r="X2229" s="19" t="inlineStr"/>
      <c r="Y2229" s="20" t="n"/>
      <c r="Z2229" s="19" t="inlineStr"/>
      <c r="AA2229" s="18">
        <f>IF(OR(V2229="Aprobada"),R2229,IF(AND(OR(V2229="Aprobada con ajuste",V2229="Rechazada"),W2229&lt;&gt;""),W2229,""))</f>
        <v/>
      </c>
    </row>
    <row r="2230">
      <c r="A2230" s="18" t="inlineStr">
        <is>
          <t>C2229</t>
        </is>
      </c>
      <c r="B2230" s="18" t="inlineStr">
        <is>
          <t>Control disciplinario interno</t>
        </is>
      </c>
      <c r="C2230" s="18" t="inlineStr">
        <is>
          <t>internal_disciplinary_control</t>
        </is>
      </c>
      <c r="D2230" s="18" t="inlineStr">
        <is>
          <t>legal_autos</t>
        </is>
      </c>
      <c r="E2230" s="18" t="n">
        <v>218</v>
      </c>
      <c r="F2230" s="18" t="inlineStr">
        <is>
          <t>contenido</t>
        </is>
      </c>
      <c r="G2230" s="18" t="inlineStr">
        <is>
          <t>text</t>
        </is>
      </c>
      <c r="H2230" s="18" t="inlineStr">
        <is>
          <t>No</t>
        </is>
      </c>
      <c r="I2230" s="18" t="inlineStr"/>
      <c r="J2230" s="18" t="inlineStr"/>
      <c r="K2230" s="18" t="inlineStr"/>
      <c r="L2230" s="18" t="inlineStr">
        <is>
          <t>No</t>
        </is>
      </c>
      <c r="M2230" s="18" t="inlineStr">
        <is>
          <t>No</t>
        </is>
      </c>
      <c r="N2230" s="18" t="inlineStr"/>
      <c r="O2230" s="18" t="inlineStr"/>
      <c r="P2230" s="18" t="inlineStr">
        <is>
          <t>internal-disciplinary-control-service/src/entities/legal-auto.entity.ts:92: HTML/Rich Text</t>
        </is>
      </c>
      <c r="Q2230" s="18" t="inlineStr">
        <is>
          <t>Código fuente</t>
        </is>
      </c>
      <c r="R2230" s="18" t="inlineStr">
        <is>
          <t>Contenido del auto en HTML (texto enriquecido).</t>
        </is>
      </c>
      <c r="S2230" s="18" t="inlineStr">
        <is>
          <t>Alta</t>
        </is>
      </c>
      <c r="T2230" s="18" t="inlineStr">
        <is>
          <t>código: legal-auto.entity.ts:92</t>
        </is>
      </c>
      <c r="U2230" s="18" t="inlineStr"/>
      <c r="V2230" s="19" t="inlineStr">
        <is>
          <t>Pendiente</t>
        </is>
      </c>
      <c r="W2230" s="19" t="inlineStr"/>
      <c r="X2230" s="19" t="inlineStr"/>
      <c r="Y2230" s="20" t="n"/>
      <c r="Z2230" s="19" t="inlineStr"/>
      <c r="AA2230" s="18">
        <f>IF(OR(V2230="Aprobada"),R2230,IF(AND(OR(V2230="Aprobada con ajuste",V2230="Rechazada"),W2230&lt;&gt;""),W2230,""))</f>
        <v/>
      </c>
    </row>
    <row r="2231">
      <c r="A2231" s="18" t="inlineStr">
        <is>
          <t>C2230</t>
        </is>
      </c>
      <c r="B2231" s="18" t="inlineStr">
        <is>
          <t>Control disciplinario interno</t>
        </is>
      </c>
      <c r="C2231" s="18" t="inlineStr">
        <is>
          <t>internal_disciplinary_control</t>
        </is>
      </c>
      <c r="D2231" s="18" t="inlineStr">
        <is>
          <t>legal_autos</t>
        </is>
      </c>
      <c r="E2231" s="18" t="n">
        <v>218</v>
      </c>
      <c r="F2231" s="18" t="inlineStr">
        <is>
          <t>firmaUrl</t>
        </is>
      </c>
      <c r="G2231" s="18" t="inlineStr">
        <is>
          <t>text</t>
        </is>
      </c>
      <c r="H2231" s="18" t="inlineStr">
        <is>
          <t>Sí</t>
        </is>
      </c>
      <c r="I2231" s="18" t="inlineStr"/>
      <c r="J2231" s="18" t="inlineStr"/>
      <c r="K2231" s="18" t="inlineStr"/>
      <c r="L2231" s="18" t="inlineStr">
        <is>
          <t>No</t>
        </is>
      </c>
      <c r="M2231" s="18" t="inlineStr">
        <is>
          <t>No</t>
        </is>
      </c>
      <c r="N2231" s="18" t="inlineStr"/>
      <c r="O2231" s="18" t="inlineStr"/>
      <c r="P2231" s="18" t="inlineStr">
        <is>
          <t>internal-disciplinary-control-service/src/entities/legal-auto.entity.ts:102: URL del PDF firmado</t>
        </is>
      </c>
      <c r="Q2231" s="18" t="inlineStr">
        <is>
          <t>Código fuente</t>
        </is>
      </c>
      <c r="R2231" s="18" t="inlineStr">
        <is>
          <t>URL del PDF firmado del auto.</t>
        </is>
      </c>
      <c r="S2231" s="18" t="inlineStr">
        <is>
          <t>Alta</t>
        </is>
      </c>
      <c r="T2231" s="18" t="inlineStr">
        <is>
          <t>código: legal-auto.entity.ts:102</t>
        </is>
      </c>
      <c r="U2231" s="18" t="inlineStr"/>
      <c r="V2231" s="19" t="inlineStr">
        <is>
          <t>Pendiente</t>
        </is>
      </c>
      <c r="W2231" s="19" t="inlineStr"/>
      <c r="X2231" s="19" t="inlineStr"/>
      <c r="Y2231" s="20" t="n"/>
      <c r="Z2231" s="19" t="inlineStr"/>
      <c r="AA2231" s="18">
        <f>IF(OR(V2231="Aprobada"),R2231,IF(AND(OR(V2231="Aprobada con ajuste",V2231="Rechazada"),W2231&lt;&gt;""),W2231,""))</f>
        <v/>
      </c>
    </row>
    <row r="2232">
      <c r="A2232" s="18" t="inlineStr">
        <is>
          <t>C2231</t>
        </is>
      </c>
      <c r="B2232" s="18" t="inlineStr">
        <is>
          <t>Control disciplinario interno</t>
        </is>
      </c>
      <c r="C2232" s="18" t="inlineStr">
        <is>
          <t>internal_disciplinary_control</t>
        </is>
      </c>
      <c r="D2232" s="18" t="inlineStr">
        <is>
          <t>legal_autos</t>
        </is>
      </c>
      <c r="E2232" s="18" t="n">
        <v>218</v>
      </c>
      <c r="F2232" s="18" t="inlineStr">
        <is>
          <t>comentarios</t>
        </is>
      </c>
      <c r="G2232" s="18" t="inlineStr">
        <is>
          <t>text</t>
        </is>
      </c>
      <c r="H2232" s="18" t="inlineStr">
        <is>
          <t>Sí</t>
        </is>
      </c>
      <c r="I2232" s="18" t="inlineStr"/>
      <c r="J2232" s="18" t="inlineStr"/>
      <c r="K2232" s="18" t="inlineStr"/>
      <c r="L2232" s="18" t="inlineStr">
        <is>
          <t>No</t>
        </is>
      </c>
      <c r="M2232" s="18" t="inlineStr">
        <is>
          <t>No</t>
        </is>
      </c>
      <c r="N2232" s="18" t="inlineStr"/>
      <c r="O2232" s="18" t="inlineStr"/>
      <c r="P2232" s="18" t="inlineStr">
        <is>
          <t>Mapeada en internal-disciplinary-control-service/src/entities/legal-auto.entity.ts:132 (LegalAuto.comentarios) | Validación: IsOptional, IsString</t>
        </is>
      </c>
      <c r="Q2232" s="18" t="inlineStr">
        <is>
          <t>Propuesta semántica</t>
        </is>
      </c>
      <c r="R2232" s="18" t="inlineStr">
        <is>
          <t>Comentarios registrados sobre el auto.</t>
        </is>
      </c>
      <c r="S2232" s="18" t="inlineStr">
        <is>
          <t>Media</t>
        </is>
      </c>
      <c r="T2232" s="18" t="inlineStr">
        <is>
          <t>nombre + tipo + validaciones</t>
        </is>
      </c>
      <c r="U2232" s="18" t="inlineStr">
        <is>
          <t>¿Quién registra estos comentarios y en qué paso del flujo (revisión, aprobación)?</t>
        </is>
      </c>
      <c r="V2232" s="19" t="inlineStr">
        <is>
          <t>Pendiente</t>
        </is>
      </c>
      <c r="W2232" s="19" t="inlineStr"/>
      <c r="X2232" s="19" t="inlineStr"/>
      <c r="Y2232" s="20" t="n"/>
      <c r="Z2232" s="19" t="inlineStr"/>
      <c r="AA2232" s="18">
        <f>IF(OR(V2232="Aprobada"),R2232,IF(AND(OR(V2232="Aprobada con ajuste",V2232="Rechazada"),W2232&lt;&gt;""),W2232,""))</f>
        <v/>
      </c>
    </row>
    <row r="2233">
      <c r="A2233" s="18" t="inlineStr">
        <is>
          <t>C2232</t>
        </is>
      </c>
      <c r="B2233" s="18" t="inlineStr">
        <is>
          <t>Control disciplinario interno</t>
        </is>
      </c>
      <c r="C2233" s="18" t="inlineStr">
        <is>
          <t>internal_disciplinary_control</t>
        </is>
      </c>
      <c r="D2233" s="18" t="inlineStr">
        <is>
          <t>legal_autos</t>
        </is>
      </c>
      <c r="E2233" s="18" t="n">
        <v>218</v>
      </c>
      <c r="F2233" s="18" t="inlineStr">
        <is>
          <t>aprobadoPorId</t>
        </is>
      </c>
      <c r="G2233" s="18" t="inlineStr">
        <is>
          <t>uuid</t>
        </is>
      </c>
      <c r="H2233" s="18" t="inlineStr">
        <is>
          <t>Sí</t>
        </is>
      </c>
      <c r="I2233" s="18" t="inlineStr"/>
      <c r="J2233" s="18" t="inlineStr"/>
      <c r="K2233" s="18" t="inlineStr"/>
      <c r="L2233" s="18" t="inlineStr">
        <is>
          <t>No</t>
        </is>
      </c>
      <c r="M2233" s="18" t="inlineStr">
        <is>
          <t>No</t>
        </is>
      </c>
      <c r="N2233" s="18" t="inlineStr"/>
      <c r="O2233" s="18" t="inlineStr"/>
      <c r="P2233" s="18" t="inlineStr">
        <is>
          <t>internal-disciplinary-control-service/src/entities/legal-auto.entity.ts:153: ID del jefe que aprobó</t>
        </is>
      </c>
      <c r="Q2233" s="18" t="inlineStr">
        <is>
          <t>Código fuente</t>
        </is>
      </c>
      <c r="R2233" s="18" t="inlineStr">
        <is>
          <t>Identificador del jefe que aprobó el auto.</t>
        </is>
      </c>
      <c r="S2233" s="18" t="inlineStr">
        <is>
          <t>Alta</t>
        </is>
      </c>
      <c r="T2233" s="18" t="inlineStr">
        <is>
          <t>código: legal-auto.entity.ts:153</t>
        </is>
      </c>
      <c r="U2233" s="18" t="inlineStr"/>
      <c r="V2233" s="19" t="inlineStr">
        <is>
          <t>Pendiente</t>
        </is>
      </c>
      <c r="W2233" s="19" t="inlineStr"/>
      <c r="X2233" s="19" t="inlineStr"/>
      <c r="Y2233" s="20" t="n"/>
      <c r="Z2233" s="19" t="inlineStr"/>
      <c r="AA2233" s="18">
        <f>IF(OR(V2233="Aprobada"),R2233,IF(AND(OR(V2233="Aprobada con ajuste",V2233="Rechazada"),W2233&lt;&gt;""),W2233,""))</f>
        <v/>
      </c>
    </row>
    <row r="2234">
      <c r="A2234" s="18" t="inlineStr">
        <is>
          <t>C2233</t>
        </is>
      </c>
      <c r="B2234" s="18" t="inlineStr">
        <is>
          <t>Control disciplinario interno</t>
        </is>
      </c>
      <c r="C2234" s="18" t="inlineStr">
        <is>
          <t>internal_disciplinary_control</t>
        </is>
      </c>
      <c r="D2234" s="18" t="inlineStr">
        <is>
          <t>legal_autos</t>
        </is>
      </c>
      <c r="E2234" s="18" t="n">
        <v>218</v>
      </c>
      <c r="F2234" s="18" t="inlineStr">
        <is>
          <t>notificationDate</t>
        </is>
      </c>
      <c r="G2234" s="18" t="inlineStr">
        <is>
          <t>timestamp with time zone</t>
        </is>
      </c>
      <c r="H2234" s="18" t="inlineStr">
        <is>
          <t>Sí</t>
        </is>
      </c>
      <c r="I2234" s="18" t="inlineStr"/>
      <c r="J2234" s="18" t="inlineStr"/>
      <c r="K2234" s="18" t="inlineStr"/>
      <c r="L2234" s="18" t="inlineStr">
        <is>
          <t>No</t>
        </is>
      </c>
      <c r="M2234" s="18" t="inlineStr">
        <is>
          <t>No</t>
        </is>
      </c>
      <c r="N2234" s="18" t="inlineStr"/>
      <c r="O2234" s="18" t="inlineStr"/>
      <c r="P2234" s="18" t="inlineStr">
        <is>
          <t>Mapeada en internal-disciplinary-control-service/src/entities/legal-auto.entity.ts:117 (LegalAuto.notificationDate) | Validación: IsDateString, IsNotEmpty</t>
        </is>
      </c>
      <c r="Q2234" s="18" t="inlineStr">
        <is>
          <t>Propuesta semántica</t>
        </is>
      </c>
      <c r="R2234" s="18" t="inlineStr">
        <is>
          <t>Fecha de notificación del auto.</t>
        </is>
      </c>
      <c r="S2234" s="18" t="inlineStr">
        <is>
          <t>Alta</t>
        </is>
      </c>
      <c r="T2234" s="18" t="inlineStr">
        <is>
          <t>nombre + tipo + columnas vecinas + validación IsDateString</t>
        </is>
      </c>
      <c r="U2234" s="18" t="inlineStr"/>
      <c r="V2234" s="19" t="inlineStr">
        <is>
          <t>Pendiente</t>
        </is>
      </c>
      <c r="W2234" s="19" t="inlineStr"/>
      <c r="X2234" s="19" t="inlineStr"/>
      <c r="Y2234" s="20" t="n"/>
      <c r="Z2234" s="19" t="inlineStr"/>
      <c r="AA2234" s="18">
        <f>IF(OR(V2234="Aprobada"),R2234,IF(AND(OR(V2234="Aprobada con ajuste",V2234="Rechazada"),W2234&lt;&gt;""),W2234,""))</f>
        <v/>
      </c>
    </row>
    <row r="2235">
      <c r="A2235" s="18" t="inlineStr">
        <is>
          <t>C2234</t>
        </is>
      </c>
      <c r="B2235" s="18" t="inlineStr">
        <is>
          <t>Control disciplinario interno</t>
        </is>
      </c>
      <c r="C2235" s="18" t="inlineStr">
        <is>
          <t>internal_disciplinary_control</t>
        </is>
      </c>
      <c r="D2235" s="18" t="inlineStr">
        <is>
          <t>legal_autos</t>
        </is>
      </c>
      <c r="E2235" s="18" t="n">
        <v>218</v>
      </c>
      <c r="F2235" s="18" t="inlineStr">
        <is>
          <t>notificationEvidence</t>
        </is>
      </c>
      <c r="G2235" s="18" t="inlineStr">
        <is>
          <t>text</t>
        </is>
      </c>
      <c r="H2235" s="18" t="inlineStr">
        <is>
          <t>Sí</t>
        </is>
      </c>
      <c r="I2235" s="18" t="inlineStr"/>
      <c r="J2235" s="18" t="inlineStr"/>
      <c r="K2235" s="18" t="inlineStr"/>
      <c r="L2235" s="18" t="inlineStr">
        <is>
          <t>No</t>
        </is>
      </c>
      <c r="M2235" s="18" t="inlineStr">
        <is>
          <t>No</t>
        </is>
      </c>
      <c r="N2235" s="18" t="inlineStr"/>
      <c r="O2235" s="18" t="inlineStr"/>
      <c r="P2235" s="18" t="inlineStr">
        <is>
          <t>internal-disciplinary-control-service/src/entities/legal-auto.entity.ts:129: URL del archivo de prueba de notificación | Validación: IsOptional, IsString</t>
        </is>
      </c>
      <c r="Q2235" s="18" t="inlineStr">
        <is>
          <t>Código fuente</t>
        </is>
      </c>
      <c r="R2235" s="18" t="inlineStr">
        <is>
          <t>URL del archivo de prueba de notificación del auto.</t>
        </is>
      </c>
      <c r="S2235" s="18" t="inlineStr">
        <is>
          <t>Alta</t>
        </is>
      </c>
      <c r="T2235" s="18" t="inlineStr">
        <is>
          <t>código: legal-auto.entity.ts:129</t>
        </is>
      </c>
      <c r="U2235" s="18" t="inlineStr"/>
      <c r="V2235" s="19" t="inlineStr">
        <is>
          <t>Pendiente</t>
        </is>
      </c>
      <c r="W2235" s="19" t="inlineStr"/>
      <c r="X2235" s="19" t="inlineStr"/>
      <c r="Y2235" s="20" t="n"/>
      <c r="Z2235" s="19" t="inlineStr"/>
      <c r="AA2235" s="18">
        <f>IF(OR(V2235="Aprobada"),R2235,IF(AND(OR(V2235="Aprobada con ajuste",V2235="Rechazada"),W2235&lt;&gt;""),W2235,""))</f>
        <v/>
      </c>
    </row>
    <row r="2236">
      <c r="A2236" s="18" t="inlineStr">
        <is>
          <t>C2235</t>
        </is>
      </c>
      <c r="B2236" s="18" t="inlineStr">
        <is>
          <t>Control disciplinario interno</t>
        </is>
      </c>
      <c r="C2236" s="18" t="inlineStr">
        <is>
          <t>internal_disciplinary_control</t>
        </is>
      </c>
      <c r="D2236" s="18" t="inlineStr">
        <is>
          <t>legal_autos</t>
        </is>
      </c>
      <c r="E2236" s="18" t="n">
        <v>218</v>
      </c>
      <c r="F2236" s="18" t="inlineStr">
        <is>
          <t>rejection_comments</t>
        </is>
      </c>
      <c r="G2236" s="18" t="inlineStr">
        <is>
          <t>text</t>
        </is>
      </c>
      <c r="H2236" s="18" t="inlineStr">
        <is>
          <t>Sí</t>
        </is>
      </c>
      <c r="I2236" s="18" t="inlineStr"/>
      <c r="J2236" s="18" t="inlineStr"/>
      <c r="K2236" s="18" t="inlineStr"/>
      <c r="L2236" s="18" t="inlineStr">
        <is>
          <t>No</t>
        </is>
      </c>
      <c r="M2236" s="18" t="inlineStr">
        <is>
          <t>No</t>
        </is>
      </c>
      <c r="N2236" s="18" t="inlineStr"/>
      <c r="O2236" s="18" t="inlineStr"/>
      <c r="P2236" s="18" t="inlineStr">
        <is>
          <t>Mapeada en internal-disciplinary-control-service/src/entities/legal-auto.entity.ts:135 (LegalAuto.rejection_comments)</t>
        </is>
      </c>
      <c r="Q2236" s="18" t="inlineStr">
        <is>
          <t>Propuesta semántica</t>
        </is>
      </c>
      <c r="R2236" s="18" t="inlineStr">
        <is>
          <t>Comentarios del rechazo del auto.</t>
        </is>
      </c>
      <c r="S2236" s="18" t="inlineStr">
        <is>
          <t>Alta</t>
        </is>
      </c>
      <c r="T2236" s="18" t="inlineStr">
        <is>
          <t>nombre + tipo + columnas vecinas</t>
        </is>
      </c>
      <c r="U2236" s="18" t="inlineStr"/>
      <c r="V2236" s="19" t="inlineStr">
        <is>
          <t>Pendiente</t>
        </is>
      </c>
      <c r="W2236" s="19" t="inlineStr"/>
      <c r="X2236" s="19" t="inlineStr"/>
      <c r="Y2236" s="20" t="n"/>
      <c r="Z2236" s="19" t="inlineStr"/>
      <c r="AA2236" s="18">
        <f>IF(OR(V2236="Aprobada"),R2236,IF(AND(OR(V2236="Aprobada con ajuste",V2236="Rechazada"),W2236&lt;&gt;""),W2236,""))</f>
        <v/>
      </c>
    </row>
    <row r="2237">
      <c r="A2237" s="18" t="inlineStr">
        <is>
          <t>C2236</t>
        </is>
      </c>
      <c r="B2237" s="18" t="inlineStr">
        <is>
          <t>Control disciplinario interno</t>
        </is>
      </c>
      <c r="C2237" s="18" t="inlineStr">
        <is>
          <t>internal_disciplinary_control</t>
        </is>
      </c>
      <c r="D2237" s="18" t="inlineStr">
        <is>
          <t>legal_autos</t>
        </is>
      </c>
      <c r="E2237" s="18" t="n">
        <v>218</v>
      </c>
      <c r="F2237" s="18" t="inlineStr">
        <is>
          <t>currentVersion</t>
        </is>
      </c>
      <c r="G2237" s="18" t="inlineStr">
        <is>
          <t>integer</t>
        </is>
      </c>
      <c r="H2237" s="18" t="inlineStr">
        <is>
          <t>Sí</t>
        </is>
      </c>
      <c r="I2237" s="18" t="inlineStr"/>
      <c r="J2237" s="18" t="inlineStr"/>
      <c r="K2237" s="18" t="inlineStr"/>
      <c r="L2237" s="18" t="inlineStr">
        <is>
          <t>No</t>
        </is>
      </c>
      <c r="M2237" s="18" t="inlineStr">
        <is>
          <t>No</t>
        </is>
      </c>
      <c r="N2237" s="18" t="inlineStr"/>
      <c r="O2237" s="18" t="inlineStr"/>
      <c r="P2237" s="18" t="inlineStr">
        <is>
          <t>Mapeada en internal-disciplinary-control-service/src/entities/legal-auto.entity.ts:168 (LegalAuto.currentVersion)</t>
        </is>
      </c>
      <c r="Q2237" s="18" t="inlineStr">
        <is>
          <t>Propuesta semántica</t>
        </is>
      </c>
      <c r="R2237" s="18" t="inlineStr">
        <is>
          <t>Número de la versión vigente del auto. Valor por defecto: 1.</t>
        </is>
      </c>
      <c r="S2237" s="18" t="inlineStr">
        <is>
          <t>Alta</t>
        </is>
      </c>
      <c r="T2237" s="18" t="inlineStr">
        <is>
          <t>nombre + tipo + columnas vecinas + defecto</t>
        </is>
      </c>
      <c r="U2237" s="18" t="inlineStr"/>
      <c r="V2237" s="19" t="inlineStr">
        <is>
          <t>Pendiente</t>
        </is>
      </c>
      <c r="W2237" s="19" t="inlineStr"/>
      <c r="X2237" s="19" t="inlineStr"/>
      <c r="Y2237" s="20" t="n"/>
      <c r="Z2237" s="19" t="inlineStr"/>
      <c r="AA2237" s="18">
        <f>IF(OR(V2237="Aprobada"),R2237,IF(AND(OR(V2237="Aprobada con ajuste",V2237="Rechazada"),W2237&lt;&gt;""),W2237,""))</f>
        <v/>
      </c>
    </row>
    <row r="2238">
      <c r="A2238" s="18" t="inlineStr">
        <is>
          <t>C2237</t>
        </is>
      </c>
      <c r="B2238" s="18" t="inlineStr">
        <is>
          <t>Control disciplinario interno</t>
        </is>
      </c>
      <c r="C2238" s="18" t="inlineStr">
        <is>
          <t>internal_disciplinary_control</t>
        </is>
      </c>
      <c r="D2238" s="18" t="inlineStr">
        <is>
          <t>legal_autos</t>
        </is>
      </c>
      <c r="E2238" s="18" t="n">
        <v>218</v>
      </c>
      <c r="F2238" s="18" t="inlineStr">
        <is>
          <t>numero</t>
        </is>
      </c>
      <c r="G2238" s="18" t="inlineStr">
        <is>
          <t>character varying(150)</t>
        </is>
      </c>
      <c r="H2238" s="18" t="inlineStr">
        <is>
          <t>Sí</t>
        </is>
      </c>
      <c r="I2238" s="18" t="inlineStr"/>
      <c r="J2238" s="18" t="inlineStr"/>
      <c r="K2238" s="18" t="inlineStr"/>
      <c r="L2238" s="18" t="inlineStr">
        <is>
          <t>No</t>
        </is>
      </c>
      <c r="M2238" s="18" t="inlineStr">
        <is>
          <t>No</t>
        </is>
      </c>
      <c r="N2238" s="18" t="inlineStr"/>
      <c r="O2238" s="18" t="inlineStr"/>
      <c r="P2238" s="18" t="inlineStr">
        <is>
          <t>Mapeada en internal-disciplinary-control-service/src/entities/legal-auto.entity.ts:89 (LegalAuto.numero) | Validación: IsOptional, IsString</t>
        </is>
      </c>
      <c r="Q2238" s="18" t="inlineStr">
        <is>
          <t>Regla estructural</t>
        </is>
      </c>
      <c r="R2238" s="18" t="inlineStr">
        <is>
          <t>Número asignado al registro.</t>
        </is>
      </c>
      <c r="S2238" s="18" t="inlineStr">
        <is>
          <t>Media</t>
        </is>
      </c>
      <c r="T2238" s="18" t="inlineStr">
        <is>
          <t>Convención de nombre de la columna.</t>
        </is>
      </c>
      <c r="U2238" s="18" t="inlineStr"/>
      <c r="V2238" s="19" t="inlineStr">
        <is>
          <t>Pendiente</t>
        </is>
      </c>
      <c r="W2238" s="19" t="inlineStr"/>
      <c r="X2238" s="19" t="inlineStr"/>
      <c r="Y2238" s="20" t="n"/>
      <c r="Z2238" s="19" t="inlineStr"/>
      <c r="AA2238" s="18">
        <f>IF(OR(V2238="Aprobada"),R2238,IF(AND(OR(V2238="Aprobada con ajuste",V2238="Rechazada"),W2238&lt;&gt;""),W2238,""))</f>
        <v/>
      </c>
    </row>
    <row r="2239">
      <c r="A2239" s="18" t="inlineStr">
        <is>
          <t>C2238</t>
        </is>
      </c>
      <c r="B2239" s="18" t="inlineStr">
        <is>
          <t>Control disciplinario interno</t>
        </is>
      </c>
      <c r="C2239" s="18" t="inlineStr">
        <is>
          <t>internal_disciplinary_control</t>
        </is>
      </c>
      <c r="D2239" s="18" t="inlineStr">
        <is>
          <t>legal_autos</t>
        </is>
      </c>
      <c r="E2239" s="18" t="n">
        <v>218</v>
      </c>
      <c r="F2239" s="18" t="inlineStr">
        <is>
          <t>documentUrl</t>
        </is>
      </c>
      <c r="G2239" s="18" t="inlineStr">
        <is>
          <t>text</t>
        </is>
      </c>
      <c r="H2239" s="18" t="inlineStr">
        <is>
          <t>Sí</t>
        </is>
      </c>
      <c r="I2239" s="18" t="inlineStr"/>
      <c r="J2239" s="18" t="inlineStr"/>
      <c r="K2239" s="18" t="inlineStr"/>
      <c r="L2239" s="18" t="inlineStr">
        <is>
          <t>No</t>
        </is>
      </c>
      <c r="M2239" s="18" t="inlineStr">
        <is>
          <t>No</t>
        </is>
      </c>
      <c r="N2239" s="18" t="inlineStr"/>
      <c r="O2239" s="18" t="inlineStr"/>
      <c r="P2239" s="18" t="inlineStr">
        <is>
          <t>Mapeada en internal-disciplinary-control-service/src/entities/legal-auto.entity.ts:105 (LegalAuto.documentUrl) | Validación: IsOptional, IsString</t>
        </is>
      </c>
      <c r="Q2239" s="18" t="inlineStr">
        <is>
          <t>Propuesta semántica</t>
        </is>
      </c>
      <c r="R2239" s="18" t="inlineStr">
        <is>
          <t>URL del documento del auto.</t>
        </is>
      </c>
      <c r="S2239" s="18" t="inlineStr">
        <is>
          <t>Media</t>
        </is>
      </c>
      <c r="T2239" s="18" t="inlineStr">
        <is>
          <t>nombre + tipo + columnas vecinas</t>
        </is>
      </c>
      <c r="U2239" s="18" t="inlineStr">
        <is>
          <t>¿Qué diferencia hay entre documentUrl y firmaUrl?</t>
        </is>
      </c>
      <c r="V2239" s="19" t="inlineStr">
        <is>
          <t>Pendiente</t>
        </is>
      </c>
      <c r="W2239" s="19" t="inlineStr"/>
      <c r="X2239" s="19" t="inlineStr"/>
      <c r="Y2239" s="20" t="n"/>
      <c r="Z2239" s="19" t="inlineStr"/>
      <c r="AA2239" s="18">
        <f>IF(OR(V2239="Aprobada"),R2239,IF(AND(OR(V2239="Aprobada con ajuste",V2239="Rechazada"),W2239&lt;&gt;""),W2239,""))</f>
        <v/>
      </c>
    </row>
    <row r="2240">
      <c r="A2240" s="18" t="inlineStr">
        <is>
          <t>C2239</t>
        </is>
      </c>
      <c r="B2240" s="18" t="inlineStr">
        <is>
          <t>Control disciplinario interno</t>
        </is>
      </c>
      <c r="C2240" s="18" t="inlineStr">
        <is>
          <t>internal_disciplinary_control</t>
        </is>
      </c>
      <c r="D2240" s="18" t="inlineStr">
        <is>
          <t>legal_autos</t>
        </is>
      </c>
      <c r="E2240" s="18" t="n">
        <v>218</v>
      </c>
      <c r="F2240" s="18" t="inlineStr">
        <is>
          <t>documentName</t>
        </is>
      </c>
      <c r="G2240" s="18" t="inlineStr">
        <is>
          <t>text</t>
        </is>
      </c>
      <c r="H2240" s="18" t="inlineStr">
        <is>
          <t>Sí</t>
        </is>
      </c>
      <c r="I2240" s="18" t="inlineStr"/>
      <c r="J2240" s="18" t="inlineStr"/>
      <c r="K2240" s="18" t="inlineStr"/>
      <c r="L2240" s="18" t="inlineStr">
        <is>
          <t>No</t>
        </is>
      </c>
      <c r="M2240" s="18" t="inlineStr">
        <is>
          <t>No</t>
        </is>
      </c>
      <c r="N2240" s="18" t="inlineStr"/>
      <c r="O2240" s="18" t="inlineStr"/>
      <c r="P2240" s="18" t="inlineStr">
        <is>
          <t>Mapeada en internal-disciplinary-control-service/src/entities/legal-auto.entity.ts:108 (LegalAuto.documentName) | Validación: IsOptional, IsString</t>
        </is>
      </c>
      <c r="Q2240" s="18" t="inlineStr">
        <is>
          <t>Propuesta semántica</t>
        </is>
      </c>
      <c r="R2240" s="18" t="inlineStr">
        <is>
          <t>Nombre del documento del auto.</t>
        </is>
      </c>
      <c r="S2240" s="18" t="inlineStr">
        <is>
          <t>Alta</t>
        </is>
      </c>
      <c r="T2240" s="18" t="inlineStr">
        <is>
          <t>nombre + tipo + columnas vecinas (documentUrl)</t>
        </is>
      </c>
      <c r="U2240" s="18" t="inlineStr"/>
      <c r="V2240" s="19" t="inlineStr">
        <is>
          <t>Pendiente</t>
        </is>
      </c>
      <c r="W2240" s="19" t="inlineStr"/>
      <c r="X2240" s="19" t="inlineStr"/>
      <c r="Y2240" s="20" t="n"/>
      <c r="Z2240" s="19" t="inlineStr"/>
      <c r="AA2240" s="18">
        <f>IF(OR(V2240="Aprobada"),R2240,IF(AND(OR(V2240="Aprobada con ajuste",V2240="Rechazada"),W2240&lt;&gt;""),W2240,""))</f>
        <v/>
      </c>
    </row>
    <row r="2241">
      <c r="A2241" s="18" t="inlineStr">
        <is>
          <t>C2240</t>
        </is>
      </c>
      <c r="B2241" s="18" t="inlineStr">
        <is>
          <t>Control disciplinario interno</t>
        </is>
      </c>
      <c r="C2241" s="18" t="inlineStr">
        <is>
          <t>internal_disciplinary_control</t>
        </is>
      </c>
      <c r="D2241" s="18" t="inlineStr">
        <is>
          <t>legal_autos</t>
        </is>
      </c>
      <c r="E2241" s="18" t="n">
        <v>218</v>
      </c>
      <c r="F2241" s="18" t="inlineStr">
        <is>
          <t>documentType</t>
        </is>
      </c>
      <c r="G2241" s="18" t="inlineStr">
        <is>
          <t>text</t>
        </is>
      </c>
      <c r="H2241" s="18" t="inlineStr">
        <is>
          <t>Sí</t>
        </is>
      </c>
      <c r="I2241" s="18" t="inlineStr"/>
      <c r="J2241" s="18" t="inlineStr"/>
      <c r="K2241" s="18" t="inlineStr"/>
      <c r="L2241" s="18" t="inlineStr">
        <is>
          <t>No</t>
        </is>
      </c>
      <c r="M2241" s="18" t="inlineStr">
        <is>
          <t>No</t>
        </is>
      </c>
      <c r="N2241" s="18" t="inlineStr"/>
      <c r="O2241" s="18" t="inlineStr"/>
      <c r="P2241" s="18" t="inlineStr">
        <is>
          <t>Mapeada en internal-disciplinary-control-service/src/entities/legal-auto.entity.ts:111 (LegalAuto.documentType) | Validación: IsOptional, IsString</t>
        </is>
      </c>
      <c r="Q2241" s="18" t="inlineStr">
        <is>
          <t>Propuesta semántica</t>
        </is>
      </c>
      <c r="R2241" s="18" t="inlineStr">
        <is>
          <t>Tipo de archivo del documento del auto.</t>
        </is>
      </c>
      <c r="S2241" s="18" t="inlineStr">
        <is>
          <t>Media</t>
        </is>
      </c>
      <c r="T2241" s="18" t="inlineStr">
        <is>
          <t>nombre + tipo + columnas vecinas</t>
        </is>
      </c>
      <c r="U2241" s="18" t="inlineStr">
        <is>
          <t>¿Se guarda el tipo MIME o la extensión del archivo?</t>
        </is>
      </c>
      <c r="V2241" s="19" t="inlineStr">
        <is>
          <t>Pendiente</t>
        </is>
      </c>
      <c r="W2241" s="19" t="inlineStr"/>
      <c r="X2241" s="19" t="inlineStr"/>
      <c r="Y2241" s="20" t="n"/>
      <c r="Z2241" s="19" t="inlineStr"/>
      <c r="AA2241" s="18">
        <f>IF(OR(V2241="Aprobada"),R2241,IF(AND(OR(V2241="Aprobada con ajuste",V2241="Rechazada"),W2241&lt;&gt;""),W2241,""))</f>
        <v/>
      </c>
    </row>
    <row r="2242">
      <c r="A2242" s="18" t="inlineStr">
        <is>
          <t>C2241</t>
        </is>
      </c>
      <c r="B2242" s="18" t="inlineStr">
        <is>
          <t>Control disciplinario interno</t>
        </is>
      </c>
      <c r="C2242" s="18" t="inlineStr">
        <is>
          <t>internal_disciplinary_control</t>
        </is>
      </c>
      <c r="D2242" s="18" t="inlineStr">
        <is>
          <t>legal_autos</t>
        </is>
      </c>
      <c r="E2242" s="18" t="n">
        <v>218</v>
      </c>
      <c r="F2242" s="18" t="inlineStr">
        <is>
          <t>documentSize</t>
        </is>
      </c>
      <c r="G2242" s="18" t="inlineStr">
        <is>
          <t>integer</t>
        </is>
      </c>
      <c r="H2242" s="18" t="inlineStr">
        <is>
          <t>Sí</t>
        </is>
      </c>
      <c r="I2242" s="18" t="inlineStr"/>
      <c r="J2242" s="18" t="inlineStr"/>
      <c r="K2242" s="18" t="inlineStr"/>
      <c r="L2242" s="18" t="inlineStr">
        <is>
          <t>No</t>
        </is>
      </c>
      <c r="M2242" s="18" t="inlineStr">
        <is>
          <t>No</t>
        </is>
      </c>
      <c r="N2242" s="18" t="inlineStr"/>
      <c r="O2242" s="18" t="inlineStr"/>
      <c r="P2242" s="18" t="inlineStr">
        <is>
          <t>Mapeada en internal-disciplinary-control-service/src/entities/legal-auto.entity.ts:114 (LegalAuto.documentSize) | Validación: IsNumber, IsOptional</t>
        </is>
      </c>
      <c r="Q2242" s="18" t="inlineStr">
        <is>
          <t>Propuesta semántica</t>
        </is>
      </c>
      <c r="R2242" s="18" t="inlineStr">
        <is>
          <t>Tamaño del documento del auto.</t>
        </is>
      </c>
      <c r="S2242" s="18" t="inlineStr">
        <is>
          <t>Media</t>
        </is>
      </c>
      <c r="T2242" s="18" t="inlineStr">
        <is>
          <t>nombre + tipo + columnas vecinas</t>
        </is>
      </c>
      <c r="U2242" s="18" t="inlineStr">
        <is>
          <t>¿La unidad del tamaño es bytes?</t>
        </is>
      </c>
      <c r="V2242" s="19" t="inlineStr">
        <is>
          <t>Pendiente</t>
        </is>
      </c>
      <c r="W2242" s="19" t="inlineStr"/>
      <c r="X2242" s="19" t="inlineStr"/>
      <c r="Y2242" s="20" t="n"/>
      <c r="Z2242" s="19" t="inlineStr"/>
      <c r="AA2242" s="18">
        <f>IF(OR(V2242="Aprobada"),R2242,IF(AND(OR(V2242="Aprobada con ajuste",V2242="Rechazada"),W2242&lt;&gt;""),W2242,""))</f>
        <v/>
      </c>
    </row>
    <row r="2243">
      <c r="A2243" s="18" t="inlineStr">
        <is>
          <t>C2242</t>
        </is>
      </c>
      <c r="B2243" s="18" t="inlineStr">
        <is>
          <t>Control disciplinario interno</t>
        </is>
      </c>
      <c r="C2243" s="18" t="inlineStr">
        <is>
          <t>internal_disciplinary_control</t>
        </is>
      </c>
      <c r="D2243" s="18" t="inlineStr">
        <is>
          <t>legal_autos</t>
        </is>
      </c>
      <c r="E2243" s="18" t="n">
        <v>218</v>
      </c>
      <c r="F2243" s="18" t="inlineStr">
        <is>
          <t>etapaDestino</t>
        </is>
      </c>
      <c r="G2243" s="18" t="inlineStr">
        <is>
          <t>character varying(50)</t>
        </is>
      </c>
      <c r="H2243" s="18" t="inlineStr">
        <is>
          <t>Sí</t>
        </is>
      </c>
      <c r="I2243" s="18" t="inlineStr"/>
      <c r="J2243" s="18" t="inlineStr"/>
      <c r="K2243" s="18" t="inlineStr"/>
      <c r="L2243" s="18" t="inlineStr">
        <is>
          <t>No</t>
        </is>
      </c>
      <c r="M2243" s="18" t="inlineStr">
        <is>
          <t>No</t>
        </is>
      </c>
      <c r="N2243" s="18" t="inlineStr"/>
      <c r="O2243" s="18" t="inlineStr"/>
      <c r="P2243" s="18" t="inlineStr">
        <is>
          <t>Mapeada en internal-disciplinary-control-service/src/entities/legal-auto.entity.ts:120 (LegalAuto.etapaDestino) | Validación: IsOptional, IsString</t>
        </is>
      </c>
      <c r="Q2243" s="18" t="inlineStr">
        <is>
          <t>Propuesta semántica</t>
        </is>
      </c>
      <c r="R2243" s="18" t="inlineStr">
        <is>
          <t>Etapa procesal a la que pasa el proceso con el auto.</t>
        </is>
      </c>
      <c r="S2243" s="18" t="inlineStr">
        <is>
          <t>Media</t>
        </is>
      </c>
      <c r="T2243" s="18" t="inlineStr">
        <is>
          <t>nombre + tipo + columnas vecinas</t>
        </is>
      </c>
      <c r="U2243" s="18" t="inlineStr">
        <is>
          <t>¿Qué valores admite etapaDestino?</t>
        </is>
      </c>
      <c r="V2243" s="19" t="inlineStr">
        <is>
          <t>Pendiente</t>
        </is>
      </c>
      <c r="W2243" s="19" t="inlineStr"/>
      <c r="X2243" s="19" t="inlineStr"/>
      <c r="Y2243" s="20" t="n"/>
      <c r="Z2243" s="19" t="inlineStr"/>
      <c r="AA2243" s="18">
        <f>IF(OR(V2243="Aprobada"),R2243,IF(AND(OR(V2243="Aprobada con ajuste",V2243="Rechazada"),W2243&lt;&gt;""),W2243,""))</f>
        <v/>
      </c>
    </row>
    <row r="2244">
      <c r="A2244" s="18" t="inlineStr">
        <is>
          <t>C2243</t>
        </is>
      </c>
      <c r="B2244" s="18" t="inlineStr">
        <is>
          <t>Control disciplinario interno</t>
        </is>
      </c>
      <c r="C2244" s="18" t="inlineStr">
        <is>
          <t>internal_disciplinary_control</t>
        </is>
      </c>
      <c r="D2244" s="18" t="inlineStr">
        <is>
          <t>legal_autos</t>
        </is>
      </c>
      <c r="E2244" s="18" t="n">
        <v>218</v>
      </c>
      <c r="F2244" s="18" t="inlineStr">
        <is>
          <t>prorrogaMeses</t>
        </is>
      </c>
      <c r="G2244" s="18" t="inlineStr">
        <is>
          <t>integer</t>
        </is>
      </c>
      <c r="H2244" s="18" t="inlineStr">
        <is>
          <t>Sí</t>
        </is>
      </c>
      <c r="I2244" s="18" t="inlineStr">
        <is>
          <t>CHECK</t>
        </is>
      </c>
      <c r="J2244" s="18" t="inlineStr"/>
      <c r="K2244" s="18" t="inlineStr"/>
      <c r="L2244" s="18" t="inlineStr">
        <is>
          <t>No</t>
        </is>
      </c>
      <c r="M2244" s="18" t="inlineStr">
        <is>
          <t>No</t>
        </is>
      </c>
      <c r="N2244" s="18" t="inlineStr"/>
      <c r="O2244" s="18" t="inlineStr"/>
      <c r="P2244" s="18" t="inlineStr">
        <is>
          <t>internal-disciplinary-control-service/src/entities/legal-auto.entity.ts:144: 3 o 6 — Solo aplica para AUTO_PRORROGA | Validación: IsIn([3, 6]), IsNumber, IsOptional</t>
        </is>
      </c>
      <c r="Q2244" s="18" t="inlineStr">
        <is>
          <t>Código fuente</t>
        </is>
      </c>
      <c r="R2244" s="18" t="inlineStr">
        <is>
          <t>Meses de prórroga; solo aplica para AUTO_PRORROGA. Valores permitidos: 3, 6.</t>
        </is>
      </c>
      <c r="S2244" s="18" t="inlineStr">
        <is>
          <t>Alta</t>
        </is>
      </c>
      <c r="T2244" s="18" t="inlineStr">
        <is>
          <t>código: legal-auto.entity.ts:144</t>
        </is>
      </c>
      <c r="U2244" s="18" t="inlineStr"/>
      <c r="V2244" s="19" t="inlineStr">
        <is>
          <t>Pendiente</t>
        </is>
      </c>
      <c r="W2244" s="19" t="inlineStr"/>
      <c r="X2244" s="19" t="inlineStr"/>
      <c r="Y2244" s="20" t="n"/>
      <c r="Z2244" s="19" t="inlineStr"/>
      <c r="AA2244" s="18">
        <f>IF(OR(V2244="Aprobada"),R2244,IF(AND(OR(V2244="Aprobada con ajuste",V2244="Rechazada"),W2244&lt;&gt;""),W2244,""))</f>
        <v/>
      </c>
    </row>
    <row r="2245">
      <c r="A2245" s="18" t="inlineStr">
        <is>
          <t>C2244</t>
        </is>
      </c>
      <c r="B2245" s="18" t="inlineStr">
        <is>
          <t>Control disciplinario interno</t>
        </is>
      </c>
      <c r="C2245" s="18" t="inlineStr">
        <is>
          <t>internal_disciplinary_control</t>
        </is>
      </c>
      <c r="D2245" s="18" t="inlineStr">
        <is>
          <t>legal_autos</t>
        </is>
      </c>
      <c r="E2245" s="18" t="n">
        <v>218</v>
      </c>
      <c r="F2245" s="18" t="inlineStr">
        <is>
          <t>fechaVencimientoAnterior</t>
        </is>
      </c>
      <c r="G2245" s="18" t="inlineStr">
        <is>
          <t>timestamp with time zone</t>
        </is>
      </c>
      <c r="H2245" s="18" t="inlineStr">
        <is>
          <t>Sí</t>
        </is>
      </c>
      <c r="I2245" s="18" t="inlineStr"/>
      <c r="J2245" s="18" t="inlineStr"/>
      <c r="K2245" s="18" t="inlineStr"/>
      <c r="L2245" s="18" t="inlineStr">
        <is>
          <t>No</t>
        </is>
      </c>
      <c r="M2245" s="18" t="inlineStr">
        <is>
          <t>No</t>
        </is>
      </c>
      <c r="N2245" s="18" t="inlineStr"/>
      <c r="O2245" s="18" t="inlineStr"/>
      <c r="P2245" s="18" t="inlineStr">
        <is>
          <t>internal-disciplinary-control-service/src/entities/legal-auto.entity.ts:147: Registro para historial de prórroga</t>
        </is>
      </c>
      <c r="Q2245" s="18" t="inlineStr">
        <is>
          <t>Código fuente</t>
        </is>
      </c>
      <c r="R2245" s="18" t="inlineStr">
        <is>
          <t>Fecha de vencimiento anterior a la prórroga, registrada para el historial de prórrogas.</t>
        </is>
      </c>
      <c r="S2245" s="18" t="inlineStr">
        <is>
          <t>Alta</t>
        </is>
      </c>
      <c r="T2245" s="18" t="inlineStr">
        <is>
          <t>código: legal-auto.entity.ts:147</t>
        </is>
      </c>
      <c r="U2245" s="18" t="inlineStr"/>
      <c r="V2245" s="19" t="inlineStr">
        <is>
          <t>Pendiente</t>
        </is>
      </c>
      <c r="W2245" s="19" t="inlineStr"/>
      <c r="X2245" s="19" t="inlineStr"/>
      <c r="Y2245" s="20" t="n"/>
      <c r="Z2245" s="19" t="inlineStr"/>
      <c r="AA2245" s="18">
        <f>IF(OR(V2245="Aprobada"),R2245,IF(AND(OR(V2245="Aprobada con ajuste",V2245="Rechazada"),W2245&lt;&gt;""),W2245,""))</f>
        <v/>
      </c>
    </row>
    <row r="2246">
      <c r="A2246" s="18" t="inlineStr">
        <is>
          <t>C2245</t>
        </is>
      </c>
      <c r="B2246" s="18" t="inlineStr">
        <is>
          <t>Control disciplinario interno</t>
        </is>
      </c>
      <c r="C2246" s="18" t="inlineStr">
        <is>
          <t>internal_disciplinary_control</t>
        </is>
      </c>
      <c r="D2246" s="18" t="inlineStr">
        <is>
          <t>legal_autos</t>
        </is>
      </c>
      <c r="E2246" s="18" t="n">
        <v>218</v>
      </c>
      <c r="F2246" s="18" t="inlineStr">
        <is>
          <t>fechaVencimientoNueva</t>
        </is>
      </c>
      <c r="G2246" s="18" t="inlineStr">
        <is>
          <t>timestamp with time zone</t>
        </is>
      </c>
      <c r="H2246" s="18" t="inlineStr">
        <is>
          <t>Sí</t>
        </is>
      </c>
      <c r="I2246" s="18" t="inlineStr"/>
      <c r="J2246" s="18" t="inlineStr"/>
      <c r="K2246" s="18" t="inlineStr"/>
      <c r="L2246" s="18" t="inlineStr">
        <is>
          <t>No</t>
        </is>
      </c>
      <c r="M2246" s="18" t="inlineStr">
        <is>
          <t>No</t>
        </is>
      </c>
      <c r="N2246" s="18" t="inlineStr"/>
      <c r="O2246" s="18" t="inlineStr"/>
      <c r="P2246" s="18" t="inlineStr">
        <is>
          <t>internal-disciplinary-control-service/src/entities/legal-auto.entity.ts:150: Registro para historial de prórroga</t>
        </is>
      </c>
      <c r="Q2246" s="18" t="inlineStr">
        <is>
          <t>Código fuente</t>
        </is>
      </c>
      <c r="R2246" s="18" t="inlineStr">
        <is>
          <t>Fecha de vencimiento de la etapa que resulta de la prórroga concedida por el auto.</t>
        </is>
      </c>
      <c r="S2246" s="18" t="inlineStr">
        <is>
          <t>Media</t>
        </is>
      </c>
      <c r="T2246" s="18" t="inlineStr">
        <is>
          <t>nombre + columnas vecinas (prorrogaMeses, fechaVencimientoAnterior) (comentario del código desplazado: corresponde a otra columna)</t>
        </is>
      </c>
      <c r="U2246" s="18" t="inlineStr">
        <is>
          <t>¿Se llena solo en autos de tipo AUTO_PRORROGA?</t>
        </is>
      </c>
      <c r="V2246" s="19" t="inlineStr">
        <is>
          <t>Pendiente</t>
        </is>
      </c>
      <c r="W2246" s="19" t="inlineStr"/>
      <c r="X2246" s="19" t="inlineStr"/>
      <c r="Y2246" s="20" t="n"/>
      <c r="Z2246" s="19" t="inlineStr"/>
      <c r="AA2246" s="18">
        <f>IF(OR(V2246="Aprobada"),R2246,IF(AND(OR(V2246="Aprobada con ajuste",V2246="Rechazada"),W2246&lt;&gt;""),W2246,""))</f>
        <v/>
      </c>
    </row>
    <row r="2247">
      <c r="A2247" s="18" t="inlineStr">
        <is>
          <t>C2246</t>
        </is>
      </c>
      <c r="B2247" s="18" t="inlineStr">
        <is>
          <t>Control disciplinario interno</t>
        </is>
      </c>
      <c r="C2247" s="18" t="inlineStr">
        <is>
          <t>internal_disciplinary_control</t>
        </is>
      </c>
      <c r="D2247" s="18" t="inlineStr">
        <is>
          <t>legal_autos</t>
        </is>
      </c>
      <c r="E2247" s="18" t="n">
        <v>218</v>
      </c>
      <c r="F2247" s="18" t="inlineStr">
        <is>
          <t>autoConfigurationId</t>
        </is>
      </c>
      <c r="G2247" s="18" t="inlineStr">
        <is>
          <t>uuid</t>
        </is>
      </c>
      <c r="H2247" s="18" t="inlineStr">
        <is>
          <t>Sí</t>
        </is>
      </c>
      <c r="I2247" s="18" t="inlineStr"/>
      <c r="J2247" s="18" t="inlineStr"/>
      <c r="K2247" s="18" t="inlineStr"/>
      <c r="L2247" s="18" t="inlineStr">
        <is>
          <t>No</t>
        </is>
      </c>
      <c r="M2247" s="18" t="inlineStr">
        <is>
          <t>No</t>
        </is>
      </c>
      <c r="N2247" s="18" t="inlineStr"/>
      <c r="O2247" s="18" t="inlineStr">
        <is>
          <t>idx_legal_autos_auto_configuration_id</t>
        </is>
      </c>
      <c r="P2247" s="18" t="inlineStr">
        <is>
          <t>internal-disciplinary-control-service/src/entities/legal-auto.entity.ts:86: Plantilla exacta (autos_configuration.id) usada al crear el auto | Validación: IsOptional, IsString</t>
        </is>
      </c>
      <c r="Q2247" s="18" t="inlineStr">
        <is>
          <t>Código fuente</t>
        </is>
      </c>
      <c r="R2247" s="18" t="inlineStr">
        <is>
          <t>Identificador de la plantilla exacta (autos_configuration.id) usada al crear el auto.</t>
        </is>
      </c>
      <c r="S2247" s="18" t="inlineStr">
        <is>
          <t>Alta</t>
        </is>
      </c>
      <c r="T2247" s="18" t="inlineStr">
        <is>
          <t>código: legal-auto.entity.ts:86</t>
        </is>
      </c>
      <c r="U2247" s="18" t="inlineStr"/>
      <c r="V2247" s="19" t="inlineStr">
        <is>
          <t>Pendiente</t>
        </is>
      </c>
      <c r="W2247" s="19" t="inlineStr"/>
      <c r="X2247" s="19" t="inlineStr"/>
      <c r="Y2247" s="20" t="n"/>
      <c r="Z2247" s="19" t="inlineStr"/>
      <c r="AA2247" s="18">
        <f>IF(OR(V2247="Aprobada"),R2247,IF(AND(OR(V2247="Aprobada con ajuste",V2247="Rechazada"),W2247&lt;&gt;""),W2247,""))</f>
        <v/>
      </c>
    </row>
    <row r="2248">
      <c r="A2248" s="18" t="inlineStr">
        <is>
          <t>C2247</t>
        </is>
      </c>
      <c r="B2248" s="18" t="inlineStr">
        <is>
          <t>Control disciplinario interno</t>
        </is>
      </c>
      <c r="C2248" s="18" t="inlineStr">
        <is>
          <t>internal_disciplinary_control</t>
        </is>
      </c>
      <c r="D2248" s="18" t="inlineStr">
        <is>
          <t>legal_autos</t>
        </is>
      </c>
      <c r="E2248" s="18" t="n">
        <v>218</v>
      </c>
      <c r="F2248" s="18" t="inlineStr">
        <is>
          <t>etapaPreviaAprobacion</t>
        </is>
      </c>
      <c r="G2248" s="18" t="inlineStr">
        <is>
          <t>character varying(100)</t>
        </is>
      </c>
      <c r="H2248" s="18" t="inlineStr">
        <is>
          <t>Sí</t>
        </is>
      </c>
      <c r="I2248" s="18" t="inlineStr"/>
      <c r="J2248" s="18" t="inlineStr"/>
      <c r="K2248" s="18" t="inlineStr"/>
      <c r="L2248" s="18" t="inlineStr">
        <is>
          <t>No</t>
        </is>
      </c>
      <c r="M2248" s="18" t="inlineStr">
        <is>
          <t>No</t>
        </is>
      </c>
      <c r="N2248" s="18" t="inlineStr"/>
      <c r="O2248" s="18" t="inlineStr"/>
      <c r="P2248" s="18" t="inlineStr">
        <is>
          <t>internal-disciplinary-control-service/src/entities/legal-auto.entity.ts:126: EFDS-1564: etapa en la que estaba el proceso justo antes de aprobar este auto. Solo se guarda si la aprobacion efectivamente cambio la etapa; sirve para que "Reversar aprobacion" devuelva el proceso a esa etapa.</t>
        </is>
      </c>
      <c r="Q2248" s="18" t="inlineStr">
        <is>
          <t>Código fuente</t>
        </is>
      </c>
      <c r="R2248" s="18" t="inlineStr">
        <is>
          <t>Etapa en la que estaba el proceso justo antes de aprobar el auto; solo se guarda si la aprobación cambió la etapa, y permite que «Reversar aprobación» devuelva el proceso a esa etapa (EFDS-1564).</t>
        </is>
      </c>
      <c r="S2248" s="18" t="inlineStr">
        <is>
          <t>Alta</t>
        </is>
      </c>
      <c r="T2248" s="18" t="inlineStr">
        <is>
          <t>código: internal-disciplinary-control-service/src/entities/legal-auto.entity.ts:126</t>
        </is>
      </c>
      <c r="U2248" s="18" t="inlineStr"/>
      <c r="V2248" s="19" t="inlineStr">
        <is>
          <t>Pendiente</t>
        </is>
      </c>
      <c r="W2248" s="19" t="inlineStr"/>
      <c r="X2248" s="19" t="inlineStr"/>
      <c r="Y2248" s="20" t="n"/>
      <c r="Z2248" s="19" t="inlineStr"/>
      <c r="AA2248" s="18">
        <f>IF(OR(V2248="Aprobada"),R2248,IF(AND(OR(V2248="Aprobada con ajuste",V2248="Rechazada"),W2248&lt;&gt;""),W2248,""))</f>
        <v/>
      </c>
    </row>
    <row r="2249">
      <c r="A2249" s="18" t="inlineStr">
        <is>
          <t>C2248</t>
        </is>
      </c>
      <c r="B2249" s="18" t="inlineStr">
        <is>
          <t>Control disciplinario interno</t>
        </is>
      </c>
      <c r="C2249" s="18" t="inlineStr">
        <is>
          <t>internal_disciplinary_control</t>
        </is>
      </c>
      <c r="D2249" s="18" t="inlineStr">
        <is>
          <t>legal_autos</t>
        </is>
      </c>
      <c r="E2249" s="18" t="n">
        <v>218</v>
      </c>
      <c r="F2249" s="18" t="inlineStr">
        <is>
          <t>rejectionDocumentUrl</t>
        </is>
      </c>
      <c r="G2249" s="18" t="inlineStr">
        <is>
          <t>text</t>
        </is>
      </c>
      <c r="H2249" s="18" t="inlineStr">
        <is>
          <t>Sí</t>
        </is>
      </c>
      <c r="I2249" s="18" t="inlineStr"/>
      <c r="J2249" s="18" t="inlineStr"/>
      <c r="K2249" s="18" t="inlineStr"/>
      <c r="L2249" s="18" t="inlineStr">
        <is>
          <t>No</t>
        </is>
      </c>
      <c r="M2249" s="18" t="inlineStr">
        <is>
          <t>No</t>
        </is>
      </c>
      <c r="N2249" s="18" t="inlineStr"/>
      <c r="O2249" s="18" t="inlineStr"/>
      <c r="P2249" s="18" t="inlineStr">
        <is>
          <t>internal-disciplinary-control-service/src/entities/legal-auto.entity.ts:138: Documento de soporte adjuntado por el Jefe al devolver el auto</t>
        </is>
      </c>
      <c r="Q2249" s="18" t="inlineStr">
        <is>
          <t>Código fuente</t>
        </is>
      </c>
      <c r="R2249" s="18" t="inlineStr">
        <is>
          <t>URL del documento de soporte que adjunta el jefe al devolver el auto.</t>
        </is>
      </c>
      <c r="S2249" s="18" t="inlineStr">
        <is>
          <t>Alta</t>
        </is>
      </c>
      <c r="T2249" s="18" t="inlineStr">
        <is>
          <t>código: legal-auto.entity.ts:138</t>
        </is>
      </c>
      <c r="U2249" s="18" t="inlineStr"/>
      <c r="V2249" s="19" t="inlineStr">
        <is>
          <t>Pendiente</t>
        </is>
      </c>
      <c r="W2249" s="19" t="inlineStr"/>
      <c r="X2249" s="19" t="inlineStr"/>
      <c r="Y2249" s="20" t="n"/>
      <c r="Z2249" s="19" t="inlineStr"/>
      <c r="AA2249" s="18">
        <f>IF(OR(V2249="Aprobada"),R2249,IF(AND(OR(V2249="Aprobada con ajuste",V2249="Rechazada"),W2249&lt;&gt;""),W2249,""))</f>
        <v/>
      </c>
    </row>
    <row r="2250">
      <c r="A2250" s="18" t="inlineStr">
        <is>
          <t>C2249</t>
        </is>
      </c>
      <c r="B2250" s="18" t="inlineStr">
        <is>
          <t>Control disciplinario interno</t>
        </is>
      </c>
      <c r="C2250" s="18" t="inlineStr">
        <is>
          <t>internal_disciplinary_control</t>
        </is>
      </c>
      <c r="D2250" s="18" t="inlineStr">
        <is>
          <t>legal_autos</t>
        </is>
      </c>
      <c r="E2250" s="18" t="n">
        <v>218</v>
      </c>
      <c r="F2250" s="18" t="inlineStr">
        <is>
          <t>rejectionDocumentName</t>
        </is>
      </c>
      <c r="G2250" s="18" t="inlineStr">
        <is>
          <t>text</t>
        </is>
      </c>
      <c r="H2250" s="18" t="inlineStr">
        <is>
          <t>Sí</t>
        </is>
      </c>
      <c r="I2250" s="18" t="inlineStr"/>
      <c r="J2250" s="18" t="inlineStr"/>
      <c r="K2250" s="18" t="inlineStr"/>
      <c r="L2250" s="18" t="inlineStr">
        <is>
          <t>No</t>
        </is>
      </c>
      <c r="M2250" s="18" t="inlineStr">
        <is>
          <t>No</t>
        </is>
      </c>
      <c r="N2250" s="18" t="inlineStr"/>
      <c r="O2250" s="18" t="inlineStr"/>
      <c r="P2250" s="18" t="inlineStr">
        <is>
          <t>Mapeada en internal-disciplinary-control-service/src/entities/legal-auto.entity.ts:141 (LegalAuto.rejectionDocumentName)</t>
        </is>
      </c>
      <c r="Q2250" s="18" t="inlineStr">
        <is>
          <t>Propuesta semántica</t>
        </is>
      </c>
      <c r="R2250" s="18" t="inlineStr">
        <is>
          <t>Nombre del documento de soporte adjuntado al devolver el auto.</t>
        </is>
      </c>
      <c r="S2250" s="18" t="inlineStr">
        <is>
          <t>Media</t>
        </is>
      </c>
      <c r="T2250" s="18" t="inlineStr">
        <is>
          <t>nombre + columna vecina rejectionDocumentUrl</t>
        </is>
      </c>
      <c r="U2250" s="18" t="inlineStr">
        <is>
          <t>¿Es el nombre original del archivo cargado?</t>
        </is>
      </c>
      <c r="V2250" s="19" t="inlineStr">
        <is>
          <t>Pendiente</t>
        </is>
      </c>
      <c r="W2250" s="19" t="inlineStr"/>
      <c r="X2250" s="19" t="inlineStr"/>
      <c r="Y2250" s="20" t="n"/>
      <c r="Z2250" s="19" t="inlineStr"/>
      <c r="AA2250" s="18">
        <f>IF(OR(V2250="Aprobada"),R2250,IF(AND(OR(V2250="Aprobada con ajuste",V2250="Rechazada"),W2250&lt;&gt;""),W2250,""))</f>
        <v/>
      </c>
    </row>
    <row r="2251">
      <c r="A2251" s="18" t="inlineStr">
        <is>
          <t>C2250</t>
        </is>
      </c>
      <c r="B2251" s="18" t="inlineStr">
        <is>
          <t>Control disciplinario interno</t>
        </is>
      </c>
      <c r="C2251" s="18" t="inlineStr">
        <is>
          <t>internal_disciplinary_control</t>
        </is>
      </c>
      <c r="D2251" s="18" t="inlineStr">
        <is>
          <t>legal_autos</t>
        </is>
      </c>
      <c r="E2251" s="18" t="n">
        <v>218</v>
      </c>
      <c r="F2251" s="18" t="inlineStr">
        <is>
          <t>entidad_destino</t>
        </is>
      </c>
      <c r="G2251" s="18" t="inlineStr">
        <is>
          <t>character varying(255)</t>
        </is>
      </c>
      <c r="H2251" s="18" t="inlineStr">
        <is>
          <t>Sí</t>
        </is>
      </c>
      <c r="I2251" s="18" t="inlineStr"/>
      <c r="J2251" s="18" t="inlineStr"/>
      <c r="K2251" s="18" t="inlineStr"/>
      <c r="L2251" s="18" t="inlineStr">
        <is>
          <t>No</t>
        </is>
      </c>
      <c r="M2251" s="18" t="inlineStr">
        <is>
          <t>No</t>
        </is>
      </c>
      <c r="N2251" s="18" t="inlineStr"/>
      <c r="O2251" s="18" t="inlineStr"/>
      <c r="P2251" s="18" t="inlineStr">
        <is>
          <t>Mapeada en internal-disciplinary-control-service/src/entities/legal-auto.entity.ts:159 (LegalAuto.entidadDestino) | Validación: IsNotEmpty, IsOptional, IsString</t>
        </is>
      </c>
      <c r="Q2251" s="18" t="inlineStr">
        <is>
          <t>Propuesta semántica</t>
        </is>
      </c>
      <c r="R2251" s="18" t="inlineStr">
        <is>
          <t>Entidad destino del auto.</t>
        </is>
      </c>
      <c r="S2251" s="18" t="inlineStr">
        <is>
          <t>Media</t>
        </is>
      </c>
      <c r="T2251" s="18" t="inlineStr">
        <is>
          <t>nombre + columna vecina entidad_destino_email</t>
        </is>
      </c>
      <c r="U2251" s="18" t="inlineStr">
        <is>
          <t>¿Es la entidad a la que se dirige o remite el auto y en qué tipos de auto se llena?</t>
        </is>
      </c>
      <c r="V2251" s="19" t="inlineStr">
        <is>
          <t>Pendiente</t>
        </is>
      </c>
      <c r="W2251" s="19" t="inlineStr"/>
      <c r="X2251" s="19" t="inlineStr"/>
      <c r="Y2251" s="20" t="n"/>
      <c r="Z2251" s="19" t="inlineStr"/>
      <c r="AA2251" s="18">
        <f>IF(OR(V2251="Aprobada"),R2251,IF(AND(OR(V2251="Aprobada con ajuste",V2251="Rechazada"),W2251&lt;&gt;""),W2251,""))</f>
        <v/>
      </c>
    </row>
    <row r="2252">
      <c r="A2252" s="18" t="inlineStr">
        <is>
          <t>C2251</t>
        </is>
      </c>
      <c r="B2252" s="18" t="inlineStr">
        <is>
          <t>Control disciplinario interno</t>
        </is>
      </c>
      <c r="C2252" s="18" t="inlineStr">
        <is>
          <t>internal_disciplinary_control</t>
        </is>
      </c>
      <c r="D2252" s="18" t="inlineStr">
        <is>
          <t>legal_autos</t>
        </is>
      </c>
      <c r="E2252" s="18" t="n">
        <v>218</v>
      </c>
      <c r="F2252" s="18" t="inlineStr">
        <is>
          <t>entidad_destino_email</t>
        </is>
      </c>
      <c r="G2252" s="18" t="inlineStr">
        <is>
          <t>character varying(255)</t>
        </is>
      </c>
      <c r="H2252" s="18" t="inlineStr">
        <is>
          <t>Sí</t>
        </is>
      </c>
      <c r="I2252" s="18" t="inlineStr"/>
      <c r="J2252" s="18" t="inlineStr"/>
      <c r="K2252" s="18" t="inlineStr"/>
      <c r="L2252" s="18" t="inlineStr">
        <is>
          <t>No</t>
        </is>
      </c>
      <c r="M2252" s="18" t="inlineStr">
        <is>
          <t>No</t>
        </is>
      </c>
      <c r="N2252" s="18" t="inlineStr"/>
      <c r="O2252" s="18" t="inlineStr"/>
      <c r="P2252" s="18" t="inlineStr">
        <is>
          <t>Mapeada en internal-disciplinary-control-service/src/entities/legal-auto.entity.ts:162 (LegalAuto.entidadDestinoEmail) | Validación: IsOptional, IsString</t>
        </is>
      </c>
      <c r="Q2252" s="18" t="inlineStr">
        <is>
          <t>Propuesta semántica</t>
        </is>
      </c>
      <c r="R2252" s="18" t="inlineStr">
        <is>
          <t>Correo electrónico de la entidad destino del auto.</t>
        </is>
      </c>
      <c r="S2252" s="18" t="inlineStr">
        <is>
          <t>Alta</t>
        </is>
      </c>
      <c r="T2252" s="18" t="inlineStr">
        <is>
          <t>nombre + tipo + columnas vecinas (entidad_destino)</t>
        </is>
      </c>
      <c r="U2252" s="18" t="inlineStr"/>
      <c r="V2252" s="19" t="inlineStr">
        <is>
          <t>Pendiente</t>
        </is>
      </c>
      <c r="W2252" s="19" t="inlineStr"/>
      <c r="X2252" s="19" t="inlineStr"/>
      <c r="Y2252" s="20" t="n"/>
      <c r="Z2252" s="19" t="inlineStr"/>
      <c r="AA2252" s="18">
        <f>IF(OR(V2252="Aprobada"),R2252,IF(AND(OR(V2252="Aprobada con ajuste",V2252="Rechazada"),W2252&lt;&gt;""),W2252,""))</f>
        <v/>
      </c>
    </row>
    <row r="2253">
      <c r="A2253" s="18" t="inlineStr">
        <is>
          <t>C2252</t>
        </is>
      </c>
      <c r="B2253" s="18" t="inlineStr">
        <is>
          <t>Control disciplinario interno</t>
        </is>
      </c>
      <c r="C2253" s="18" t="inlineStr">
        <is>
          <t>internal_disciplinary_control</t>
        </is>
      </c>
      <c r="D2253" s="18" t="inlineStr">
        <is>
          <t>oficios_configuration</t>
        </is>
      </c>
      <c r="E2253" s="18" t="n">
        <v>14</v>
      </c>
      <c r="F2253" s="18" t="inlineStr">
        <is>
          <t>tipo</t>
        </is>
      </c>
      <c r="G2253" s="18" t="inlineStr">
        <is>
          <t>character varying(100)</t>
        </is>
      </c>
      <c r="H2253" s="18" t="inlineStr">
        <is>
          <t>No</t>
        </is>
      </c>
      <c r="I2253" s="18" t="inlineStr">
        <is>
          <t>Única</t>
        </is>
      </c>
      <c r="J2253" s="18" t="inlineStr"/>
      <c r="K2253" s="18" t="inlineStr"/>
      <c r="L2253" s="18" t="inlineStr">
        <is>
          <t>No</t>
        </is>
      </c>
      <c r="M2253" s="18" t="inlineStr">
        <is>
          <t>No</t>
        </is>
      </c>
      <c r="N2253" s="18" t="inlineStr"/>
      <c r="O2253" s="18" t="inlineStr">
        <is>
          <t>idx_oficios_configuration_tipo, oficios_configuration_tipo_key</t>
        </is>
      </c>
      <c r="P2253" s="18" t="inlineStr">
        <is>
          <t>Mapeada en internal-disciplinary-control-service/src/entities/oficio-configuration.entity.ts:14 (OficioConfiguration.tipo) | Validación: IsEnum(TipoAlerta), IsEnum(TipoFestivo), IsNotEmpty, IsOptional, IsString, MaxLength(50)</t>
        </is>
      </c>
      <c r="Q2253" s="18" t="inlineStr">
        <is>
          <t>Regla estructural</t>
        </is>
      </c>
      <c r="R2253" s="18" t="inlineStr">
        <is>
          <t>Tipo del registro de oficios_configuration.</t>
        </is>
      </c>
      <c r="S2253" s="18" t="inlineStr">
        <is>
          <t>Media</t>
        </is>
      </c>
      <c r="T2253" s="18" t="inlineStr">
        <is>
          <t>Convención de nombre de la columna.</t>
        </is>
      </c>
      <c r="U2253" s="18" t="inlineStr"/>
      <c r="V2253" s="19" t="inlineStr">
        <is>
          <t>Pendiente</t>
        </is>
      </c>
      <c r="W2253" s="19" t="inlineStr"/>
      <c r="X2253" s="19" t="inlineStr"/>
      <c r="Y2253" s="20" t="n"/>
      <c r="Z2253" s="19" t="inlineStr"/>
      <c r="AA2253" s="18">
        <f>IF(OR(V2253="Aprobada"),R2253,IF(AND(OR(V2253="Aprobada con ajuste",V2253="Rechazada"),W2253&lt;&gt;""),W2253,""))</f>
        <v/>
      </c>
    </row>
    <row r="2254">
      <c r="A2254" s="18" t="inlineStr">
        <is>
          <t>C2253</t>
        </is>
      </c>
      <c r="B2254" s="18" t="inlineStr">
        <is>
          <t>Control disciplinario interno</t>
        </is>
      </c>
      <c r="C2254" s="18" t="inlineStr">
        <is>
          <t>internal_disciplinary_control</t>
        </is>
      </c>
      <c r="D2254" s="18" t="inlineStr">
        <is>
          <t>oficios_configuration</t>
        </is>
      </c>
      <c r="E2254" s="18" t="n">
        <v>14</v>
      </c>
      <c r="F2254" s="18" t="inlineStr">
        <is>
          <t>nombre</t>
        </is>
      </c>
      <c r="G2254" s="18" t="inlineStr">
        <is>
          <t>character varying(200)</t>
        </is>
      </c>
      <c r="H2254" s="18" t="inlineStr">
        <is>
          <t>No</t>
        </is>
      </c>
      <c r="I2254" s="18" t="inlineStr"/>
      <c r="J2254" s="18" t="inlineStr"/>
      <c r="K2254" s="18" t="inlineStr"/>
      <c r="L2254" s="18" t="inlineStr">
        <is>
          <t>No</t>
        </is>
      </c>
      <c r="M2254" s="18" t="inlineStr">
        <is>
          <t>No</t>
        </is>
      </c>
      <c r="N2254" s="18" t="inlineStr"/>
      <c r="O2254" s="18" t="inlineStr"/>
      <c r="P2254" s="18" t="inlineStr">
        <is>
          <t>Mapeada en internal-disciplinary-control-service/src/entities/oficio-configuration.entity.ts:17 (OficioConfiguration.nombre) | Validación: IsNotEmpty, IsOptional, IsString, MaxLength(255)</t>
        </is>
      </c>
      <c r="Q2254" s="18" t="inlineStr">
        <is>
          <t>Regla estructural</t>
        </is>
      </c>
      <c r="R2254" s="18" t="inlineStr">
        <is>
          <t>Nombre del registro de oficios_configuration.</t>
        </is>
      </c>
      <c r="S2254" s="18" t="inlineStr">
        <is>
          <t>Media</t>
        </is>
      </c>
      <c r="T2254" s="18" t="inlineStr">
        <is>
          <t>Convención de nombre de la columna.</t>
        </is>
      </c>
      <c r="U2254" s="18" t="inlineStr"/>
      <c r="V2254" s="19" t="inlineStr">
        <is>
          <t>Pendiente</t>
        </is>
      </c>
      <c r="W2254" s="19" t="inlineStr"/>
      <c r="X2254" s="19" t="inlineStr"/>
      <c r="Y2254" s="20" t="n"/>
      <c r="Z2254" s="19" t="inlineStr"/>
      <c r="AA2254" s="18">
        <f>IF(OR(V2254="Aprobada"),R2254,IF(AND(OR(V2254="Aprobada con ajuste",V2254="Rechazada"),W2254&lt;&gt;""),W2254,""))</f>
        <v/>
      </c>
    </row>
    <row r="2255">
      <c r="A2255" s="18" t="inlineStr">
        <is>
          <t>C2254</t>
        </is>
      </c>
      <c r="B2255" s="18" t="inlineStr">
        <is>
          <t>Control disciplinario interno</t>
        </is>
      </c>
      <c r="C2255" s="18" t="inlineStr">
        <is>
          <t>internal_disciplinary_control</t>
        </is>
      </c>
      <c r="D2255" s="18" t="inlineStr">
        <is>
          <t>oficios_configuration</t>
        </is>
      </c>
      <c r="E2255" s="18" t="n">
        <v>14</v>
      </c>
      <c r="F2255" s="18" t="inlineStr">
        <is>
          <t>codigo</t>
        </is>
      </c>
      <c r="G2255" s="18" t="inlineStr">
        <is>
          <t>character varying(50)</t>
        </is>
      </c>
      <c r="H2255" s="18" t="inlineStr">
        <is>
          <t>Sí</t>
        </is>
      </c>
      <c r="I2255" s="18" t="inlineStr"/>
      <c r="J2255" s="18" t="inlineStr"/>
      <c r="K2255" s="18" t="inlineStr"/>
      <c r="L2255" s="18" t="inlineStr">
        <is>
          <t>No</t>
        </is>
      </c>
      <c r="M2255" s="18" t="inlineStr">
        <is>
          <t>No</t>
        </is>
      </c>
      <c r="N2255" s="18" t="inlineStr"/>
      <c r="O2255" s="18" t="inlineStr"/>
      <c r="P2255" s="18" t="inlineStr">
        <is>
          <t>Mapeada en internal-disciplinary-control-service/src/entities/oficio-configuration.entity.ts:23 (OficioConfiguration.codigo) | Validación: IsNotEmpty, IsOptional, IsString, MaxLength(100), MaxLength(50)</t>
        </is>
      </c>
      <c r="Q2255" s="18" t="inlineStr">
        <is>
          <t>Regla estructural</t>
        </is>
      </c>
      <c r="R2255" s="18" t="inlineStr">
        <is>
          <t>Código del registro de oficios_configuration.</t>
        </is>
      </c>
      <c r="S2255" s="18" t="inlineStr">
        <is>
          <t>Media</t>
        </is>
      </c>
      <c r="T2255" s="18" t="inlineStr">
        <is>
          <t>Convención de nombre de la columna.</t>
        </is>
      </c>
      <c r="U2255" s="18" t="inlineStr"/>
      <c r="V2255" s="19" t="inlineStr">
        <is>
          <t>Pendiente</t>
        </is>
      </c>
      <c r="W2255" s="19" t="inlineStr"/>
      <c r="X2255" s="19" t="inlineStr"/>
      <c r="Y2255" s="20" t="n"/>
      <c r="Z2255" s="19" t="inlineStr"/>
      <c r="AA2255" s="18">
        <f>IF(OR(V2255="Aprobada"),R2255,IF(AND(OR(V2255="Aprobada con ajuste",V2255="Rechazada"),W2255&lt;&gt;""),W2255,""))</f>
        <v/>
      </c>
    </row>
    <row r="2256">
      <c r="A2256" s="18" t="inlineStr">
        <is>
          <t>C2255</t>
        </is>
      </c>
      <c r="B2256" s="18" t="inlineStr">
        <is>
          <t>Control disciplinario interno</t>
        </is>
      </c>
      <c r="C2256" s="18" t="inlineStr">
        <is>
          <t>internal_disciplinary_control</t>
        </is>
      </c>
      <c r="D2256" s="18" t="inlineStr">
        <is>
          <t>oficios_configuration</t>
        </is>
      </c>
      <c r="E2256" s="18" t="n">
        <v>14</v>
      </c>
      <c r="F2256" s="18" t="inlineStr">
        <is>
          <t>descripcion</t>
        </is>
      </c>
      <c r="G2256" s="18" t="inlineStr">
        <is>
          <t>text</t>
        </is>
      </c>
      <c r="H2256" s="18" t="inlineStr">
        <is>
          <t>Sí</t>
        </is>
      </c>
      <c r="I2256" s="18" t="inlineStr"/>
      <c r="J2256" s="18" t="inlineStr"/>
      <c r="K2256" s="18" t="inlineStr"/>
      <c r="L2256" s="18" t="inlineStr">
        <is>
          <t>No</t>
        </is>
      </c>
      <c r="M2256" s="18" t="inlineStr">
        <is>
          <t>No</t>
        </is>
      </c>
      <c r="N2256" s="18" t="inlineStr"/>
      <c r="O2256" s="18" t="inlineStr"/>
      <c r="P2256" s="18" t="inlineStr">
        <is>
          <t>Mapeada en internal-disciplinary-control-service/src/entities/oficio-configuration.entity.ts:26 (OficioConfiguration.descripcion) | Validación: IsNotEmpty, IsObject, IsOptional, IsString</t>
        </is>
      </c>
      <c r="Q2256" s="18" t="inlineStr">
        <is>
          <t>Regla estructural</t>
        </is>
      </c>
      <c r="R2256" s="18" t="inlineStr">
        <is>
          <t>Descripción del registro de oficios_configuration.</t>
        </is>
      </c>
      <c r="S2256" s="18" t="inlineStr">
        <is>
          <t>Media</t>
        </is>
      </c>
      <c r="T2256" s="18" t="inlineStr">
        <is>
          <t>Convención de nombre de la columna.</t>
        </is>
      </c>
      <c r="U2256" s="18" t="inlineStr"/>
      <c r="V2256" s="19" t="inlineStr">
        <is>
          <t>Pendiente</t>
        </is>
      </c>
      <c r="W2256" s="19" t="inlineStr"/>
      <c r="X2256" s="19" t="inlineStr"/>
      <c r="Y2256" s="20" t="n"/>
      <c r="Z2256" s="19" t="inlineStr"/>
      <c r="AA2256" s="18">
        <f>IF(OR(V2256="Aprobada"),R2256,IF(AND(OR(V2256="Aprobada con ajuste",V2256="Rechazada"),W2256&lt;&gt;""),W2256,""))</f>
        <v/>
      </c>
    </row>
    <row r="2257">
      <c r="A2257" s="18" t="inlineStr">
        <is>
          <t>C2256</t>
        </is>
      </c>
      <c r="B2257" s="18" t="inlineStr">
        <is>
          <t>Control disciplinario interno</t>
        </is>
      </c>
      <c r="C2257" s="18" t="inlineStr">
        <is>
          <t>internal_disciplinary_control</t>
        </is>
      </c>
      <c r="D2257" s="18" t="inlineStr">
        <is>
          <t>oficios_configuration</t>
        </is>
      </c>
      <c r="E2257" s="18" t="n">
        <v>14</v>
      </c>
      <c r="F2257" s="18" t="inlineStr">
        <is>
          <t>estado</t>
        </is>
      </c>
      <c r="G2257" s="18" t="inlineStr">
        <is>
          <t>character varying(50)</t>
        </is>
      </c>
      <c r="H2257" s="18" t="inlineStr">
        <is>
          <t>No</t>
        </is>
      </c>
      <c r="I2257" s="18" t="inlineStr"/>
      <c r="J2257" s="18" t="inlineStr"/>
      <c r="K2257" s="18" t="inlineStr"/>
      <c r="L2257" s="18" t="inlineStr">
        <is>
          <t>No</t>
        </is>
      </c>
      <c r="M2257" s="18" t="inlineStr">
        <is>
          <t>No</t>
        </is>
      </c>
      <c r="N2257" s="18" t="inlineStr"/>
      <c r="O2257" s="18" t="inlineStr">
        <is>
          <t>idx_oficios_configuration_estado</t>
        </is>
      </c>
      <c r="P2257" s="18" t="inlineStr">
        <is>
          <t>Mapeada en internal-disciplinary-control-service/src/entities/oficio-configuration.entity.ts:20 (OficioConfiguration.estado) | Validación: IsBoolean, IsEnum(AutoStatus), IsEnum(EstadoAlerta), IsEnum(TerminoEstado), IsIn(['activo', 'inactivo']), IsOptional</t>
        </is>
      </c>
      <c r="Q2257" s="18" t="inlineStr">
        <is>
          <t>Regla estructural</t>
        </is>
      </c>
      <c r="R2257" s="18" t="inlineStr">
        <is>
          <t>Estado del registro de oficios_configuration.</t>
        </is>
      </c>
      <c r="S2257" s="18" t="inlineStr">
        <is>
          <t>Media</t>
        </is>
      </c>
      <c r="T2257" s="18" t="inlineStr">
        <is>
          <t>Convención de nombre de la columna.</t>
        </is>
      </c>
      <c r="U2257" s="18" t="inlineStr"/>
      <c r="V2257" s="19" t="inlineStr">
        <is>
          <t>Pendiente</t>
        </is>
      </c>
      <c r="W2257" s="19" t="inlineStr"/>
      <c r="X2257" s="19" t="inlineStr"/>
      <c r="Y2257" s="20" t="n"/>
      <c r="Z2257" s="19" t="inlineStr"/>
      <c r="AA2257" s="18">
        <f>IF(OR(V2257="Aprobada"),R2257,IF(AND(OR(V2257="Aprobada con ajuste",V2257="Rechazada"),W2257&lt;&gt;""),W2257,""))</f>
        <v/>
      </c>
    </row>
    <row r="2258">
      <c r="A2258" s="18" t="inlineStr">
        <is>
          <t>C2257</t>
        </is>
      </c>
      <c r="B2258" s="18" t="inlineStr">
        <is>
          <t>Control disciplinario interno</t>
        </is>
      </c>
      <c r="C2258" s="18" t="inlineStr">
        <is>
          <t>internal_disciplinary_control</t>
        </is>
      </c>
      <c r="D2258" s="18" t="inlineStr">
        <is>
          <t>oficios_configuration</t>
        </is>
      </c>
      <c r="E2258" s="18" t="n">
        <v>14</v>
      </c>
      <c r="F2258" s="18" t="inlineStr">
        <is>
          <t>plantilla</t>
        </is>
      </c>
      <c r="G2258" s="18" t="inlineStr">
        <is>
          <t>text</t>
        </is>
      </c>
      <c r="H2258" s="18" t="inlineStr">
        <is>
          <t>Sí</t>
        </is>
      </c>
      <c r="I2258" s="18" t="inlineStr"/>
      <c r="J2258" s="18" t="inlineStr"/>
      <c r="K2258" s="18" t="inlineStr"/>
      <c r="L2258" s="18" t="inlineStr">
        <is>
          <t>No</t>
        </is>
      </c>
      <c r="M2258" s="18" t="inlineStr">
        <is>
          <t>No</t>
        </is>
      </c>
      <c r="N2258" s="18" t="inlineStr"/>
      <c r="O2258" s="18" t="inlineStr"/>
      <c r="P2258" s="18" t="inlineStr">
        <is>
          <t>Mapeada en internal-disciplinary-control-service/src/entities/oficio-configuration.entity.ts:29 (OficioConfiguration.plantilla) | Validación: IsOptional, IsString</t>
        </is>
      </c>
      <c r="Q2258" s="18" t="inlineStr">
        <is>
          <t>Propuesta semántica</t>
        </is>
      </c>
      <c r="R2258" s="18" t="inlineStr">
        <is>
          <t>Contenido de la plantilla del oficio.</t>
        </is>
      </c>
      <c r="S2258" s="18" t="inlineStr">
        <is>
          <t>Media</t>
        </is>
      </c>
      <c r="T2258" s="18" t="inlineStr">
        <is>
          <t>nombre + tipo + columnas vecinas</t>
        </is>
      </c>
      <c r="U2258" s="18" t="inlineStr">
        <is>
          <t>¿El contenido de la plantilla se guarda en HTML?</t>
        </is>
      </c>
      <c r="V2258" s="19" t="inlineStr">
        <is>
          <t>Pendiente</t>
        </is>
      </c>
      <c r="W2258" s="19" t="inlineStr"/>
      <c r="X2258" s="19" t="inlineStr"/>
      <c r="Y2258" s="20" t="n"/>
      <c r="Z2258" s="19" t="inlineStr"/>
      <c r="AA2258" s="18">
        <f>IF(OR(V2258="Aprobada"),R2258,IF(AND(OR(V2258="Aprobada con ajuste",V2258="Rechazada"),W2258&lt;&gt;""),W2258,""))</f>
        <v/>
      </c>
    </row>
    <row r="2259">
      <c r="A2259" s="18" t="inlineStr">
        <is>
          <t>C2258</t>
        </is>
      </c>
      <c r="B2259" s="18" t="inlineStr">
        <is>
          <t>Control disciplinario interno</t>
        </is>
      </c>
      <c r="C2259" s="18" t="inlineStr">
        <is>
          <t>internal_disciplinary_control</t>
        </is>
      </c>
      <c r="D2259" s="18" t="inlineStr">
        <is>
          <t>oficios_configuration</t>
        </is>
      </c>
      <c r="E2259" s="18" t="n">
        <v>14</v>
      </c>
      <c r="F2259" s="18" t="inlineStr">
        <is>
          <t>nombre_plantilla</t>
        </is>
      </c>
      <c r="G2259" s="18" t="inlineStr">
        <is>
          <t>character varying(255)</t>
        </is>
      </c>
      <c r="H2259" s="18" t="inlineStr">
        <is>
          <t>Sí</t>
        </is>
      </c>
      <c r="I2259" s="18" t="inlineStr"/>
      <c r="J2259" s="18" t="inlineStr"/>
      <c r="K2259" s="18" t="inlineStr"/>
      <c r="L2259" s="18" t="inlineStr">
        <is>
          <t>No</t>
        </is>
      </c>
      <c r="M2259" s="18" t="inlineStr">
        <is>
          <t>No</t>
        </is>
      </c>
      <c r="N2259" s="18" t="inlineStr"/>
      <c r="O2259" s="18" t="inlineStr"/>
      <c r="P2259" s="18" t="inlineStr">
        <is>
          <t>internal-disciplinary-control-service/src/entities/oficio-configuration.entity.ts:33: Nuevos campos para información de la plantilla | Validación: IsOptional, IsString</t>
        </is>
      </c>
      <c r="Q2259" s="18" t="inlineStr">
        <is>
          <t>Código fuente</t>
        </is>
      </c>
      <c r="R2259" s="18" t="inlineStr">
        <is>
          <t>Nombre de la plantilla asociada a la configuración del oficio.</t>
        </is>
      </c>
      <c r="S2259" s="18" t="inlineStr">
        <is>
          <t>Alta</t>
        </is>
      </c>
      <c r="T2259" s="18" t="inlineStr">
        <is>
          <t>código: internal-disciplinary-control-service/src/entities/oficio-configuration.entity.ts:33</t>
        </is>
      </c>
      <c r="U2259" s="18" t="inlineStr"/>
      <c r="V2259" s="19" t="inlineStr">
        <is>
          <t>Pendiente</t>
        </is>
      </c>
      <c r="W2259" s="19" t="inlineStr"/>
      <c r="X2259" s="19" t="inlineStr"/>
      <c r="Y2259" s="20" t="n"/>
      <c r="Z2259" s="19" t="inlineStr"/>
      <c r="AA2259" s="18">
        <f>IF(OR(V2259="Aprobada"),R2259,IF(AND(OR(V2259="Aprobada con ajuste",V2259="Rechazada"),W2259&lt;&gt;""),W2259,""))</f>
        <v/>
      </c>
    </row>
    <row r="2260">
      <c r="A2260" s="18" t="inlineStr">
        <is>
          <t>C2259</t>
        </is>
      </c>
      <c r="B2260" s="18" t="inlineStr">
        <is>
          <t>Control disciplinario interno</t>
        </is>
      </c>
      <c r="C2260" s="18" t="inlineStr">
        <is>
          <t>internal_disciplinary_control</t>
        </is>
      </c>
      <c r="D2260" s="18" t="inlineStr">
        <is>
          <t>oficios_configuration</t>
        </is>
      </c>
      <c r="E2260" s="18" t="n">
        <v>14</v>
      </c>
      <c r="F2260" s="18" t="inlineStr">
        <is>
          <t>descripcion_plantilla</t>
        </is>
      </c>
      <c r="G2260" s="18" t="inlineStr">
        <is>
          <t>text</t>
        </is>
      </c>
      <c r="H2260" s="18" t="inlineStr">
        <is>
          <t>Sí</t>
        </is>
      </c>
      <c r="I2260" s="18" t="inlineStr"/>
      <c r="J2260" s="18" t="inlineStr"/>
      <c r="K2260" s="18" t="inlineStr"/>
      <c r="L2260" s="18" t="inlineStr">
        <is>
          <t>No</t>
        </is>
      </c>
      <c r="M2260" s="18" t="inlineStr">
        <is>
          <t>No</t>
        </is>
      </c>
      <c r="N2260" s="18" t="inlineStr"/>
      <c r="O2260" s="18" t="inlineStr"/>
      <c r="P2260" s="18" t="inlineStr">
        <is>
          <t>Mapeada en internal-disciplinary-control-service/src/entities/oficio-configuration.entity.ts:36 (OficioConfiguration.descripcion_plantilla) | Validación: IsOptional, IsString</t>
        </is>
      </c>
      <c r="Q2260" s="18" t="inlineStr">
        <is>
          <t>Propuesta semántica</t>
        </is>
      </c>
      <c r="R2260" s="18" t="inlineStr">
        <is>
          <t>Descripción de la plantilla del oficio.</t>
        </is>
      </c>
      <c r="S2260" s="18" t="inlineStr">
        <is>
          <t>Alta</t>
        </is>
      </c>
      <c r="T2260" s="18" t="inlineStr">
        <is>
          <t>nombre + tipo + columnas vecinas</t>
        </is>
      </c>
      <c r="U2260" s="18" t="inlineStr"/>
      <c r="V2260" s="19" t="inlineStr">
        <is>
          <t>Pendiente</t>
        </is>
      </c>
      <c r="W2260" s="19" t="inlineStr"/>
      <c r="X2260" s="19" t="inlineStr"/>
      <c r="Y2260" s="20" t="n"/>
      <c r="Z2260" s="19" t="inlineStr"/>
      <c r="AA2260" s="18">
        <f>IF(OR(V2260="Aprobada"),R2260,IF(AND(OR(V2260="Aprobada con ajuste",V2260="Rechazada"),W2260&lt;&gt;""),W2260,""))</f>
        <v/>
      </c>
    </row>
    <row r="2261">
      <c r="A2261" s="18" t="inlineStr">
        <is>
          <t>C2260</t>
        </is>
      </c>
      <c r="B2261" s="18" t="inlineStr">
        <is>
          <t>Control disciplinario interno</t>
        </is>
      </c>
      <c r="C2261" s="18" t="inlineStr">
        <is>
          <t>internal_disciplinary_control</t>
        </is>
      </c>
      <c r="D2261" s="18" t="inlineStr">
        <is>
          <t>oficios_configuration</t>
        </is>
      </c>
      <c r="E2261" s="18" t="n">
        <v>14</v>
      </c>
      <c r="F2261" s="18" t="inlineStr">
        <is>
          <t>version_plantilla</t>
        </is>
      </c>
      <c r="G2261" s="18" t="inlineStr">
        <is>
          <t>character varying(50)</t>
        </is>
      </c>
      <c r="H2261" s="18" t="inlineStr">
        <is>
          <t>Sí</t>
        </is>
      </c>
      <c r="I2261" s="18" t="inlineStr"/>
      <c r="J2261" s="18" t="inlineStr"/>
      <c r="K2261" s="18" t="inlineStr"/>
      <c r="L2261" s="18" t="inlineStr">
        <is>
          <t>No</t>
        </is>
      </c>
      <c r="M2261" s="18" t="inlineStr">
        <is>
          <t>No</t>
        </is>
      </c>
      <c r="N2261" s="18" t="inlineStr"/>
      <c r="O2261" s="18" t="inlineStr"/>
      <c r="P2261" s="18" t="inlineStr">
        <is>
          <t>Mapeada en internal-disciplinary-control-service/src/entities/oficio-configuration.entity.ts:39 (OficioConfiguration.version_plantilla) | Validación: IsOptional, IsString</t>
        </is>
      </c>
      <c r="Q2261" s="18" t="inlineStr">
        <is>
          <t>Propuesta semántica</t>
        </is>
      </c>
      <c r="R2261" s="18" t="inlineStr">
        <is>
          <t>Versión de la plantilla del oficio. Valor por defecto: 1.0.</t>
        </is>
      </c>
      <c r="S2261" s="18" t="inlineStr">
        <is>
          <t>Alta</t>
        </is>
      </c>
      <c r="T2261" s="18" t="inlineStr">
        <is>
          <t>nombre + tipo + columnas vecinas + defecto</t>
        </is>
      </c>
      <c r="U2261" s="18" t="inlineStr"/>
      <c r="V2261" s="19" t="inlineStr">
        <is>
          <t>Pendiente</t>
        </is>
      </c>
      <c r="W2261" s="19" t="inlineStr"/>
      <c r="X2261" s="19" t="inlineStr"/>
      <c r="Y2261" s="20" t="n"/>
      <c r="Z2261" s="19" t="inlineStr"/>
      <c r="AA2261" s="18">
        <f>IF(OR(V2261="Aprobada"),R2261,IF(AND(OR(V2261="Aprobada con ajuste",V2261="Rechazada"),W2261&lt;&gt;""),W2261,""))</f>
        <v/>
      </c>
    </row>
    <row r="2262">
      <c r="A2262" s="18" t="inlineStr">
        <is>
          <t>C2261</t>
        </is>
      </c>
      <c r="B2262" s="18" t="inlineStr">
        <is>
          <t>Control disciplinario interno</t>
        </is>
      </c>
      <c r="C2262" s="18" t="inlineStr">
        <is>
          <t>internal_disciplinary_control</t>
        </is>
      </c>
      <c r="D2262" s="18" t="inlineStr">
        <is>
          <t>oficios_configuration</t>
        </is>
      </c>
      <c r="E2262" s="18" t="n">
        <v>14</v>
      </c>
      <c r="F2262" s="18" t="inlineStr">
        <is>
          <t>estado_plantilla</t>
        </is>
      </c>
      <c r="G2262" s="18" t="inlineStr">
        <is>
          <t>character varying(50)</t>
        </is>
      </c>
      <c r="H2262" s="18" t="inlineStr">
        <is>
          <t>Sí</t>
        </is>
      </c>
      <c r="I2262" s="18" t="inlineStr"/>
      <c r="J2262" s="18" t="inlineStr"/>
      <c r="K2262" s="18" t="inlineStr"/>
      <c r="L2262" s="18" t="inlineStr">
        <is>
          <t>No</t>
        </is>
      </c>
      <c r="M2262" s="18" t="inlineStr">
        <is>
          <t>No</t>
        </is>
      </c>
      <c r="N2262" s="18" t="inlineStr"/>
      <c r="O2262" s="18" t="inlineStr"/>
      <c r="P2262" s="18" t="inlineStr">
        <is>
          <t>Mapeada en internal-disciplinary-control-service/src/entities/oficio-configuration.entity.ts:42 (OficioConfiguration.estado_plantilla) | Validación: IsIn(['activo', 'inactivo']), IsOptional, IsString</t>
        </is>
      </c>
      <c r="Q2262" s="18" t="inlineStr">
        <is>
          <t>Propuesta semántica</t>
        </is>
      </c>
      <c r="R2262" s="18" t="inlineStr">
        <is>
          <t>Estado de la plantilla del oficio. Valores permitidos: activo, inactivo. Valor por defecto: activo.</t>
        </is>
      </c>
      <c r="S2262" s="18" t="inlineStr">
        <is>
          <t>Alta</t>
        </is>
      </c>
      <c r="T2262" s="18" t="inlineStr">
        <is>
          <t>validación IsIn + defecto</t>
        </is>
      </c>
      <c r="U2262" s="18" t="inlineStr"/>
      <c r="V2262" s="19" t="inlineStr">
        <is>
          <t>Pendiente</t>
        </is>
      </c>
      <c r="W2262" s="19" t="inlineStr"/>
      <c r="X2262" s="19" t="inlineStr"/>
      <c r="Y2262" s="20" t="n"/>
      <c r="Z2262" s="19" t="inlineStr"/>
      <c r="AA2262" s="18">
        <f>IF(OR(V2262="Aprobada"),R2262,IF(AND(OR(V2262="Aprobada con ajuste",V2262="Rechazada"),W2262&lt;&gt;""),W2262,""))</f>
        <v/>
      </c>
    </row>
    <row r="2263">
      <c r="A2263" s="18" t="inlineStr">
        <is>
          <t>C2262</t>
        </is>
      </c>
      <c r="B2263" s="18" t="inlineStr">
        <is>
          <t>Control disciplinario interno</t>
        </is>
      </c>
      <c r="C2263" s="18" t="inlineStr">
        <is>
          <t>internal_disciplinary_control</t>
        </is>
      </c>
      <c r="D2263" s="18" t="inlineStr">
        <is>
          <t>oficios_configuration</t>
        </is>
      </c>
      <c r="E2263" s="18" t="n">
        <v>14</v>
      </c>
      <c r="F2263" s="18" t="inlineStr">
        <is>
          <t>stage</t>
        </is>
      </c>
      <c r="G2263" s="18" t="inlineStr">
        <is>
          <t>character varying(50)</t>
        </is>
      </c>
      <c r="H2263" s="18" t="inlineStr">
        <is>
          <t>Sí</t>
        </is>
      </c>
      <c r="I2263" s="18" t="inlineStr"/>
      <c r="J2263" s="18" t="inlineStr"/>
      <c r="K2263" s="18" t="inlineStr"/>
      <c r="L2263" s="18" t="inlineStr">
        <is>
          <t>No</t>
        </is>
      </c>
      <c r="M2263" s="18" t="inlineStr">
        <is>
          <t>No</t>
        </is>
      </c>
      <c r="N2263" s="18" t="inlineStr"/>
      <c r="O2263" s="18" t="inlineStr"/>
      <c r="P2263" s="18" t="inlineStr">
        <is>
          <t>internal-disciplinary-control-service/src/entities/oficio-configuration.entity.ts:46: Campo para la etapa del proceso asociada | Validación: IsOptional, IsString</t>
        </is>
      </c>
      <c r="Q2263" s="18" t="inlineStr">
        <is>
          <t>Código fuente</t>
        </is>
      </c>
      <c r="R2263" s="18" t="inlineStr">
        <is>
          <t>Etapa del proceso disciplinario asociada al oficio.</t>
        </is>
      </c>
      <c r="S2263" s="18" t="inlineStr">
        <is>
          <t>Alta</t>
        </is>
      </c>
      <c r="T2263" s="18" t="inlineStr">
        <is>
          <t>código: internal-disciplinary-control-service/src/entities/oficio-configuration.entity.ts:46</t>
        </is>
      </c>
      <c r="U2263" s="18" t="inlineStr"/>
      <c r="V2263" s="19" t="inlineStr">
        <is>
          <t>Pendiente</t>
        </is>
      </c>
      <c r="W2263" s="19" t="inlineStr"/>
      <c r="X2263" s="19" t="inlineStr"/>
      <c r="Y2263" s="20" t="n"/>
      <c r="Z2263" s="19" t="inlineStr"/>
      <c r="AA2263" s="18">
        <f>IF(OR(V2263="Aprobada"),R2263,IF(AND(OR(V2263="Aprobada con ajuste",V2263="Rechazada"),W2263&lt;&gt;""),W2263,""))</f>
        <v/>
      </c>
    </row>
    <row r="2264">
      <c r="A2264" s="18" t="inlineStr">
        <is>
          <t>C2263</t>
        </is>
      </c>
      <c r="B2264" s="18" t="inlineStr">
        <is>
          <t>Control disciplinario interno</t>
        </is>
      </c>
      <c r="C2264" s="18" t="inlineStr">
        <is>
          <t>internal_disciplinary_control</t>
        </is>
      </c>
      <c r="D2264" s="18" t="inlineStr">
        <is>
          <t>oficios_configuration</t>
        </is>
      </c>
      <c r="E2264" s="18" t="n">
        <v>14</v>
      </c>
      <c r="F2264" s="18" t="inlineStr">
        <is>
          <t>orden</t>
        </is>
      </c>
      <c r="G2264" s="18" t="inlineStr">
        <is>
          <t>integer</t>
        </is>
      </c>
      <c r="H2264" s="18" t="inlineStr">
        <is>
          <t>Sí</t>
        </is>
      </c>
      <c r="I2264" s="18" t="inlineStr"/>
      <c r="J2264" s="18" t="inlineStr"/>
      <c r="K2264" s="18" t="inlineStr"/>
      <c r="L2264" s="18" t="inlineStr">
        <is>
          <t>No</t>
        </is>
      </c>
      <c r="M2264" s="18" t="inlineStr">
        <is>
          <t>No</t>
        </is>
      </c>
      <c r="N2264" s="18" t="inlineStr"/>
      <c r="O2264" s="18" t="inlineStr">
        <is>
          <t>idx_oficios_configuration_orden</t>
        </is>
      </c>
      <c r="P2264" s="18" t="inlineStr">
        <is>
          <t>Mapeada en internal-disciplinary-control-service/src/entities/oficio-configuration.entity.ts:49 (OficioConfiguration.orden) | Validación: IsInt, IsNumber, IsOptional, Max(9999), Min(0)</t>
        </is>
      </c>
      <c r="Q2264" s="18" t="inlineStr">
        <is>
          <t>Regla estructural</t>
        </is>
      </c>
      <c r="R2264" s="18" t="inlineStr">
        <is>
          <t>Posición del registro para su ordenamiento.</t>
        </is>
      </c>
      <c r="S2264" s="18" t="inlineStr">
        <is>
          <t>Media</t>
        </is>
      </c>
      <c r="T2264" s="18" t="inlineStr">
        <is>
          <t>Convención de nombre de la columna.</t>
        </is>
      </c>
      <c r="U2264" s="18" t="inlineStr"/>
      <c r="V2264" s="19" t="inlineStr">
        <is>
          <t>Pendiente</t>
        </is>
      </c>
      <c r="W2264" s="19" t="inlineStr"/>
      <c r="X2264" s="19" t="inlineStr"/>
      <c r="Y2264" s="20" t="n"/>
      <c r="Z2264" s="19" t="inlineStr"/>
      <c r="AA2264" s="18">
        <f>IF(OR(V2264="Aprobada"),R2264,IF(AND(OR(V2264="Aprobada con ajuste",V2264="Rechazada"),W2264&lt;&gt;""),W2264,""))</f>
        <v/>
      </c>
    </row>
    <row r="2265">
      <c r="A2265" s="18" t="inlineStr">
        <is>
          <t>C2264</t>
        </is>
      </c>
      <c r="B2265" s="18" t="inlineStr">
        <is>
          <t>Control disciplinario interno</t>
        </is>
      </c>
      <c r="C2265" s="18" t="inlineStr">
        <is>
          <t>internal_disciplinary_control</t>
        </is>
      </c>
      <c r="D2265" s="18" t="inlineStr">
        <is>
          <t>plantilla_auto</t>
        </is>
      </c>
      <c r="E2265" s="18" t="n">
        <v>1</v>
      </c>
      <c r="F2265" s="18" t="inlineStr">
        <is>
          <t>htmlContent</t>
        </is>
      </c>
      <c r="G2265" s="18" t="inlineStr">
        <is>
          <t>text</t>
        </is>
      </c>
      <c r="H2265" s="18" t="inlineStr">
        <is>
          <t>No</t>
        </is>
      </c>
      <c r="I2265" s="18" t="inlineStr"/>
      <c r="J2265" s="18" t="inlineStr"/>
      <c r="K2265" s="18" t="inlineStr"/>
      <c r="L2265" s="18" t="inlineStr">
        <is>
          <t>No</t>
        </is>
      </c>
      <c r="M2265" s="18" t="inlineStr">
        <is>
          <t>No</t>
        </is>
      </c>
      <c r="N2265" s="18" t="inlineStr"/>
      <c r="O2265" s="18" t="inlineStr"/>
      <c r="P2265" s="18" t="inlineStr">
        <is>
          <t>Mapeada en internal-disciplinary-control-service/src/entities/plantilla-auto.entity.ts:8 (PlantillaAuto.htmlContent)</t>
        </is>
      </c>
      <c r="Q2265" s="18" t="inlineStr">
        <is>
          <t>Propuesta semántica</t>
        </is>
      </c>
      <c r="R2265" s="18" t="inlineStr">
        <is>
          <t>Contenido HTML de la plantilla de auto.</t>
        </is>
      </c>
      <c r="S2265" s="18" t="inlineStr">
        <is>
          <t>Alta</t>
        </is>
      </c>
      <c r="T2265" s="18" t="inlineStr">
        <is>
          <t>nombre + tipo + columnas vecinas</t>
        </is>
      </c>
      <c r="U2265" s="18" t="inlineStr"/>
      <c r="V2265" s="19" t="inlineStr">
        <is>
          <t>Pendiente</t>
        </is>
      </c>
      <c r="W2265" s="19" t="inlineStr"/>
      <c r="X2265" s="19" t="inlineStr"/>
      <c r="Y2265" s="20" t="n"/>
      <c r="Z2265" s="19" t="inlineStr"/>
      <c r="AA2265" s="18">
        <f>IF(OR(V2265="Aprobada"),R2265,IF(AND(OR(V2265="Aprobada con ajuste",V2265="Rechazada"),W2265&lt;&gt;""),W2265,""))</f>
        <v/>
      </c>
    </row>
    <row r="2266">
      <c r="A2266" s="18" t="inlineStr">
        <is>
          <t>C2265</t>
        </is>
      </c>
      <c r="B2266" s="18" t="inlineStr">
        <is>
          <t>Control disciplinario interno</t>
        </is>
      </c>
      <c r="C2266" s="18" t="inlineStr">
        <is>
          <t>internal_disciplinary_control</t>
        </is>
      </c>
      <c r="D2266" s="18" t="inlineStr">
        <is>
          <t>plantilla_auto</t>
        </is>
      </c>
      <c r="E2266" s="18" t="n">
        <v>1</v>
      </c>
      <c r="F2266" s="18" t="inlineStr">
        <is>
          <t>estado</t>
        </is>
      </c>
      <c r="G2266" s="18" t="inlineStr">
        <is>
          <t>character varying(50)</t>
        </is>
      </c>
      <c r="H2266" s="18" t="inlineStr">
        <is>
          <t>No</t>
        </is>
      </c>
      <c r="I2266" s="18" t="inlineStr">
        <is>
          <t>CHECK</t>
        </is>
      </c>
      <c r="J2266" s="18" t="inlineStr">
        <is>
          <t>activo, inactivo</t>
        </is>
      </c>
      <c r="K2266" s="18" t="inlineStr"/>
      <c r="L2266" s="18" t="inlineStr">
        <is>
          <t>Sí</t>
        </is>
      </c>
      <c r="M2266" s="18" t="inlineStr">
        <is>
          <t>No</t>
        </is>
      </c>
      <c r="N2266" s="18" t="inlineStr"/>
      <c r="O2266" s="18" t="inlineStr">
        <is>
          <t>idx_plantilla_auto_estado</t>
        </is>
      </c>
      <c r="P2266" s="18" t="inlineStr">
        <is>
          <t>internal-disciplinary-control-service/src/entities/plantilla-auto.entity.ts:11: 'activo', 'inactivo' | Validación: IsBoolean, IsEnum(AutoStatus), IsEnum(EstadoAlerta), IsEnum(TerminoEstado), IsIn(['activo', 'inactivo']), IsOptional</t>
        </is>
      </c>
      <c r="Q2266" s="18" t="inlineStr">
        <is>
          <t>Código fuente</t>
        </is>
      </c>
      <c r="R2266" s="18" t="inlineStr">
        <is>
          <t>Estado de la plantilla de auto. Valores permitidos: activo, inactivo. Por defecto, activo.</t>
        </is>
      </c>
      <c r="S2266" s="18" t="inlineStr">
        <is>
          <t>Alta</t>
        </is>
      </c>
      <c r="T2266" s="18" t="inlineStr">
        <is>
          <t>código: plantilla-auto.entity.ts:11 + valores permitidos del CHECK</t>
        </is>
      </c>
      <c r="U2266" s="18" t="inlineStr"/>
      <c r="V2266" s="19" t="inlineStr">
        <is>
          <t>Pendiente</t>
        </is>
      </c>
      <c r="W2266" s="19" t="inlineStr"/>
      <c r="X2266" s="19" t="inlineStr"/>
      <c r="Y2266" s="20" t="n"/>
      <c r="Z2266" s="19" t="inlineStr"/>
      <c r="AA2266" s="18">
        <f>IF(OR(V2266="Aprobada"),R2266,IF(AND(OR(V2266="Aprobada con ajuste",V2266="Rechazada"),W2266&lt;&gt;""),W2266,""))</f>
        <v/>
      </c>
    </row>
    <row r="2267">
      <c r="A2267" s="18" t="inlineStr">
        <is>
          <t>C2266</t>
        </is>
      </c>
      <c r="B2267" s="18" t="inlineStr">
        <is>
          <t>Control disciplinario interno</t>
        </is>
      </c>
      <c r="C2267" s="18" t="inlineStr">
        <is>
          <t>internal_disciplinary_control</t>
        </is>
      </c>
      <c r="D2267" s="18" t="inlineStr">
        <is>
          <t>plantilla_auto</t>
        </is>
      </c>
      <c r="E2267" s="18" t="n">
        <v>1</v>
      </c>
      <c r="F2267" s="18" t="inlineStr">
        <is>
          <t>nombre</t>
        </is>
      </c>
      <c r="G2267" s="18" t="inlineStr">
        <is>
          <t>character varying(100)</t>
        </is>
      </c>
      <c r="H2267" s="18" t="inlineStr">
        <is>
          <t>Sí</t>
        </is>
      </c>
      <c r="I2267" s="18" t="inlineStr"/>
      <c r="J2267" s="18" t="inlineStr"/>
      <c r="K2267" s="18" t="inlineStr"/>
      <c r="L2267" s="18" t="inlineStr">
        <is>
          <t>No</t>
        </is>
      </c>
      <c r="M2267" s="18" t="inlineStr">
        <is>
          <t>No</t>
        </is>
      </c>
      <c r="N2267" s="18" t="inlineStr"/>
      <c r="O2267" s="18" t="inlineStr"/>
      <c r="P2267" s="18" t="inlineStr">
        <is>
          <t>Mapeada en internal-disciplinary-control-service/src/entities/plantilla-auto.entity.ts:14 (PlantillaAuto.nombre) | Validación: IsNotEmpty, IsOptional, IsString, MaxLength(255)</t>
        </is>
      </c>
      <c r="Q2267" s="18" t="inlineStr">
        <is>
          <t>Regla estructural</t>
        </is>
      </c>
      <c r="R2267" s="18" t="inlineStr">
        <is>
          <t>Nombre del registro de plantilla_auto.</t>
        </is>
      </c>
      <c r="S2267" s="18" t="inlineStr">
        <is>
          <t>Media</t>
        </is>
      </c>
      <c r="T2267" s="18" t="inlineStr">
        <is>
          <t>Convención de nombre de la columna.</t>
        </is>
      </c>
      <c r="U2267" s="18" t="inlineStr"/>
      <c r="V2267" s="19" t="inlineStr">
        <is>
          <t>Pendiente</t>
        </is>
      </c>
      <c r="W2267" s="19" t="inlineStr"/>
      <c r="X2267" s="19" t="inlineStr"/>
      <c r="Y2267" s="20" t="n"/>
      <c r="Z2267" s="19" t="inlineStr"/>
      <c r="AA2267" s="18">
        <f>IF(OR(V2267="Aprobada"),R2267,IF(AND(OR(V2267="Aprobada con ajuste",V2267="Rechazada"),W2267&lt;&gt;""),W2267,""))</f>
        <v/>
      </c>
    </row>
    <row r="2268">
      <c r="A2268" s="18" t="inlineStr">
        <is>
          <t>C2267</t>
        </is>
      </c>
      <c r="B2268" s="18" t="inlineStr">
        <is>
          <t>Control disciplinario interno</t>
        </is>
      </c>
      <c r="C2268" s="18" t="inlineStr">
        <is>
          <t>internal_disciplinary_control</t>
        </is>
      </c>
      <c r="D2268" s="18" t="inlineStr">
        <is>
          <t>plantilla_auto</t>
        </is>
      </c>
      <c r="E2268" s="18" t="n">
        <v>1</v>
      </c>
      <c r="F2268" s="18" t="inlineStr">
        <is>
          <t>descripcion</t>
        </is>
      </c>
      <c r="G2268" s="18" t="inlineStr">
        <is>
          <t>text</t>
        </is>
      </c>
      <c r="H2268" s="18" t="inlineStr">
        <is>
          <t>Sí</t>
        </is>
      </c>
      <c r="I2268" s="18" t="inlineStr"/>
      <c r="J2268" s="18" t="inlineStr"/>
      <c r="K2268" s="18" t="inlineStr"/>
      <c r="L2268" s="18" t="inlineStr">
        <is>
          <t>No</t>
        </is>
      </c>
      <c r="M2268" s="18" t="inlineStr">
        <is>
          <t>No</t>
        </is>
      </c>
      <c r="N2268" s="18" t="inlineStr"/>
      <c r="O2268" s="18" t="inlineStr"/>
      <c r="P2268" s="18" t="inlineStr">
        <is>
          <t>Mapeada en internal-disciplinary-control-service/src/entities/plantilla-auto.entity.ts:17 (PlantillaAuto.descripcion) | Validación: IsNotEmpty, IsObject, IsOptional, IsString</t>
        </is>
      </c>
      <c r="Q2268" s="18" t="inlineStr">
        <is>
          <t>Regla estructural</t>
        </is>
      </c>
      <c r="R2268" s="18" t="inlineStr">
        <is>
          <t>Descripción del registro de plantilla_auto.</t>
        </is>
      </c>
      <c r="S2268" s="18" t="inlineStr">
        <is>
          <t>Media</t>
        </is>
      </c>
      <c r="T2268" s="18" t="inlineStr">
        <is>
          <t>Convención de nombre de la columna.</t>
        </is>
      </c>
      <c r="U2268" s="18" t="inlineStr"/>
      <c r="V2268" s="19" t="inlineStr">
        <is>
          <t>Pendiente</t>
        </is>
      </c>
      <c r="W2268" s="19" t="inlineStr"/>
      <c r="X2268" s="19" t="inlineStr"/>
      <c r="Y2268" s="20" t="n"/>
      <c r="Z2268" s="19" t="inlineStr"/>
      <c r="AA2268" s="18">
        <f>IF(OR(V2268="Aprobada"),R2268,IF(AND(OR(V2268="Aprobada con ajuste",V2268="Rechazada"),W2268&lt;&gt;""),W2268,""))</f>
        <v/>
      </c>
    </row>
    <row r="2269">
      <c r="A2269" s="18" t="inlineStr">
        <is>
          <t>C2268</t>
        </is>
      </c>
      <c r="B2269" s="18" t="inlineStr">
        <is>
          <t>Control disciplinario interno</t>
        </is>
      </c>
      <c r="C2269" s="18" t="inlineStr">
        <is>
          <t>internal_disciplinary_control</t>
        </is>
      </c>
      <c r="D2269" s="18" t="inlineStr">
        <is>
          <t>reglas_alerta</t>
        </is>
      </c>
      <c r="E2269" s="18" t="n">
        <v>7</v>
      </c>
      <c r="F2269" s="18" t="inlineStr">
        <is>
          <t>nombre</t>
        </is>
      </c>
      <c r="G2269" s="18" t="inlineStr">
        <is>
          <t>character varying(200)</t>
        </is>
      </c>
      <c r="H2269" s="18" t="inlineStr">
        <is>
          <t>No</t>
        </is>
      </c>
      <c r="I2269" s="18" t="inlineStr">
        <is>
          <t>Única</t>
        </is>
      </c>
      <c r="J2269" s="18" t="inlineStr"/>
      <c r="K2269" s="18" t="inlineStr"/>
      <c r="L2269" s="18" t="inlineStr">
        <is>
          <t>No</t>
        </is>
      </c>
      <c r="M2269" s="18" t="inlineStr">
        <is>
          <t>No</t>
        </is>
      </c>
      <c r="N2269" s="18" t="inlineStr"/>
      <c r="O2269" s="18" t="inlineStr">
        <is>
          <t>UQ_reglas_alerta_nombre</t>
        </is>
      </c>
      <c r="P2269" s="18" t="inlineStr">
        <is>
          <t>Mapeada en internal-disciplinary-control-service/src/entities/regla-alerta.entity.ts:20 (ReglaAlerta.nombre) | Validación: IsNotEmpty, IsOptional, IsString, MaxLength(255)</t>
        </is>
      </c>
      <c r="Q2269" s="18" t="inlineStr">
        <is>
          <t>Regla estructural</t>
        </is>
      </c>
      <c r="R2269" s="18" t="inlineStr">
        <is>
          <t>Nombre del registro de reglas_alerta.</t>
        </is>
      </c>
      <c r="S2269" s="18" t="inlineStr">
        <is>
          <t>Media</t>
        </is>
      </c>
      <c r="T2269" s="18" t="inlineStr">
        <is>
          <t>Convención de nombre de la columna.</t>
        </is>
      </c>
      <c r="U2269" s="18" t="inlineStr"/>
      <c r="V2269" s="19" t="inlineStr">
        <is>
          <t>Pendiente</t>
        </is>
      </c>
      <c r="W2269" s="19" t="inlineStr"/>
      <c r="X2269" s="19" t="inlineStr"/>
      <c r="Y2269" s="20" t="n"/>
      <c r="Z2269" s="19" t="inlineStr"/>
      <c r="AA2269" s="18">
        <f>IF(OR(V2269="Aprobada"),R2269,IF(AND(OR(V2269="Aprobada con ajuste",V2269="Rechazada"),W2269&lt;&gt;""),W2269,""))</f>
        <v/>
      </c>
    </row>
    <row r="2270">
      <c r="A2270" s="18" t="inlineStr">
        <is>
          <t>C2269</t>
        </is>
      </c>
      <c r="B2270" s="18" t="inlineStr">
        <is>
          <t>Control disciplinario interno</t>
        </is>
      </c>
      <c r="C2270" s="18" t="inlineStr">
        <is>
          <t>internal_disciplinary_control</t>
        </is>
      </c>
      <c r="D2270" s="18" t="inlineStr">
        <is>
          <t>reglas_alerta</t>
        </is>
      </c>
      <c r="E2270" s="18" t="n">
        <v>7</v>
      </c>
      <c r="F2270" s="18" t="inlineStr">
        <is>
          <t>dias_anticipacion</t>
        </is>
      </c>
      <c r="G2270" s="18" t="inlineStr">
        <is>
          <t>integer</t>
        </is>
      </c>
      <c r="H2270" s="18" t="inlineStr">
        <is>
          <t>No</t>
        </is>
      </c>
      <c r="I2270" s="18" t="inlineStr">
        <is>
          <t>CHECK</t>
        </is>
      </c>
      <c r="J2270" s="18" t="inlineStr"/>
      <c r="K2270" s="18" t="inlineStr"/>
      <c r="L2270" s="18" t="inlineStr">
        <is>
          <t>No</t>
        </is>
      </c>
      <c r="M2270" s="18" t="inlineStr">
        <is>
          <t>No</t>
        </is>
      </c>
      <c r="N2270" s="18" t="inlineStr"/>
      <c r="O2270" s="18" t="inlineStr"/>
      <c r="P2270" s="18" t="inlineStr">
        <is>
          <t>internal-disciplinary-control-service/src/entities/regla-alerta.entity.ts:23: CHECK: &gt;= 0 AND &lt;= 30 (0 = immediate/vencido) | Validación: IsInt, IsOptional, Max(30), Min(1)</t>
        </is>
      </c>
      <c r="Q2270" s="18" t="inlineStr">
        <is>
          <t>Código fuente</t>
        </is>
      </c>
      <c r="R2270" s="18" t="inlineStr">
        <is>
          <t>Días de anticipación al vencimiento con que se genera la alerta, de 0 a 30; 0 indica alerta inmediata o de término vencido.</t>
        </is>
      </c>
      <c r="S2270" s="18" t="inlineStr">
        <is>
          <t>Media</t>
        </is>
      </c>
      <c r="T2270" s="18" t="inlineStr">
        <is>
          <t>código: regla-alerta.entity.ts:23</t>
        </is>
      </c>
      <c r="U2270" s="18" t="inlineStr">
        <is>
          <t>El comentario indica un mínimo de 0 y la validación usa Min(1); ¿cuál es el mínimo vigente?</t>
        </is>
      </c>
      <c r="V2270" s="19" t="inlineStr">
        <is>
          <t>Pendiente</t>
        </is>
      </c>
      <c r="W2270" s="19" t="inlineStr"/>
      <c r="X2270" s="19" t="inlineStr"/>
      <c r="Y2270" s="20" t="n"/>
      <c r="Z2270" s="19" t="inlineStr"/>
      <c r="AA2270" s="18">
        <f>IF(OR(V2270="Aprobada"),R2270,IF(AND(OR(V2270="Aprobada con ajuste",V2270="Rechazada"),W2270&lt;&gt;""),W2270,""))</f>
        <v/>
      </c>
    </row>
    <row r="2271">
      <c r="A2271" s="18" t="inlineStr">
        <is>
          <t>C2270</t>
        </is>
      </c>
      <c r="B2271" s="18" t="inlineStr">
        <is>
          <t>Control disciplinario interno</t>
        </is>
      </c>
      <c r="C2271" s="18" t="inlineStr">
        <is>
          <t>internal_disciplinary_control</t>
        </is>
      </c>
      <c r="D2271" s="18" t="inlineStr">
        <is>
          <t>reglas_alerta</t>
        </is>
      </c>
      <c r="E2271" s="18" t="n">
        <v>7</v>
      </c>
      <c r="F2271" s="18" t="inlineStr">
        <is>
          <t>activa</t>
        </is>
      </c>
      <c r="G2271" s="18" t="inlineStr">
        <is>
          <t>boolean</t>
        </is>
      </c>
      <c r="H2271" s="18" t="inlineStr">
        <is>
          <t>No</t>
        </is>
      </c>
      <c r="I2271" s="18" t="inlineStr"/>
      <c r="J2271" s="18" t="inlineStr"/>
      <c r="K2271" s="18" t="inlineStr"/>
      <c r="L2271" s="18" t="inlineStr">
        <is>
          <t>No</t>
        </is>
      </c>
      <c r="M2271" s="18" t="inlineStr">
        <is>
          <t>No</t>
        </is>
      </c>
      <c r="N2271" s="18" t="inlineStr"/>
      <c r="O2271" s="18" t="inlineStr">
        <is>
          <t>IDX_reglas_alerta_activa, idx_reglas_activa</t>
        </is>
      </c>
      <c r="P2271" s="18" t="inlineStr">
        <is>
          <t>Mapeada en internal-disciplinary-control-service/src/entities/regla-alerta.entity.ts:27 (ReglaAlerta.activa) | Validación: IsBoolean, IsOptional</t>
        </is>
      </c>
      <c r="Q2271" s="18" t="inlineStr">
        <is>
          <t>Regla estructural</t>
        </is>
      </c>
      <c r="R2271" s="18" t="inlineStr">
        <is>
          <t>Indica si el registro está activo.</t>
        </is>
      </c>
      <c r="S2271" s="18" t="inlineStr">
        <is>
          <t>Media</t>
        </is>
      </c>
      <c r="T2271" s="18" t="inlineStr">
        <is>
          <t>Convención de nombre de la columna.</t>
        </is>
      </c>
      <c r="U2271" s="18" t="inlineStr"/>
      <c r="V2271" s="19" t="inlineStr">
        <is>
          <t>Pendiente</t>
        </is>
      </c>
      <c r="W2271" s="19" t="inlineStr"/>
      <c r="X2271" s="19" t="inlineStr"/>
      <c r="Y2271" s="20" t="n"/>
      <c r="Z2271" s="19" t="inlineStr"/>
      <c r="AA2271" s="18">
        <f>IF(OR(V2271="Aprobada"),R2271,IF(AND(OR(V2271="Aprobada con ajuste",V2271="Rechazada"),W2271&lt;&gt;""),W2271,""))</f>
        <v/>
      </c>
    </row>
    <row r="2272">
      <c r="A2272" s="18" t="inlineStr">
        <is>
          <t>C2271</t>
        </is>
      </c>
      <c r="B2272" s="18" t="inlineStr">
        <is>
          <t>Control disciplinario interno</t>
        </is>
      </c>
      <c r="C2272" s="18" t="inlineStr">
        <is>
          <t>internal_disciplinary_control</t>
        </is>
      </c>
      <c r="D2272" s="18" t="inlineStr">
        <is>
          <t>reglas_alerta</t>
        </is>
      </c>
      <c r="E2272" s="18" t="n">
        <v>7</v>
      </c>
      <c r="F2272" s="18" t="inlineStr">
        <is>
          <t>enviar_email</t>
        </is>
      </c>
      <c r="G2272" s="18" t="inlineStr">
        <is>
          <t>boolean</t>
        </is>
      </c>
      <c r="H2272" s="18" t="inlineStr">
        <is>
          <t>No</t>
        </is>
      </c>
      <c r="I2272" s="18" t="inlineStr"/>
      <c r="J2272" s="18" t="inlineStr"/>
      <c r="K2272" s="18" t="inlineStr"/>
      <c r="L2272" s="18" t="inlineStr">
        <is>
          <t>No</t>
        </is>
      </c>
      <c r="M2272" s="18" t="inlineStr">
        <is>
          <t>No</t>
        </is>
      </c>
      <c r="N2272" s="18" t="inlineStr"/>
      <c r="O2272" s="18" t="inlineStr"/>
      <c r="P2272" s="18" t="inlineStr">
        <is>
          <t>Mapeada en internal-disciplinary-control-service/src/entities/regla-alerta.entity.ts:30 (ReglaAlerta.enviarEmail) | Validación: IsBoolean, IsOptional</t>
        </is>
      </c>
      <c r="Q2272" s="18" t="inlineStr">
        <is>
          <t>Regla estructural</t>
        </is>
      </c>
      <c r="R2272" s="18" t="inlineStr">
        <is>
          <t>Indica si aplica: enviar email.</t>
        </is>
      </c>
      <c r="S2272" s="18" t="inlineStr">
        <is>
          <t>Media</t>
        </is>
      </c>
      <c r="T2272" s="18" t="inlineStr">
        <is>
          <t>Convención de nombre de la columna.</t>
        </is>
      </c>
      <c r="U2272" s="18" t="inlineStr"/>
      <c r="V2272" s="19" t="inlineStr">
        <is>
          <t>Pendiente</t>
        </is>
      </c>
      <c r="W2272" s="19" t="inlineStr"/>
      <c r="X2272" s="19" t="inlineStr"/>
      <c r="Y2272" s="20" t="n"/>
      <c r="Z2272" s="19" t="inlineStr"/>
      <c r="AA2272" s="18">
        <f>IF(OR(V2272="Aprobada"),R2272,IF(AND(OR(V2272="Aprobada con ajuste",V2272="Rechazada"),W2272&lt;&gt;""),W2272,""))</f>
        <v/>
      </c>
    </row>
    <row r="2273">
      <c r="A2273" s="18" t="inlineStr">
        <is>
          <t>C2272</t>
        </is>
      </c>
      <c r="B2273" s="18" t="inlineStr">
        <is>
          <t>Control disciplinario interno</t>
        </is>
      </c>
      <c r="C2273" s="18" t="inlineStr">
        <is>
          <t>internal_disciplinary_control</t>
        </is>
      </c>
      <c r="D2273" s="18" t="inlineStr">
        <is>
          <t>reglas_alerta</t>
        </is>
      </c>
      <c r="E2273" s="18" t="n">
        <v>7</v>
      </c>
      <c r="F2273" s="18" t="inlineStr">
        <is>
          <t>mostrar_panel</t>
        </is>
      </c>
      <c r="G2273" s="18" t="inlineStr">
        <is>
          <t>boolean</t>
        </is>
      </c>
      <c r="H2273" s="18" t="inlineStr">
        <is>
          <t>No</t>
        </is>
      </c>
      <c r="I2273" s="18" t="inlineStr"/>
      <c r="J2273" s="18" t="inlineStr"/>
      <c r="K2273" s="18" t="inlineStr"/>
      <c r="L2273" s="18" t="inlineStr">
        <is>
          <t>No</t>
        </is>
      </c>
      <c r="M2273" s="18" t="inlineStr">
        <is>
          <t>No</t>
        </is>
      </c>
      <c r="N2273" s="18" t="inlineStr"/>
      <c r="O2273" s="18" t="inlineStr"/>
      <c r="P2273" s="18" t="inlineStr">
        <is>
          <t>Mapeada en internal-disciplinary-control-service/src/entities/regla-alerta.entity.ts:33 (ReglaAlerta.mostrarPanel) | Validación: IsBoolean, IsOptional</t>
        </is>
      </c>
      <c r="Q2273" s="18" t="inlineStr">
        <is>
          <t>Regla estructural</t>
        </is>
      </c>
      <c r="R2273" s="18" t="inlineStr">
        <is>
          <t>Indica si aplica: mostrar panel.</t>
        </is>
      </c>
      <c r="S2273" s="18" t="inlineStr">
        <is>
          <t>Media</t>
        </is>
      </c>
      <c r="T2273" s="18" t="inlineStr">
        <is>
          <t>Convención de nombre de la columna.</t>
        </is>
      </c>
      <c r="U2273" s="18" t="inlineStr"/>
      <c r="V2273" s="19" t="inlineStr">
        <is>
          <t>Pendiente</t>
        </is>
      </c>
      <c r="W2273" s="19" t="inlineStr"/>
      <c r="X2273" s="19" t="inlineStr"/>
      <c r="Y2273" s="20" t="n"/>
      <c r="Z2273" s="19" t="inlineStr"/>
      <c r="AA2273" s="18">
        <f>IF(OR(V2273="Aprobada"),R2273,IF(AND(OR(V2273="Aprobada con ajuste",V2273="Rechazada"),W2273&lt;&gt;""),W2273,""))</f>
        <v/>
      </c>
    </row>
    <row r="2274">
      <c r="A2274" s="18" t="inlineStr">
        <is>
          <t>C2273</t>
        </is>
      </c>
      <c r="B2274" s="18" t="inlineStr">
        <is>
          <t>Control disciplinario interno</t>
        </is>
      </c>
      <c r="C2274" s="18" t="inlineStr">
        <is>
          <t>internal_disciplinary_control</t>
        </is>
      </c>
      <c r="D2274" s="18" t="inlineStr">
        <is>
          <t>reglas_alerta</t>
        </is>
      </c>
      <c r="E2274" s="18" t="n">
        <v>7</v>
      </c>
      <c r="F2274" s="18" t="inlineStr">
        <is>
          <t>descripcion</t>
        </is>
      </c>
      <c r="G2274" s="18" t="inlineStr">
        <is>
          <t>text</t>
        </is>
      </c>
      <c r="H2274" s="18" t="inlineStr">
        <is>
          <t>Sí</t>
        </is>
      </c>
      <c r="I2274" s="18" t="inlineStr"/>
      <c r="J2274" s="18" t="inlineStr"/>
      <c r="K2274" s="18" t="inlineStr"/>
      <c r="L2274" s="18" t="inlineStr">
        <is>
          <t>No</t>
        </is>
      </c>
      <c r="M2274" s="18" t="inlineStr">
        <is>
          <t>No</t>
        </is>
      </c>
      <c r="N2274" s="18" t="inlineStr"/>
      <c r="O2274" s="18" t="inlineStr"/>
      <c r="P2274" s="18" t="inlineStr">
        <is>
          <t>Mapeada en internal-disciplinary-control-service/src/entities/regla-alerta.entity.ts:36 (ReglaAlerta.descripcion) | Validación: IsNotEmpty, IsObject, IsOptional, IsString</t>
        </is>
      </c>
      <c r="Q2274" s="18" t="inlineStr">
        <is>
          <t>Regla estructural</t>
        </is>
      </c>
      <c r="R2274" s="18" t="inlineStr">
        <is>
          <t>Descripción del registro de reglas_alerta.</t>
        </is>
      </c>
      <c r="S2274" s="18" t="inlineStr">
        <is>
          <t>Media</t>
        </is>
      </c>
      <c r="T2274" s="18" t="inlineStr">
        <is>
          <t>Convención de nombre de la columna.</t>
        </is>
      </c>
      <c r="U2274" s="18" t="inlineStr"/>
      <c r="V2274" s="19" t="inlineStr">
        <is>
          <t>Pendiente</t>
        </is>
      </c>
      <c r="W2274" s="19" t="inlineStr"/>
      <c r="X2274" s="19" t="inlineStr"/>
      <c r="Y2274" s="20" t="n"/>
      <c r="Z2274" s="19" t="inlineStr"/>
      <c r="AA2274" s="18">
        <f>IF(OR(V2274="Aprobada"),R2274,IF(AND(OR(V2274="Aprobada con ajuste",V2274="Rechazada"),W2274&lt;&gt;""),W2274,""))</f>
        <v/>
      </c>
    </row>
    <row r="2275">
      <c r="A2275" s="18" t="inlineStr">
        <is>
          <t>C2274</t>
        </is>
      </c>
      <c r="B2275" s="18" t="inlineStr">
        <is>
          <t>Control disciplinario interno</t>
        </is>
      </c>
      <c r="C2275" s="18" t="inlineStr">
        <is>
          <t>internal_disciplinary_control</t>
        </is>
      </c>
      <c r="D2275" s="18" t="inlineStr">
        <is>
          <t>reglas_alerta</t>
        </is>
      </c>
      <c r="E2275" s="18" t="n">
        <v>7</v>
      </c>
      <c r="F2275" s="18" t="inlineStr">
        <is>
          <t>creado_por_id</t>
        </is>
      </c>
      <c r="G2275" s="18" t="inlineStr">
        <is>
          <t>uuid</t>
        </is>
      </c>
      <c r="H2275" s="18" t="inlineStr">
        <is>
          <t>Sí</t>
        </is>
      </c>
      <c r="I2275" s="18" t="inlineStr"/>
      <c r="J2275" s="18" t="inlineStr"/>
      <c r="K2275" s="18" t="inlineStr"/>
      <c r="L2275" s="18" t="inlineStr">
        <is>
          <t>No</t>
        </is>
      </c>
      <c r="M2275" s="18" t="inlineStr">
        <is>
          <t>No</t>
        </is>
      </c>
      <c r="N2275" s="18" t="inlineStr"/>
      <c r="O2275" s="18" t="inlineStr"/>
      <c r="P2275" s="18" t="inlineStr">
        <is>
          <t>internal-disciplinary-control-service/src/entities/regla-alerta.entity.ts:39: FK a personas (nullable for system-generated rules)</t>
        </is>
      </c>
      <c r="Q2275" s="18" t="inlineStr">
        <is>
          <t>Código fuente</t>
        </is>
      </c>
      <c r="R2275" s="18" t="inlineStr">
        <is>
          <t>Identificador de la persona que creó la regla (auth.personas); nulo en las reglas generadas por el sistema.</t>
        </is>
      </c>
      <c r="S2275" s="18" t="inlineStr">
        <is>
          <t>Alta</t>
        </is>
      </c>
      <c r="T2275" s="18" t="inlineStr">
        <is>
          <t>código: regla-alerta.entity.ts:39</t>
        </is>
      </c>
      <c r="U2275" s="18" t="inlineStr"/>
      <c r="V2275" s="19" t="inlineStr">
        <is>
          <t>Pendiente</t>
        </is>
      </c>
      <c r="W2275" s="19" t="inlineStr"/>
      <c r="X2275" s="19" t="inlineStr"/>
      <c r="Y2275" s="20" t="n"/>
      <c r="Z2275" s="19" t="inlineStr"/>
      <c r="AA2275" s="18">
        <f>IF(OR(V2275="Aprobada"),R2275,IF(AND(OR(V2275="Aprobada con ajuste",V2275="Rechazada"),W2275&lt;&gt;""),W2275,""))</f>
        <v/>
      </c>
    </row>
    <row r="2276">
      <c r="A2276" s="18" t="inlineStr">
        <is>
          <t>C2275</t>
        </is>
      </c>
      <c r="B2276" s="18" t="inlineStr">
        <is>
          <t>Control disciplinario interno</t>
        </is>
      </c>
      <c r="C2276" s="18" t="inlineStr">
        <is>
          <t>internal_disciplinary_control</t>
        </is>
      </c>
      <c r="D2276" s="18" t="inlineStr">
        <is>
          <t>sequences</t>
        </is>
      </c>
      <c r="E2276" s="18" t="n">
        <v>7</v>
      </c>
      <c r="F2276" s="18" t="inlineStr">
        <is>
          <t>currentValue</t>
        </is>
      </c>
      <c r="G2276" s="18" t="inlineStr">
        <is>
          <t>integer</t>
        </is>
      </c>
      <c r="H2276" s="18" t="inlineStr">
        <is>
          <t>Sí</t>
        </is>
      </c>
      <c r="I2276" s="18" t="inlineStr"/>
      <c r="J2276" s="18" t="inlineStr"/>
      <c r="K2276" s="18" t="inlineStr"/>
      <c r="L2276" s="18" t="inlineStr">
        <is>
          <t>Sí</t>
        </is>
      </c>
      <c r="M2276" s="18" t="inlineStr">
        <is>
          <t>No</t>
        </is>
      </c>
      <c r="N2276" s="18" t="inlineStr"/>
      <c r="O2276" s="18" t="inlineStr"/>
      <c r="P2276" s="18" t="inlineStr">
        <is>
          <t>Mapeada en internal-disciplinary-control-service/src/entities/sequence.entity.ts:8 (Sequence.currentValue)</t>
        </is>
      </c>
      <c r="Q2276" s="18" t="inlineStr">
        <is>
          <t>Propuesta semántica</t>
        </is>
      </c>
      <c r="R2276" s="18" t="inlineStr">
        <is>
          <t>Valor actual de la secuencia de radicados. Por defecto, 0.</t>
        </is>
      </c>
      <c r="S2276" s="18" t="inlineStr">
        <is>
          <t>Media</t>
        </is>
      </c>
      <c r="T2276" s="18" t="inlineStr">
        <is>
          <t>nombre + descripción de la tabla</t>
        </is>
      </c>
      <c r="U2276" s="18" t="inlineStr">
        <is>
          <t>¿currentValue es el último número asignado o el siguiente por asignar?</t>
        </is>
      </c>
      <c r="V2276" s="19" t="inlineStr">
        <is>
          <t>Pendiente</t>
        </is>
      </c>
      <c r="W2276" s="19" t="inlineStr"/>
      <c r="X2276" s="19" t="inlineStr"/>
      <c r="Y2276" s="20" t="n"/>
      <c r="Z2276" s="19" t="inlineStr"/>
      <c r="AA2276" s="18">
        <f>IF(OR(V2276="Aprobada"),R2276,IF(AND(OR(V2276="Aprobada con ajuste",V2276="Rechazada"),W2276&lt;&gt;""),W2276,""))</f>
        <v/>
      </c>
    </row>
    <row r="2277">
      <c r="A2277" s="18" t="inlineStr">
        <is>
          <t>C2276</t>
        </is>
      </c>
      <c r="B2277" s="18" t="inlineStr">
        <is>
          <t>Control disciplinario interno</t>
        </is>
      </c>
      <c r="C2277" s="18" t="inlineStr">
        <is>
          <t>internal_disciplinary_control</t>
        </is>
      </c>
      <c r="D2277" s="18" t="inlineStr">
        <is>
          <t>stage_configuration</t>
        </is>
      </c>
      <c r="E2277" s="18" t="n">
        <v>7</v>
      </c>
      <c r="F2277" s="18" t="inlineStr">
        <is>
          <t>etapa</t>
        </is>
      </c>
      <c r="G2277" s="18" t="inlineStr">
        <is>
          <t>character varying(255)</t>
        </is>
      </c>
      <c r="H2277" s="18" t="inlineStr">
        <is>
          <t>No</t>
        </is>
      </c>
      <c r="I2277" s="18" t="inlineStr"/>
      <c r="J2277" s="18" t="inlineStr"/>
      <c r="K2277" s="18" t="inlineStr"/>
      <c r="L2277" s="18" t="inlineStr">
        <is>
          <t>No</t>
        </is>
      </c>
      <c r="M2277" s="18" t="inlineStr">
        <is>
          <t>No</t>
        </is>
      </c>
      <c r="N2277" s="18" t="inlineStr"/>
      <c r="O2277" s="18" t="inlineStr"/>
      <c r="P2277" s="18" t="inlineStr">
        <is>
          <t>Mapeada en internal-disciplinary-control-service/src/entities/stage-configuration.entity.ts:14 (StageConfiguration.etapa) | Validación: IsOptional, IsString, MaxLength(80)</t>
        </is>
      </c>
      <c r="Q2277" s="18" t="inlineStr">
        <is>
          <t>Propuesta semántica</t>
        </is>
      </c>
      <c r="R2277" s="18" t="inlineStr">
        <is>
          <t>Nombre de la etapa procesal (máximo 80 caracteres).</t>
        </is>
      </c>
      <c r="S2277" s="18" t="inlineStr">
        <is>
          <t>Alta</t>
        </is>
      </c>
      <c r="T2277" s="18" t="inlineStr">
        <is>
          <t>nombre + tipo + columnas vecinas + validación MaxLength(80)</t>
        </is>
      </c>
      <c r="U2277" s="18" t="inlineStr"/>
      <c r="V2277" s="19" t="inlineStr">
        <is>
          <t>Pendiente</t>
        </is>
      </c>
      <c r="W2277" s="19" t="inlineStr"/>
      <c r="X2277" s="19" t="inlineStr"/>
      <c r="Y2277" s="20" t="n"/>
      <c r="Z2277" s="19" t="inlineStr"/>
      <c r="AA2277" s="18">
        <f>IF(OR(V2277="Aprobada"),R2277,IF(AND(OR(V2277="Aprobada con ajuste",V2277="Rechazada"),W2277&lt;&gt;""),W2277,""))</f>
        <v/>
      </c>
    </row>
    <row r="2278">
      <c r="A2278" s="18" t="inlineStr">
        <is>
          <t>C2277</t>
        </is>
      </c>
      <c r="B2278" s="18" t="inlineStr">
        <is>
          <t>Control disciplinario interno</t>
        </is>
      </c>
      <c r="C2278" s="18" t="inlineStr">
        <is>
          <t>internal_disciplinary_control</t>
        </is>
      </c>
      <c r="D2278" s="18" t="inlineStr">
        <is>
          <t>stage_configuration</t>
        </is>
      </c>
      <c r="E2278" s="18" t="n">
        <v>7</v>
      </c>
      <c r="F2278" s="18" t="inlineStr">
        <is>
          <t>diasHabiles</t>
        </is>
      </c>
      <c r="G2278" s="18" t="inlineStr">
        <is>
          <t>integer</t>
        </is>
      </c>
      <c r="H2278" s="18" t="inlineStr">
        <is>
          <t>No</t>
        </is>
      </c>
      <c r="I2278" s="18" t="inlineStr"/>
      <c r="J2278" s="18" t="inlineStr"/>
      <c r="K2278" s="18" t="inlineStr"/>
      <c r="L2278" s="18" t="inlineStr">
        <is>
          <t>No</t>
        </is>
      </c>
      <c r="M2278" s="18" t="inlineStr">
        <is>
          <t>No</t>
        </is>
      </c>
      <c r="N2278" s="18" t="inlineStr"/>
      <c r="O2278" s="18" t="inlineStr"/>
      <c r="P2278" s="18" t="inlineStr">
        <is>
          <t>Mapeada en internal-disciplinary-control-service/src/entities/stage-configuration.entity.ts:17 (StageConfiguration.diasHabiles) | Validación: IsInt, IsOptional, Max(180), Min(1)</t>
        </is>
      </c>
      <c r="Q2278" s="18" t="inlineStr">
        <is>
          <t>Propuesta semántica</t>
        </is>
      </c>
      <c r="R2278" s="18" t="inlineStr">
        <is>
          <t>Días hábiles de duración de la etapa (entre 1 y 180). Valor por defecto: 30.</t>
        </is>
      </c>
      <c r="S2278" s="18" t="inlineStr">
        <is>
          <t>Alta</t>
        </is>
      </c>
      <c r="T2278" s="18" t="inlineStr">
        <is>
          <t>validaciones Min(1), Max(180) + defecto</t>
        </is>
      </c>
      <c r="U2278" s="18" t="inlineStr"/>
      <c r="V2278" s="19" t="inlineStr">
        <is>
          <t>Pendiente</t>
        </is>
      </c>
      <c r="W2278" s="19" t="inlineStr"/>
      <c r="X2278" s="19" t="inlineStr"/>
      <c r="Y2278" s="20" t="n"/>
      <c r="Z2278" s="19" t="inlineStr"/>
      <c r="AA2278" s="18">
        <f>IF(OR(V2278="Aprobada"),R2278,IF(AND(OR(V2278="Aprobada con ajuste",V2278="Rechazada"),W2278&lt;&gt;""),W2278,""))</f>
        <v/>
      </c>
    </row>
    <row r="2279">
      <c r="A2279" s="18" t="inlineStr">
        <is>
          <t>C2278</t>
        </is>
      </c>
      <c r="B2279" s="18" t="inlineStr">
        <is>
          <t>Control disciplinario interno</t>
        </is>
      </c>
      <c r="C2279" s="18" t="inlineStr">
        <is>
          <t>internal_disciplinary_control</t>
        </is>
      </c>
      <c r="D2279" s="18" t="inlineStr">
        <is>
          <t>stage_configuration</t>
        </is>
      </c>
      <c r="E2279" s="18" t="n">
        <v>7</v>
      </c>
      <c r="F2279" s="18" t="inlineStr">
        <is>
          <t>descripcion</t>
        </is>
      </c>
      <c r="G2279" s="18" t="inlineStr">
        <is>
          <t>text</t>
        </is>
      </c>
      <c r="H2279" s="18" t="inlineStr">
        <is>
          <t>Sí</t>
        </is>
      </c>
      <c r="I2279" s="18" t="inlineStr"/>
      <c r="J2279" s="18" t="inlineStr"/>
      <c r="K2279" s="18" t="inlineStr"/>
      <c r="L2279" s="18" t="inlineStr">
        <is>
          <t>No</t>
        </is>
      </c>
      <c r="M2279" s="18" t="inlineStr">
        <is>
          <t>No</t>
        </is>
      </c>
      <c r="N2279" s="18" t="inlineStr"/>
      <c r="O2279" s="18" t="inlineStr"/>
      <c r="P2279" s="18" t="inlineStr">
        <is>
          <t>Mapeada en internal-disciplinary-control-service/src/entities/stage-configuration.entity.ts:23 (StageConfiguration.descripcion) | Validación: IsNotEmpty, IsObject, IsOptional, IsString</t>
        </is>
      </c>
      <c r="Q2279" s="18" t="inlineStr">
        <is>
          <t>Regla estructural</t>
        </is>
      </c>
      <c r="R2279" s="18" t="inlineStr">
        <is>
          <t>Descripción del registro de stage_configuration.</t>
        </is>
      </c>
      <c r="S2279" s="18" t="inlineStr">
        <is>
          <t>Media</t>
        </is>
      </c>
      <c r="T2279" s="18" t="inlineStr">
        <is>
          <t>Convención de nombre de la columna.</t>
        </is>
      </c>
      <c r="U2279" s="18" t="inlineStr"/>
      <c r="V2279" s="19" t="inlineStr">
        <is>
          <t>Pendiente</t>
        </is>
      </c>
      <c r="W2279" s="19" t="inlineStr"/>
      <c r="X2279" s="19" t="inlineStr"/>
      <c r="Y2279" s="20" t="n"/>
      <c r="Z2279" s="19" t="inlineStr"/>
      <c r="AA2279" s="18">
        <f>IF(OR(V2279="Aprobada"),R2279,IF(AND(OR(V2279="Aprobada con ajuste",V2279="Rechazada"),W2279&lt;&gt;""),W2279,""))</f>
        <v/>
      </c>
    </row>
    <row r="2280">
      <c r="A2280" s="18" t="inlineStr">
        <is>
          <t>C2279</t>
        </is>
      </c>
      <c r="B2280" s="18" t="inlineStr">
        <is>
          <t>Control disciplinario interno</t>
        </is>
      </c>
      <c r="C2280" s="18" t="inlineStr">
        <is>
          <t>internal_disciplinary_control</t>
        </is>
      </c>
      <c r="D2280" s="18" t="inlineStr">
        <is>
          <t>stage_configuration</t>
        </is>
      </c>
      <c r="E2280" s="18" t="n">
        <v>7</v>
      </c>
      <c r="F2280" s="18" t="inlineStr">
        <is>
          <t>activo</t>
        </is>
      </c>
      <c r="G2280" s="18" t="inlineStr">
        <is>
          <t>boolean</t>
        </is>
      </c>
      <c r="H2280" s="18" t="inlineStr">
        <is>
          <t>Sí</t>
        </is>
      </c>
      <c r="I2280" s="18" t="inlineStr"/>
      <c r="J2280" s="18" t="inlineStr"/>
      <c r="K2280" s="18" t="inlineStr"/>
      <c r="L2280" s="18" t="inlineStr">
        <is>
          <t>No</t>
        </is>
      </c>
      <c r="M2280" s="18" t="inlineStr">
        <is>
          <t>No</t>
        </is>
      </c>
      <c r="N2280" s="18" t="inlineStr"/>
      <c r="O2280" s="18" t="inlineStr"/>
      <c r="P2280" s="18" t="inlineStr">
        <is>
          <t>Mapeada en internal-disciplinary-control-service/src/entities/stage-configuration.entity.ts:26 (StageConfiguration.activo) | Validación: IsBoolean, IsOptional</t>
        </is>
      </c>
      <c r="Q2280" s="18" t="inlineStr">
        <is>
          <t>Regla estructural</t>
        </is>
      </c>
      <c r="R2280" s="18" t="inlineStr">
        <is>
          <t>Indica si el registro está activo.</t>
        </is>
      </c>
      <c r="S2280" s="18" t="inlineStr">
        <is>
          <t>Media</t>
        </is>
      </c>
      <c r="T2280" s="18" t="inlineStr">
        <is>
          <t>Convención de nombre de la columna.</t>
        </is>
      </c>
      <c r="U2280" s="18" t="inlineStr"/>
      <c r="V2280" s="19" t="inlineStr">
        <is>
          <t>Pendiente</t>
        </is>
      </c>
      <c r="W2280" s="19" t="inlineStr"/>
      <c r="X2280" s="19" t="inlineStr"/>
      <c r="Y2280" s="20" t="n"/>
      <c r="Z2280" s="19" t="inlineStr"/>
      <c r="AA2280" s="18">
        <f>IF(OR(V2280="Aprobada"),R2280,IF(AND(OR(V2280="Aprobada con ajuste",V2280="Rechazada"),W2280&lt;&gt;""),W2280,""))</f>
        <v/>
      </c>
    </row>
    <row r="2281">
      <c r="A2281" s="18" t="inlineStr">
        <is>
          <t>C2280</t>
        </is>
      </c>
      <c r="B2281" s="18" t="inlineStr">
        <is>
          <t>Control disciplinario interno</t>
        </is>
      </c>
      <c r="C2281" s="18" t="inlineStr">
        <is>
          <t>internal_disciplinary_control</t>
        </is>
      </c>
      <c r="D2281" s="18" t="inlineStr">
        <is>
          <t>stage_configuration</t>
        </is>
      </c>
      <c r="E2281" s="18" t="n">
        <v>7</v>
      </c>
      <c r="F2281" s="18" t="inlineStr">
        <is>
          <t>color</t>
        </is>
      </c>
      <c r="G2281" s="18" t="inlineStr">
        <is>
          <t>character varying(50)</t>
        </is>
      </c>
      <c r="H2281" s="18" t="inlineStr">
        <is>
          <t>Sí</t>
        </is>
      </c>
      <c r="I2281" s="18" t="inlineStr"/>
      <c r="J2281" s="18" t="inlineStr"/>
      <c r="K2281" s="18" t="inlineStr"/>
      <c r="L2281" s="18" t="inlineStr">
        <is>
          <t>No</t>
        </is>
      </c>
      <c r="M2281" s="18" t="inlineStr">
        <is>
          <t>No</t>
        </is>
      </c>
      <c r="N2281" s="18" t="inlineStr"/>
      <c r="O2281" s="18" t="inlineStr"/>
      <c r="P2281" s="18" t="inlineStr">
        <is>
          <t>Mapeada en internal-disciplinary-control-service/src/entities/stage-configuration.entity.ts:20 (StageConfiguration.color)</t>
        </is>
      </c>
      <c r="Q2281" s="18" t="inlineStr">
        <is>
          <t>Propuesta semántica</t>
        </is>
      </c>
      <c r="R2281" s="18" t="inlineStr">
        <is>
          <t>Color con que se muestra la etapa en la interfaz.</t>
        </is>
      </c>
      <c r="S2281" s="18" t="inlineStr">
        <is>
          <t>Media</t>
        </is>
      </c>
      <c r="T2281" s="18" t="inlineStr">
        <is>
          <t>nombre + tipo + columnas vecinas</t>
        </is>
      </c>
      <c r="U2281" s="18" t="inlineStr">
        <is>
          <t>¿Se guarda en formato hexadecimal o como nombre de clase?</t>
        </is>
      </c>
      <c r="V2281" s="19" t="inlineStr">
        <is>
          <t>Pendiente</t>
        </is>
      </c>
      <c r="W2281" s="19" t="inlineStr"/>
      <c r="X2281" s="19" t="inlineStr"/>
      <c r="Y2281" s="20" t="n"/>
      <c r="Z2281" s="19" t="inlineStr"/>
      <c r="AA2281" s="18">
        <f>IF(OR(V2281="Aprobada"),R2281,IF(AND(OR(V2281="Aprobada con ajuste",V2281="Rechazada"),W2281&lt;&gt;""),W2281,""))</f>
        <v/>
      </c>
    </row>
    <row r="2282">
      <c r="A2282" s="18" t="inlineStr">
        <is>
          <t>C2281</t>
        </is>
      </c>
      <c r="B2282" s="18" t="inlineStr">
        <is>
          <t>Control disciplinario interno</t>
        </is>
      </c>
      <c r="C2282" s="18" t="inlineStr">
        <is>
          <t>internal_disciplinary_control</t>
        </is>
      </c>
      <c r="D2282" s="18" t="inlineStr">
        <is>
          <t>stage_configuration</t>
        </is>
      </c>
      <c r="E2282" s="18" t="n">
        <v>7</v>
      </c>
      <c r="F2282" s="18" t="inlineStr">
        <is>
          <t>orden</t>
        </is>
      </c>
      <c r="G2282" s="18" t="inlineStr">
        <is>
          <t>integer</t>
        </is>
      </c>
      <c r="H2282" s="18" t="inlineStr">
        <is>
          <t>Sí</t>
        </is>
      </c>
      <c r="I2282" s="18" t="inlineStr"/>
      <c r="J2282" s="18" t="inlineStr"/>
      <c r="K2282" s="18" t="inlineStr"/>
      <c r="L2282" s="18" t="inlineStr">
        <is>
          <t>No</t>
        </is>
      </c>
      <c r="M2282" s="18" t="inlineStr">
        <is>
          <t>No</t>
        </is>
      </c>
      <c r="N2282" s="18" t="inlineStr"/>
      <c r="O2282" s="18" t="inlineStr"/>
      <c r="P2282" s="18" t="inlineStr">
        <is>
          <t>Mapeada en internal-disciplinary-control-service/src/entities/stage-configuration.entity.ts:29 (StageConfiguration.orden) | Validación: IsInt, IsNumber, IsOptional, Max(9999), Min(0)</t>
        </is>
      </c>
      <c r="Q2282" s="18" t="inlineStr">
        <is>
          <t>Regla estructural</t>
        </is>
      </c>
      <c r="R2282" s="18" t="inlineStr">
        <is>
          <t>Posición del registro para su ordenamiento.</t>
        </is>
      </c>
      <c r="S2282" s="18" t="inlineStr">
        <is>
          <t>Media</t>
        </is>
      </c>
      <c r="T2282" s="18" t="inlineStr">
        <is>
          <t>Convención de nombre de la columna.</t>
        </is>
      </c>
      <c r="U2282" s="18" t="inlineStr"/>
      <c r="V2282" s="19" t="inlineStr">
        <is>
          <t>Pendiente</t>
        </is>
      </c>
      <c r="W2282" s="19" t="inlineStr"/>
      <c r="X2282" s="19" t="inlineStr"/>
      <c r="Y2282" s="20" t="n"/>
      <c r="Z2282" s="19" t="inlineStr"/>
      <c r="AA2282" s="18">
        <f>IF(OR(V2282="Aprobada"),R2282,IF(AND(OR(V2282="Aprobada con ajuste",V2282="Rechazada"),W2282&lt;&gt;""),W2282,""))</f>
        <v/>
      </c>
    </row>
    <row r="2283">
      <c r="A2283" s="18" t="inlineStr">
        <is>
          <t>C2282</t>
        </is>
      </c>
      <c r="B2283" s="18" t="inlineStr">
        <is>
          <t>Control disciplinario interno</t>
        </is>
      </c>
      <c r="C2283" s="18" t="inlineStr">
        <is>
          <t>internal_disciplinary_control</t>
        </is>
      </c>
      <c r="D2283" s="18" t="inlineStr">
        <is>
          <t>system_configuration</t>
        </is>
      </c>
      <c r="E2283" s="18" t="n">
        <v>1</v>
      </c>
      <c r="F2283" s="18" t="inlineStr">
        <is>
          <t>roleCapacities</t>
        </is>
      </c>
      <c r="G2283" s="18" t="inlineStr">
        <is>
          <t>jsonb</t>
        </is>
      </c>
      <c r="H2283" s="18" t="inlineStr">
        <is>
          <t>Sí</t>
        </is>
      </c>
      <c r="I2283" s="18" t="inlineStr"/>
      <c r="J2283" s="18" t="inlineStr"/>
      <c r="K2283" s="18" t="inlineStr"/>
      <c r="L2283" s="18" t="inlineStr">
        <is>
          <t>Sí</t>
        </is>
      </c>
      <c r="M2283" s="18" t="inlineStr">
        <is>
          <t>No</t>
        </is>
      </c>
      <c r="N2283" s="18" t="inlineStr"/>
      <c r="O2283" s="18" t="inlineStr"/>
      <c r="P2283" s="18" t="inlineStr">
        <is>
          <t>internal-disciplinary-control-service/src/entities/system-configuration.entity.ts:10: CAPACIDAD POR CARGO (JSON) Ejemplo: { "profesional": 10, "especializado": 15 ... }</t>
        </is>
      </c>
      <c r="Q2283" s="18" t="inlineStr">
        <is>
          <t>Código fuente</t>
        </is>
      </c>
      <c r="R2283" s="18" t="inlineStr">
        <is>
          <t>Capacidad asignada por cargo, en formato JSON (por ejemplo, {"profesional": 10, "especializado": 15}).</t>
        </is>
      </c>
      <c r="S2283" s="18" t="inlineStr">
        <is>
          <t>Media</t>
        </is>
      </c>
      <c r="T2283" s="18" t="inlineStr">
        <is>
          <t>código: internal-disciplinary-control-service/src/entities/system-configuration.entity.ts:10</t>
        </is>
      </c>
      <c r="U2283" s="18" t="inlineStr">
        <is>
          <t>¿La capacidad es el número máximo de procesos asignados simultáneamente a cada cargo?</t>
        </is>
      </c>
      <c r="V2283" s="19" t="inlineStr">
        <is>
          <t>Pendiente</t>
        </is>
      </c>
      <c r="W2283" s="19" t="inlineStr"/>
      <c r="X2283" s="19" t="inlineStr"/>
      <c r="Y2283" s="20" t="n"/>
      <c r="Z2283" s="19" t="inlineStr"/>
      <c r="AA2283" s="18">
        <f>IF(OR(V2283="Aprobada"),R2283,IF(AND(OR(V2283="Aprobada con ajuste",V2283="Rechazada"),W2283&lt;&gt;""),W2283,""))</f>
        <v/>
      </c>
    </row>
    <row r="2284">
      <c r="A2284" s="18" t="inlineStr">
        <is>
          <t>C2283</t>
        </is>
      </c>
      <c r="B2284" s="18" t="inlineStr">
        <is>
          <t>Control disciplinario interno</t>
        </is>
      </c>
      <c r="C2284" s="18" t="inlineStr">
        <is>
          <t>internal_disciplinary_control</t>
        </is>
      </c>
      <c r="D2284" s="18" t="inlineStr">
        <is>
          <t>system_configuration</t>
        </is>
      </c>
      <c r="E2284" s="18" t="n">
        <v>1</v>
      </c>
      <c r="F2284" s="18" t="inlineStr">
        <is>
          <t>notificationSettings</t>
        </is>
      </c>
      <c r="G2284" s="18" t="inlineStr">
        <is>
          <t>jsonb</t>
        </is>
      </c>
      <c r="H2284" s="18" t="inlineStr">
        <is>
          <t>Sí</t>
        </is>
      </c>
      <c r="I2284" s="18" t="inlineStr"/>
      <c r="J2284" s="18" t="inlineStr"/>
      <c r="K2284" s="18" t="inlineStr"/>
      <c r="L2284" s="18" t="inlineStr">
        <is>
          <t>Sí</t>
        </is>
      </c>
      <c r="M2284" s="18" t="inlineStr">
        <is>
          <t>No</t>
        </is>
      </c>
      <c r="N2284" s="18" t="inlineStr"/>
      <c r="O2284" s="18" t="inlineStr"/>
      <c r="P2284" s="18" t="inlineStr">
        <is>
          <t>internal-disciplinary-control-service/src/entities/system-configuration.entity.ts:15: CONFIGURACIÓN DE NOTIFICACIONES (JSON) Ejemplo: { "vencimiento7dias": true, "emailMasterSwitch": true ... }</t>
        </is>
      </c>
      <c r="Q2284" s="18" t="inlineStr">
        <is>
          <t>Código fuente</t>
        </is>
      </c>
      <c r="R2284" s="18" t="inlineStr">
        <is>
          <t>Configuración de notificaciones, en formato JSON (por ejemplo, vencimiento7dias, emailMasterSwitch).</t>
        </is>
      </c>
      <c r="S2284" s="18" t="inlineStr">
        <is>
          <t>Alta</t>
        </is>
      </c>
      <c r="T2284" s="18" t="inlineStr">
        <is>
          <t>código: internal-disciplinary-control-service/src/entities/system-configuration.entity.ts:15</t>
        </is>
      </c>
      <c r="U2284" s="18" t="inlineStr"/>
      <c r="V2284" s="19" t="inlineStr">
        <is>
          <t>Pendiente</t>
        </is>
      </c>
      <c r="W2284" s="19" t="inlineStr"/>
      <c r="X2284" s="19" t="inlineStr"/>
      <c r="Y2284" s="20" t="n"/>
      <c r="Z2284" s="19" t="inlineStr"/>
      <c r="AA2284" s="18">
        <f>IF(OR(V2284="Aprobada"),R2284,IF(AND(OR(V2284="Aprobada con ajuste",V2284="Rechazada"),W2284&lt;&gt;""),W2284,""))</f>
        <v/>
      </c>
    </row>
    <row r="2285">
      <c r="A2285" s="18" t="inlineStr">
        <is>
          <t>C2284</t>
        </is>
      </c>
      <c r="B2285" s="18" t="inlineStr">
        <is>
          <t>Control disciplinario interno</t>
        </is>
      </c>
      <c r="C2285" s="18" t="inlineStr">
        <is>
          <t>internal_disciplinary_control</t>
        </is>
      </c>
      <c r="D2285" s="18" t="inlineStr">
        <is>
          <t>system_configuration</t>
        </is>
      </c>
      <c r="E2285" s="18" t="n">
        <v>1</v>
      </c>
      <c r="F2285" s="18" t="inlineStr">
        <is>
          <t>alertSettings</t>
        </is>
      </c>
      <c r="G2285" s="18" t="inlineStr">
        <is>
          <t>jsonb</t>
        </is>
      </c>
      <c r="H2285" s="18" t="inlineStr">
        <is>
          <t>Sí</t>
        </is>
      </c>
      <c r="I2285" s="18" t="inlineStr"/>
      <c r="J2285" s="18" t="inlineStr"/>
      <c r="K2285" s="18" t="inlineStr"/>
      <c r="L2285" s="18" t="inlineStr">
        <is>
          <t>Sí</t>
        </is>
      </c>
      <c r="M2285" s="18" t="inlineStr">
        <is>
          <t>No</t>
        </is>
      </c>
      <c r="N2285" s="18" t="inlineStr"/>
      <c r="O2285" s="18" t="inlineStr"/>
      <c r="P2285" s="18" t="inlineStr">
        <is>
          <t>internal-disciplinary-control-service/src/entities/system-configuration.entity.ts:20: CONFIGURACIÓN DE ALERTAS (JSON) Ejemplo: { "porcentajeAmarillo": 85, "porcentajeRojo": 95 ... }</t>
        </is>
      </c>
      <c r="Q2285" s="18" t="inlineStr">
        <is>
          <t>Código fuente</t>
        </is>
      </c>
      <c r="R2285" s="18" t="inlineStr">
        <is>
          <t>Configuración de alertas, en formato JSON (por ejemplo, porcentajeAmarillo: 85, porcentajeRojo: 95).</t>
        </is>
      </c>
      <c r="S2285" s="18" t="inlineStr">
        <is>
          <t>Alta</t>
        </is>
      </c>
      <c r="T2285" s="18" t="inlineStr">
        <is>
          <t>código: internal-disciplinary-control-service/src/entities/system-configuration.entity.ts:20</t>
        </is>
      </c>
      <c r="U2285" s="18" t="inlineStr"/>
      <c r="V2285" s="19" t="inlineStr">
        <is>
          <t>Pendiente</t>
        </is>
      </c>
      <c r="W2285" s="19" t="inlineStr"/>
      <c r="X2285" s="19" t="inlineStr"/>
      <c r="Y2285" s="20" t="n"/>
      <c r="Z2285" s="19" t="inlineStr"/>
      <c r="AA2285" s="18">
        <f>IF(OR(V2285="Aprobada"),R2285,IF(AND(OR(V2285="Aprobada con ajuste",V2285="Rechazada"),W2285&lt;&gt;""),W2285,""))</f>
        <v/>
      </c>
    </row>
    <row r="2286">
      <c r="A2286" s="18" t="inlineStr">
        <is>
          <t>C2285</t>
        </is>
      </c>
      <c r="B2286" s="18" t="inlineStr">
        <is>
          <t>Control disciplinario interno</t>
        </is>
      </c>
      <c r="C2286" s="18" t="inlineStr">
        <is>
          <t>internal_disciplinary_control</t>
        </is>
      </c>
      <c r="D2286" s="18" t="inlineStr">
        <is>
          <t>system_configuration</t>
        </is>
      </c>
      <c r="E2286" s="18" t="n">
        <v>1</v>
      </c>
      <c r="F2286" s="18" t="inlineStr">
        <is>
          <t>securitySettings</t>
        </is>
      </c>
      <c r="G2286" s="18" t="inlineStr">
        <is>
          <t>jsonb</t>
        </is>
      </c>
      <c r="H2286" s="18" t="inlineStr">
        <is>
          <t>Sí</t>
        </is>
      </c>
      <c r="I2286" s="18" t="inlineStr"/>
      <c r="J2286" s="18" t="inlineStr"/>
      <c r="K2286" s="18" t="inlineStr"/>
      <c r="L2286" s="18" t="inlineStr">
        <is>
          <t>Sí</t>
        </is>
      </c>
      <c r="M2286" s="18" t="inlineStr">
        <is>
          <t>No</t>
        </is>
      </c>
      <c r="N2286" s="18" t="inlineStr"/>
      <c r="O2286" s="18" t="inlineStr"/>
      <c r="P2286" s="18" t="inlineStr">
        <is>
          <t>internal-disciplinary-control-service/src/entities/system-configuration.entity.ts:25: SEGURIDAD Y AUDITORÍA (JSON) Ejemplo: { "auditEnabled": true, "digitalSignature": false ... }</t>
        </is>
      </c>
      <c r="Q2286" s="18" t="inlineStr">
        <is>
          <t>Código fuente</t>
        </is>
      </c>
      <c r="R2286" s="18" t="inlineStr">
        <is>
          <t>Configuración de seguridad y auditoría, en formato JSON (por ejemplo, auditEnabled, digitalSignature).</t>
        </is>
      </c>
      <c r="S2286" s="18" t="inlineStr">
        <is>
          <t>Alta</t>
        </is>
      </c>
      <c r="T2286" s="18" t="inlineStr">
        <is>
          <t>código: internal-disciplinary-control-service/src/entities/system-configuration.entity.ts:25</t>
        </is>
      </c>
      <c r="U2286" s="18" t="inlineStr"/>
      <c r="V2286" s="19" t="inlineStr">
        <is>
          <t>Pendiente</t>
        </is>
      </c>
      <c r="W2286" s="19" t="inlineStr"/>
      <c r="X2286" s="19" t="inlineStr"/>
      <c r="Y2286" s="20" t="n"/>
      <c r="Z2286" s="19" t="inlineStr"/>
      <c r="AA2286" s="18">
        <f>IF(OR(V2286="Aprobada"),R2286,IF(AND(OR(V2286="Aprobada con ajuste",V2286="Rechazada"),W2286&lt;&gt;""),W2286,""))</f>
        <v/>
      </c>
    </row>
    <row r="2287">
      <c r="A2287" s="18" t="inlineStr">
        <is>
          <t>C2286</t>
        </is>
      </c>
      <c r="B2287" s="18" t="inlineStr">
        <is>
          <t>Control disciplinario interno</t>
        </is>
      </c>
      <c r="C2287" s="18" t="inlineStr">
        <is>
          <t>internal_disciplinary_control</t>
        </is>
      </c>
      <c r="D2287" s="18" t="inlineStr">
        <is>
          <t>system_configuration</t>
        </is>
      </c>
      <c r="E2287" s="18" t="n">
        <v>1</v>
      </c>
      <c r="F2287" s="18" t="inlineStr">
        <is>
          <t>documentTemplates</t>
        </is>
      </c>
      <c r="G2287" s="18" t="inlineStr">
        <is>
          <t>jsonb</t>
        </is>
      </c>
      <c r="H2287" s="18" t="inlineStr">
        <is>
          <t>Sí</t>
        </is>
      </c>
      <c r="I2287" s="18" t="inlineStr"/>
      <c r="J2287" s="18" t="inlineStr"/>
      <c r="K2287" s="18" t="inlineStr"/>
      <c r="L2287" s="18" t="inlineStr">
        <is>
          <t>Sí</t>
        </is>
      </c>
      <c r="M2287" s="18" t="inlineStr">
        <is>
          <t>No</t>
        </is>
      </c>
      <c r="N2287" s="18" t="inlineStr"/>
      <c r="O2287" s="18" t="inlineStr"/>
      <c r="P2287" s="18" t="inlineStr">
        <is>
          <t>internal-disciplinary-control-service/src/entities/system-configuration.entity.ts:30: PLANTILLAS DE DOCUMENTOS (JSON) Ejemplo: { "oficios": [...], "autos": [...], "actas": [...] }</t>
        </is>
      </c>
      <c r="Q2287" s="18" t="inlineStr">
        <is>
          <t>Código fuente</t>
        </is>
      </c>
      <c r="R2287" s="18" t="inlineStr">
        <is>
          <t>Plantillas de documentos (oficios, autos, actas), en formato JSON.</t>
        </is>
      </c>
      <c r="S2287" s="18" t="inlineStr">
        <is>
          <t>Alta</t>
        </is>
      </c>
      <c r="T2287" s="18" t="inlineStr">
        <is>
          <t>código: internal-disciplinary-control-service/src/entities/system-configuration.entity.ts:30</t>
        </is>
      </c>
      <c r="U2287" s="18" t="inlineStr"/>
      <c r="V2287" s="19" t="inlineStr">
        <is>
          <t>Pendiente</t>
        </is>
      </c>
      <c r="W2287" s="19" t="inlineStr"/>
      <c r="X2287" s="19" t="inlineStr"/>
      <c r="Y2287" s="20" t="n"/>
      <c r="Z2287" s="19" t="inlineStr"/>
      <c r="AA2287" s="18">
        <f>IF(OR(V2287="Aprobada"),R2287,IF(AND(OR(V2287="Aprobada con ajuste",V2287="Rechazada"),W2287&lt;&gt;""),W2287,""))</f>
        <v/>
      </c>
    </row>
    <row r="2288">
      <c r="A2288" s="18" t="inlineStr">
        <is>
          <t>C2287</t>
        </is>
      </c>
      <c r="B2288" s="18" t="inlineStr">
        <is>
          <t>Control disciplinario interno</t>
        </is>
      </c>
      <c r="C2288" s="18" t="inlineStr">
        <is>
          <t>internal_disciplinary_control</t>
        </is>
      </c>
      <c r="D2288" s="18" t="inlineStr">
        <is>
          <t>terminos_procesales</t>
        </is>
      </c>
      <c r="E2288" s="18" t="n">
        <v>23</v>
      </c>
      <c r="F2288" s="18" t="inlineStr">
        <is>
          <t>proceso_id</t>
        </is>
      </c>
      <c r="G2288" s="18" t="inlineStr">
        <is>
          <t>uuid</t>
        </is>
      </c>
      <c r="H2288" s="18" t="inlineStr">
        <is>
          <t>No</t>
        </is>
      </c>
      <c r="I2288" s="18" t="inlineStr"/>
      <c r="J2288" s="18" t="inlineStr"/>
      <c r="K2288" s="18" t="inlineStr"/>
      <c r="L2288" s="18" t="inlineStr">
        <is>
          <t>No</t>
        </is>
      </c>
      <c r="M2288" s="18" t="inlineStr">
        <is>
          <t>No</t>
        </is>
      </c>
      <c r="N2288" s="18" t="inlineStr"/>
      <c r="O2288" s="18" t="inlineStr">
        <is>
          <t>IDX_terminos_proceso_id, idx_terminos_proceso</t>
        </is>
      </c>
      <c r="P2288" s="18" t="inlineStr">
        <is>
          <t>Mapeada en internal-disciplinary-control-service/src/entities/termino-procesal.entity.ts:32 (TerminoProcesal.procesoId) | Validación: IsNotEmpty({ message: 'procesoId must not be empty' }), IsOptional, IsString({ message: 'procesoId must be a string' }), Matches(/^[0-9a-f]{8}-[0-9a-f]{4}-[0-9a-f]{4}-[0-9a-f]{4}-[0-9a-f]{12}$/i, {
    message: 'procesoId must be a valid UUID',
  })</t>
        </is>
      </c>
      <c r="Q2288" s="18" t="inlineStr">
        <is>
          <t>Propuesta semántica</t>
        </is>
      </c>
      <c r="R2288" s="18" t="inlineStr">
        <is>
          <t>Identificador (UUID) del proceso disciplinario al que pertenece el término.</t>
        </is>
      </c>
      <c r="S2288" s="18" t="inlineStr">
        <is>
          <t>Media</t>
        </is>
      </c>
      <c r="T2288" s="18" t="inlineStr">
        <is>
          <t>nombre + tipo + columnas vecinas + validación de UUID</t>
        </is>
      </c>
      <c r="U2288" s="18" t="inlineStr">
        <is>
          <t>¿Referencia a disciplinary_processes.id? No tiene FK declarada.</t>
        </is>
      </c>
      <c r="V2288" s="19" t="inlineStr">
        <is>
          <t>Pendiente</t>
        </is>
      </c>
      <c r="W2288" s="19" t="inlineStr"/>
      <c r="X2288" s="19" t="inlineStr"/>
      <c r="Y2288" s="20" t="n"/>
      <c r="Z2288" s="19" t="inlineStr"/>
      <c r="AA2288" s="18">
        <f>IF(OR(V2288="Aprobada"),R2288,IF(AND(OR(V2288="Aprobada con ajuste",V2288="Rechazada"),W2288&lt;&gt;""),W2288,""))</f>
        <v/>
      </c>
    </row>
    <row r="2289">
      <c r="A2289" s="18" t="inlineStr">
        <is>
          <t>C2288</t>
        </is>
      </c>
      <c r="B2289" s="18" t="inlineStr">
        <is>
          <t>Control disciplinario interno</t>
        </is>
      </c>
      <c r="C2289" s="18" t="inlineStr">
        <is>
          <t>internal_disciplinary_control</t>
        </is>
      </c>
      <c r="D2289" s="18" t="inlineStr">
        <is>
          <t>terminos_procesales</t>
        </is>
      </c>
      <c r="E2289" s="18" t="n">
        <v>23</v>
      </c>
      <c r="F2289" s="18" t="inlineStr">
        <is>
          <t>numero_proceso</t>
        </is>
      </c>
      <c r="G2289" s="18" t="inlineStr">
        <is>
          <t>character varying(20)</t>
        </is>
      </c>
      <c r="H2289" s="18" t="inlineStr">
        <is>
          <t>Sí</t>
        </is>
      </c>
      <c r="I2289" s="18" t="inlineStr"/>
      <c r="J2289" s="18" t="inlineStr"/>
      <c r="K2289" s="18" t="inlineStr"/>
      <c r="L2289" s="18" t="inlineStr">
        <is>
          <t>No</t>
        </is>
      </c>
      <c r="M2289" s="18" t="inlineStr">
        <is>
          <t>No</t>
        </is>
      </c>
      <c r="N2289" s="18" t="inlineStr"/>
      <c r="O2289" s="18" t="inlineStr"/>
      <c r="P2289" s="18" t="inlineStr">
        <is>
          <t>internal-disciplinary-control-service/src/entities/termino-procesal.entity.ts:39: Puede venir vacío si aún no hay radicado visible</t>
        </is>
      </c>
      <c r="Q2289" s="18" t="inlineStr">
        <is>
          <t>Código fuente</t>
        </is>
      </c>
      <c r="R2289" s="18" t="inlineStr">
        <is>
          <t>Número de radicado del proceso; puede estar vacío si aún no hay radicado visible.</t>
        </is>
      </c>
      <c r="S2289" s="18" t="inlineStr">
        <is>
          <t>Alta</t>
        </is>
      </c>
      <c r="T2289" s="18" t="inlineStr">
        <is>
          <t>código: termino-procesal.entity.ts:39</t>
        </is>
      </c>
      <c r="U2289" s="18" t="inlineStr"/>
      <c r="V2289" s="19" t="inlineStr">
        <is>
          <t>Pendiente</t>
        </is>
      </c>
      <c r="W2289" s="19" t="inlineStr"/>
      <c r="X2289" s="19" t="inlineStr"/>
      <c r="Y2289" s="20" t="n"/>
      <c r="Z2289" s="19" t="inlineStr"/>
      <c r="AA2289" s="18">
        <f>IF(OR(V2289="Aprobada"),R2289,IF(AND(OR(V2289="Aprobada con ajuste",V2289="Rechazada"),W2289&lt;&gt;""),W2289,""))</f>
        <v/>
      </c>
    </row>
    <row r="2290">
      <c r="A2290" s="18" t="inlineStr">
        <is>
          <t>C2289</t>
        </is>
      </c>
      <c r="B2290" s="18" t="inlineStr">
        <is>
          <t>Control disciplinario interno</t>
        </is>
      </c>
      <c r="C2290" s="18" t="inlineStr">
        <is>
          <t>internal_disciplinary_control</t>
        </is>
      </c>
      <c r="D2290" s="18" t="inlineStr">
        <is>
          <t>terminos_procesales</t>
        </is>
      </c>
      <c r="E2290" s="18" t="n">
        <v>23</v>
      </c>
      <c r="F2290" s="18" t="inlineStr">
        <is>
          <t>actuacion</t>
        </is>
      </c>
      <c r="G2290" s="18" t="inlineStr">
        <is>
          <t>character varying(200)</t>
        </is>
      </c>
      <c r="H2290" s="18" t="inlineStr">
        <is>
          <t>No</t>
        </is>
      </c>
      <c r="I2290" s="18" t="inlineStr"/>
      <c r="J2290" s="18" t="inlineStr"/>
      <c r="K2290" s="18" t="inlineStr"/>
      <c r="L2290" s="18" t="inlineStr">
        <is>
          <t>No</t>
        </is>
      </c>
      <c r="M2290" s="18" t="inlineStr">
        <is>
          <t>No</t>
        </is>
      </c>
      <c r="N2290" s="18" t="inlineStr"/>
      <c r="O2290" s="18" t="inlineStr"/>
      <c r="P2290" s="18" t="inlineStr">
        <is>
          <t>internal-disciplinary-control-service/src/entities/termino-procesal.entity.ts:42: Tipo de actuación procesal | Validación: IsNotEmpty, IsOptional, IsString</t>
        </is>
      </c>
      <c r="Q2290" s="18" t="inlineStr">
        <is>
          <t>Código fuente</t>
        </is>
      </c>
      <c r="R2290" s="18" t="inlineStr">
        <is>
          <t>Tipo de actuación procesal a la que corresponde el término.</t>
        </is>
      </c>
      <c r="S2290" s="18" t="inlineStr">
        <is>
          <t>Alta</t>
        </is>
      </c>
      <c r="T2290" s="18" t="inlineStr">
        <is>
          <t>código: termino-procesal.entity.ts:42</t>
        </is>
      </c>
      <c r="U2290" s="18" t="inlineStr"/>
      <c r="V2290" s="19" t="inlineStr">
        <is>
          <t>Pendiente</t>
        </is>
      </c>
      <c r="W2290" s="19" t="inlineStr"/>
      <c r="X2290" s="19" t="inlineStr"/>
      <c r="Y2290" s="20" t="n"/>
      <c r="Z2290" s="19" t="inlineStr"/>
      <c r="AA2290" s="18">
        <f>IF(OR(V2290="Aprobada"),R2290,IF(AND(OR(V2290="Aprobada con ajuste",V2290="Rechazada"),W2290&lt;&gt;""),W2290,""))</f>
        <v/>
      </c>
    </row>
    <row r="2291">
      <c r="A2291" s="18" t="inlineStr">
        <is>
          <t>C2290</t>
        </is>
      </c>
      <c r="B2291" s="18" t="inlineStr">
        <is>
          <t>Control disciplinario interno</t>
        </is>
      </c>
      <c r="C2291" s="18" t="inlineStr">
        <is>
          <t>internal_disciplinary_control</t>
        </is>
      </c>
      <c r="D2291" s="18" t="inlineStr">
        <is>
          <t>terminos_procesales</t>
        </is>
      </c>
      <c r="E2291" s="18" t="n">
        <v>23</v>
      </c>
      <c r="F2291" s="18" t="inlineStr">
        <is>
          <t>responsable_id</t>
        </is>
      </c>
      <c r="G2291" s="18" t="inlineStr">
        <is>
          <t>uuid</t>
        </is>
      </c>
      <c r="H2291" s="18" t="inlineStr">
        <is>
          <t>No</t>
        </is>
      </c>
      <c r="I2291" s="18" t="inlineStr"/>
      <c r="J2291" s="18" t="inlineStr"/>
      <c r="K2291" s="18" t="inlineStr"/>
      <c r="L2291" s="18" t="inlineStr">
        <is>
          <t>No</t>
        </is>
      </c>
      <c r="M2291" s="18" t="inlineStr">
        <is>
          <t>No</t>
        </is>
      </c>
      <c r="N2291" s="18" t="inlineStr"/>
      <c r="O2291" s="18" t="inlineStr">
        <is>
          <t>IDX_terminos_responsable_id, idx_terminos_responsable</t>
        </is>
      </c>
      <c r="P2291" s="18" t="inlineStr">
        <is>
          <t>internal-disciplinary-control-service/src/entities/termino-procesal.entity.ts:45: FK a personas (tabla externa) | Validación: IsNotEmpty({ message: 'responsableId must not be empty' }), IsOptional, IsString({ message: 'responsableId must be a string' }), Matches(/^[0-9a-f]{8}-[0-9a-f]{4}-[0-9a-f]{4}-[0-9a-f]{4}-[0-9a-f]{12}$/i, {
    message: 'responsableId must be a valid UUID',
  })</t>
        </is>
      </c>
      <c r="Q2291" s="18" t="inlineStr">
        <is>
          <t>Código fuente</t>
        </is>
      </c>
      <c r="R2291" s="18" t="inlineStr">
        <is>
          <t>Identificador de la persona responsable del término (auth.personas).</t>
        </is>
      </c>
      <c r="S2291" s="18" t="inlineStr">
        <is>
          <t>Alta</t>
        </is>
      </c>
      <c r="T2291" s="18" t="inlineStr">
        <is>
          <t>código: termino-procesal.entity.ts:45</t>
        </is>
      </c>
      <c r="U2291" s="18" t="inlineStr"/>
      <c r="V2291" s="19" t="inlineStr">
        <is>
          <t>Pendiente</t>
        </is>
      </c>
      <c r="W2291" s="19" t="inlineStr"/>
      <c r="X2291" s="19" t="inlineStr"/>
      <c r="Y2291" s="20" t="n"/>
      <c r="Z2291" s="19" t="inlineStr"/>
      <c r="AA2291" s="18">
        <f>IF(OR(V2291="Aprobada"),R2291,IF(AND(OR(V2291="Aprobada con ajuste",V2291="Rechazada"),W2291&lt;&gt;""),W2291,""))</f>
        <v/>
      </c>
    </row>
    <row r="2292">
      <c r="A2292" s="18" t="inlineStr">
        <is>
          <t>C2291</t>
        </is>
      </c>
      <c r="B2292" s="18" t="inlineStr">
        <is>
          <t>Control disciplinario interno</t>
        </is>
      </c>
      <c r="C2292" s="18" t="inlineStr">
        <is>
          <t>internal_disciplinary_control</t>
        </is>
      </c>
      <c r="D2292" s="18" t="inlineStr">
        <is>
          <t>terminos_procesales</t>
        </is>
      </c>
      <c r="E2292" s="18" t="n">
        <v>23</v>
      </c>
      <c r="F2292" s="18" t="inlineStr">
        <is>
          <t>responsable_nombre</t>
        </is>
      </c>
      <c r="G2292" s="18" t="inlineStr">
        <is>
          <t>character varying(200)</t>
        </is>
      </c>
      <c r="H2292" s="18" t="inlineStr">
        <is>
          <t>No</t>
        </is>
      </c>
      <c r="I2292" s="18" t="inlineStr"/>
      <c r="J2292" s="18" t="inlineStr"/>
      <c r="K2292" s="18" t="inlineStr"/>
      <c r="L2292" s="18" t="inlineStr">
        <is>
          <t>No</t>
        </is>
      </c>
      <c r="M2292" s="18" t="inlineStr">
        <is>
          <t>No</t>
        </is>
      </c>
      <c r="N2292" s="18" t="inlineStr"/>
      <c r="O2292" s="18" t="inlineStr"/>
      <c r="P2292" s="18" t="inlineStr">
        <is>
          <t>internal-disciplinary-control-service/src/entities/termino-procesal.entity.ts:48: Denormalizado para performance | Validación: IsNotEmpty, IsOptional, IsString, MaxLength(255)</t>
        </is>
      </c>
      <c r="Q2292" s="18" t="inlineStr">
        <is>
          <t>Código fuente</t>
        </is>
      </c>
      <c r="R2292" s="18" t="inlineStr">
        <is>
          <t>Nombre del responsable del término, copiado de la persona responsable.</t>
        </is>
      </c>
      <c r="S2292" s="18" t="inlineStr">
        <is>
          <t>Alta</t>
        </is>
      </c>
      <c r="T2292" s="18" t="inlineStr">
        <is>
          <t>código: termino-procesal.entity.ts:48</t>
        </is>
      </c>
      <c r="U2292" s="18" t="inlineStr"/>
      <c r="V2292" s="19" t="inlineStr">
        <is>
          <t>Pendiente</t>
        </is>
      </c>
      <c r="W2292" s="19" t="inlineStr"/>
      <c r="X2292" s="19" t="inlineStr"/>
      <c r="Y2292" s="20" t="n"/>
      <c r="Z2292" s="19" t="inlineStr"/>
      <c r="AA2292" s="18">
        <f>IF(OR(V2292="Aprobada"),R2292,IF(AND(OR(V2292="Aprobada con ajuste",V2292="Rechazada"),W2292&lt;&gt;""),W2292,""))</f>
        <v/>
      </c>
    </row>
    <row r="2293">
      <c r="A2293" s="18" t="inlineStr">
        <is>
          <t>C2292</t>
        </is>
      </c>
      <c r="B2293" s="18" t="inlineStr">
        <is>
          <t>Control disciplinario interno</t>
        </is>
      </c>
      <c r="C2293" s="18" t="inlineStr">
        <is>
          <t>internal_disciplinary_control</t>
        </is>
      </c>
      <c r="D2293" s="18" t="inlineStr">
        <is>
          <t>terminos_procesales</t>
        </is>
      </c>
      <c r="E2293" s="18" t="n">
        <v>23</v>
      </c>
      <c r="F2293" s="18" t="inlineStr">
        <is>
          <t>email_responsable</t>
        </is>
      </c>
      <c r="G2293" s="18" t="inlineStr">
        <is>
          <t>character varying(100)</t>
        </is>
      </c>
      <c r="H2293" s="18" t="inlineStr">
        <is>
          <t>No</t>
        </is>
      </c>
      <c r="I2293" s="18" t="inlineStr"/>
      <c r="J2293" s="18" t="inlineStr"/>
      <c r="K2293" s="18" t="inlineStr"/>
      <c r="L2293" s="18" t="inlineStr">
        <is>
          <t>No</t>
        </is>
      </c>
      <c r="M2293" s="18" t="inlineStr">
        <is>
          <t>No</t>
        </is>
      </c>
      <c r="N2293" s="18" t="inlineStr"/>
      <c r="O2293" s="18" t="inlineStr"/>
      <c r="P2293" s="18" t="inlineStr">
        <is>
          <t>Mapeada en internal-disciplinary-control-service/src/entities/termino-procesal.entity.ts:51 (TerminoProcesal.emailResponsable)</t>
        </is>
      </c>
      <c r="Q2293" s="18" t="inlineStr">
        <is>
          <t>Propuesta semántica</t>
        </is>
      </c>
      <c r="R2293" s="18" t="inlineStr">
        <is>
          <t>Correo electrónico del responsable del término.</t>
        </is>
      </c>
      <c r="S2293" s="18" t="inlineStr">
        <is>
          <t>Alta</t>
        </is>
      </c>
      <c r="T2293" s="18" t="inlineStr">
        <is>
          <t>nombre + columnas vecinas (responsable_id, responsable_nombre)</t>
        </is>
      </c>
      <c r="U2293" s="18" t="inlineStr"/>
      <c r="V2293" s="19" t="inlineStr">
        <is>
          <t>Pendiente</t>
        </is>
      </c>
      <c r="W2293" s="19" t="inlineStr"/>
      <c r="X2293" s="19" t="inlineStr"/>
      <c r="Y2293" s="20" t="n"/>
      <c r="Z2293" s="19" t="inlineStr"/>
      <c r="AA2293" s="18">
        <f>IF(OR(V2293="Aprobada"),R2293,IF(AND(OR(V2293="Aprobada con ajuste",V2293="Rechazada"),W2293&lt;&gt;""),W2293,""))</f>
        <v/>
      </c>
    </row>
    <row r="2294">
      <c r="A2294" s="18" t="inlineStr">
        <is>
          <t>C2293</t>
        </is>
      </c>
      <c r="B2294" s="18" t="inlineStr">
        <is>
          <t>Control disciplinario interno</t>
        </is>
      </c>
      <c r="C2294" s="18" t="inlineStr">
        <is>
          <t>internal_disciplinary_control</t>
        </is>
      </c>
      <c r="D2294" s="18" t="inlineStr">
        <is>
          <t>terminos_procesales</t>
        </is>
      </c>
      <c r="E2294" s="18" t="n">
        <v>23</v>
      </c>
      <c r="F2294" s="18" t="inlineStr">
        <is>
          <t>fecha_inicio</t>
        </is>
      </c>
      <c r="G2294" s="18" t="inlineStr">
        <is>
          <t>date</t>
        </is>
      </c>
      <c r="H2294" s="18" t="inlineStr">
        <is>
          <t>No</t>
        </is>
      </c>
      <c r="I2294" s="18" t="inlineStr"/>
      <c r="J2294" s="18" t="inlineStr"/>
      <c r="K2294" s="18" t="inlineStr"/>
      <c r="L2294" s="18" t="inlineStr">
        <is>
          <t>No</t>
        </is>
      </c>
      <c r="M2294" s="18" t="inlineStr">
        <is>
          <t>No</t>
        </is>
      </c>
      <c r="N2294" s="18" t="inlineStr"/>
      <c r="O2294" s="18" t="inlineStr"/>
      <c r="P2294" s="18" t="inlineStr">
        <is>
          <t>Mapeada en internal-disciplinary-control-service/src/entities/termino-procesal.entity.ts:54 (TerminoProcesal.fechaInicio) | Validación: IsDateString, IsNotEmpty, IsOptional</t>
        </is>
      </c>
      <c r="Q2294" s="18" t="inlineStr">
        <is>
          <t>Regla estructural</t>
        </is>
      </c>
      <c r="R2294" s="18" t="inlineStr">
        <is>
          <t>Fecha de inicio.</t>
        </is>
      </c>
      <c r="S2294" s="18" t="inlineStr">
        <is>
          <t>Media</t>
        </is>
      </c>
      <c r="T2294" s="18" t="inlineStr">
        <is>
          <t>Convención de nombre de la columna.</t>
        </is>
      </c>
      <c r="U2294" s="18" t="inlineStr"/>
      <c r="V2294" s="19" t="inlineStr">
        <is>
          <t>Pendiente</t>
        </is>
      </c>
      <c r="W2294" s="19" t="inlineStr"/>
      <c r="X2294" s="19" t="inlineStr"/>
      <c r="Y2294" s="20" t="n"/>
      <c r="Z2294" s="19" t="inlineStr"/>
      <c r="AA2294" s="18">
        <f>IF(OR(V2294="Aprobada"),R2294,IF(AND(OR(V2294="Aprobada con ajuste",V2294="Rechazada"),W2294&lt;&gt;""),W2294,""))</f>
        <v/>
      </c>
    </row>
    <row r="2295">
      <c r="A2295" s="18" t="inlineStr">
        <is>
          <t>C2294</t>
        </is>
      </c>
      <c r="B2295" s="18" t="inlineStr">
        <is>
          <t>Control disciplinario interno</t>
        </is>
      </c>
      <c r="C2295" s="18" t="inlineStr">
        <is>
          <t>internal_disciplinary_control</t>
        </is>
      </c>
      <c r="D2295" s="18" t="inlineStr">
        <is>
          <t>terminos_procesales</t>
        </is>
      </c>
      <c r="E2295" s="18" t="n">
        <v>23</v>
      </c>
      <c r="F2295" s="18" t="inlineStr">
        <is>
          <t>dias_habiles</t>
        </is>
      </c>
      <c r="G2295" s="18" t="inlineStr">
        <is>
          <t>integer</t>
        </is>
      </c>
      <c r="H2295" s="18" t="inlineStr">
        <is>
          <t>No</t>
        </is>
      </c>
      <c r="I2295" s="18" t="inlineStr"/>
      <c r="J2295" s="18" t="inlineStr"/>
      <c r="K2295" s="18" t="inlineStr"/>
      <c r="L2295" s="18" t="inlineStr">
        <is>
          <t>No</t>
        </is>
      </c>
      <c r="M2295" s="18" t="inlineStr">
        <is>
          <t>No</t>
        </is>
      </c>
      <c r="N2295" s="18" t="inlineStr"/>
      <c r="O2295" s="18" t="inlineStr"/>
      <c r="P2295" s="18" t="inlineStr">
        <is>
          <t>internal-disciplinary-control-service/src/entities/termino-procesal.entity.ts:57: CHECK: &gt; 0 AND &lt;= 180 | Validación: IsInt, IsOptional, Max(180), Min(1)</t>
        </is>
      </c>
      <c r="Q2295" s="18" t="inlineStr">
        <is>
          <t>Código fuente</t>
        </is>
      </c>
      <c r="R2295" s="18" t="inlineStr">
        <is>
          <t>Número de días hábiles del término, mayor que 0 y hasta 180.</t>
        </is>
      </c>
      <c r="S2295" s="18" t="inlineStr">
        <is>
          <t>Alta</t>
        </is>
      </c>
      <c r="T2295" s="18" t="inlineStr">
        <is>
          <t>código: termino-procesal.entity.ts:57</t>
        </is>
      </c>
      <c r="U2295" s="18" t="inlineStr"/>
      <c r="V2295" s="19" t="inlineStr">
        <is>
          <t>Pendiente</t>
        </is>
      </c>
      <c r="W2295" s="19" t="inlineStr"/>
      <c r="X2295" s="19" t="inlineStr"/>
      <c r="Y2295" s="20" t="n"/>
      <c r="Z2295" s="19" t="inlineStr"/>
      <c r="AA2295" s="18">
        <f>IF(OR(V2295="Aprobada"),R2295,IF(AND(OR(V2295="Aprobada con ajuste",V2295="Rechazada"),W2295&lt;&gt;""),W2295,""))</f>
        <v/>
      </c>
    </row>
    <row r="2296">
      <c r="A2296" s="18" t="inlineStr">
        <is>
          <t>C2295</t>
        </is>
      </c>
      <c r="B2296" s="18" t="inlineStr">
        <is>
          <t>Control disciplinario interno</t>
        </is>
      </c>
      <c r="C2296" s="18" t="inlineStr">
        <is>
          <t>internal_disciplinary_control</t>
        </is>
      </c>
      <c r="D2296" s="18" t="inlineStr">
        <is>
          <t>terminos_procesales</t>
        </is>
      </c>
      <c r="E2296" s="18" t="n">
        <v>23</v>
      </c>
      <c r="F2296" s="18" t="inlineStr">
        <is>
          <t>fecha_vencimiento</t>
        </is>
      </c>
      <c r="G2296" s="18" t="inlineStr">
        <is>
          <t>date</t>
        </is>
      </c>
      <c r="H2296" s="18" t="inlineStr">
        <is>
          <t>No</t>
        </is>
      </c>
      <c r="I2296" s="18" t="inlineStr"/>
      <c r="J2296" s="18" t="inlineStr"/>
      <c r="K2296" s="18" t="inlineStr"/>
      <c r="L2296" s="18" t="inlineStr">
        <is>
          <t>No</t>
        </is>
      </c>
      <c r="M2296" s="18" t="inlineStr">
        <is>
          <t>No</t>
        </is>
      </c>
      <c r="N2296" s="18" t="inlineStr"/>
      <c r="O2296" s="18" t="inlineStr">
        <is>
          <t>IDX_terminos_fecha_vencimiento, idx_terminos_fecha_vencimiento</t>
        </is>
      </c>
      <c r="P2296" s="18" t="inlineStr">
        <is>
          <t>Mapeada en internal-disciplinary-control-service/src/entities/termino-procesal.entity.ts:60 (TerminoProcesal.fechaVencimiento) | Validación: IsDateString, IsNotEmpty</t>
        </is>
      </c>
      <c r="Q2296" s="18" t="inlineStr">
        <is>
          <t>Regla estructural</t>
        </is>
      </c>
      <c r="R2296" s="18" t="inlineStr">
        <is>
          <t>Fecha de vencimiento.</t>
        </is>
      </c>
      <c r="S2296" s="18" t="inlineStr">
        <is>
          <t>Media</t>
        </is>
      </c>
      <c r="T2296" s="18" t="inlineStr">
        <is>
          <t>Convención de nombre de la columna.</t>
        </is>
      </c>
      <c r="U2296" s="18" t="inlineStr"/>
      <c r="V2296" s="19" t="inlineStr">
        <is>
          <t>Pendiente</t>
        </is>
      </c>
      <c r="W2296" s="19" t="inlineStr"/>
      <c r="X2296" s="19" t="inlineStr"/>
      <c r="Y2296" s="20" t="n"/>
      <c r="Z2296" s="19" t="inlineStr"/>
      <c r="AA2296" s="18">
        <f>IF(OR(V2296="Aprobada"),R2296,IF(AND(OR(V2296="Aprobada con ajuste",V2296="Rechazada"),W2296&lt;&gt;""),W2296,""))</f>
        <v/>
      </c>
    </row>
    <row r="2297">
      <c r="A2297" s="18" t="inlineStr">
        <is>
          <t>C2296</t>
        </is>
      </c>
      <c r="B2297" s="18" t="inlineStr">
        <is>
          <t>Control disciplinario interno</t>
        </is>
      </c>
      <c r="C2297" s="18" t="inlineStr">
        <is>
          <t>internal_disciplinary_control</t>
        </is>
      </c>
      <c r="D2297" s="18" t="inlineStr">
        <is>
          <t>terminos_procesales</t>
        </is>
      </c>
      <c r="E2297" s="18" t="n">
        <v>23</v>
      </c>
      <c r="F2297" s="18" t="inlineStr">
        <is>
          <t>dias_restantes</t>
        </is>
      </c>
      <c r="G2297" s="18" t="inlineStr">
        <is>
          <t>integer</t>
        </is>
      </c>
      <c r="H2297" s="18" t="inlineStr">
        <is>
          <t>No</t>
        </is>
      </c>
      <c r="I2297" s="18" t="inlineStr"/>
      <c r="J2297" s="18" t="inlineStr"/>
      <c r="K2297" s="18" t="inlineStr"/>
      <c r="L2297" s="18" t="inlineStr">
        <is>
          <t>No</t>
        </is>
      </c>
      <c r="M2297" s="18" t="inlineStr">
        <is>
          <t>No</t>
        </is>
      </c>
      <c r="N2297" s="18" t="inlineStr"/>
      <c r="O2297" s="18" t="inlineStr">
        <is>
          <t>IDX_terminos_dias_restantes, idx_terminos_dias_restantes</t>
        </is>
      </c>
      <c r="P2297" s="18" t="inlineStr">
        <is>
          <t>internal-disciplinary-control-service/src/entities/termino-procesal.entity.ts:63: CHECK: &gt;= -365 (permite hasta 1 año vencido)</t>
        </is>
      </c>
      <c r="Q2297" s="18" t="inlineStr">
        <is>
          <t>Código fuente</t>
        </is>
      </c>
      <c r="R2297" s="18" t="inlineStr">
        <is>
          <t>Días que faltan para el vencimiento del término; negativo si está vencido, con mínimo de -365.</t>
        </is>
      </c>
      <c r="S2297" s="18" t="inlineStr">
        <is>
          <t>Alta</t>
        </is>
      </c>
      <c r="T2297" s="18" t="inlineStr">
        <is>
          <t>código: termino-procesal.entity.ts:63</t>
        </is>
      </c>
      <c r="U2297" s="18" t="inlineStr"/>
      <c r="V2297" s="19" t="inlineStr">
        <is>
          <t>Pendiente</t>
        </is>
      </c>
      <c r="W2297" s="19" t="inlineStr"/>
      <c r="X2297" s="19" t="inlineStr"/>
      <c r="Y2297" s="20" t="n"/>
      <c r="Z2297" s="19" t="inlineStr"/>
      <c r="AA2297" s="18">
        <f>IF(OR(V2297="Aprobada"),R2297,IF(AND(OR(V2297="Aprobada con ajuste",V2297="Rechazada"),W2297&lt;&gt;""),W2297,""))</f>
        <v/>
      </c>
    </row>
    <row r="2298">
      <c r="A2298" s="18" t="inlineStr">
        <is>
          <t>C2297</t>
        </is>
      </c>
      <c r="B2298" s="18" t="inlineStr">
        <is>
          <t>Control disciplinario interno</t>
        </is>
      </c>
      <c r="C2298" s="18" t="inlineStr">
        <is>
          <t>internal_disciplinary_control</t>
        </is>
      </c>
      <c r="D2298" s="18" t="inlineStr">
        <is>
          <t>terminos_procesales</t>
        </is>
      </c>
      <c r="E2298" s="18" t="n">
        <v>23</v>
      </c>
      <c r="F2298" s="18" t="inlineStr">
        <is>
          <t>estado</t>
        </is>
      </c>
      <c r="G2298" s="18" t="inlineStr">
        <is>
          <t>internal_disciplinary_control.termino_estado_enum</t>
        </is>
      </c>
      <c r="H2298" s="18" t="inlineStr">
        <is>
          <t>No</t>
        </is>
      </c>
      <c r="I2298" s="18" t="inlineStr">
        <is>
          <t>Enumerado</t>
        </is>
      </c>
      <c r="J2298" s="18" t="inlineStr">
        <is>
          <t>pendiente, proximo_vencer, vencido, cumplido</t>
        </is>
      </c>
      <c r="K2298" s="18" t="inlineStr"/>
      <c r="L2298" s="18" t="inlineStr">
        <is>
          <t>Sí</t>
        </is>
      </c>
      <c r="M2298" s="18" t="inlineStr">
        <is>
          <t>No</t>
        </is>
      </c>
      <c r="N2298" s="18" t="inlineStr"/>
      <c r="O2298" s="18" t="inlineStr">
        <is>
          <t>IDX_terminos_estado, idx_terminos_estado</t>
        </is>
      </c>
      <c r="P2298" s="18" t="inlineStr">
        <is>
          <t>Mapeada en internal-disciplinary-control-service/src/entities/termino-procesal.entity.ts:66 (TerminoProcesal.estado) | Validación: IsBoolean, IsEnum(AutoStatus), IsEnum(EstadoAlerta), IsEnum(TerminoEstado), IsIn(['activo', 'inactivo']), IsOptional</t>
        </is>
      </c>
      <c r="Q2298" s="18" t="inlineStr">
        <is>
          <t>Regla estructural</t>
        </is>
      </c>
      <c r="R2298" s="18" t="inlineStr">
        <is>
          <t>Estado del registro de terminos_procesales.</t>
        </is>
      </c>
      <c r="S2298" s="18" t="inlineStr">
        <is>
          <t>Media</t>
        </is>
      </c>
      <c r="T2298" s="18" t="inlineStr">
        <is>
          <t>Convención de nombre de la columna.</t>
        </is>
      </c>
      <c r="U2298" s="18" t="inlineStr"/>
      <c r="V2298" s="19" t="inlineStr">
        <is>
          <t>Pendiente</t>
        </is>
      </c>
      <c r="W2298" s="19" t="inlineStr"/>
      <c r="X2298" s="19" t="inlineStr"/>
      <c r="Y2298" s="20" t="n"/>
      <c r="Z2298" s="19" t="inlineStr"/>
      <c r="AA2298" s="18">
        <f>IF(OR(V2298="Aprobada"),R2298,IF(AND(OR(V2298="Aprobada con ajuste",V2298="Rechazada"),W2298&lt;&gt;""),W2298,""))</f>
        <v/>
      </c>
    </row>
    <row r="2299">
      <c r="A2299" s="18" t="inlineStr">
        <is>
          <t>C2298</t>
        </is>
      </c>
      <c r="B2299" s="18" t="inlineStr">
        <is>
          <t>Control disciplinario interno</t>
        </is>
      </c>
      <c r="C2299" s="18" t="inlineStr">
        <is>
          <t>internal_disciplinary_control</t>
        </is>
      </c>
      <c r="D2299" s="18" t="inlineStr">
        <is>
          <t>terminos_procesales</t>
        </is>
      </c>
      <c r="E2299" s="18" t="n">
        <v>23</v>
      </c>
      <c r="F2299" s="18" t="inlineStr">
        <is>
          <t>alerta_enviada</t>
        </is>
      </c>
      <c r="G2299" s="18" t="inlineStr">
        <is>
          <t>boolean</t>
        </is>
      </c>
      <c r="H2299" s="18" t="inlineStr">
        <is>
          <t>No</t>
        </is>
      </c>
      <c r="I2299" s="18" t="inlineStr"/>
      <c r="J2299" s="18" t="inlineStr"/>
      <c r="K2299" s="18" t="inlineStr"/>
      <c r="L2299" s="18" t="inlineStr">
        <is>
          <t>No</t>
        </is>
      </c>
      <c r="M2299" s="18" t="inlineStr">
        <is>
          <t>No</t>
        </is>
      </c>
      <c r="N2299" s="18" t="inlineStr"/>
      <c r="O2299" s="18" t="inlineStr"/>
      <c r="P2299" s="18" t="inlineStr">
        <is>
          <t>Mapeada en internal-disciplinary-control-service/src/entities/termino-procesal.entity.ts:73 (TerminoProcesal.alertaEnviada)</t>
        </is>
      </c>
      <c r="Q2299" s="18" t="inlineStr">
        <is>
          <t>Regla estructural</t>
        </is>
      </c>
      <c r="R2299" s="18" t="inlineStr">
        <is>
          <t>Indica si el registro está alerta enviada.</t>
        </is>
      </c>
      <c r="S2299" s="18" t="inlineStr">
        <is>
          <t>Media</t>
        </is>
      </c>
      <c r="T2299" s="18" t="inlineStr">
        <is>
          <t>Convención de nombre de la columna.</t>
        </is>
      </c>
      <c r="U2299" s="18" t="inlineStr"/>
      <c r="V2299" s="19" t="inlineStr">
        <is>
          <t>Pendiente</t>
        </is>
      </c>
      <c r="W2299" s="19" t="inlineStr"/>
      <c r="X2299" s="19" t="inlineStr"/>
      <c r="Y2299" s="20" t="n"/>
      <c r="Z2299" s="19" t="inlineStr"/>
      <c r="AA2299" s="18">
        <f>IF(OR(V2299="Aprobada"),R2299,IF(AND(OR(V2299="Aprobada con ajuste",V2299="Rechazada"),W2299&lt;&gt;""),W2299,""))</f>
        <v/>
      </c>
    </row>
    <row r="2300">
      <c r="A2300" s="18" t="inlineStr">
        <is>
          <t>C2299</t>
        </is>
      </c>
      <c r="B2300" s="18" t="inlineStr">
        <is>
          <t>Control disciplinario interno</t>
        </is>
      </c>
      <c r="C2300" s="18" t="inlineStr">
        <is>
          <t>internal_disciplinary_control</t>
        </is>
      </c>
      <c r="D2300" s="18" t="inlineStr">
        <is>
          <t>terminos_procesales</t>
        </is>
      </c>
      <c r="E2300" s="18" t="n">
        <v>23</v>
      </c>
      <c r="F2300" s="18" t="inlineStr">
        <is>
          <t>fecha_cumplimiento</t>
        </is>
      </c>
      <c r="G2300" s="18" t="inlineStr">
        <is>
          <t>date</t>
        </is>
      </c>
      <c r="H2300" s="18" t="inlineStr">
        <is>
          <t>Sí</t>
        </is>
      </c>
      <c r="I2300" s="18" t="inlineStr"/>
      <c r="J2300" s="18" t="inlineStr"/>
      <c r="K2300" s="18" t="inlineStr"/>
      <c r="L2300" s="18" t="inlineStr">
        <is>
          <t>No</t>
        </is>
      </c>
      <c r="M2300" s="18" t="inlineStr">
        <is>
          <t>No</t>
        </is>
      </c>
      <c r="N2300" s="18" t="inlineStr"/>
      <c r="O2300" s="18" t="inlineStr"/>
      <c r="P2300" s="18" t="inlineStr">
        <is>
          <t>Mapeada en internal-disciplinary-control-service/src/entities/termino-procesal.entity.ts:76 (TerminoProcesal.fechaCumplimiento) | Validación: IsDateString, IsNotEmpty</t>
        </is>
      </c>
      <c r="Q2300" s="18" t="inlineStr">
        <is>
          <t>Regla estructural</t>
        </is>
      </c>
      <c r="R2300" s="18" t="inlineStr">
        <is>
          <t>Fecha de cumplimiento.</t>
        </is>
      </c>
      <c r="S2300" s="18" t="inlineStr">
        <is>
          <t>Media</t>
        </is>
      </c>
      <c r="T2300" s="18" t="inlineStr">
        <is>
          <t>Convención de nombre de la columna.</t>
        </is>
      </c>
      <c r="U2300" s="18" t="inlineStr"/>
      <c r="V2300" s="19" t="inlineStr">
        <is>
          <t>Pendiente</t>
        </is>
      </c>
      <c r="W2300" s="19" t="inlineStr"/>
      <c r="X2300" s="19" t="inlineStr"/>
      <c r="Y2300" s="20" t="n"/>
      <c r="Z2300" s="19" t="inlineStr"/>
      <c r="AA2300" s="18">
        <f>IF(OR(V2300="Aprobada"),R2300,IF(AND(OR(V2300="Aprobada con ajuste",V2300="Rechazada"),W2300&lt;&gt;""),W2300,""))</f>
        <v/>
      </c>
    </row>
    <row r="2301">
      <c r="A2301" s="18" t="inlineStr">
        <is>
          <t>C2300</t>
        </is>
      </c>
      <c r="B2301" s="18" t="inlineStr">
        <is>
          <t>Control disciplinario interno</t>
        </is>
      </c>
      <c r="C2301" s="18" t="inlineStr">
        <is>
          <t>internal_disciplinary_control</t>
        </is>
      </c>
      <c r="D2301" s="18" t="inlineStr">
        <is>
          <t>terminos_procesales</t>
        </is>
      </c>
      <c r="E2301" s="18" t="n">
        <v>23</v>
      </c>
      <c r="F2301" s="18" t="inlineStr">
        <is>
          <t>observaciones</t>
        </is>
      </c>
      <c r="G2301" s="18" t="inlineStr">
        <is>
          <t>text</t>
        </is>
      </c>
      <c r="H2301" s="18" t="inlineStr">
        <is>
          <t>Sí</t>
        </is>
      </c>
      <c r="I2301" s="18" t="inlineStr"/>
      <c r="J2301" s="18" t="inlineStr"/>
      <c r="K2301" s="18" t="inlineStr"/>
      <c r="L2301" s="18" t="inlineStr">
        <is>
          <t>No</t>
        </is>
      </c>
      <c r="M2301" s="18" t="inlineStr">
        <is>
          <t>No</t>
        </is>
      </c>
      <c r="N2301" s="18" t="inlineStr"/>
      <c r="O2301" s="18" t="inlineStr"/>
      <c r="P2301" s="18" t="inlineStr">
        <is>
          <t>Mapeada en internal-disciplinary-control-service/src/entities/termino-procesal.entity.ts:79 (TerminoProcesal.observaciones) | Validación: IsNotEmpty, IsOptional, IsString</t>
        </is>
      </c>
      <c r="Q2301" s="18" t="inlineStr">
        <is>
          <t>Regla estructural</t>
        </is>
      </c>
      <c r="R2301" s="18" t="inlineStr">
        <is>
          <t>Observaciones registradas sobre el registro.</t>
        </is>
      </c>
      <c r="S2301" s="18" t="inlineStr">
        <is>
          <t>Media</t>
        </is>
      </c>
      <c r="T2301" s="18" t="inlineStr">
        <is>
          <t>Convención de nombre de la columna.</t>
        </is>
      </c>
      <c r="U2301" s="18" t="inlineStr"/>
      <c r="V2301" s="19" t="inlineStr">
        <is>
          <t>Pendiente</t>
        </is>
      </c>
      <c r="W2301" s="19" t="inlineStr"/>
      <c r="X2301" s="19" t="inlineStr"/>
      <c r="Y2301" s="20" t="n"/>
      <c r="Z2301" s="19" t="inlineStr"/>
      <c r="AA2301" s="18">
        <f>IF(OR(V2301="Aprobada"),R2301,IF(AND(OR(V2301="Aprobada con ajuste",V2301="Rechazada"),W2301&lt;&gt;""),W2301,""))</f>
        <v/>
      </c>
    </row>
    <row r="2302">
      <c r="A2302" s="18" t="inlineStr">
        <is>
          <t>C2301</t>
        </is>
      </c>
      <c r="B2302" s="18" t="inlineStr">
        <is>
          <t>Control disciplinario interno</t>
        </is>
      </c>
      <c r="C2302" s="18" t="inlineStr">
        <is>
          <t>internal_disciplinary_control</t>
        </is>
      </c>
      <c r="D2302" s="18" t="inlineStr">
        <is>
          <t>terminos_procesales</t>
        </is>
      </c>
      <c r="E2302" s="18" t="n">
        <v>23</v>
      </c>
      <c r="F2302" s="18" t="inlineStr">
        <is>
          <t>creado_por_id</t>
        </is>
      </c>
      <c r="G2302" s="18" t="inlineStr">
        <is>
          <t>uuid</t>
        </is>
      </c>
      <c r="H2302" s="18" t="inlineStr">
        <is>
          <t>No</t>
        </is>
      </c>
      <c r="I2302" s="18" t="inlineStr"/>
      <c r="J2302" s="18" t="inlineStr"/>
      <c r="K2302" s="18" t="inlineStr"/>
      <c r="L2302" s="18" t="inlineStr">
        <is>
          <t>No</t>
        </is>
      </c>
      <c r="M2302" s="18" t="inlineStr">
        <is>
          <t>No</t>
        </is>
      </c>
      <c r="N2302" s="18" t="inlineStr"/>
      <c r="O2302" s="18" t="inlineStr"/>
      <c r="P2302" s="18" t="inlineStr">
        <is>
          <t>internal-disciplinary-control-service/src/entities/termino-procesal.entity.ts:82: FK a personas</t>
        </is>
      </c>
      <c r="Q2302" s="18" t="inlineStr">
        <is>
          <t>Código fuente</t>
        </is>
      </c>
      <c r="R2302" s="18" t="inlineStr">
        <is>
          <t>Identificador de la persona que registró el término (auth.personas).</t>
        </is>
      </c>
      <c r="S2302" s="18" t="inlineStr">
        <is>
          <t>Alta</t>
        </is>
      </c>
      <c r="T2302" s="18" t="inlineStr">
        <is>
          <t>código: termino-procesal.entity.ts:82</t>
        </is>
      </c>
      <c r="U2302" s="18" t="inlineStr"/>
      <c r="V2302" s="19" t="inlineStr">
        <is>
          <t>Pendiente</t>
        </is>
      </c>
      <c r="W2302" s="19" t="inlineStr"/>
      <c r="X2302" s="19" t="inlineStr"/>
      <c r="Y2302" s="20" t="n"/>
      <c r="Z2302" s="19" t="inlineStr"/>
      <c r="AA2302" s="18">
        <f>IF(OR(V2302="Aprobada"),R2302,IF(AND(OR(V2302="Aprobada con ajuste",V2302="Rechazada"),W2302&lt;&gt;""),W2302,""))</f>
        <v/>
      </c>
    </row>
    <row r="2303">
      <c r="A2303" s="18" t="inlineStr">
        <is>
          <t>C2302</t>
        </is>
      </c>
      <c r="B2303" s="18" t="inlineStr">
        <is>
          <t>Requerimientos</t>
        </is>
      </c>
      <c r="C2303" s="18" t="inlineStr">
        <is>
          <t>requerimientos_oc</t>
        </is>
      </c>
      <c r="D2303" s="18" t="inlineStr">
        <is>
          <t>avances_hallazgo</t>
        </is>
      </c>
      <c r="E2303" s="18" t="n">
        <v>0</v>
      </c>
      <c r="F2303" s="18" t="inlineStr">
        <is>
          <t>fecha_reporte</t>
        </is>
      </c>
      <c r="G2303" s="18" t="inlineStr">
        <is>
          <t>timestamp without time zone</t>
        </is>
      </c>
      <c r="H2303" s="18" t="inlineStr">
        <is>
          <t>Sí</t>
        </is>
      </c>
      <c r="I2303" s="18" t="inlineStr"/>
      <c r="J2303" s="18" t="inlineStr"/>
      <c r="K2303" s="18" t="inlineStr"/>
      <c r="L2303" s="18" t="inlineStr">
        <is>
          <t>No</t>
        </is>
      </c>
      <c r="M2303" s="18" t="inlineStr">
        <is>
          <t>No</t>
        </is>
      </c>
      <c r="N2303" s="18" t="inlineStr"/>
      <c r="O2303" s="18" t="inlineStr">
        <is>
          <t>idx_avances_fecha</t>
        </is>
      </c>
      <c r="P2303" s="18" t="inlineStr"/>
      <c r="Q2303" s="18" t="inlineStr">
        <is>
          <t>Regla estructural</t>
        </is>
      </c>
      <c r="R2303" s="18" t="inlineStr">
        <is>
          <t>Fecha de reporte.</t>
        </is>
      </c>
      <c r="S2303" s="18" t="inlineStr">
        <is>
          <t>Media</t>
        </is>
      </c>
      <c r="T2303" s="18" t="inlineStr">
        <is>
          <t>Convención de nombre de la columna.</t>
        </is>
      </c>
      <c r="U2303" s="18" t="inlineStr"/>
      <c r="V2303" s="19" t="inlineStr">
        <is>
          <t>Pendiente</t>
        </is>
      </c>
      <c r="W2303" s="19" t="inlineStr"/>
      <c r="X2303" s="19" t="inlineStr"/>
      <c r="Y2303" s="20" t="n"/>
      <c r="Z2303" s="19" t="inlineStr"/>
      <c r="AA2303" s="18">
        <f>IF(OR(V2303="Aprobada"),R2303,IF(AND(OR(V2303="Aprobada con ajuste",V2303="Rechazada"),W2303&lt;&gt;""),W2303,""))</f>
        <v/>
      </c>
    </row>
    <row r="2304">
      <c r="A2304" s="18" t="inlineStr">
        <is>
          <t>C2303</t>
        </is>
      </c>
      <c r="B2304" s="18" t="inlineStr">
        <is>
          <t>Requerimientos</t>
        </is>
      </c>
      <c r="C2304" s="18" t="inlineStr">
        <is>
          <t>requerimientos_oc</t>
        </is>
      </c>
      <c r="D2304" s="18" t="inlineStr">
        <is>
          <t>avances_hallazgo</t>
        </is>
      </c>
      <c r="E2304" s="18" t="n">
        <v>0</v>
      </c>
      <c r="F2304" s="18" t="inlineStr">
        <is>
          <t>porcentaje_avance</t>
        </is>
      </c>
      <c r="G2304" s="18" t="inlineStr">
        <is>
          <t>integer</t>
        </is>
      </c>
      <c r="H2304" s="18" t="inlineStr">
        <is>
          <t>Sí</t>
        </is>
      </c>
      <c r="I2304" s="18" t="inlineStr">
        <is>
          <t>CHECK</t>
        </is>
      </c>
      <c r="J2304" s="18" t="inlineStr"/>
      <c r="K2304" s="18" t="inlineStr"/>
      <c r="L2304" s="18" t="inlineStr">
        <is>
          <t>No</t>
        </is>
      </c>
      <c r="M2304" s="18" t="inlineStr">
        <is>
          <t>No</t>
        </is>
      </c>
      <c r="N2304" s="18" t="inlineStr"/>
      <c r="O2304" s="18" t="inlineStr"/>
      <c r="P2304" s="18" t="inlineStr"/>
      <c r="Q2304" s="18" t="inlineStr">
        <is>
          <t>Propuesta semántica</t>
        </is>
      </c>
      <c r="R2304" s="18" t="inlineStr">
        <is>
          <t>Porcentaje de avance reportado para el hallazgo (0 a 100).</t>
        </is>
      </c>
      <c r="S2304" s="18" t="inlineStr">
        <is>
          <t>Alta</t>
        </is>
      </c>
      <c r="T2304" s="18" t="inlineStr">
        <is>
          <t>nombre + tipo + columnas vecinas</t>
        </is>
      </c>
      <c r="U2304" s="18" t="inlineStr"/>
      <c r="V2304" s="19" t="inlineStr">
        <is>
          <t>Pendiente</t>
        </is>
      </c>
      <c r="W2304" s="19" t="inlineStr"/>
      <c r="X2304" s="19" t="inlineStr"/>
      <c r="Y2304" s="20" t="n"/>
      <c r="Z2304" s="19" t="inlineStr"/>
      <c r="AA2304" s="18">
        <f>IF(OR(V2304="Aprobada"),R2304,IF(AND(OR(V2304="Aprobada con ajuste",V2304="Rechazada"),W2304&lt;&gt;""),W2304,""))</f>
        <v/>
      </c>
    </row>
    <row r="2305">
      <c r="A2305" s="18" t="inlineStr">
        <is>
          <t>C2304</t>
        </is>
      </c>
      <c r="B2305" s="18" t="inlineStr">
        <is>
          <t>Requerimientos</t>
        </is>
      </c>
      <c r="C2305" s="18" t="inlineStr">
        <is>
          <t>requerimientos_oc</t>
        </is>
      </c>
      <c r="D2305" s="18" t="inlineStr">
        <is>
          <t>avances_hallazgo</t>
        </is>
      </c>
      <c r="E2305" s="18" t="n">
        <v>0</v>
      </c>
      <c r="F2305" s="18" t="inlineStr">
        <is>
          <t>descripcion_avance</t>
        </is>
      </c>
      <c r="G2305" s="18" t="inlineStr">
        <is>
          <t>text</t>
        </is>
      </c>
      <c r="H2305" s="18" t="inlineStr">
        <is>
          <t>No</t>
        </is>
      </c>
      <c r="I2305" s="18" t="inlineStr"/>
      <c r="J2305" s="18" t="inlineStr"/>
      <c r="K2305" s="18" t="inlineStr"/>
      <c r="L2305" s="18" t="inlineStr">
        <is>
          <t>No</t>
        </is>
      </c>
      <c r="M2305" s="18" t="inlineStr">
        <is>
          <t>No</t>
        </is>
      </c>
      <c r="N2305" s="18" t="inlineStr"/>
      <c r="O2305" s="18" t="inlineStr"/>
      <c r="P2305" s="18" t="inlineStr"/>
      <c r="Q2305" s="18" t="inlineStr">
        <is>
          <t>Propuesta semántica</t>
        </is>
      </c>
      <c r="R2305" s="18" t="inlineStr">
        <is>
          <t>Descripción del avance reportado.</t>
        </is>
      </c>
      <c r="S2305" s="18" t="inlineStr">
        <is>
          <t>Alta</t>
        </is>
      </c>
      <c r="T2305" s="18" t="inlineStr">
        <is>
          <t>nombre + tipo</t>
        </is>
      </c>
      <c r="U2305" s="18" t="inlineStr"/>
      <c r="V2305" s="19" t="inlineStr">
        <is>
          <t>Pendiente</t>
        </is>
      </c>
      <c r="W2305" s="19" t="inlineStr"/>
      <c r="X2305" s="19" t="inlineStr"/>
      <c r="Y2305" s="20" t="n"/>
      <c r="Z2305" s="19" t="inlineStr"/>
      <c r="AA2305" s="18">
        <f>IF(OR(V2305="Aprobada"),R2305,IF(AND(OR(V2305="Aprobada con ajuste",V2305="Rechazada"),W2305&lt;&gt;""),W2305,""))</f>
        <v/>
      </c>
    </row>
    <row r="2306">
      <c r="A2306" s="18" t="inlineStr">
        <is>
          <t>C2305</t>
        </is>
      </c>
      <c r="B2306" s="18" t="inlineStr">
        <is>
          <t>Requerimientos</t>
        </is>
      </c>
      <c r="C2306" s="18" t="inlineStr">
        <is>
          <t>requerimientos_oc</t>
        </is>
      </c>
      <c r="D2306" s="18" t="inlineStr">
        <is>
          <t>avances_hallazgo</t>
        </is>
      </c>
      <c r="E2306" s="18" t="n">
        <v>0</v>
      </c>
      <c r="F2306" s="18" t="inlineStr">
        <is>
          <t>documentos_adjuntos_urls</t>
        </is>
      </c>
      <c r="G2306" s="18" t="inlineStr">
        <is>
          <t>text[]</t>
        </is>
      </c>
      <c r="H2306" s="18" t="inlineStr">
        <is>
          <t>Sí</t>
        </is>
      </c>
      <c r="I2306" s="18" t="inlineStr"/>
      <c r="J2306" s="18" t="inlineStr"/>
      <c r="K2306" s="18" t="inlineStr"/>
      <c r="L2306" s="18" t="inlineStr">
        <is>
          <t>No</t>
        </is>
      </c>
      <c r="M2306" s="18" t="inlineStr">
        <is>
          <t>No</t>
        </is>
      </c>
      <c r="N2306" s="18" t="inlineStr"/>
      <c r="O2306" s="18" t="inlineStr"/>
      <c r="P2306" s="18" t="inlineStr"/>
      <c r="Q2306" s="18" t="inlineStr">
        <is>
          <t>Propuesta semántica</t>
        </is>
      </c>
      <c r="R2306" s="18" t="inlineStr">
        <is>
          <t>Lista de URL de los documentos que soportan el avance.</t>
        </is>
      </c>
      <c r="S2306" s="18" t="inlineStr">
        <is>
          <t>Alta</t>
        </is>
      </c>
      <c r="T2306" s="18" t="inlineStr">
        <is>
          <t>nombre + tipo</t>
        </is>
      </c>
      <c r="U2306" s="18" t="inlineStr"/>
      <c r="V2306" s="19" t="inlineStr">
        <is>
          <t>Pendiente</t>
        </is>
      </c>
      <c r="W2306" s="19" t="inlineStr"/>
      <c r="X2306" s="19" t="inlineStr"/>
      <c r="Y2306" s="20" t="n"/>
      <c r="Z2306" s="19" t="inlineStr"/>
      <c r="AA2306" s="18">
        <f>IF(OR(V2306="Aprobada"),R2306,IF(AND(OR(V2306="Aprobada con ajuste",V2306="Rechazada"),W2306&lt;&gt;""),W2306,""))</f>
        <v/>
      </c>
    </row>
    <row r="2307">
      <c r="A2307" s="18" t="inlineStr">
        <is>
          <t>C2306</t>
        </is>
      </c>
      <c r="B2307" s="18" t="inlineStr">
        <is>
          <t>Requerimientos</t>
        </is>
      </c>
      <c r="C2307" s="18" t="inlineStr">
        <is>
          <t>requerimientos_oc</t>
        </is>
      </c>
      <c r="D2307" s="18" t="inlineStr">
        <is>
          <t>avances_hallazgo</t>
        </is>
      </c>
      <c r="E2307" s="18" t="n">
        <v>0</v>
      </c>
      <c r="F2307" s="18" t="inlineStr">
        <is>
          <t>reportado_a_sireci</t>
        </is>
      </c>
      <c r="G2307" s="18" t="inlineStr">
        <is>
          <t>boolean</t>
        </is>
      </c>
      <c r="H2307" s="18" t="inlineStr">
        <is>
          <t>Sí</t>
        </is>
      </c>
      <c r="I2307" s="18" t="inlineStr"/>
      <c r="J2307" s="18" t="inlineStr"/>
      <c r="K2307" s="18" t="inlineStr"/>
      <c r="L2307" s="18" t="inlineStr">
        <is>
          <t>No</t>
        </is>
      </c>
      <c r="M2307" s="18" t="inlineStr">
        <is>
          <t>No</t>
        </is>
      </c>
      <c r="N2307" s="18" t="inlineStr"/>
      <c r="O2307" s="18" t="inlineStr"/>
      <c r="P2307" s="18" t="inlineStr"/>
      <c r="Q2307" s="18" t="inlineStr">
        <is>
          <t>Regla estructural</t>
        </is>
      </c>
      <c r="R2307" s="18" t="inlineStr">
        <is>
          <t>Indica si aplica: reportado a sireci.</t>
        </is>
      </c>
      <c r="S2307" s="18" t="inlineStr">
        <is>
          <t>Media</t>
        </is>
      </c>
      <c r="T2307" s="18" t="inlineStr">
        <is>
          <t>Convención de nombre de la columna.</t>
        </is>
      </c>
      <c r="U2307" s="18" t="inlineStr"/>
      <c r="V2307" s="19" t="inlineStr">
        <is>
          <t>Pendiente</t>
        </is>
      </c>
      <c r="W2307" s="19" t="inlineStr"/>
      <c r="X2307" s="19" t="inlineStr"/>
      <c r="Y2307" s="20" t="n"/>
      <c r="Z2307" s="19" t="inlineStr"/>
      <c r="AA2307" s="18">
        <f>IF(OR(V2307="Aprobada"),R2307,IF(AND(OR(V2307="Aprobada con ajuste",V2307="Rechazada"),W2307&lt;&gt;""),W2307,""))</f>
        <v/>
      </c>
    </row>
    <row r="2308">
      <c r="A2308" s="18" t="inlineStr">
        <is>
          <t>C2307</t>
        </is>
      </c>
      <c r="B2308" s="18" t="inlineStr">
        <is>
          <t>Requerimientos</t>
        </is>
      </c>
      <c r="C2308" s="18" t="inlineStr">
        <is>
          <t>requerimientos_oc</t>
        </is>
      </c>
      <c r="D2308" s="18" t="inlineStr">
        <is>
          <t>avances_hallazgo</t>
        </is>
      </c>
      <c r="E2308" s="18" t="n">
        <v>0</v>
      </c>
      <c r="F2308" s="18" t="inlineStr">
        <is>
          <t>fecha_reporte_sireci</t>
        </is>
      </c>
      <c r="G2308" s="18" t="inlineStr">
        <is>
          <t>timestamp without time zone</t>
        </is>
      </c>
      <c r="H2308" s="18" t="inlineStr">
        <is>
          <t>Sí</t>
        </is>
      </c>
      <c r="I2308" s="18" t="inlineStr"/>
      <c r="J2308" s="18" t="inlineStr"/>
      <c r="K2308" s="18" t="inlineStr"/>
      <c r="L2308" s="18" t="inlineStr">
        <is>
          <t>No</t>
        </is>
      </c>
      <c r="M2308" s="18" t="inlineStr">
        <is>
          <t>No</t>
        </is>
      </c>
      <c r="N2308" s="18" t="inlineStr"/>
      <c r="O2308" s="18" t="inlineStr"/>
      <c r="P2308" s="18" t="inlineStr"/>
      <c r="Q2308" s="18" t="inlineStr">
        <is>
          <t>Regla estructural</t>
        </is>
      </c>
      <c r="R2308" s="18" t="inlineStr">
        <is>
          <t>Fecha de reporte sireci.</t>
        </is>
      </c>
      <c r="S2308" s="18" t="inlineStr">
        <is>
          <t>Media</t>
        </is>
      </c>
      <c r="T2308" s="18" t="inlineStr">
        <is>
          <t>Convención de nombre de la columna.</t>
        </is>
      </c>
      <c r="U2308" s="18" t="inlineStr"/>
      <c r="V2308" s="19" t="inlineStr">
        <is>
          <t>Pendiente</t>
        </is>
      </c>
      <c r="W2308" s="19" t="inlineStr"/>
      <c r="X2308" s="19" t="inlineStr"/>
      <c r="Y2308" s="20" t="n"/>
      <c r="Z2308" s="19" t="inlineStr"/>
      <c r="AA2308" s="18">
        <f>IF(OR(V2308="Aprobada"),R2308,IF(AND(OR(V2308="Aprobada con ajuste",V2308="Rechazada"),W2308&lt;&gt;""),W2308,""))</f>
        <v/>
      </c>
    </row>
    <row r="2309">
      <c r="A2309" s="18" t="inlineStr">
        <is>
          <t>C2308</t>
        </is>
      </c>
      <c r="B2309" s="18" t="inlineStr">
        <is>
          <t>Requerimientos</t>
        </is>
      </c>
      <c r="C2309" s="18" t="inlineStr">
        <is>
          <t>requerimientos_oc</t>
        </is>
      </c>
      <c r="D2309" s="18" t="inlineStr">
        <is>
          <t>avances_hallazgo</t>
        </is>
      </c>
      <c r="E2309" s="18" t="n">
        <v>0</v>
      </c>
      <c r="F2309" s="18" t="inlineStr">
        <is>
          <t>reportado_por</t>
        </is>
      </c>
      <c r="G2309" s="18" t="inlineStr">
        <is>
          <t>character varying(150)</t>
        </is>
      </c>
      <c r="H2309" s="18" t="inlineStr">
        <is>
          <t>Sí</t>
        </is>
      </c>
      <c r="I2309" s="18" t="inlineStr"/>
      <c r="J2309" s="18" t="inlineStr"/>
      <c r="K2309" s="18" t="inlineStr"/>
      <c r="L2309" s="18" t="inlineStr">
        <is>
          <t>No</t>
        </is>
      </c>
      <c r="M2309" s="18" t="inlineStr">
        <is>
          <t>No</t>
        </is>
      </c>
      <c r="N2309" s="18" t="inlineStr"/>
      <c r="O2309" s="18" t="inlineStr"/>
      <c r="P2309" s="18" t="inlineStr"/>
      <c r="Q2309" s="18" t="inlineStr">
        <is>
          <t>Propuesta semántica</t>
        </is>
      </c>
      <c r="R2309" s="18" t="inlineStr">
        <is>
          <t>Nombre del funcionario que reportó el avance.</t>
        </is>
      </c>
      <c r="S2309" s="18" t="inlineStr">
        <is>
          <t>Media</t>
        </is>
      </c>
      <c r="T2309" s="18" t="inlineStr">
        <is>
          <t>nombre + tipo</t>
        </is>
      </c>
      <c r="U2309" s="18" t="inlineStr">
        <is>
          <t>¿Se guarda el nombre, el correo o el identificador del usuario?</t>
        </is>
      </c>
      <c r="V2309" s="19" t="inlineStr">
        <is>
          <t>Pendiente</t>
        </is>
      </c>
      <c r="W2309" s="19" t="inlineStr"/>
      <c r="X2309" s="19" t="inlineStr"/>
      <c r="Y2309" s="20" t="n"/>
      <c r="Z2309" s="19" t="inlineStr"/>
      <c r="AA2309" s="18">
        <f>IF(OR(V2309="Aprobada"),R2309,IF(AND(OR(V2309="Aprobada con ajuste",V2309="Rechazada"),W2309&lt;&gt;""),W2309,""))</f>
        <v/>
      </c>
    </row>
    <row r="2310">
      <c r="A2310" s="18" t="inlineStr">
        <is>
          <t>C2309</t>
        </is>
      </c>
      <c r="B2310" s="18" t="inlineStr">
        <is>
          <t>Requerimientos</t>
        </is>
      </c>
      <c r="C2310" s="18" t="inlineStr">
        <is>
          <t>requerimientos_oc</t>
        </is>
      </c>
      <c r="D2310" s="18" t="inlineStr">
        <is>
          <t>cat_organismos_control</t>
        </is>
      </c>
      <c r="E2310" s="18" t="n">
        <v>25</v>
      </c>
      <c r="F2310" s="18" t="inlineStr">
        <is>
          <t>nombre</t>
        </is>
      </c>
      <c r="G2310" s="18" t="inlineStr">
        <is>
          <t>character varying(255)</t>
        </is>
      </c>
      <c r="H2310" s="18" t="inlineStr">
        <is>
          <t>No</t>
        </is>
      </c>
      <c r="I2310" s="18" t="inlineStr">
        <is>
          <t>Única</t>
        </is>
      </c>
      <c r="J2310" s="18" t="inlineStr"/>
      <c r="K2310" s="18" t="inlineStr"/>
      <c r="L2310" s="18" t="inlineStr">
        <is>
          <t>Sí</t>
        </is>
      </c>
      <c r="M2310" s="18" t="inlineStr">
        <is>
          <t>No</t>
        </is>
      </c>
      <c r="N2310" s="18" t="inlineStr"/>
      <c r="O2310" s="18" t="inlineStr">
        <is>
          <t>cat_organismos_control_nombre_key</t>
        </is>
      </c>
      <c r="P2310" s="18" t="inlineStr">
        <is>
          <t>Mapeada en legal-management-service/src/entities/organismo-control.entity.ts:9 (OrganismoControl.nombre)</t>
        </is>
      </c>
      <c r="Q2310" s="18" t="inlineStr">
        <is>
          <t>Regla estructural</t>
        </is>
      </c>
      <c r="R2310" s="18" t="inlineStr">
        <is>
          <t>Nombre del registro de cat_organismos_control.</t>
        </is>
      </c>
      <c r="S2310" s="18" t="inlineStr">
        <is>
          <t>Media</t>
        </is>
      </c>
      <c r="T2310" s="18" t="inlineStr">
        <is>
          <t>Convención de nombre de la columna.</t>
        </is>
      </c>
      <c r="U2310" s="18" t="inlineStr"/>
      <c r="V2310" s="19" t="inlineStr">
        <is>
          <t>Pendiente</t>
        </is>
      </c>
      <c r="W2310" s="19" t="inlineStr"/>
      <c r="X2310" s="19" t="inlineStr"/>
      <c r="Y2310" s="20" t="n"/>
      <c r="Z2310" s="19" t="inlineStr"/>
      <c r="AA2310" s="18">
        <f>IF(OR(V2310="Aprobada"),R2310,IF(AND(OR(V2310="Aprobada con ajuste",V2310="Rechazada"),W2310&lt;&gt;""),W2310,""))</f>
        <v/>
      </c>
    </row>
    <row r="2311">
      <c r="A2311" s="18" t="inlineStr">
        <is>
          <t>C2310</t>
        </is>
      </c>
      <c r="B2311" s="18" t="inlineStr">
        <is>
          <t>Requerimientos</t>
        </is>
      </c>
      <c r="C2311" s="18" t="inlineStr">
        <is>
          <t>requerimientos_oc</t>
        </is>
      </c>
      <c r="D2311" s="18" t="inlineStr">
        <is>
          <t>cat_organismos_control</t>
        </is>
      </c>
      <c r="E2311" s="18" t="n">
        <v>25</v>
      </c>
      <c r="F2311" s="18" t="inlineStr">
        <is>
          <t>sigla</t>
        </is>
      </c>
      <c r="G2311" s="18" t="inlineStr">
        <is>
          <t>character varying(50)</t>
        </is>
      </c>
      <c r="H2311" s="18" t="inlineStr">
        <is>
          <t>No</t>
        </is>
      </c>
      <c r="I2311" s="18" t="inlineStr"/>
      <c r="J2311" s="18" t="inlineStr"/>
      <c r="K2311" s="18" t="inlineStr"/>
      <c r="L2311" s="18" t="inlineStr">
        <is>
          <t>Sí</t>
        </is>
      </c>
      <c r="M2311" s="18" t="inlineStr">
        <is>
          <t>No</t>
        </is>
      </c>
      <c r="N2311" s="18" t="inlineStr"/>
      <c r="O2311" s="18" t="inlineStr"/>
      <c r="P2311" s="18" t="inlineStr">
        <is>
          <t>Mapeada en legal-management-service/src/entities/organismo-control.entity.ts:12 (OrganismoControl.sigla)</t>
        </is>
      </c>
      <c r="Q2311" s="18" t="inlineStr">
        <is>
          <t>Propuesta semántica</t>
        </is>
      </c>
      <c r="R2311" s="18" t="inlineStr">
        <is>
          <t>Sigla del organismo de control.</t>
        </is>
      </c>
      <c r="S2311" s="18" t="inlineStr">
        <is>
          <t>Alta</t>
        </is>
      </c>
      <c r="T2311" s="18" t="inlineStr">
        <is>
          <t>nombre + tipo + descripción de la tabla</t>
        </is>
      </c>
      <c r="U2311" s="18" t="inlineStr"/>
      <c r="V2311" s="19" t="inlineStr">
        <is>
          <t>Pendiente</t>
        </is>
      </c>
      <c r="W2311" s="19" t="inlineStr"/>
      <c r="X2311" s="19" t="inlineStr"/>
      <c r="Y2311" s="20" t="n"/>
      <c r="Z2311" s="19" t="inlineStr"/>
      <c r="AA2311" s="18">
        <f>IF(OR(V2311="Aprobada"),R2311,IF(AND(OR(V2311="Aprobada con ajuste",V2311="Rechazada"),W2311&lt;&gt;""),W2311,""))</f>
        <v/>
      </c>
    </row>
    <row r="2312">
      <c r="A2312" s="18" t="inlineStr">
        <is>
          <t>C2311</t>
        </is>
      </c>
      <c r="B2312" s="18" t="inlineStr">
        <is>
          <t>Requerimientos</t>
        </is>
      </c>
      <c r="C2312" s="18" t="inlineStr">
        <is>
          <t>requerimientos_oc</t>
        </is>
      </c>
      <c r="D2312" s="18" t="inlineStr">
        <is>
          <t>cat_organismos_control</t>
        </is>
      </c>
      <c r="E2312" s="18" t="n">
        <v>25</v>
      </c>
      <c r="F2312" s="18" t="inlineStr">
        <is>
          <t>tipo</t>
        </is>
      </c>
      <c r="G2312" s="18" t="inlineStr">
        <is>
          <t>character varying(50)</t>
        </is>
      </c>
      <c r="H2312" s="18" t="inlineStr">
        <is>
          <t>No</t>
        </is>
      </c>
      <c r="I2312" s="18" t="inlineStr"/>
      <c r="J2312" s="18" t="inlineStr"/>
      <c r="K2312" s="18" t="inlineStr"/>
      <c r="L2312" s="18" t="inlineStr">
        <is>
          <t>Sí</t>
        </is>
      </c>
      <c r="M2312" s="18" t="inlineStr">
        <is>
          <t>No</t>
        </is>
      </c>
      <c r="N2312" s="18" t="inlineStr"/>
      <c r="O2312" s="18" t="inlineStr"/>
      <c r="P2312" s="18" t="inlineStr">
        <is>
          <t>legal-management-service/src/entities/organismo-control.entity.ts:15: CONTRALORIA, PROCURADURIA, MINISTERIO, SUPERINTENDENCIA, OTROS | db/init/old/011_schema_organos_control.sql:14: CONTRALORIA, PROCURADURIA, MINISTERIO, SUPERINTENDENCIA, OTROS</t>
        </is>
      </c>
      <c r="Q2312" s="18" t="inlineStr">
        <is>
          <t>Código fuente</t>
        </is>
      </c>
      <c r="R2312" s="18" t="inlineStr">
        <is>
          <t>Tipo de organismo de control. Valores: CONTRALORIA, PROCURADURIA, MINISTERIO, SUPERINTENDENCIA, OTROS.</t>
        </is>
      </c>
      <c r="S2312" s="18" t="inlineStr">
        <is>
          <t>Alta</t>
        </is>
      </c>
      <c r="T2312" s="18" t="inlineStr">
        <is>
          <t>código: organismo-control.entity.ts:15</t>
        </is>
      </c>
      <c r="U2312" s="18" t="inlineStr"/>
      <c r="V2312" s="19" t="inlineStr">
        <is>
          <t>Pendiente</t>
        </is>
      </c>
      <c r="W2312" s="19" t="inlineStr"/>
      <c r="X2312" s="19" t="inlineStr"/>
      <c r="Y2312" s="20" t="n"/>
      <c r="Z2312" s="19" t="inlineStr"/>
      <c r="AA2312" s="18">
        <f>IF(OR(V2312="Aprobada"),R2312,IF(AND(OR(V2312="Aprobada con ajuste",V2312="Rechazada"),W2312&lt;&gt;""),W2312,""))</f>
        <v/>
      </c>
    </row>
    <row r="2313">
      <c r="A2313" s="18" t="inlineStr">
        <is>
          <t>C2312</t>
        </is>
      </c>
      <c r="B2313" s="18" t="inlineStr">
        <is>
          <t>Requerimientos</t>
        </is>
      </c>
      <c r="C2313" s="18" t="inlineStr">
        <is>
          <t>requerimientos_oc</t>
        </is>
      </c>
      <c r="D2313" s="18" t="inlineStr">
        <is>
          <t>cat_organismos_control</t>
        </is>
      </c>
      <c r="E2313" s="18" t="n">
        <v>25</v>
      </c>
      <c r="F2313" s="18" t="inlineStr">
        <is>
          <t>nivel</t>
        </is>
      </c>
      <c r="G2313" s="18" t="inlineStr">
        <is>
          <t>character varying(50)</t>
        </is>
      </c>
      <c r="H2313" s="18" t="inlineStr">
        <is>
          <t>No</t>
        </is>
      </c>
      <c r="I2313" s="18" t="inlineStr"/>
      <c r="J2313" s="18" t="inlineStr"/>
      <c r="K2313" s="18" t="inlineStr"/>
      <c r="L2313" s="18" t="inlineStr">
        <is>
          <t>Sí</t>
        </is>
      </c>
      <c r="M2313" s="18" t="inlineStr">
        <is>
          <t>No</t>
        </is>
      </c>
      <c r="N2313" s="18" t="inlineStr"/>
      <c r="O2313" s="18" t="inlineStr"/>
      <c r="P2313" s="18" t="inlineStr">
        <is>
          <t>legal-management-service/src/entities/organismo-control.entity.ts:18: NACIONAL, DEPARTAMENTAL, MUNICIPAL | db/init/old/011_schema_organos_control.sql:15: NACIONAL, DEPARTAMENTAL, MUNICIPAL</t>
        </is>
      </c>
      <c r="Q2313" s="18" t="inlineStr">
        <is>
          <t>Código fuente</t>
        </is>
      </c>
      <c r="R2313" s="18" t="inlineStr">
        <is>
          <t>Nivel territorial del organismo de control. Valores: NACIONAL, DEPARTAMENTAL, MUNICIPAL.</t>
        </is>
      </c>
      <c r="S2313" s="18" t="inlineStr">
        <is>
          <t>Alta</t>
        </is>
      </c>
      <c r="T2313" s="18" t="inlineStr">
        <is>
          <t>código: organismo-control.entity.ts:18</t>
        </is>
      </c>
      <c r="U2313" s="18" t="inlineStr"/>
      <c r="V2313" s="19" t="inlineStr">
        <is>
          <t>Pendiente</t>
        </is>
      </c>
      <c r="W2313" s="19" t="inlineStr"/>
      <c r="X2313" s="19" t="inlineStr"/>
      <c r="Y2313" s="20" t="n"/>
      <c r="Z2313" s="19" t="inlineStr"/>
      <c r="AA2313" s="18">
        <f>IF(OR(V2313="Aprobada"),R2313,IF(AND(OR(V2313="Aprobada con ajuste",V2313="Rechazada"),W2313&lt;&gt;""),W2313,""))</f>
        <v/>
      </c>
    </row>
    <row r="2314">
      <c r="A2314" s="18" t="inlineStr">
        <is>
          <t>C2313</t>
        </is>
      </c>
      <c r="B2314" s="18" t="inlineStr">
        <is>
          <t>Requerimientos</t>
        </is>
      </c>
      <c r="C2314" s="18" t="inlineStr">
        <is>
          <t>requerimientos_oc</t>
        </is>
      </c>
      <c r="D2314" s="18" t="inlineStr">
        <is>
          <t>cat_organismos_control</t>
        </is>
      </c>
      <c r="E2314" s="18" t="n">
        <v>25</v>
      </c>
      <c r="F2314" s="18" t="inlineStr">
        <is>
          <t>activo</t>
        </is>
      </c>
      <c r="G2314" s="18" t="inlineStr">
        <is>
          <t>boolean</t>
        </is>
      </c>
      <c r="H2314" s="18" t="inlineStr">
        <is>
          <t>Sí</t>
        </is>
      </c>
      <c r="I2314" s="18" t="inlineStr"/>
      <c r="J2314" s="18" t="inlineStr"/>
      <c r="K2314" s="18" t="inlineStr"/>
      <c r="L2314" s="18" t="inlineStr">
        <is>
          <t>Sí</t>
        </is>
      </c>
      <c r="M2314" s="18" t="inlineStr">
        <is>
          <t>No</t>
        </is>
      </c>
      <c r="N2314" s="18" t="inlineStr"/>
      <c r="O2314" s="18" t="inlineStr"/>
      <c r="P2314" s="18" t="inlineStr">
        <is>
          <t>Mapeada en legal-management-service/src/entities/organismo-control.entity.ts:21 (OrganismoControl.activo)</t>
        </is>
      </c>
      <c r="Q2314" s="18" t="inlineStr">
        <is>
          <t>Regla estructural</t>
        </is>
      </c>
      <c r="R2314" s="18" t="inlineStr">
        <is>
          <t>Indica si el registro está activo.</t>
        </is>
      </c>
      <c r="S2314" s="18" t="inlineStr">
        <is>
          <t>Media</t>
        </is>
      </c>
      <c r="T2314" s="18" t="inlineStr">
        <is>
          <t>Convención de nombre de la columna.</t>
        </is>
      </c>
      <c r="U2314" s="18" t="inlineStr"/>
      <c r="V2314" s="19" t="inlineStr">
        <is>
          <t>Pendiente</t>
        </is>
      </c>
      <c r="W2314" s="19" t="inlineStr"/>
      <c r="X2314" s="19" t="inlineStr"/>
      <c r="Y2314" s="20" t="n"/>
      <c r="Z2314" s="19" t="inlineStr"/>
      <c r="AA2314" s="18">
        <f>IF(OR(V2314="Aprobada"),R2314,IF(AND(OR(V2314="Aprobada con ajuste",V2314="Rechazada"),W2314&lt;&gt;""),W2314,""))</f>
        <v/>
      </c>
    </row>
    <row r="2315">
      <c r="A2315" s="18" t="inlineStr">
        <is>
          <t>C2314</t>
        </is>
      </c>
      <c r="B2315" s="18" t="inlineStr">
        <is>
          <t>Requerimientos</t>
        </is>
      </c>
      <c r="C2315" s="18" t="inlineStr">
        <is>
          <t>requerimientos_oc</t>
        </is>
      </c>
      <c r="D2315" s="18" t="inlineStr">
        <is>
          <t>hallazgos</t>
        </is>
      </c>
      <c r="E2315" s="18" t="n">
        <v>2</v>
      </c>
      <c r="F2315" s="18" t="inlineStr">
        <is>
          <t>codigo_hallazgo</t>
        </is>
      </c>
      <c r="G2315" s="18" t="inlineStr">
        <is>
          <t>character varying(50)</t>
        </is>
      </c>
      <c r="H2315" s="18" t="inlineStr">
        <is>
          <t>No</t>
        </is>
      </c>
      <c r="I2315" s="18" t="inlineStr">
        <is>
          <t>Única</t>
        </is>
      </c>
      <c r="J2315" s="18" t="inlineStr"/>
      <c r="K2315" s="18" t="inlineStr"/>
      <c r="L2315" s="18" t="inlineStr">
        <is>
          <t>No</t>
        </is>
      </c>
      <c r="M2315" s="18" t="inlineStr">
        <is>
          <t>No</t>
        </is>
      </c>
      <c r="N2315" s="18" t="inlineStr"/>
      <c r="O2315" s="18" t="inlineStr">
        <is>
          <t>hallazgos_codigo_hallazgo_key</t>
        </is>
      </c>
      <c r="P2315" s="18" t="inlineStr"/>
      <c r="Q2315" s="18" t="inlineStr">
        <is>
          <t>Propuesta semántica</t>
        </is>
      </c>
      <c r="R2315" s="18" t="inlineStr">
        <is>
          <t>Código único del hallazgo.</t>
        </is>
      </c>
      <c r="S2315" s="18" t="inlineStr">
        <is>
          <t>Media</t>
        </is>
      </c>
      <c r="T2315" s="18" t="inlineStr">
        <is>
          <t>nombre + tipo + restricción única</t>
        </is>
      </c>
      <c r="U2315" s="18" t="inlineStr">
        <is>
          <t>¿El código lo asigna el organismo de control o lo genera el sistema, y con qué formato?</t>
        </is>
      </c>
      <c r="V2315" s="19" t="inlineStr">
        <is>
          <t>Pendiente</t>
        </is>
      </c>
      <c r="W2315" s="19" t="inlineStr"/>
      <c r="X2315" s="19" t="inlineStr"/>
      <c r="Y2315" s="20" t="n"/>
      <c r="Z2315" s="19" t="inlineStr"/>
      <c r="AA2315" s="18">
        <f>IF(OR(V2315="Aprobada"),R2315,IF(AND(OR(V2315="Aprobada con ajuste",V2315="Rechazada"),W2315&lt;&gt;""),W2315,""))</f>
        <v/>
      </c>
    </row>
    <row r="2316">
      <c r="A2316" s="18" t="inlineStr">
        <is>
          <t>C2315</t>
        </is>
      </c>
      <c r="B2316" s="18" t="inlineStr">
        <is>
          <t>Requerimientos</t>
        </is>
      </c>
      <c r="C2316" s="18" t="inlineStr">
        <is>
          <t>requerimientos_oc</t>
        </is>
      </c>
      <c r="D2316" s="18" t="inlineStr">
        <is>
          <t>hallazgos</t>
        </is>
      </c>
      <c r="E2316" s="18" t="n">
        <v>2</v>
      </c>
      <c r="F2316" s="18" t="inlineStr">
        <is>
          <t>numero_interno</t>
        </is>
      </c>
      <c r="G2316" s="18" t="inlineStr">
        <is>
          <t>character varying(50)</t>
        </is>
      </c>
      <c r="H2316" s="18" t="inlineStr">
        <is>
          <t>Sí</t>
        </is>
      </c>
      <c r="I2316" s="18" t="inlineStr"/>
      <c r="J2316" s="18" t="inlineStr"/>
      <c r="K2316" s="18" t="inlineStr"/>
      <c r="L2316" s="18" t="inlineStr">
        <is>
          <t>No</t>
        </is>
      </c>
      <c r="M2316" s="18" t="inlineStr">
        <is>
          <t>No</t>
        </is>
      </c>
      <c r="N2316" s="18" t="inlineStr"/>
      <c r="O2316" s="18" t="inlineStr"/>
      <c r="P2316" s="18" t="inlineStr"/>
      <c r="Q2316" s="18" t="inlineStr">
        <is>
          <t>Propuesta semántica</t>
        </is>
      </c>
      <c r="R2316" s="18" t="inlineStr">
        <is>
          <t>Número interno asignado al hallazgo por la entidad.</t>
        </is>
      </c>
      <c r="S2316" s="18" t="inlineStr">
        <is>
          <t>Media</t>
        </is>
      </c>
      <c r="T2316" s="18" t="inlineStr">
        <is>
          <t>nombre + tipo + columnas vecinas</t>
        </is>
      </c>
      <c r="U2316" s="18" t="inlineStr">
        <is>
          <t>¿Quién asigna el número interno y en qué se diferencia de codigo_hallazgo?</t>
        </is>
      </c>
      <c r="V2316" s="19" t="inlineStr">
        <is>
          <t>Pendiente</t>
        </is>
      </c>
      <c r="W2316" s="19" t="inlineStr"/>
      <c r="X2316" s="19" t="inlineStr"/>
      <c r="Y2316" s="20" t="n"/>
      <c r="Z2316" s="19" t="inlineStr"/>
      <c r="AA2316" s="18">
        <f>IF(OR(V2316="Aprobada"),R2316,IF(AND(OR(V2316="Aprobada con ajuste",V2316="Rechazada"),W2316&lt;&gt;""),W2316,""))</f>
        <v/>
      </c>
    </row>
    <row r="2317">
      <c r="A2317" s="18" t="inlineStr">
        <is>
          <t>C2316</t>
        </is>
      </c>
      <c r="B2317" s="18" t="inlineStr">
        <is>
          <t>Requerimientos</t>
        </is>
      </c>
      <c r="C2317" s="18" t="inlineStr">
        <is>
          <t>requerimientos_oc</t>
        </is>
      </c>
      <c r="D2317" s="18" t="inlineStr">
        <is>
          <t>hallazgos</t>
        </is>
      </c>
      <c r="E2317" s="18" t="n">
        <v>2</v>
      </c>
      <c r="F2317" s="18" t="inlineStr">
        <is>
          <t>tipo_hallazgo</t>
        </is>
      </c>
      <c r="G2317" s="18" t="inlineStr">
        <is>
          <t>character varying(30)</t>
        </is>
      </c>
      <c r="H2317" s="18" t="inlineStr">
        <is>
          <t>Sí</t>
        </is>
      </c>
      <c r="I2317" s="18" t="inlineStr">
        <is>
          <t>CHECK</t>
        </is>
      </c>
      <c r="J2317" s="18" t="inlineStr">
        <is>
          <t>ADMINISTRATIVO, DISCIPLINARIO, FISCAL, PENAL</t>
        </is>
      </c>
      <c r="K2317" s="18" t="inlineStr"/>
      <c r="L2317" s="18" t="inlineStr">
        <is>
          <t>Sí</t>
        </is>
      </c>
      <c r="M2317" s="18" t="inlineStr">
        <is>
          <t>No</t>
        </is>
      </c>
      <c r="N2317" s="18" t="inlineStr"/>
      <c r="O2317" s="18" t="inlineStr"/>
      <c r="P2317" s="18" t="inlineStr"/>
      <c r="Q2317" s="18" t="inlineStr">
        <is>
          <t>Propuesta semántica</t>
        </is>
      </c>
      <c r="R2317" s="18" t="inlineStr">
        <is>
          <t>Tipo de hallazgo según su incidencia. Valores permitidos: ADMINISTRATIVO, DISCIPLINARIO, FISCAL, PENAL. Por defecto, ADMINISTRATIVO.</t>
        </is>
      </c>
      <c r="S2317" s="18" t="inlineStr">
        <is>
          <t>Alta</t>
        </is>
      </c>
      <c r="T2317" s="18" t="inlineStr">
        <is>
          <t>valores permitidos del CHECK</t>
        </is>
      </c>
      <c r="U2317" s="18" t="inlineStr"/>
      <c r="V2317" s="19" t="inlineStr">
        <is>
          <t>Pendiente</t>
        </is>
      </c>
      <c r="W2317" s="19" t="inlineStr"/>
      <c r="X2317" s="19" t="inlineStr"/>
      <c r="Y2317" s="20" t="n"/>
      <c r="Z2317" s="19" t="inlineStr"/>
      <c r="AA2317" s="18">
        <f>IF(OR(V2317="Aprobada"),R2317,IF(AND(OR(V2317="Aprobada con ajuste",V2317="Rechazada"),W2317&lt;&gt;""),W2317,""))</f>
        <v/>
      </c>
    </row>
    <row r="2318">
      <c r="A2318" s="18" t="inlineStr">
        <is>
          <t>C2317</t>
        </is>
      </c>
      <c r="B2318" s="18" t="inlineStr">
        <is>
          <t>Requerimientos</t>
        </is>
      </c>
      <c r="C2318" s="18" t="inlineStr">
        <is>
          <t>requerimientos_oc</t>
        </is>
      </c>
      <c r="D2318" s="18" t="inlineStr">
        <is>
          <t>hallazgos</t>
        </is>
      </c>
      <c r="E2318" s="18" t="n">
        <v>2</v>
      </c>
      <c r="F2318" s="18" t="inlineStr">
        <is>
          <t>titulo</t>
        </is>
      </c>
      <c r="G2318" s="18" t="inlineStr">
        <is>
          <t>character varying(300)</t>
        </is>
      </c>
      <c r="H2318" s="18" t="inlineStr">
        <is>
          <t>No</t>
        </is>
      </c>
      <c r="I2318" s="18" t="inlineStr"/>
      <c r="J2318" s="18" t="inlineStr"/>
      <c r="K2318" s="18" t="inlineStr"/>
      <c r="L2318" s="18" t="inlineStr">
        <is>
          <t>No</t>
        </is>
      </c>
      <c r="M2318" s="18" t="inlineStr">
        <is>
          <t>Sí</t>
        </is>
      </c>
      <c r="N2318" s="18" t="inlineStr">
        <is>
          <t>Vista control_interno.v_auditorias_kanban_completo</t>
        </is>
      </c>
      <c r="O2318" s="18" t="inlineStr"/>
      <c r="P2318" s="18" t="inlineStr"/>
      <c r="Q2318" s="18" t="inlineStr">
        <is>
          <t>Propuesta semántica</t>
        </is>
      </c>
      <c r="R2318" s="18" t="inlineStr">
        <is>
          <t>Título del hallazgo.</t>
        </is>
      </c>
      <c r="S2318" s="18" t="inlineStr">
        <is>
          <t>Alta</t>
        </is>
      </c>
      <c r="T2318" s="18" t="inlineStr">
        <is>
          <t>nombre + tipo</t>
        </is>
      </c>
      <c r="U2318" s="18" t="inlineStr"/>
      <c r="V2318" s="19" t="inlineStr">
        <is>
          <t>Pendiente</t>
        </is>
      </c>
      <c r="W2318" s="19" t="inlineStr"/>
      <c r="X2318" s="19" t="inlineStr"/>
      <c r="Y2318" s="20" t="n"/>
      <c r="Z2318" s="19" t="inlineStr"/>
      <c r="AA2318" s="18">
        <f>IF(OR(V2318="Aprobada"),R2318,IF(AND(OR(V2318="Aprobada con ajuste",V2318="Rechazada"),W2318&lt;&gt;""),W2318,""))</f>
        <v/>
      </c>
    </row>
    <row r="2319">
      <c r="A2319" s="18" t="inlineStr">
        <is>
          <t>C2318</t>
        </is>
      </c>
      <c r="B2319" s="18" t="inlineStr">
        <is>
          <t>Requerimientos</t>
        </is>
      </c>
      <c r="C2319" s="18" t="inlineStr">
        <is>
          <t>requerimientos_oc</t>
        </is>
      </c>
      <c r="D2319" s="18" t="inlineStr">
        <is>
          <t>hallazgos</t>
        </is>
      </c>
      <c r="E2319" s="18" t="n">
        <v>2</v>
      </c>
      <c r="F2319" s="18" t="inlineStr">
        <is>
          <t>descripcion</t>
        </is>
      </c>
      <c r="G2319" s="18" t="inlineStr">
        <is>
          <t>text</t>
        </is>
      </c>
      <c r="H2319" s="18" t="inlineStr">
        <is>
          <t>No</t>
        </is>
      </c>
      <c r="I2319" s="18" t="inlineStr"/>
      <c r="J2319" s="18" t="inlineStr"/>
      <c r="K2319" s="18" t="inlineStr"/>
      <c r="L2319" s="18" t="inlineStr">
        <is>
          <t>No</t>
        </is>
      </c>
      <c r="M2319" s="18" t="inlineStr">
        <is>
          <t>Sí</t>
        </is>
      </c>
      <c r="N2319" s="18" t="inlineStr">
        <is>
          <t>Vista control_interno.v_auditorias_kanban_completo</t>
        </is>
      </c>
      <c r="O2319" s="18" t="inlineStr"/>
      <c r="P2319" s="18" t="inlineStr"/>
      <c r="Q2319" s="18" t="inlineStr">
        <is>
          <t>Regla estructural</t>
        </is>
      </c>
      <c r="R2319" s="18" t="inlineStr">
        <is>
          <t>Descripción del registro de hallazgos.</t>
        </is>
      </c>
      <c r="S2319" s="18" t="inlineStr">
        <is>
          <t>Media</t>
        </is>
      </c>
      <c r="T2319" s="18" t="inlineStr">
        <is>
          <t>Convención de nombre de la columna.</t>
        </is>
      </c>
      <c r="U2319" s="18" t="inlineStr"/>
      <c r="V2319" s="19" t="inlineStr">
        <is>
          <t>Pendiente</t>
        </is>
      </c>
      <c r="W2319" s="19" t="inlineStr"/>
      <c r="X2319" s="19" t="inlineStr"/>
      <c r="Y2319" s="20" t="n"/>
      <c r="Z2319" s="19" t="inlineStr"/>
      <c r="AA2319" s="18">
        <f>IF(OR(V2319="Aprobada"),R2319,IF(AND(OR(V2319="Aprobada con ajuste",V2319="Rechazada"),W2319&lt;&gt;""),W2319,""))</f>
        <v/>
      </c>
    </row>
    <row r="2320">
      <c r="A2320" s="18" t="inlineStr">
        <is>
          <t>C2319</t>
        </is>
      </c>
      <c r="B2320" s="18" t="inlineStr">
        <is>
          <t>Requerimientos</t>
        </is>
      </c>
      <c r="C2320" s="18" t="inlineStr">
        <is>
          <t>requerimientos_oc</t>
        </is>
      </c>
      <c r="D2320" s="18" t="inlineStr">
        <is>
          <t>hallazgos</t>
        </is>
      </c>
      <c r="E2320" s="18" t="n">
        <v>2</v>
      </c>
      <c r="F2320" s="18" t="inlineStr">
        <is>
          <t>causa_raiz</t>
        </is>
      </c>
      <c r="G2320" s="18" t="inlineStr">
        <is>
          <t>text</t>
        </is>
      </c>
      <c r="H2320" s="18" t="inlineStr">
        <is>
          <t>Sí</t>
        </is>
      </c>
      <c r="I2320" s="18" t="inlineStr"/>
      <c r="J2320" s="18" t="inlineStr"/>
      <c r="K2320" s="18" t="inlineStr"/>
      <c r="L2320" s="18" t="inlineStr">
        <is>
          <t>No</t>
        </is>
      </c>
      <c r="M2320" s="18" t="inlineStr">
        <is>
          <t>No</t>
        </is>
      </c>
      <c r="N2320" s="18" t="inlineStr"/>
      <c r="O2320" s="18" t="inlineStr"/>
      <c r="P2320" s="18" t="inlineStr"/>
      <c r="Q2320" s="18" t="inlineStr">
        <is>
          <t>Propuesta semántica</t>
        </is>
      </c>
      <c r="R2320" s="18" t="inlineStr">
        <is>
          <t>Causa raíz identificada para el hallazgo.</t>
        </is>
      </c>
      <c r="S2320" s="18" t="inlineStr">
        <is>
          <t>Alta</t>
        </is>
      </c>
      <c r="T2320" s="18" t="inlineStr">
        <is>
          <t>nombre + tipo + columnas vecinas</t>
        </is>
      </c>
      <c r="U2320" s="18" t="inlineStr"/>
      <c r="V2320" s="19" t="inlineStr">
        <is>
          <t>Pendiente</t>
        </is>
      </c>
      <c r="W2320" s="19" t="inlineStr"/>
      <c r="X2320" s="19" t="inlineStr"/>
      <c r="Y2320" s="20" t="n"/>
      <c r="Z2320" s="19" t="inlineStr"/>
      <c r="AA2320" s="18">
        <f>IF(OR(V2320="Aprobada"),R2320,IF(AND(OR(V2320="Aprobada con ajuste",V2320="Rechazada"),W2320&lt;&gt;""),W2320,""))</f>
        <v/>
      </c>
    </row>
    <row r="2321">
      <c r="A2321" s="18" t="inlineStr">
        <is>
          <t>C2320</t>
        </is>
      </c>
      <c r="B2321" s="18" t="inlineStr">
        <is>
          <t>Requerimientos</t>
        </is>
      </c>
      <c r="C2321" s="18" t="inlineStr">
        <is>
          <t>requerimientos_oc</t>
        </is>
      </c>
      <c r="D2321" s="18" t="inlineStr">
        <is>
          <t>hallazgos</t>
        </is>
      </c>
      <c r="E2321" s="18" t="n">
        <v>2</v>
      </c>
      <c r="F2321" s="18" t="inlineStr">
        <is>
          <t>efecto</t>
        </is>
      </c>
      <c r="G2321" s="18" t="inlineStr">
        <is>
          <t>text</t>
        </is>
      </c>
      <c r="H2321" s="18" t="inlineStr">
        <is>
          <t>Sí</t>
        </is>
      </c>
      <c r="I2321" s="18" t="inlineStr"/>
      <c r="J2321" s="18" t="inlineStr"/>
      <c r="K2321" s="18" t="inlineStr"/>
      <c r="L2321" s="18" t="inlineStr">
        <is>
          <t>No</t>
        </is>
      </c>
      <c r="M2321" s="18" t="inlineStr">
        <is>
          <t>No</t>
        </is>
      </c>
      <c r="N2321" s="18" t="inlineStr"/>
      <c r="O2321" s="18" t="inlineStr"/>
      <c r="P2321" s="18" t="inlineStr"/>
      <c r="Q2321" s="18" t="inlineStr">
        <is>
          <t>Propuesta semántica</t>
        </is>
      </c>
      <c r="R2321" s="18" t="inlineStr">
        <is>
          <t>Efecto o consecuencia del hallazgo.</t>
        </is>
      </c>
      <c r="S2321" s="18" t="inlineStr">
        <is>
          <t>Alta</t>
        </is>
      </c>
      <c r="T2321" s="18" t="inlineStr">
        <is>
          <t>nombre + tipo + columnas vecinas</t>
        </is>
      </c>
      <c r="U2321" s="18" t="inlineStr"/>
      <c r="V2321" s="19" t="inlineStr">
        <is>
          <t>Pendiente</t>
        </is>
      </c>
      <c r="W2321" s="19" t="inlineStr"/>
      <c r="X2321" s="19" t="inlineStr"/>
      <c r="Y2321" s="20" t="n"/>
      <c r="Z2321" s="19" t="inlineStr"/>
      <c r="AA2321" s="18">
        <f>IF(OR(V2321="Aprobada"),R2321,IF(AND(OR(V2321="Aprobada con ajuste",V2321="Rechazada"),W2321&lt;&gt;""),W2321,""))</f>
        <v/>
      </c>
    </row>
    <row r="2322">
      <c r="A2322" s="18" t="inlineStr">
        <is>
          <t>C2321</t>
        </is>
      </c>
      <c r="B2322" s="18" t="inlineStr">
        <is>
          <t>Requerimientos</t>
        </is>
      </c>
      <c r="C2322" s="18" t="inlineStr">
        <is>
          <t>requerimientos_oc</t>
        </is>
      </c>
      <c r="D2322" s="18" t="inlineStr">
        <is>
          <t>hallazgos</t>
        </is>
      </c>
      <c r="E2322" s="18" t="n">
        <v>2</v>
      </c>
      <c r="F2322" s="18" t="inlineStr">
        <is>
          <t>area_responsable</t>
        </is>
      </c>
      <c r="G2322" s="18" t="inlineStr">
        <is>
          <t>character varying(100)</t>
        </is>
      </c>
      <c r="H2322" s="18" t="inlineStr">
        <is>
          <t>Sí</t>
        </is>
      </c>
      <c r="I2322" s="18" t="inlineStr"/>
      <c r="J2322" s="18" t="inlineStr"/>
      <c r="K2322" s="18" t="inlineStr"/>
      <c r="L2322" s="18" t="inlineStr">
        <is>
          <t>No</t>
        </is>
      </c>
      <c r="M2322" s="18" t="inlineStr">
        <is>
          <t>No</t>
        </is>
      </c>
      <c r="N2322" s="18" t="inlineStr"/>
      <c r="O2322" s="18" t="inlineStr"/>
      <c r="P2322" s="18" t="inlineStr"/>
      <c r="Q2322" s="18" t="inlineStr">
        <is>
          <t>Propuesta semántica</t>
        </is>
      </c>
      <c r="R2322" s="18" t="inlineStr">
        <is>
          <t>Nombre del área responsable de atender el hallazgo.</t>
        </is>
      </c>
      <c r="S2322" s="18" t="inlineStr">
        <is>
          <t>Media</t>
        </is>
      </c>
      <c r="T2322" s="18" t="inlineStr">
        <is>
          <t>nombre + tipo + columnas vecinas</t>
        </is>
      </c>
      <c r="U2322" s="18" t="inlineStr">
        <is>
          <t>¿El área se registra como texto libre o se toma de un catálogo de dependencias?</t>
        </is>
      </c>
      <c r="V2322" s="19" t="inlineStr">
        <is>
          <t>Pendiente</t>
        </is>
      </c>
      <c r="W2322" s="19" t="inlineStr"/>
      <c r="X2322" s="19" t="inlineStr"/>
      <c r="Y2322" s="20" t="n"/>
      <c r="Z2322" s="19" t="inlineStr"/>
      <c r="AA2322" s="18">
        <f>IF(OR(V2322="Aprobada"),R2322,IF(AND(OR(V2322="Aprobada con ajuste",V2322="Rechazada"),W2322&lt;&gt;""),W2322,""))</f>
        <v/>
      </c>
    </row>
    <row r="2323">
      <c r="A2323" s="18" t="inlineStr">
        <is>
          <t>C2322</t>
        </is>
      </c>
      <c r="B2323" s="18" t="inlineStr">
        <is>
          <t>Requerimientos</t>
        </is>
      </c>
      <c r="C2323" s="18" t="inlineStr">
        <is>
          <t>requerimientos_oc</t>
        </is>
      </c>
      <c r="D2323" s="18" t="inlineStr">
        <is>
          <t>hallazgos</t>
        </is>
      </c>
      <c r="E2323" s="18" t="n">
        <v>2</v>
      </c>
      <c r="F2323" s="18" t="inlineStr">
        <is>
          <t>funcionario_responsable</t>
        </is>
      </c>
      <c r="G2323" s="18" t="inlineStr">
        <is>
          <t>character varying(150)</t>
        </is>
      </c>
      <c r="H2323" s="18" t="inlineStr">
        <is>
          <t>Sí</t>
        </is>
      </c>
      <c r="I2323" s="18" t="inlineStr"/>
      <c r="J2323" s="18" t="inlineStr"/>
      <c r="K2323" s="18" t="inlineStr"/>
      <c r="L2323" s="18" t="inlineStr">
        <is>
          <t>No</t>
        </is>
      </c>
      <c r="M2323" s="18" t="inlineStr">
        <is>
          <t>No</t>
        </is>
      </c>
      <c r="N2323" s="18" t="inlineStr"/>
      <c r="O2323" s="18" t="inlineStr"/>
      <c r="P2323" s="18" t="inlineStr"/>
      <c r="Q2323" s="18" t="inlineStr">
        <is>
          <t>Propuesta semántica</t>
        </is>
      </c>
      <c r="R2323" s="18" t="inlineStr">
        <is>
          <t>Nombre del funcionario responsable de atender el hallazgo.</t>
        </is>
      </c>
      <c r="S2323" s="18" t="inlineStr">
        <is>
          <t>Media</t>
        </is>
      </c>
      <c r="T2323" s="18" t="inlineStr">
        <is>
          <t>nombre + tipo + columnas vecinas</t>
        </is>
      </c>
      <c r="U2323" s="18" t="inlineStr">
        <is>
          <t>¿Se guarda el nombre completo del funcionario o un identificador de usuario?</t>
        </is>
      </c>
      <c r="V2323" s="19" t="inlineStr">
        <is>
          <t>Pendiente</t>
        </is>
      </c>
      <c r="W2323" s="19" t="inlineStr"/>
      <c r="X2323" s="19" t="inlineStr"/>
      <c r="Y2323" s="20" t="n"/>
      <c r="Z2323" s="19" t="inlineStr"/>
      <c r="AA2323" s="18">
        <f>IF(OR(V2323="Aprobada"),R2323,IF(AND(OR(V2323="Aprobada con ajuste",V2323="Rechazada"),W2323&lt;&gt;""),W2323,""))</f>
        <v/>
      </c>
    </row>
    <row r="2324">
      <c r="A2324" s="18" t="inlineStr">
        <is>
          <t>C2323</t>
        </is>
      </c>
      <c r="B2324" s="18" t="inlineStr">
        <is>
          <t>Requerimientos</t>
        </is>
      </c>
      <c r="C2324" s="18" t="inlineStr">
        <is>
          <t>requerimientos_oc</t>
        </is>
      </c>
      <c r="D2324" s="18" t="inlineStr">
        <is>
          <t>hallazgos</t>
        </is>
      </c>
      <c r="E2324" s="18" t="n">
        <v>2</v>
      </c>
      <c r="F2324" s="18" t="inlineStr">
        <is>
          <t>accion_correctiva</t>
        </is>
      </c>
      <c r="G2324" s="18" t="inlineStr">
        <is>
          <t>text</t>
        </is>
      </c>
      <c r="H2324" s="18" t="inlineStr">
        <is>
          <t>No</t>
        </is>
      </c>
      <c r="I2324" s="18" t="inlineStr"/>
      <c r="J2324" s="18" t="inlineStr"/>
      <c r="K2324" s="18" t="inlineStr"/>
      <c r="L2324" s="18" t="inlineStr">
        <is>
          <t>No</t>
        </is>
      </c>
      <c r="M2324" s="18" t="inlineStr">
        <is>
          <t>No</t>
        </is>
      </c>
      <c r="N2324" s="18" t="inlineStr"/>
      <c r="O2324" s="18" t="inlineStr"/>
      <c r="P2324" s="18" t="inlineStr"/>
      <c r="Q2324" s="18" t="inlineStr">
        <is>
          <t>Propuesta semántica</t>
        </is>
      </c>
      <c r="R2324" s="18" t="inlineStr">
        <is>
          <t>Acción correctiva definida para subsanar el hallazgo.</t>
        </is>
      </c>
      <c r="S2324" s="18" t="inlineStr">
        <is>
          <t>Alta</t>
        </is>
      </c>
      <c r="T2324" s="18" t="inlineStr">
        <is>
          <t>nombre + tipo + columnas vecinas</t>
        </is>
      </c>
      <c r="U2324" s="18" t="inlineStr"/>
      <c r="V2324" s="19" t="inlineStr">
        <is>
          <t>Pendiente</t>
        </is>
      </c>
      <c r="W2324" s="19" t="inlineStr"/>
      <c r="X2324" s="19" t="inlineStr"/>
      <c r="Y2324" s="20" t="n"/>
      <c r="Z2324" s="19" t="inlineStr"/>
      <c r="AA2324" s="18">
        <f>IF(OR(V2324="Aprobada"),R2324,IF(AND(OR(V2324="Aprobada con ajuste",V2324="Rechazada"),W2324&lt;&gt;""),W2324,""))</f>
        <v/>
      </c>
    </row>
    <row r="2325">
      <c r="A2325" s="18" t="inlineStr">
        <is>
          <t>C2324</t>
        </is>
      </c>
      <c r="B2325" s="18" t="inlineStr">
        <is>
          <t>Requerimientos</t>
        </is>
      </c>
      <c r="C2325" s="18" t="inlineStr">
        <is>
          <t>requerimientos_oc</t>
        </is>
      </c>
      <c r="D2325" s="18" t="inlineStr">
        <is>
          <t>hallazgos</t>
        </is>
      </c>
      <c r="E2325" s="18" t="n">
        <v>2</v>
      </c>
      <c r="F2325" s="18" t="inlineStr">
        <is>
          <t>fecha_compromiso</t>
        </is>
      </c>
      <c r="G2325" s="18" t="inlineStr">
        <is>
          <t>date</t>
        </is>
      </c>
      <c r="H2325" s="18" t="inlineStr">
        <is>
          <t>No</t>
        </is>
      </c>
      <c r="I2325" s="18" t="inlineStr"/>
      <c r="J2325" s="18" t="inlineStr"/>
      <c r="K2325" s="18" t="inlineStr"/>
      <c r="L2325" s="18" t="inlineStr">
        <is>
          <t>No</t>
        </is>
      </c>
      <c r="M2325" s="18" t="inlineStr">
        <is>
          <t>No</t>
        </is>
      </c>
      <c r="N2325" s="18" t="inlineStr"/>
      <c r="O2325" s="18" t="inlineStr">
        <is>
          <t>idx_hallazgos_fecha_compromiso</t>
        </is>
      </c>
      <c r="P2325" s="18" t="inlineStr"/>
      <c r="Q2325" s="18" t="inlineStr">
        <is>
          <t>Regla estructural</t>
        </is>
      </c>
      <c r="R2325" s="18" t="inlineStr">
        <is>
          <t>Fecha de compromiso.</t>
        </is>
      </c>
      <c r="S2325" s="18" t="inlineStr">
        <is>
          <t>Media</t>
        </is>
      </c>
      <c r="T2325" s="18" t="inlineStr">
        <is>
          <t>Convención de nombre de la columna.</t>
        </is>
      </c>
      <c r="U2325" s="18" t="inlineStr"/>
      <c r="V2325" s="19" t="inlineStr">
        <is>
          <t>Pendiente</t>
        </is>
      </c>
      <c r="W2325" s="19" t="inlineStr"/>
      <c r="X2325" s="19" t="inlineStr"/>
      <c r="Y2325" s="20" t="n"/>
      <c r="Z2325" s="19" t="inlineStr"/>
      <c r="AA2325" s="18">
        <f>IF(OR(V2325="Aprobada"),R2325,IF(AND(OR(V2325="Aprobada con ajuste",V2325="Rechazada"),W2325&lt;&gt;""),W2325,""))</f>
        <v/>
      </c>
    </row>
    <row r="2326">
      <c r="A2326" s="18" t="inlineStr">
        <is>
          <t>C2325</t>
        </is>
      </c>
      <c r="B2326" s="18" t="inlineStr">
        <is>
          <t>Requerimientos</t>
        </is>
      </c>
      <c r="C2326" s="18" t="inlineStr">
        <is>
          <t>requerimientos_oc</t>
        </is>
      </c>
      <c r="D2326" s="18" t="inlineStr">
        <is>
          <t>hallazgos</t>
        </is>
      </c>
      <c r="E2326" s="18" t="n">
        <v>2</v>
      </c>
      <c r="F2326" s="18" t="inlineStr">
        <is>
          <t>indicador_cumplimiento</t>
        </is>
      </c>
      <c r="G2326" s="18" t="inlineStr">
        <is>
          <t>text</t>
        </is>
      </c>
      <c r="H2326" s="18" t="inlineStr">
        <is>
          <t>Sí</t>
        </is>
      </c>
      <c r="I2326" s="18" t="inlineStr"/>
      <c r="J2326" s="18" t="inlineStr"/>
      <c r="K2326" s="18" t="inlineStr"/>
      <c r="L2326" s="18" t="inlineStr">
        <is>
          <t>No</t>
        </is>
      </c>
      <c r="M2326" s="18" t="inlineStr">
        <is>
          <t>No</t>
        </is>
      </c>
      <c r="N2326" s="18" t="inlineStr"/>
      <c r="O2326" s="18" t="inlineStr"/>
      <c r="P2326" s="18" t="inlineStr"/>
      <c r="Q2326" s="18" t="inlineStr">
        <is>
          <t>Propuesta semántica</t>
        </is>
      </c>
      <c r="R2326" s="18" t="inlineStr">
        <is>
          <t>Indicador con el que se mide el cumplimiento de la acción correctiva.</t>
        </is>
      </c>
      <c r="S2326" s="18" t="inlineStr">
        <is>
          <t>Media</t>
        </is>
      </c>
      <c r="T2326" s="18" t="inlineStr">
        <is>
          <t>nombre + tipo + columnas vecinas</t>
        </is>
      </c>
      <c r="U2326" s="18" t="inlineStr">
        <is>
          <t>¿El indicador es una descripción libre o una fórmula de cálculo?</t>
        </is>
      </c>
      <c r="V2326" s="19" t="inlineStr">
        <is>
          <t>Pendiente</t>
        </is>
      </c>
      <c r="W2326" s="19" t="inlineStr"/>
      <c r="X2326" s="19" t="inlineStr"/>
      <c r="Y2326" s="20" t="n"/>
      <c r="Z2326" s="19" t="inlineStr"/>
      <c r="AA2326" s="18">
        <f>IF(OR(V2326="Aprobada"),R2326,IF(AND(OR(V2326="Aprobada con ajuste",V2326="Rechazada"),W2326&lt;&gt;""),W2326,""))</f>
        <v/>
      </c>
    </row>
    <row r="2327">
      <c r="A2327" s="18" t="inlineStr">
        <is>
          <t>C2326</t>
        </is>
      </c>
      <c r="B2327" s="18" t="inlineStr">
        <is>
          <t>Requerimientos</t>
        </is>
      </c>
      <c r="C2327" s="18" t="inlineStr">
        <is>
          <t>requerimientos_oc</t>
        </is>
      </c>
      <c r="D2327" s="18" t="inlineStr">
        <is>
          <t>hallazgos</t>
        </is>
      </c>
      <c r="E2327" s="18" t="n">
        <v>2</v>
      </c>
      <c r="F2327" s="18" t="inlineStr">
        <is>
          <t>meta_indicador</t>
        </is>
      </c>
      <c r="G2327" s="18" t="inlineStr">
        <is>
          <t>character varying(100)</t>
        </is>
      </c>
      <c r="H2327" s="18" t="inlineStr">
        <is>
          <t>Sí</t>
        </is>
      </c>
      <c r="I2327" s="18" t="inlineStr"/>
      <c r="J2327" s="18" t="inlineStr"/>
      <c r="K2327" s="18" t="inlineStr"/>
      <c r="L2327" s="18" t="inlineStr">
        <is>
          <t>No</t>
        </is>
      </c>
      <c r="M2327" s="18" t="inlineStr">
        <is>
          <t>No</t>
        </is>
      </c>
      <c r="N2327" s="18" t="inlineStr"/>
      <c r="O2327" s="18" t="inlineStr"/>
      <c r="P2327" s="18" t="inlineStr"/>
      <c r="Q2327" s="18" t="inlineStr">
        <is>
          <t>Propuesta semántica</t>
        </is>
      </c>
      <c r="R2327" s="18" t="inlineStr">
        <is>
          <t>Meta del indicador de cumplimiento.</t>
        </is>
      </c>
      <c r="S2327" s="18" t="inlineStr">
        <is>
          <t>Media</t>
        </is>
      </c>
      <c r="T2327" s="18" t="inlineStr">
        <is>
          <t>nombre + tipo + columnas vecinas</t>
        </is>
      </c>
      <c r="U2327" s="18" t="inlineStr">
        <is>
          <t>¿En qué unidad se expresa la meta (porcentaje, cantidad, texto libre)?</t>
        </is>
      </c>
      <c r="V2327" s="19" t="inlineStr">
        <is>
          <t>Pendiente</t>
        </is>
      </c>
      <c r="W2327" s="19" t="inlineStr"/>
      <c r="X2327" s="19" t="inlineStr"/>
      <c r="Y2327" s="20" t="n"/>
      <c r="Z2327" s="19" t="inlineStr"/>
      <c r="AA2327" s="18">
        <f>IF(OR(V2327="Aprobada"),R2327,IF(AND(OR(V2327="Aprobada con ajuste",V2327="Rechazada"),W2327&lt;&gt;""),W2327,""))</f>
        <v/>
      </c>
    </row>
    <row r="2328">
      <c r="A2328" s="18" t="inlineStr">
        <is>
          <t>C2327</t>
        </is>
      </c>
      <c r="B2328" s="18" t="inlineStr">
        <is>
          <t>Requerimientos</t>
        </is>
      </c>
      <c r="C2328" s="18" t="inlineStr">
        <is>
          <t>requerimientos_oc</t>
        </is>
      </c>
      <c r="D2328" s="18" t="inlineStr">
        <is>
          <t>hallazgos</t>
        </is>
      </c>
      <c r="E2328" s="18" t="n">
        <v>2</v>
      </c>
      <c r="F2328" s="18" t="inlineStr">
        <is>
          <t>estado</t>
        </is>
      </c>
      <c r="G2328" s="18" t="inlineStr">
        <is>
          <t>character varying(30)</t>
        </is>
      </c>
      <c r="H2328" s="18" t="inlineStr">
        <is>
          <t>Sí</t>
        </is>
      </c>
      <c r="I2328" s="18" t="inlineStr">
        <is>
          <t>CHECK</t>
        </is>
      </c>
      <c r="J2328" s="18" t="inlineStr">
        <is>
          <t>ABIERTO, CERRADO, EN_CURSO, EN_REVISION, RECHAZADO</t>
        </is>
      </c>
      <c r="K2328" s="18" t="inlineStr"/>
      <c r="L2328" s="18" t="inlineStr">
        <is>
          <t>Sí</t>
        </is>
      </c>
      <c r="M2328" s="18" t="inlineStr">
        <is>
          <t>Sí</t>
        </is>
      </c>
      <c r="N2328" s="18" t="inlineStr">
        <is>
          <t>Vista control_interno.v_auditorias_kanban_completo; Vista control_interno.v_auditorias_por_estado</t>
        </is>
      </c>
      <c r="O2328" s="18" t="inlineStr">
        <is>
          <t>idx_hallazgos_estado</t>
        </is>
      </c>
      <c r="P2328" s="18" t="inlineStr"/>
      <c r="Q2328" s="18" t="inlineStr">
        <is>
          <t>Regla estructural</t>
        </is>
      </c>
      <c r="R2328" s="18" t="inlineStr">
        <is>
          <t>Estado del registro de hallazgos.</t>
        </is>
      </c>
      <c r="S2328" s="18" t="inlineStr">
        <is>
          <t>Media</t>
        </is>
      </c>
      <c r="T2328" s="18" t="inlineStr">
        <is>
          <t>Convención de nombre de la columna.</t>
        </is>
      </c>
      <c r="U2328" s="18" t="inlineStr"/>
      <c r="V2328" s="19" t="inlineStr">
        <is>
          <t>Pendiente</t>
        </is>
      </c>
      <c r="W2328" s="19" t="inlineStr"/>
      <c r="X2328" s="19" t="inlineStr"/>
      <c r="Y2328" s="20" t="n"/>
      <c r="Z2328" s="19" t="inlineStr"/>
      <c r="AA2328" s="18">
        <f>IF(OR(V2328="Aprobada"),R2328,IF(AND(OR(V2328="Aprobada con ajuste",V2328="Rechazada"),W2328&lt;&gt;""),W2328,""))</f>
        <v/>
      </c>
    </row>
    <row r="2329">
      <c r="A2329" s="18" t="inlineStr">
        <is>
          <t>C2328</t>
        </is>
      </c>
      <c r="B2329" s="18" t="inlineStr">
        <is>
          <t>Requerimientos</t>
        </is>
      </c>
      <c r="C2329" s="18" t="inlineStr">
        <is>
          <t>requerimientos_oc</t>
        </is>
      </c>
      <c r="D2329" s="18" t="inlineStr">
        <is>
          <t>hallazgos</t>
        </is>
      </c>
      <c r="E2329" s="18" t="n">
        <v>2</v>
      </c>
      <c r="F2329" s="18" t="inlineStr">
        <is>
          <t>porcentaje_avance</t>
        </is>
      </c>
      <c r="G2329" s="18" t="inlineStr">
        <is>
          <t>integer</t>
        </is>
      </c>
      <c r="H2329" s="18" t="inlineStr">
        <is>
          <t>Sí</t>
        </is>
      </c>
      <c r="I2329" s="18" t="inlineStr">
        <is>
          <t>CHECK</t>
        </is>
      </c>
      <c r="J2329" s="18" t="inlineStr"/>
      <c r="K2329" s="18" t="inlineStr"/>
      <c r="L2329" s="18" t="inlineStr">
        <is>
          <t>No</t>
        </is>
      </c>
      <c r="M2329" s="18" t="inlineStr">
        <is>
          <t>No</t>
        </is>
      </c>
      <c r="N2329" s="18" t="inlineStr"/>
      <c r="O2329" s="18" t="inlineStr"/>
      <c r="P2329" s="18" t="inlineStr"/>
      <c r="Q2329" s="18" t="inlineStr">
        <is>
          <t>Propuesta semántica</t>
        </is>
      </c>
      <c r="R2329" s="18" t="inlineStr">
        <is>
          <t>Porcentaje de avance de la acción correctiva (0 a 100). Por defecto, 0.</t>
        </is>
      </c>
      <c r="S2329" s="18" t="inlineStr">
        <is>
          <t>Media</t>
        </is>
      </c>
      <c r="T2329" s="18" t="inlineStr">
        <is>
          <t>nombre + tipo + defecto</t>
        </is>
      </c>
      <c r="U2329" s="18" t="inlineStr">
        <is>
          <t>¿Se actualiza a partir de avances_hallazgo o se registra manualmente?</t>
        </is>
      </c>
      <c r="V2329" s="19" t="inlineStr">
        <is>
          <t>Pendiente</t>
        </is>
      </c>
      <c r="W2329" s="19" t="inlineStr"/>
      <c r="X2329" s="19" t="inlineStr"/>
      <c r="Y2329" s="20" t="n"/>
      <c r="Z2329" s="19" t="inlineStr"/>
      <c r="AA2329" s="18">
        <f>IF(OR(V2329="Aprobada"),R2329,IF(AND(OR(V2329="Aprobada con ajuste",V2329="Rechazada"),W2329&lt;&gt;""),W2329,""))</f>
        <v/>
      </c>
    </row>
    <row r="2330">
      <c r="A2330" s="18" t="inlineStr">
        <is>
          <t>C2329</t>
        </is>
      </c>
      <c r="B2330" s="18" t="inlineStr">
        <is>
          <t>Requerimientos</t>
        </is>
      </c>
      <c r="C2330" s="18" t="inlineStr">
        <is>
          <t>requerimientos_oc</t>
        </is>
      </c>
      <c r="D2330" s="18" t="inlineStr">
        <is>
          <t>hallazgos</t>
        </is>
      </c>
      <c r="E2330" s="18" t="n">
        <v>2</v>
      </c>
      <c r="F2330" s="18" t="inlineStr">
        <is>
          <t>fecha_ultimo_reporte</t>
        </is>
      </c>
      <c r="G2330" s="18" t="inlineStr">
        <is>
          <t>timestamp without time zone</t>
        </is>
      </c>
      <c r="H2330" s="18" t="inlineStr">
        <is>
          <t>Sí</t>
        </is>
      </c>
      <c r="I2330" s="18" t="inlineStr"/>
      <c r="J2330" s="18" t="inlineStr"/>
      <c r="K2330" s="18" t="inlineStr"/>
      <c r="L2330" s="18" t="inlineStr">
        <is>
          <t>No</t>
        </is>
      </c>
      <c r="M2330" s="18" t="inlineStr">
        <is>
          <t>No</t>
        </is>
      </c>
      <c r="N2330" s="18" t="inlineStr"/>
      <c r="O2330" s="18" t="inlineStr"/>
      <c r="P2330" s="18" t="inlineStr"/>
      <c r="Q2330" s="18" t="inlineStr">
        <is>
          <t>Regla estructural</t>
        </is>
      </c>
      <c r="R2330" s="18" t="inlineStr">
        <is>
          <t>Fecha de último reporte.</t>
        </is>
      </c>
      <c r="S2330" s="18" t="inlineStr">
        <is>
          <t>Media</t>
        </is>
      </c>
      <c r="T2330" s="18" t="inlineStr">
        <is>
          <t>Convención de nombre de la columna.</t>
        </is>
      </c>
      <c r="U2330" s="18" t="inlineStr"/>
      <c r="V2330" s="19" t="inlineStr">
        <is>
          <t>Pendiente</t>
        </is>
      </c>
      <c r="W2330" s="19" t="inlineStr"/>
      <c r="X2330" s="19" t="inlineStr"/>
      <c r="Y2330" s="20" t="n"/>
      <c r="Z2330" s="19" t="inlineStr"/>
      <c r="AA2330" s="18">
        <f>IF(OR(V2330="Aprobada"),R2330,IF(AND(OR(V2330="Aprobada con ajuste",V2330="Rechazada"),W2330&lt;&gt;""),W2330,""))</f>
        <v/>
      </c>
    </row>
    <row r="2331">
      <c r="A2331" s="18" t="inlineStr">
        <is>
          <t>C2330</t>
        </is>
      </c>
      <c r="B2331" s="18" t="inlineStr">
        <is>
          <t>Requerimientos</t>
        </is>
      </c>
      <c r="C2331" s="18" t="inlineStr">
        <is>
          <t>requerimientos_oc</t>
        </is>
      </c>
      <c r="D2331" s="18" t="inlineStr">
        <is>
          <t>hallazgos</t>
        </is>
      </c>
      <c r="E2331" s="18" t="n">
        <v>2</v>
      </c>
      <c r="F2331" s="18" t="inlineStr">
        <is>
          <t>fecha_proximo_reporte</t>
        </is>
      </c>
      <c r="G2331" s="18" t="inlineStr">
        <is>
          <t>date</t>
        </is>
      </c>
      <c r="H2331" s="18" t="inlineStr">
        <is>
          <t>Sí</t>
        </is>
      </c>
      <c r="I2331" s="18" t="inlineStr"/>
      <c r="J2331" s="18" t="inlineStr"/>
      <c r="K2331" s="18" t="inlineStr"/>
      <c r="L2331" s="18" t="inlineStr">
        <is>
          <t>No</t>
        </is>
      </c>
      <c r="M2331" s="18" t="inlineStr">
        <is>
          <t>No</t>
        </is>
      </c>
      <c r="N2331" s="18" t="inlineStr"/>
      <c r="O2331" s="18" t="inlineStr"/>
      <c r="P2331" s="18" t="inlineStr"/>
      <c r="Q2331" s="18" t="inlineStr">
        <is>
          <t>Regla estructural</t>
        </is>
      </c>
      <c r="R2331" s="18" t="inlineStr">
        <is>
          <t>Fecha de proximo reporte.</t>
        </is>
      </c>
      <c r="S2331" s="18" t="inlineStr">
        <is>
          <t>Media</t>
        </is>
      </c>
      <c r="T2331" s="18" t="inlineStr">
        <is>
          <t>Convención de nombre de la columna.</t>
        </is>
      </c>
      <c r="U2331" s="18" t="inlineStr"/>
      <c r="V2331" s="19" t="inlineStr">
        <is>
          <t>Pendiente</t>
        </is>
      </c>
      <c r="W2331" s="19" t="inlineStr"/>
      <c r="X2331" s="19" t="inlineStr"/>
      <c r="Y2331" s="20" t="n"/>
      <c r="Z2331" s="19" t="inlineStr"/>
      <c r="AA2331" s="18">
        <f>IF(OR(V2331="Aprobada"),R2331,IF(AND(OR(V2331="Aprobada con ajuste",V2331="Rechazada"),W2331&lt;&gt;""),W2331,""))</f>
        <v/>
      </c>
    </row>
    <row r="2332">
      <c r="A2332" s="18" t="inlineStr">
        <is>
          <t>C2331</t>
        </is>
      </c>
      <c r="B2332" s="18" t="inlineStr">
        <is>
          <t>Requerimientos</t>
        </is>
      </c>
      <c r="C2332" s="18" t="inlineStr">
        <is>
          <t>requerimientos_oc</t>
        </is>
      </c>
      <c r="D2332" s="18" t="inlineStr">
        <is>
          <t>hallazgos</t>
        </is>
      </c>
      <c r="E2332" s="18" t="n">
        <v>2</v>
      </c>
      <c r="F2332" s="18" t="inlineStr">
        <is>
          <t>periodicidad_reporte</t>
        </is>
      </c>
      <c r="G2332" s="18" t="inlineStr">
        <is>
          <t>character varying(20)</t>
        </is>
      </c>
      <c r="H2332" s="18" t="inlineStr">
        <is>
          <t>Sí</t>
        </is>
      </c>
      <c r="I2332" s="18" t="inlineStr">
        <is>
          <t>CHECK</t>
        </is>
      </c>
      <c r="J2332" s="18" t="inlineStr">
        <is>
          <t>ANUAL, MENSUAL, SEMESTRAL, TRIMESTRAL</t>
        </is>
      </c>
      <c r="K2332" s="18" t="inlineStr"/>
      <c r="L2332" s="18" t="inlineStr">
        <is>
          <t>Sí</t>
        </is>
      </c>
      <c r="M2332" s="18" t="inlineStr">
        <is>
          <t>No</t>
        </is>
      </c>
      <c r="N2332" s="18" t="inlineStr"/>
      <c r="O2332" s="18" t="inlineStr"/>
      <c r="P2332" s="18" t="inlineStr"/>
      <c r="Q2332" s="18" t="inlineStr">
        <is>
          <t>Propuesta semántica</t>
        </is>
      </c>
      <c r="R2332" s="18" t="inlineStr">
        <is>
          <t>Periodicidad con que se reporta el avance del hallazgo. Valores permitidos: ANUAL, MENSUAL, SEMESTRAL, TRIMESTRAL. Por defecto, SEMESTRAL.</t>
        </is>
      </c>
      <c r="S2332" s="18" t="inlineStr">
        <is>
          <t>Alta</t>
        </is>
      </c>
      <c r="T2332" s="18" t="inlineStr">
        <is>
          <t>valores permitidos del CHECK</t>
        </is>
      </c>
      <c r="U2332" s="18" t="inlineStr"/>
      <c r="V2332" s="19" t="inlineStr">
        <is>
          <t>Pendiente</t>
        </is>
      </c>
      <c r="W2332" s="19" t="inlineStr"/>
      <c r="X2332" s="19" t="inlineStr"/>
      <c r="Y2332" s="20" t="n"/>
      <c r="Z2332" s="19" t="inlineStr"/>
      <c r="AA2332" s="18">
        <f>IF(OR(V2332="Aprobada"),R2332,IF(AND(OR(V2332="Aprobada con ajuste",V2332="Rechazada"),W2332&lt;&gt;""),W2332,""))</f>
        <v/>
      </c>
    </row>
    <row r="2333">
      <c r="A2333" s="18" t="inlineStr">
        <is>
          <t>C2332</t>
        </is>
      </c>
      <c r="B2333" s="18" t="inlineStr">
        <is>
          <t>Requerimientos</t>
        </is>
      </c>
      <c r="C2333" s="18" t="inlineStr">
        <is>
          <t>requerimientos_oc</t>
        </is>
      </c>
      <c r="D2333" s="18" t="inlineStr">
        <is>
          <t>hallazgos</t>
        </is>
      </c>
      <c r="E2333" s="18" t="n">
        <v>2</v>
      </c>
      <c r="F2333" s="18" t="inlineStr">
        <is>
          <t>documento_plan_url</t>
        </is>
      </c>
      <c r="G2333" s="18" t="inlineStr">
        <is>
          <t>character varying(500)</t>
        </is>
      </c>
      <c r="H2333" s="18" t="inlineStr">
        <is>
          <t>Sí</t>
        </is>
      </c>
      <c r="I2333" s="18" t="inlineStr"/>
      <c r="J2333" s="18" t="inlineStr"/>
      <c r="K2333" s="18" t="inlineStr"/>
      <c r="L2333" s="18" t="inlineStr">
        <is>
          <t>No</t>
        </is>
      </c>
      <c r="M2333" s="18" t="inlineStr">
        <is>
          <t>No</t>
        </is>
      </c>
      <c r="N2333" s="18" t="inlineStr"/>
      <c r="O2333" s="18" t="inlineStr"/>
      <c r="P2333" s="18" t="inlineStr"/>
      <c r="Q2333" s="18" t="inlineStr">
        <is>
          <t>Propuesta semántica</t>
        </is>
      </c>
      <c r="R2333" s="18" t="inlineStr">
        <is>
          <t>URL del documento del plan de mejoramiento asociado al hallazgo.</t>
        </is>
      </c>
      <c r="S2333" s="18" t="inlineStr">
        <is>
          <t>Media</t>
        </is>
      </c>
      <c r="T2333" s="18" t="inlineStr">
        <is>
          <t>nombre + tipo + columnas vecinas</t>
        </is>
      </c>
      <c r="U2333" s="18" t="inlineStr">
        <is>
          <t>¿La URL apunta al almacenamiento de la plataforma o a un sistema externo?</t>
        </is>
      </c>
      <c r="V2333" s="19" t="inlineStr">
        <is>
          <t>Pendiente</t>
        </is>
      </c>
      <c r="W2333" s="19" t="inlineStr"/>
      <c r="X2333" s="19" t="inlineStr"/>
      <c r="Y2333" s="20" t="n"/>
      <c r="Z2333" s="19" t="inlineStr"/>
      <c r="AA2333" s="18">
        <f>IF(OR(V2333="Aprobada"),R2333,IF(AND(OR(V2333="Aprobada con ajuste",V2333="Rechazada"),W2333&lt;&gt;""),W2333,""))</f>
        <v/>
      </c>
    </row>
    <row r="2334">
      <c r="A2334" s="18" t="inlineStr">
        <is>
          <t>C2333</t>
        </is>
      </c>
      <c r="B2334" s="18" t="inlineStr">
        <is>
          <t>Requerimientos</t>
        </is>
      </c>
      <c r="C2334" s="18" t="inlineStr">
        <is>
          <t>requerimientos_oc</t>
        </is>
      </c>
      <c r="D2334" s="18" t="inlineStr">
        <is>
          <t>hallazgos</t>
        </is>
      </c>
      <c r="E2334" s="18" t="n">
        <v>2</v>
      </c>
      <c r="F2334" s="18" t="inlineStr">
        <is>
          <t>documentos_evidencia_urls</t>
        </is>
      </c>
      <c r="G2334" s="18" t="inlineStr">
        <is>
          <t>text[]</t>
        </is>
      </c>
      <c r="H2334" s="18" t="inlineStr">
        <is>
          <t>Sí</t>
        </is>
      </c>
      <c r="I2334" s="18" t="inlineStr"/>
      <c r="J2334" s="18" t="inlineStr"/>
      <c r="K2334" s="18" t="inlineStr"/>
      <c r="L2334" s="18" t="inlineStr">
        <is>
          <t>No</t>
        </is>
      </c>
      <c r="M2334" s="18" t="inlineStr">
        <is>
          <t>No</t>
        </is>
      </c>
      <c r="N2334" s="18" t="inlineStr"/>
      <c r="O2334" s="18" t="inlineStr"/>
      <c r="P2334" s="18" t="inlineStr"/>
      <c r="Q2334" s="18" t="inlineStr">
        <is>
          <t>Propuesta semántica</t>
        </is>
      </c>
      <c r="R2334" s="18" t="inlineStr">
        <is>
          <t>Lista de URL de los documentos de evidencia del hallazgo.</t>
        </is>
      </c>
      <c r="S2334" s="18" t="inlineStr">
        <is>
          <t>Alta</t>
        </is>
      </c>
      <c r="T2334" s="18" t="inlineStr">
        <is>
          <t>nombre + tipo</t>
        </is>
      </c>
      <c r="U2334" s="18" t="inlineStr"/>
      <c r="V2334" s="19" t="inlineStr">
        <is>
          <t>Pendiente</t>
        </is>
      </c>
      <c r="W2334" s="19" t="inlineStr"/>
      <c r="X2334" s="19" t="inlineStr"/>
      <c r="Y2334" s="20" t="n"/>
      <c r="Z2334" s="19" t="inlineStr"/>
      <c r="AA2334" s="18">
        <f>IF(OR(V2334="Aprobada"),R2334,IF(AND(OR(V2334="Aprobada con ajuste",V2334="Rechazada"),W2334&lt;&gt;""),W2334,""))</f>
        <v/>
      </c>
    </row>
    <row r="2335">
      <c r="A2335" s="18" t="inlineStr">
        <is>
          <t>C2334</t>
        </is>
      </c>
      <c r="B2335" s="18" t="inlineStr">
        <is>
          <t>Requerimientos</t>
        </is>
      </c>
      <c r="C2335" s="18" t="inlineStr">
        <is>
          <t>requerimientos_oc</t>
        </is>
      </c>
      <c r="D2335" s="18" t="inlineStr">
        <is>
          <t>historial_requerimientos</t>
        </is>
      </c>
      <c r="E2335" s="18" t="n">
        <v>0</v>
      </c>
      <c r="F2335" s="18" t="inlineStr">
        <is>
          <t>accion</t>
        </is>
      </c>
      <c r="G2335" s="18" t="inlineStr">
        <is>
          <t>character varying(50)</t>
        </is>
      </c>
      <c r="H2335" s="18" t="inlineStr">
        <is>
          <t>No</t>
        </is>
      </c>
      <c r="I2335" s="18" t="inlineStr"/>
      <c r="J2335" s="18" t="inlineStr"/>
      <c r="K2335" s="18" t="inlineStr"/>
      <c r="L2335" s="18" t="inlineStr">
        <is>
          <t>No</t>
        </is>
      </c>
      <c r="M2335" s="18" t="inlineStr">
        <is>
          <t>Sí</t>
        </is>
      </c>
      <c r="N2335" s="18" t="inlineStr">
        <is>
          <t>Función requerimientos_oc.registrar_historial_requerimiento — requerimientos_oc.registrar_historial_requerimiento: INSERT INTO historial_requerimientos (requerimiento_id, accion, descripcion, estado_anterior, estado_nuevo)</t>
        </is>
      </c>
      <c r="O2335" s="18" t="inlineStr"/>
      <c r="P2335" s="18" t="inlineStr"/>
      <c r="Q2335" s="18" t="inlineStr">
        <is>
          <t>Propuesta semántica</t>
        </is>
      </c>
      <c r="R2335" s="18" t="inlineStr">
        <is>
          <t>Acción registrada sobre el requerimiento.</t>
        </is>
      </c>
      <c r="S2335" s="18" t="inlineStr">
        <is>
          <t>Media</t>
        </is>
      </c>
      <c r="T2335" s="18" t="inlineStr">
        <is>
          <t>uso en la función requerimientos_oc.registrar_historial_requerimiento</t>
        </is>
      </c>
      <c r="U2335" s="18" t="inlineStr">
        <is>
          <t>¿Qué valores de acción registra la función?</t>
        </is>
      </c>
      <c r="V2335" s="19" t="inlineStr">
        <is>
          <t>Pendiente</t>
        </is>
      </c>
      <c r="W2335" s="19" t="inlineStr"/>
      <c r="X2335" s="19" t="inlineStr"/>
      <c r="Y2335" s="20" t="n"/>
      <c r="Z2335" s="19" t="inlineStr"/>
      <c r="AA2335" s="18">
        <f>IF(OR(V2335="Aprobada"),R2335,IF(AND(OR(V2335="Aprobada con ajuste",V2335="Rechazada"),W2335&lt;&gt;""),W2335,""))</f>
        <v/>
      </c>
    </row>
    <row r="2336">
      <c r="A2336" s="18" t="inlineStr">
        <is>
          <t>C2335</t>
        </is>
      </c>
      <c r="B2336" s="18" t="inlineStr">
        <is>
          <t>Requerimientos</t>
        </is>
      </c>
      <c r="C2336" s="18" t="inlineStr">
        <is>
          <t>requerimientos_oc</t>
        </is>
      </c>
      <c r="D2336" s="18" t="inlineStr">
        <is>
          <t>historial_requerimientos</t>
        </is>
      </c>
      <c r="E2336" s="18" t="n">
        <v>0</v>
      </c>
      <c r="F2336" s="18" t="inlineStr">
        <is>
          <t>descripcion</t>
        </is>
      </c>
      <c r="G2336" s="18" t="inlineStr">
        <is>
          <t>text</t>
        </is>
      </c>
      <c r="H2336" s="18" t="inlineStr">
        <is>
          <t>Sí</t>
        </is>
      </c>
      <c r="I2336" s="18" t="inlineStr"/>
      <c r="J2336" s="18" t="inlineStr"/>
      <c r="K2336" s="18" t="inlineStr"/>
      <c r="L2336" s="18" t="inlineStr">
        <is>
          <t>No</t>
        </is>
      </c>
      <c r="M2336" s="18" t="inlineStr">
        <is>
          <t>Sí</t>
        </is>
      </c>
      <c r="N2336" s="18" t="inlineStr">
        <is>
          <t>Función requerimientos_oc.registrar_historial_requerimiento — requerimientos_oc.registrar_historial_requerimiento: INSERT INTO historial_requerimientos (requerimiento_id, accion, descripcion, estado_anterior, estado_nuevo)</t>
        </is>
      </c>
      <c r="O2336" s="18" t="inlineStr"/>
      <c r="P2336" s="18" t="inlineStr"/>
      <c r="Q2336" s="18" t="inlineStr">
        <is>
          <t>Regla estructural</t>
        </is>
      </c>
      <c r="R2336" s="18" t="inlineStr">
        <is>
          <t>Descripción del registro de historial_requerimientos.</t>
        </is>
      </c>
      <c r="S2336" s="18" t="inlineStr">
        <is>
          <t>Media</t>
        </is>
      </c>
      <c r="T2336" s="18" t="inlineStr">
        <is>
          <t>Convención de nombre de la columna.</t>
        </is>
      </c>
      <c r="U2336" s="18" t="inlineStr"/>
      <c r="V2336" s="19" t="inlineStr">
        <is>
          <t>Pendiente</t>
        </is>
      </c>
      <c r="W2336" s="19" t="inlineStr"/>
      <c r="X2336" s="19" t="inlineStr"/>
      <c r="Y2336" s="20" t="n"/>
      <c r="Z2336" s="19" t="inlineStr"/>
      <c r="AA2336" s="18">
        <f>IF(OR(V2336="Aprobada"),R2336,IF(AND(OR(V2336="Aprobada con ajuste",V2336="Rechazada"),W2336&lt;&gt;""),W2336,""))</f>
        <v/>
      </c>
    </row>
    <row r="2337">
      <c r="A2337" s="18" t="inlineStr">
        <is>
          <t>C2336</t>
        </is>
      </c>
      <c r="B2337" s="18" t="inlineStr">
        <is>
          <t>Requerimientos</t>
        </is>
      </c>
      <c r="C2337" s="18" t="inlineStr">
        <is>
          <t>requerimientos_oc</t>
        </is>
      </c>
      <c r="D2337" s="18" t="inlineStr">
        <is>
          <t>historial_requerimientos</t>
        </is>
      </c>
      <c r="E2337" s="18" t="n">
        <v>0</v>
      </c>
      <c r="F2337" s="18" t="inlineStr">
        <is>
          <t>estado_anterior</t>
        </is>
      </c>
      <c r="G2337" s="18" t="inlineStr">
        <is>
          <t>character varying(30)</t>
        </is>
      </c>
      <c r="H2337" s="18" t="inlineStr">
        <is>
          <t>Sí</t>
        </is>
      </c>
      <c r="I2337" s="18" t="inlineStr"/>
      <c r="J2337" s="18" t="inlineStr"/>
      <c r="K2337" s="18" t="inlineStr"/>
      <c r="L2337" s="18" t="inlineStr">
        <is>
          <t>No</t>
        </is>
      </c>
      <c r="M2337" s="18" t="inlineStr">
        <is>
          <t>Sí</t>
        </is>
      </c>
      <c r="N2337" s="18" t="inlineStr">
        <is>
          <t>Función requerimientos_oc.registrar_historial_requerimiento — requerimientos_oc.registrar_historial_requerimiento: INSERT INTO historial_requerimientos (requerimiento_id, accion, descripcion, estado_anterior, estado_nuevo)</t>
        </is>
      </c>
      <c r="O2337" s="18" t="inlineStr"/>
      <c r="P2337" s="18" t="inlineStr"/>
      <c r="Q2337" s="18" t="inlineStr">
        <is>
          <t>Propuesta semántica</t>
        </is>
      </c>
      <c r="R2337" s="18" t="inlineStr">
        <is>
          <t>Estado del requerimiento antes de la acción.</t>
        </is>
      </c>
      <c r="S2337" s="18" t="inlineStr">
        <is>
          <t>Alta</t>
        </is>
      </c>
      <c r="T2337" s="18" t="inlineStr">
        <is>
          <t>uso en la función requerimientos_oc.registrar_historial_requerimiento</t>
        </is>
      </c>
      <c r="U2337" s="18" t="inlineStr"/>
      <c r="V2337" s="19" t="inlineStr">
        <is>
          <t>Pendiente</t>
        </is>
      </c>
      <c r="W2337" s="19" t="inlineStr"/>
      <c r="X2337" s="19" t="inlineStr"/>
      <c r="Y2337" s="20" t="n"/>
      <c r="Z2337" s="19" t="inlineStr"/>
      <c r="AA2337" s="18">
        <f>IF(OR(V2337="Aprobada"),R2337,IF(AND(OR(V2337="Aprobada con ajuste",V2337="Rechazada"),W2337&lt;&gt;""),W2337,""))</f>
        <v/>
      </c>
    </row>
    <row r="2338">
      <c r="A2338" s="18" t="inlineStr">
        <is>
          <t>C2337</t>
        </is>
      </c>
      <c r="B2338" s="18" t="inlineStr">
        <is>
          <t>Requerimientos</t>
        </is>
      </c>
      <c r="C2338" s="18" t="inlineStr">
        <is>
          <t>requerimientos_oc</t>
        </is>
      </c>
      <c r="D2338" s="18" t="inlineStr">
        <is>
          <t>historial_requerimientos</t>
        </is>
      </c>
      <c r="E2338" s="18" t="n">
        <v>0</v>
      </c>
      <c r="F2338" s="18" t="inlineStr">
        <is>
          <t>estado_nuevo</t>
        </is>
      </c>
      <c r="G2338" s="18" t="inlineStr">
        <is>
          <t>character varying(30)</t>
        </is>
      </c>
      <c r="H2338" s="18" t="inlineStr">
        <is>
          <t>Sí</t>
        </is>
      </c>
      <c r="I2338" s="18" t="inlineStr"/>
      <c r="J2338" s="18" t="inlineStr"/>
      <c r="K2338" s="18" t="inlineStr"/>
      <c r="L2338" s="18" t="inlineStr">
        <is>
          <t>No</t>
        </is>
      </c>
      <c r="M2338" s="18" t="inlineStr">
        <is>
          <t>Sí</t>
        </is>
      </c>
      <c r="N2338" s="18" t="inlineStr">
        <is>
          <t>Función requerimientos_oc.registrar_historial_requerimiento — requerimientos_oc.registrar_historial_requerimiento: INSERT INTO historial_requerimientos (requerimiento_id, accion, descripcion, estado_anterior, estado_nuevo)</t>
        </is>
      </c>
      <c r="O2338" s="18" t="inlineStr"/>
      <c r="P2338" s="18" t="inlineStr"/>
      <c r="Q2338" s="18" t="inlineStr">
        <is>
          <t>Propuesta semántica</t>
        </is>
      </c>
      <c r="R2338" s="18" t="inlineStr">
        <is>
          <t>Estado del requerimiento después de la acción.</t>
        </is>
      </c>
      <c r="S2338" s="18" t="inlineStr">
        <is>
          <t>Alta</t>
        </is>
      </c>
      <c r="T2338" s="18" t="inlineStr">
        <is>
          <t>uso en la función requerimientos_oc.registrar_historial_requerimiento</t>
        </is>
      </c>
      <c r="U2338" s="18" t="inlineStr"/>
      <c r="V2338" s="19" t="inlineStr">
        <is>
          <t>Pendiente</t>
        </is>
      </c>
      <c r="W2338" s="19" t="inlineStr"/>
      <c r="X2338" s="19" t="inlineStr"/>
      <c r="Y2338" s="20" t="n"/>
      <c r="Z2338" s="19" t="inlineStr"/>
      <c r="AA2338" s="18">
        <f>IF(OR(V2338="Aprobada"),R2338,IF(AND(OR(V2338="Aprobada con ajuste",V2338="Rechazada"),W2338&lt;&gt;""),W2338,""))</f>
        <v/>
      </c>
    </row>
    <row r="2339">
      <c r="A2339" s="18" t="inlineStr">
        <is>
          <t>C2338</t>
        </is>
      </c>
      <c r="B2339" s="18" t="inlineStr">
        <is>
          <t>Requerimientos</t>
        </is>
      </c>
      <c r="C2339" s="18" t="inlineStr">
        <is>
          <t>requerimientos_oc</t>
        </is>
      </c>
      <c r="D2339" s="18" t="inlineStr">
        <is>
          <t>historial_requerimientos</t>
        </is>
      </c>
      <c r="E2339" s="18" t="n">
        <v>0</v>
      </c>
      <c r="F2339" s="18" t="inlineStr">
        <is>
          <t>usuario_nombre</t>
        </is>
      </c>
      <c r="G2339" s="18" t="inlineStr">
        <is>
          <t>character varying(150)</t>
        </is>
      </c>
      <c r="H2339" s="18" t="inlineStr">
        <is>
          <t>Sí</t>
        </is>
      </c>
      <c r="I2339" s="18" t="inlineStr"/>
      <c r="J2339" s="18" t="inlineStr"/>
      <c r="K2339" s="18" t="inlineStr"/>
      <c r="L2339" s="18" t="inlineStr">
        <is>
          <t>No</t>
        </is>
      </c>
      <c r="M2339" s="18" t="inlineStr">
        <is>
          <t>No</t>
        </is>
      </c>
      <c r="N2339" s="18" t="inlineStr"/>
      <c r="O2339" s="18" t="inlineStr"/>
      <c r="P2339" s="18" t="inlineStr"/>
      <c r="Q2339" s="18" t="inlineStr">
        <is>
          <t>Propuesta semántica</t>
        </is>
      </c>
      <c r="R2339" s="18" t="inlineStr">
        <is>
          <t>Nombre del usuario que realizó la acción.</t>
        </is>
      </c>
      <c r="S2339" s="18" t="inlineStr">
        <is>
          <t>Media</t>
        </is>
      </c>
      <c r="T2339" s="18" t="inlineStr">
        <is>
          <t>nombre + tipo + columnas vecinas</t>
        </is>
      </c>
      <c r="U2339" s="18" t="inlineStr">
        <is>
          <t>¿Quién llena el nombre cuando la acción la registra la función automáticamente?</t>
        </is>
      </c>
      <c r="V2339" s="19" t="inlineStr">
        <is>
          <t>Pendiente</t>
        </is>
      </c>
      <c r="W2339" s="19" t="inlineStr"/>
      <c r="X2339" s="19" t="inlineStr"/>
      <c r="Y2339" s="20" t="n"/>
      <c r="Z2339" s="19" t="inlineStr"/>
      <c r="AA2339" s="18">
        <f>IF(OR(V2339="Aprobada"),R2339,IF(AND(OR(V2339="Aprobada con ajuste",V2339="Rechazada"),W2339&lt;&gt;""),W2339,""))</f>
        <v/>
      </c>
    </row>
    <row r="2340">
      <c r="A2340" s="18" t="inlineStr">
        <is>
          <t>C2339</t>
        </is>
      </c>
      <c r="B2340" s="18" t="inlineStr">
        <is>
          <t>Requerimientos</t>
        </is>
      </c>
      <c r="C2340" s="18" t="inlineStr">
        <is>
          <t>requerimientos_oc</t>
        </is>
      </c>
      <c r="D2340" s="18" t="inlineStr">
        <is>
          <t>historial_requerimientos</t>
        </is>
      </c>
      <c r="E2340" s="18" t="n">
        <v>0</v>
      </c>
      <c r="F2340" s="18" t="inlineStr">
        <is>
          <t>area_usuario</t>
        </is>
      </c>
      <c r="G2340" s="18" t="inlineStr">
        <is>
          <t>character varying(100)</t>
        </is>
      </c>
      <c r="H2340" s="18" t="inlineStr">
        <is>
          <t>Sí</t>
        </is>
      </c>
      <c r="I2340" s="18" t="inlineStr"/>
      <c r="J2340" s="18" t="inlineStr"/>
      <c r="K2340" s="18" t="inlineStr"/>
      <c r="L2340" s="18" t="inlineStr">
        <is>
          <t>No</t>
        </is>
      </c>
      <c r="M2340" s="18" t="inlineStr">
        <is>
          <t>No</t>
        </is>
      </c>
      <c r="N2340" s="18" t="inlineStr"/>
      <c r="O2340" s="18" t="inlineStr"/>
      <c r="P2340" s="18" t="inlineStr"/>
      <c r="Q2340" s="18" t="inlineStr">
        <is>
          <t>Propuesta semántica</t>
        </is>
      </c>
      <c r="R2340" s="18" t="inlineStr">
        <is>
          <t>Área a la que pertenece el usuario que realizó la acción.</t>
        </is>
      </c>
      <c r="S2340" s="18" t="inlineStr">
        <is>
          <t>Alta</t>
        </is>
      </c>
      <c r="T2340" s="18" t="inlineStr">
        <is>
          <t>nombre + tipo + columnas vecinas</t>
        </is>
      </c>
      <c r="U2340" s="18" t="inlineStr"/>
      <c r="V2340" s="19" t="inlineStr">
        <is>
          <t>Pendiente</t>
        </is>
      </c>
      <c r="W2340" s="19" t="inlineStr"/>
      <c r="X2340" s="19" t="inlineStr"/>
      <c r="Y2340" s="20" t="n"/>
      <c r="Z2340" s="19" t="inlineStr"/>
      <c r="AA2340" s="18">
        <f>IF(OR(V2340="Aprobada"),R2340,IF(AND(OR(V2340="Aprobada con ajuste",V2340="Rechazada"),W2340&lt;&gt;""),W2340,""))</f>
        <v/>
      </c>
    </row>
    <row r="2341">
      <c r="A2341" s="18" t="inlineStr">
        <is>
          <t>C2340</t>
        </is>
      </c>
      <c r="B2341" s="18" t="inlineStr">
        <is>
          <t>Requerimientos</t>
        </is>
      </c>
      <c r="C2341" s="18" t="inlineStr">
        <is>
          <t>requerimientos_oc</t>
        </is>
      </c>
      <c r="D2341" s="18" t="inlineStr">
        <is>
          <t>historial_requerimientos</t>
        </is>
      </c>
      <c r="E2341" s="18" t="n">
        <v>0</v>
      </c>
      <c r="F2341" s="18" t="inlineStr">
        <is>
          <t>fecha</t>
        </is>
      </c>
      <c r="G2341" s="18" t="inlineStr">
        <is>
          <t>timestamp without time zone</t>
        </is>
      </c>
      <c r="H2341" s="18" t="inlineStr">
        <is>
          <t>Sí</t>
        </is>
      </c>
      <c r="I2341" s="18" t="inlineStr"/>
      <c r="J2341" s="18" t="inlineStr"/>
      <c r="K2341" s="18" t="inlineStr"/>
      <c r="L2341" s="18" t="inlineStr">
        <is>
          <t>No</t>
        </is>
      </c>
      <c r="M2341" s="18" t="inlineStr">
        <is>
          <t>No</t>
        </is>
      </c>
      <c r="N2341" s="18" t="inlineStr"/>
      <c r="O2341" s="18" t="inlineStr">
        <is>
          <t>idx_historial_fecha</t>
        </is>
      </c>
      <c r="P2341" s="18" t="inlineStr"/>
      <c r="Q2341" s="18" t="inlineStr">
        <is>
          <t>Propuesta semántica</t>
        </is>
      </c>
      <c r="R2341" s="18" t="inlineStr">
        <is>
          <t>Fecha y hora en que se registró la acción. Por defecto, la fecha y hora de inserción.</t>
        </is>
      </c>
      <c r="S2341" s="18" t="inlineStr">
        <is>
          <t>Alta</t>
        </is>
      </c>
      <c r="T2341" s="18" t="inlineStr">
        <is>
          <t>nombre + tipo + defecto</t>
        </is>
      </c>
      <c r="U2341" s="18" t="inlineStr"/>
      <c r="V2341" s="19" t="inlineStr">
        <is>
          <t>Pendiente</t>
        </is>
      </c>
      <c r="W2341" s="19" t="inlineStr"/>
      <c r="X2341" s="19" t="inlineStr"/>
      <c r="Y2341" s="20" t="n"/>
      <c r="Z2341" s="19" t="inlineStr"/>
      <c r="AA2341" s="18">
        <f>IF(OR(V2341="Aprobada"),R2341,IF(AND(OR(V2341="Aprobada con ajuste",V2341="Rechazada"),W2341&lt;&gt;""),W2341,""))</f>
        <v/>
      </c>
    </row>
    <row r="2342">
      <c r="A2342" s="18" t="inlineStr">
        <is>
          <t>C2341</t>
        </is>
      </c>
      <c r="B2342" s="18" t="inlineStr">
        <is>
          <t>Requerimientos</t>
        </is>
      </c>
      <c r="C2342" s="18" t="inlineStr">
        <is>
          <t>requerimientos_oc</t>
        </is>
      </c>
      <c r="D2342" s="18" t="inlineStr">
        <is>
          <t>requerimientos</t>
        </is>
      </c>
      <c r="E2342" s="18" t="n">
        <v>5</v>
      </c>
      <c r="F2342" s="18" t="inlineStr">
        <is>
          <t>radicado_externo</t>
        </is>
      </c>
      <c r="G2342" s="18" t="inlineStr">
        <is>
          <t>character varying(50)</t>
        </is>
      </c>
      <c r="H2342" s="18" t="inlineStr">
        <is>
          <t>No</t>
        </is>
      </c>
      <c r="I2342" s="18" t="inlineStr"/>
      <c r="J2342" s="18" t="inlineStr"/>
      <c r="K2342" s="18" t="inlineStr"/>
      <c r="L2342" s="18" t="inlineStr">
        <is>
          <t>No</t>
        </is>
      </c>
      <c r="M2342" s="18" t="inlineStr">
        <is>
          <t>No</t>
        </is>
      </c>
      <c r="N2342" s="18" t="inlineStr"/>
      <c r="O2342" s="18" t="inlineStr"/>
      <c r="P2342" s="18" t="inlineStr">
        <is>
          <t>Mapeada en legal-management-service/src/entities/requerimiento.entity.ts:9 (Requerimiento.radicadoExterno)</t>
        </is>
      </c>
      <c r="Q2342" s="18" t="inlineStr">
        <is>
          <t>Propuesta semántica</t>
        </is>
      </c>
      <c r="R2342" s="18" t="inlineStr">
        <is>
          <t>Número de radicado asignado por el organismo de control al requerimiento.</t>
        </is>
      </c>
      <c r="S2342" s="18" t="inlineStr">
        <is>
          <t>Alta</t>
        </is>
      </c>
      <c r="T2342" s="18" t="inlineStr">
        <is>
          <t>nombre + tipo + descripción de la tabla</t>
        </is>
      </c>
      <c r="U2342" s="18" t="inlineStr"/>
      <c r="V2342" s="19" t="inlineStr">
        <is>
          <t>Pendiente</t>
        </is>
      </c>
      <c r="W2342" s="19" t="inlineStr"/>
      <c r="X2342" s="19" t="inlineStr"/>
      <c r="Y2342" s="20" t="n"/>
      <c r="Z2342" s="19" t="inlineStr"/>
      <c r="AA2342" s="18">
        <f>IF(OR(V2342="Aprobada"),R2342,IF(AND(OR(V2342="Aprobada con ajuste",V2342="Rechazada"),W2342&lt;&gt;""),W2342,""))</f>
        <v/>
      </c>
    </row>
    <row r="2343">
      <c r="A2343" s="18" t="inlineStr">
        <is>
          <t>C2342</t>
        </is>
      </c>
      <c r="B2343" s="18" t="inlineStr">
        <is>
          <t>Requerimientos</t>
        </is>
      </c>
      <c r="C2343" s="18" t="inlineStr">
        <is>
          <t>requerimientos_oc</t>
        </is>
      </c>
      <c r="D2343" s="18" t="inlineStr">
        <is>
          <t>requerimientos</t>
        </is>
      </c>
      <c r="E2343" s="18" t="n">
        <v>5</v>
      </c>
      <c r="F2343" s="18" t="inlineStr">
        <is>
          <t>asunto</t>
        </is>
      </c>
      <c r="G2343" s="18" t="inlineStr">
        <is>
          <t>text</t>
        </is>
      </c>
      <c r="H2343" s="18" t="inlineStr">
        <is>
          <t>No</t>
        </is>
      </c>
      <c r="I2343" s="18" t="inlineStr"/>
      <c r="J2343" s="18" t="inlineStr"/>
      <c r="K2343" s="18" t="inlineStr"/>
      <c r="L2343" s="18" t="inlineStr">
        <is>
          <t>No</t>
        </is>
      </c>
      <c r="M2343" s="18" t="inlineStr">
        <is>
          <t>No</t>
        </is>
      </c>
      <c r="N2343" s="18" t="inlineStr"/>
      <c r="O2343" s="18" t="inlineStr"/>
      <c r="P2343" s="18" t="inlineStr">
        <is>
          <t>Mapeada en legal-management-service/src/entities/requerimiento.entity.ts:23 (Requerimiento.asunto)</t>
        </is>
      </c>
      <c r="Q2343" s="18" t="inlineStr">
        <is>
          <t>Propuesta semántica</t>
        </is>
      </c>
      <c r="R2343" s="18" t="inlineStr">
        <is>
          <t>Asunto del requerimiento.</t>
        </is>
      </c>
      <c r="S2343" s="18" t="inlineStr">
        <is>
          <t>Alta</t>
        </is>
      </c>
      <c r="T2343" s="18" t="inlineStr">
        <is>
          <t>nombre + tipo</t>
        </is>
      </c>
      <c r="U2343" s="18" t="inlineStr"/>
      <c r="V2343" s="19" t="inlineStr">
        <is>
          <t>Pendiente</t>
        </is>
      </c>
      <c r="W2343" s="19" t="inlineStr"/>
      <c r="X2343" s="19" t="inlineStr"/>
      <c r="Y2343" s="20" t="n"/>
      <c r="Z2343" s="19" t="inlineStr"/>
      <c r="AA2343" s="18">
        <f>IF(OR(V2343="Aprobada"),R2343,IF(AND(OR(V2343="Aprobada con ajuste",V2343="Rechazada"),W2343&lt;&gt;""),W2343,""))</f>
        <v/>
      </c>
    </row>
    <row r="2344">
      <c r="A2344" s="18" t="inlineStr">
        <is>
          <t>C2343</t>
        </is>
      </c>
      <c r="B2344" s="18" t="inlineStr">
        <is>
          <t>Requerimientos</t>
        </is>
      </c>
      <c r="C2344" s="18" t="inlineStr">
        <is>
          <t>requerimientos_oc</t>
        </is>
      </c>
      <c r="D2344" s="18" t="inlineStr">
        <is>
          <t>requerimientos</t>
        </is>
      </c>
      <c r="E2344" s="18" t="n">
        <v>5</v>
      </c>
      <c r="F2344" s="18" t="inlineStr">
        <is>
          <t>tipo_requerimiento</t>
        </is>
      </c>
      <c r="G2344" s="18" t="inlineStr">
        <is>
          <t>character varying(50)</t>
        </is>
      </c>
      <c r="H2344" s="18" t="inlineStr">
        <is>
          <t>No</t>
        </is>
      </c>
      <c r="I2344" s="18" t="inlineStr">
        <is>
          <t>CHECK</t>
        </is>
      </c>
      <c r="J2344" s="18" t="inlineStr">
        <is>
          <t>AJUSTE, AUDITORIA, HALLAZGO, INFORMACION</t>
        </is>
      </c>
      <c r="K2344" s="18" t="inlineStr"/>
      <c r="L2344" s="18" t="inlineStr">
        <is>
          <t>Sí</t>
        </is>
      </c>
      <c r="M2344" s="18" t="inlineStr">
        <is>
          <t>No</t>
        </is>
      </c>
      <c r="N2344" s="18" t="inlineStr"/>
      <c r="O2344" s="18" t="inlineStr"/>
      <c r="P2344" s="18" t="inlineStr">
        <is>
          <t>db/init/old/011_schema_organos_control.sql:30: INFORMACION, AUDITORIA, HALLAZGO, AJUSTE</t>
        </is>
      </c>
      <c r="Q2344" s="18" t="inlineStr">
        <is>
          <t>Código fuente</t>
        </is>
      </c>
      <c r="R2344" s="18" t="inlineStr">
        <is>
          <t>Tipo de requerimiento del órgano de control. Valores permitidos: INFORMACION, AUDITORIA, HALLAZGO, AJUSTE.</t>
        </is>
      </c>
      <c r="S2344" s="18" t="inlineStr">
        <is>
          <t>Alta</t>
        </is>
      </c>
      <c r="T2344" s="18" t="inlineStr">
        <is>
          <t>valores permitidos del CHECK; código: db/init/old/011_schema_organos_control.sql:30</t>
        </is>
      </c>
      <c r="U2344" s="18" t="inlineStr"/>
      <c r="V2344" s="19" t="inlineStr">
        <is>
          <t>Pendiente</t>
        </is>
      </c>
      <c r="W2344" s="19" t="inlineStr"/>
      <c r="X2344" s="19" t="inlineStr"/>
      <c r="Y2344" s="20" t="n"/>
      <c r="Z2344" s="19" t="inlineStr"/>
      <c r="AA2344" s="18">
        <f>IF(OR(V2344="Aprobada"),R2344,IF(AND(OR(V2344="Aprobada con ajuste",V2344="Rechazada"),W2344&lt;&gt;""),W2344,""))</f>
        <v/>
      </c>
    </row>
    <row r="2345">
      <c r="A2345" s="18" t="inlineStr">
        <is>
          <t>C2344</t>
        </is>
      </c>
      <c r="B2345" s="18" t="inlineStr">
        <is>
          <t>Requerimientos</t>
        </is>
      </c>
      <c r="C2345" s="18" t="inlineStr">
        <is>
          <t>requerimientos_oc</t>
        </is>
      </c>
      <c r="D2345" s="18" t="inlineStr">
        <is>
          <t>requerimientos</t>
        </is>
      </c>
      <c r="E2345" s="18" t="n">
        <v>5</v>
      </c>
      <c r="F2345" s="18" t="inlineStr">
        <is>
          <t>fecha_recepcion</t>
        </is>
      </c>
      <c r="G2345" s="18" t="inlineStr">
        <is>
          <t>date</t>
        </is>
      </c>
      <c r="H2345" s="18" t="inlineStr">
        <is>
          <t>No</t>
        </is>
      </c>
      <c r="I2345" s="18" t="inlineStr"/>
      <c r="J2345" s="18" t="inlineStr"/>
      <c r="K2345" s="18" t="inlineStr"/>
      <c r="L2345" s="18" t="inlineStr">
        <is>
          <t>No</t>
        </is>
      </c>
      <c r="M2345" s="18" t="inlineStr">
        <is>
          <t>No</t>
        </is>
      </c>
      <c r="N2345" s="18" t="inlineStr"/>
      <c r="O2345" s="18" t="inlineStr"/>
      <c r="P2345" s="18" t="inlineStr">
        <is>
          <t>legal-management-service/src/entities/requerimiento.entity.ts:29: TypeORM maps date to string usually for checks</t>
        </is>
      </c>
      <c r="Q2345" s="18" t="inlineStr">
        <is>
          <t>Código fuente</t>
        </is>
      </c>
      <c r="R2345" s="18" t="inlineStr">
        <is>
          <t>Fecha de recepción del requerimiento del órgano de control.</t>
        </is>
      </c>
      <c r="S2345" s="18" t="inlineStr">
        <is>
          <t>Alta</t>
        </is>
      </c>
      <c r="T2345" s="18" t="inlineStr">
        <is>
          <t>propuesta por regla + descripción de la tabla; el comentario de código requerimiento.entity.ts:29 no define el dato</t>
        </is>
      </c>
      <c r="U2345" s="18" t="inlineStr"/>
      <c r="V2345" s="19" t="inlineStr">
        <is>
          <t>Pendiente</t>
        </is>
      </c>
      <c r="W2345" s="19" t="inlineStr"/>
      <c r="X2345" s="19" t="inlineStr"/>
      <c r="Y2345" s="20" t="n"/>
      <c r="Z2345" s="19" t="inlineStr"/>
      <c r="AA2345" s="18">
        <f>IF(OR(V2345="Aprobada"),R2345,IF(AND(OR(V2345="Aprobada con ajuste",V2345="Rechazada"),W2345&lt;&gt;""),W2345,""))</f>
        <v/>
      </c>
    </row>
    <row r="2346">
      <c r="A2346" s="18" t="inlineStr">
        <is>
          <t>C2345</t>
        </is>
      </c>
      <c r="B2346" s="18" t="inlineStr">
        <is>
          <t>Requerimientos</t>
        </is>
      </c>
      <c r="C2346" s="18" t="inlineStr">
        <is>
          <t>requerimientos_oc</t>
        </is>
      </c>
      <c r="D2346" s="18" t="inlineStr">
        <is>
          <t>requerimientos</t>
        </is>
      </c>
      <c r="E2346" s="18" t="n">
        <v>5</v>
      </c>
      <c r="F2346" s="18" t="inlineStr">
        <is>
          <t>estado</t>
        </is>
      </c>
      <c r="G2346" s="18" t="inlineStr">
        <is>
          <t>character varying(50)</t>
        </is>
      </c>
      <c r="H2346" s="18" t="inlineStr">
        <is>
          <t>No</t>
        </is>
      </c>
      <c r="I2346" s="18" t="inlineStr">
        <is>
          <t>CHECK</t>
        </is>
      </c>
      <c r="J2346" s="18" t="inlineStr">
        <is>
          <t>APROBADO, CERRADO, ENVIADO, EN_PREPARACION, EN_REVISION</t>
        </is>
      </c>
      <c r="K2346" s="18" t="inlineStr"/>
      <c r="L2346" s="18" t="inlineStr">
        <is>
          <t>Sí</t>
        </is>
      </c>
      <c r="M2346" s="18" t="inlineStr">
        <is>
          <t>No</t>
        </is>
      </c>
      <c r="N2346" s="18" t="inlineStr"/>
      <c r="O2346" s="18" t="inlineStr">
        <is>
          <t>idx_requerimientos_estado</t>
        </is>
      </c>
      <c r="P2346" s="18" t="inlineStr">
        <is>
          <t>db/init/old/011_schema_organos_control.sql:33: EN_PREPARACION, EN_REVISION, APROBADO, ENVIADO, CERRADO</t>
        </is>
      </c>
      <c r="Q2346" s="18" t="inlineStr">
        <is>
          <t>Código fuente</t>
        </is>
      </c>
      <c r="R2346" s="18" t="inlineStr">
        <is>
          <t>Estado del requerimiento. Valores permitidos: EN_PREPARACION, EN_REVISION, APROBADO, ENVIADO, CERRADO; valor por defecto EN_PREPARACION.</t>
        </is>
      </c>
      <c r="S2346" s="18" t="inlineStr">
        <is>
          <t>Alta</t>
        </is>
      </c>
      <c r="T2346" s="18" t="inlineStr">
        <is>
          <t>valores permitidos del CHECK; código: db/init/old/011_schema_organos_control.sql:33</t>
        </is>
      </c>
      <c r="U2346" s="18" t="inlineStr"/>
      <c r="V2346" s="19" t="inlineStr">
        <is>
          <t>Pendiente</t>
        </is>
      </c>
      <c r="W2346" s="19" t="inlineStr"/>
      <c r="X2346" s="19" t="inlineStr"/>
      <c r="Y2346" s="20" t="n"/>
      <c r="Z2346" s="19" t="inlineStr"/>
      <c r="AA2346" s="18">
        <f>IF(OR(V2346="Aprobada"),R2346,IF(AND(OR(V2346="Aprobada con ajuste",V2346="Rechazada"),W2346&lt;&gt;""),W2346,""))</f>
        <v/>
      </c>
    </row>
    <row r="2347">
      <c r="A2347" s="18" t="inlineStr">
        <is>
          <t>C2346</t>
        </is>
      </c>
      <c r="B2347" s="18" t="inlineStr">
        <is>
          <t>Requerimientos</t>
        </is>
      </c>
      <c r="C2347" s="18" t="inlineStr">
        <is>
          <t>requerimientos_oc</t>
        </is>
      </c>
      <c r="D2347" s="18" t="inlineStr">
        <is>
          <t>requerimientos</t>
        </is>
      </c>
      <c r="E2347" s="18" t="n">
        <v>5</v>
      </c>
      <c r="F2347" s="18" t="inlineStr">
        <is>
          <t>archivo_adjunto_url</t>
        </is>
      </c>
      <c r="G2347" s="18" t="inlineStr">
        <is>
          <t>character varying(500)</t>
        </is>
      </c>
      <c r="H2347" s="18" t="inlineStr">
        <is>
          <t>Sí</t>
        </is>
      </c>
      <c r="I2347" s="18" t="inlineStr"/>
      <c r="J2347" s="18" t="inlineStr"/>
      <c r="K2347" s="18" t="inlineStr"/>
      <c r="L2347" s="18" t="inlineStr">
        <is>
          <t>No</t>
        </is>
      </c>
      <c r="M2347" s="18" t="inlineStr">
        <is>
          <t>No</t>
        </is>
      </c>
      <c r="N2347" s="18" t="inlineStr"/>
      <c r="O2347" s="18" t="inlineStr"/>
      <c r="P2347" s="18" t="inlineStr">
        <is>
          <t>Mapeada en legal-management-service/src/entities/requerimiento.entity.ts:41 (Requerimiento.archivoAdjuntoUrl)</t>
        </is>
      </c>
      <c r="Q2347" s="18" t="inlineStr">
        <is>
          <t>Propuesta semántica</t>
        </is>
      </c>
      <c r="R2347" s="18" t="inlineStr">
        <is>
          <t>URL del archivo del requerimiento recibido.</t>
        </is>
      </c>
      <c r="S2347" s="18" t="inlineStr">
        <is>
          <t>Alta</t>
        </is>
      </c>
      <c r="T2347" s="18" t="inlineStr">
        <is>
          <t>nombre + tipo</t>
        </is>
      </c>
      <c r="U2347" s="18" t="inlineStr"/>
      <c r="V2347" s="19" t="inlineStr">
        <is>
          <t>Pendiente</t>
        </is>
      </c>
      <c r="W2347" s="19" t="inlineStr"/>
      <c r="X2347" s="19" t="inlineStr"/>
      <c r="Y2347" s="20" t="n"/>
      <c r="Z2347" s="19" t="inlineStr"/>
      <c r="AA2347" s="18">
        <f>IF(OR(V2347="Aprobada"),R2347,IF(AND(OR(V2347="Aprobada con ajuste",V2347="Rechazada"),W2347&lt;&gt;""),W2347,""))</f>
        <v/>
      </c>
    </row>
    <row r="2348">
      <c r="A2348" s="18" t="inlineStr">
        <is>
          <t>C2347</t>
        </is>
      </c>
      <c r="B2348" s="18" t="inlineStr">
        <is>
          <t>Requerimientos</t>
        </is>
      </c>
      <c r="C2348" s="18" t="inlineStr">
        <is>
          <t>requerimientos_oc</t>
        </is>
      </c>
      <c r="D2348" s="18" t="inlineStr">
        <is>
          <t>requerimientos</t>
        </is>
      </c>
      <c r="E2348" s="18" t="n">
        <v>5</v>
      </c>
      <c r="F2348" s="18" t="inlineStr">
        <is>
          <t>usuario_asignado_id</t>
        </is>
      </c>
      <c r="G2348" s="18" t="inlineStr">
        <is>
          <t>integer</t>
        </is>
      </c>
      <c r="H2348" s="18" t="inlineStr">
        <is>
          <t>Sí</t>
        </is>
      </c>
      <c r="I2348" s="18" t="inlineStr"/>
      <c r="J2348" s="18" t="inlineStr"/>
      <c r="K2348" s="18" t="inlineStr"/>
      <c r="L2348" s="18" t="inlineStr">
        <is>
          <t>No</t>
        </is>
      </c>
      <c r="M2348" s="18" t="inlineStr">
        <is>
          <t>No</t>
        </is>
      </c>
      <c r="N2348" s="18" t="inlineStr"/>
      <c r="O2348" s="18" t="inlineStr">
        <is>
          <t>idx_requerimientos_usuario_asignado</t>
        </is>
      </c>
      <c r="P2348" s="18" t="inlineStr">
        <is>
          <t>db/init/old/011_schema_organos_control.sql:36: FK a auth.personas (se asume que existe)</t>
        </is>
      </c>
      <c r="Q2348" s="18" t="inlineStr">
        <is>
          <t>Código fuente</t>
        </is>
      </c>
      <c r="R2348" s="18" t="inlineStr">
        <is>
          <t>Identificador del usuario asignado al requerimiento; el código lo documenta como referencia a auth.personas, sin clave foránea en la base.</t>
        </is>
      </c>
      <c r="S2348" s="18" t="inlineStr">
        <is>
          <t>Media</t>
        </is>
      </c>
      <c r="T2348" s="18" t="inlineStr">
        <is>
          <t>código: db/init/old/011_schema_organos_control.sql:36</t>
        </is>
      </c>
      <c r="U2348" s="18" t="inlineStr">
        <is>
          <t>La columna es integer y el comentario la señala como FK a auth.personas; ¿qué identificador guarda realmente?</t>
        </is>
      </c>
      <c r="V2348" s="19" t="inlineStr">
        <is>
          <t>Pendiente</t>
        </is>
      </c>
      <c r="W2348" s="19" t="inlineStr"/>
      <c r="X2348" s="19" t="inlineStr"/>
      <c r="Y2348" s="20" t="n"/>
      <c r="Z2348" s="19" t="inlineStr"/>
      <c r="AA2348" s="18">
        <f>IF(OR(V2348="Aprobada"),R2348,IF(AND(OR(V2348="Aprobada con ajuste",V2348="Rechazada"),W2348&lt;&gt;""),W2348,""))</f>
        <v/>
      </c>
    </row>
    <row r="2349">
      <c r="A2349" s="18" t="inlineStr">
        <is>
          <t>C2348</t>
        </is>
      </c>
      <c r="B2349" s="18" t="inlineStr">
        <is>
          <t>Requerimientos</t>
        </is>
      </c>
      <c r="C2349" s="18" t="inlineStr">
        <is>
          <t>requerimientos_oc</t>
        </is>
      </c>
      <c r="D2349" s="18" t="inlineStr">
        <is>
          <t>requerimientos</t>
        </is>
      </c>
      <c r="E2349" s="18" t="n">
        <v>5</v>
      </c>
      <c r="F2349" s="18" t="inlineStr">
        <is>
          <t>auditoria_created_at</t>
        </is>
      </c>
      <c r="G2349" s="18" t="inlineStr">
        <is>
          <t>timestamp without time zone</t>
        </is>
      </c>
      <c r="H2349" s="18" t="inlineStr">
        <is>
          <t>Sí</t>
        </is>
      </c>
      <c r="I2349" s="18" t="inlineStr"/>
      <c r="J2349" s="18" t="inlineStr"/>
      <c r="K2349" s="18" t="inlineStr"/>
      <c r="L2349" s="18" t="inlineStr">
        <is>
          <t>No</t>
        </is>
      </c>
      <c r="M2349" s="18" t="inlineStr">
        <is>
          <t>No</t>
        </is>
      </c>
      <c r="N2349" s="18" t="inlineStr"/>
      <c r="O2349" s="18" t="inlineStr"/>
      <c r="P2349" s="18" t="inlineStr">
        <is>
          <t>Mapeada en legal-management-service/src/entities/requerimiento.entity.ts:47 (Requerimiento.auditoriaCreatedAt)</t>
        </is>
      </c>
      <c r="Q2349" s="18" t="inlineStr">
        <is>
          <t>Propuesta semántica</t>
        </is>
      </c>
      <c r="R2349" s="18" t="inlineStr">
        <is>
          <t>Fecha y hora de creación del registro. Por defecto, la fecha y hora de inserción.</t>
        </is>
      </c>
      <c r="S2349" s="18" t="inlineStr">
        <is>
          <t>Alta</t>
        </is>
      </c>
      <c r="T2349" s="18" t="inlineStr">
        <is>
          <t>nombre + tipo + defecto</t>
        </is>
      </c>
      <c r="U2349" s="18" t="inlineStr"/>
      <c r="V2349" s="19" t="inlineStr">
        <is>
          <t>Pendiente</t>
        </is>
      </c>
      <c r="W2349" s="19" t="inlineStr"/>
      <c r="X2349" s="19" t="inlineStr"/>
      <c r="Y2349" s="20" t="n"/>
      <c r="Z2349" s="19" t="inlineStr"/>
      <c r="AA2349" s="18">
        <f>IF(OR(V2349="Aprobada"),R2349,IF(AND(OR(V2349="Aprobada con ajuste",V2349="Rechazada"),W2349&lt;&gt;""),W2349,""))</f>
        <v/>
      </c>
    </row>
    <row r="2350">
      <c r="A2350" s="18" t="inlineStr">
        <is>
          <t>C2349</t>
        </is>
      </c>
      <c r="B2350" s="18" t="inlineStr">
        <is>
          <t>Requerimientos</t>
        </is>
      </c>
      <c r="C2350" s="18" t="inlineStr">
        <is>
          <t>requerimientos_oc</t>
        </is>
      </c>
      <c r="D2350" s="18" t="inlineStr">
        <is>
          <t>requerimientos</t>
        </is>
      </c>
      <c r="E2350" s="18" t="n">
        <v>5</v>
      </c>
      <c r="F2350" s="18" t="inlineStr">
        <is>
          <t>unidad_tiempo</t>
        </is>
      </c>
      <c r="G2350" s="18" t="inlineStr">
        <is>
          <t>character varying(20)</t>
        </is>
      </c>
      <c r="H2350" s="18" t="inlineStr">
        <is>
          <t>Sí</t>
        </is>
      </c>
      <c r="I2350" s="18" t="inlineStr">
        <is>
          <t>CHECK</t>
        </is>
      </c>
      <c r="J2350" s="18" t="inlineStr">
        <is>
          <t>DIAS_CALENDARIO, DIAS_HABILES, HORAS</t>
        </is>
      </c>
      <c r="K2350" s="18" t="inlineStr"/>
      <c r="L2350" s="18" t="inlineStr">
        <is>
          <t>Sí</t>
        </is>
      </c>
      <c r="M2350" s="18" t="inlineStr">
        <is>
          <t>No</t>
        </is>
      </c>
      <c r="N2350" s="18" t="inlineStr"/>
      <c r="O2350" s="18" t="inlineStr"/>
      <c r="P2350" s="18" t="inlineStr"/>
      <c r="Q2350" s="18" t="inlineStr">
        <is>
          <t>Propuesta semántica</t>
        </is>
      </c>
      <c r="R2350" s="18" t="inlineStr">
        <is>
          <t>Unidad de tiempo del plazo otorgado. Valores permitidos: DIAS_CALENDARIO, DIAS_HABILES, HORAS. Por defecto, DIAS_HABILES.</t>
        </is>
      </c>
      <c r="S2350" s="18" t="inlineStr">
        <is>
          <t>Alta</t>
        </is>
      </c>
      <c r="T2350" s="18" t="inlineStr">
        <is>
          <t>valores permitidos del CHECK</t>
        </is>
      </c>
      <c r="U2350" s="18" t="inlineStr"/>
      <c r="V2350" s="19" t="inlineStr">
        <is>
          <t>Pendiente</t>
        </is>
      </c>
      <c r="W2350" s="19" t="inlineStr"/>
      <c r="X2350" s="19" t="inlineStr"/>
      <c r="Y2350" s="20" t="n"/>
      <c r="Z2350" s="19" t="inlineStr"/>
      <c r="AA2350" s="18">
        <f>IF(OR(V2350="Aprobada"),R2350,IF(AND(OR(V2350="Aprobada con ajuste",V2350="Rechazada"),W2350&lt;&gt;""),W2350,""))</f>
        <v/>
      </c>
    </row>
    <row r="2351">
      <c r="A2351" s="18" t="inlineStr">
        <is>
          <t>C2350</t>
        </is>
      </c>
      <c r="B2351" s="18" t="inlineStr">
        <is>
          <t>Requerimientos</t>
        </is>
      </c>
      <c r="C2351" s="18" t="inlineStr">
        <is>
          <t>requerimientos_oc</t>
        </is>
      </c>
      <c r="D2351" s="18" t="inlineStr">
        <is>
          <t>requerimientos</t>
        </is>
      </c>
      <c r="E2351" s="18" t="n">
        <v>5</v>
      </c>
      <c r="F2351" s="18" t="inlineStr">
        <is>
          <t>dias_plazo_otorgado</t>
        </is>
      </c>
      <c r="G2351" s="18" t="inlineStr">
        <is>
          <t>integer</t>
        </is>
      </c>
      <c r="H2351" s="18" t="inlineStr">
        <is>
          <t>Sí</t>
        </is>
      </c>
      <c r="I2351" s="18" t="inlineStr"/>
      <c r="J2351" s="18" t="inlineStr"/>
      <c r="K2351" s="18" t="inlineStr"/>
      <c r="L2351" s="18" t="inlineStr">
        <is>
          <t>No</t>
        </is>
      </c>
      <c r="M2351" s="18" t="inlineStr">
        <is>
          <t>No</t>
        </is>
      </c>
      <c r="N2351" s="18" t="inlineStr"/>
      <c r="O2351" s="18" t="inlineStr"/>
      <c r="P2351" s="18" t="inlineStr"/>
      <c r="Q2351" s="18" t="inlineStr">
        <is>
          <t>Propuesta semántica</t>
        </is>
      </c>
      <c r="R2351" s="18" t="inlineStr">
        <is>
          <t>Plazo otorgado para responder el requerimiento, expresado en la unidad de unidad_tiempo. Por defecto, 15.</t>
        </is>
      </c>
      <c r="S2351" s="18" t="inlineStr">
        <is>
          <t>Media</t>
        </is>
      </c>
      <c r="T2351" s="18" t="inlineStr">
        <is>
          <t>nombre + tipo + columnas vecinas</t>
        </is>
      </c>
      <c r="U2351" s="18" t="inlineStr">
        <is>
          <t>¿El valor se expresa siempre en días o sigue la unidad de unidad_tiempo (incluidas horas)?</t>
        </is>
      </c>
      <c r="V2351" s="19" t="inlineStr">
        <is>
          <t>Pendiente</t>
        </is>
      </c>
      <c r="W2351" s="19" t="inlineStr"/>
      <c r="X2351" s="19" t="inlineStr"/>
      <c r="Y2351" s="20" t="n"/>
      <c r="Z2351" s="19" t="inlineStr"/>
      <c r="AA2351" s="18">
        <f>IF(OR(V2351="Aprobada"),R2351,IF(AND(OR(V2351="Aprobada con ajuste",V2351="Rechazada"),W2351&lt;&gt;""),W2351,""))</f>
        <v/>
      </c>
    </row>
    <row r="2352">
      <c r="A2352" s="18" t="inlineStr">
        <is>
          <t>C2351</t>
        </is>
      </c>
      <c r="B2352" s="18" t="inlineStr">
        <is>
          <t>Requerimientos</t>
        </is>
      </c>
      <c r="C2352" s="18" t="inlineStr">
        <is>
          <t>requerimientos_oc</t>
        </is>
      </c>
      <c r="D2352" s="18" t="inlineStr">
        <is>
          <t>requerimientos</t>
        </is>
      </c>
      <c r="E2352" s="18" t="n">
        <v>5</v>
      </c>
      <c r="F2352" s="18" t="inlineStr">
        <is>
          <t>referencia_externa</t>
        </is>
      </c>
      <c r="G2352" s="18" t="inlineStr">
        <is>
          <t>character varying(100)</t>
        </is>
      </c>
      <c r="H2352" s="18" t="inlineStr">
        <is>
          <t>Sí</t>
        </is>
      </c>
      <c r="I2352" s="18" t="inlineStr"/>
      <c r="J2352" s="18" t="inlineStr"/>
      <c r="K2352" s="18" t="inlineStr"/>
      <c r="L2352" s="18" t="inlineStr">
        <is>
          <t>No</t>
        </is>
      </c>
      <c r="M2352" s="18" t="inlineStr">
        <is>
          <t>No</t>
        </is>
      </c>
      <c r="N2352" s="18" t="inlineStr"/>
      <c r="O2352" s="18" t="inlineStr"/>
      <c r="P2352" s="18" t="inlineStr"/>
      <c r="Q2352" s="18" t="inlineStr">
        <is>
          <t>Propuesta semántica</t>
        </is>
      </c>
      <c r="R2352" s="18" t="inlineStr">
        <is>
          <t>Referencia externa del requerimiento.</t>
        </is>
      </c>
      <c r="S2352" s="18" t="inlineStr">
        <is>
          <t>Baja</t>
        </is>
      </c>
      <c r="T2352" s="18" t="inlineStr">
        <is>
          <t>nombre + tipo</t>
        </is>
      </c>
      <c r="U2352" s="18" t="inlineStr">
        <is>
          <t>¿En qué se diferencia la referencia externa del radicado externo?</t>
        </is>
      </c>
      <c r="V2352" s="19" t="inlineStr">
        <is>
          <t>Pendiente</t>
        </is>
      </c>
      <c r="W2352" s="19" t="inlineStr"/>
      <c r="X2352" s="19" t="inlineStr"/>
      <c r="Y2352" s="20" t="n"/>
      <c r="Z2352" s="19" t="inlineStr"/>
      <c r="AA2352" s="18">
        <f>IF(OR(V2352="Aprobada"),R2352,IF(AND(OR(V2352="Aprobada con ajuste",V2352="Rechazada"),W2352&lt;&gt;""),W2352,""))</f>
        <v/>
      </c>
    </row>
    <row r="2353">
      <c r="A2353" s="18" t="inlineStr">
        <is>
          <t>C2352</t>
        </is>
      </c>
      <c r="B2353" s="18" t="inlineStr">
        <is>
          <t>Requerimientos</t>
        </is>
      </c>
      <c r="C2353" s="18" t="inlineStr">
        <is>
          <t>requerimientos_oc</t>
        </is>
      </c>
      <c r="D2353" s="18" t="inlineStr">
        <is>
          <t>requerimientos</t>
        </is>
      </c>
      <c r="E2353" s="18" t="n">
        <v>5</v>
      </c>
      <c r="F2353" s="18" t="inlineStr">
        <is>
          <t>descripcion</t>
        </is>
      </c>
      <c r="G2353" s="18" t="inlineStr">
        <is>
          <t>text</t>
        </is>
      </c>
      <c r="H2353" s="18" t="inlineStr">
        <is>
          <t>Sí</t>
        </is>
      </c>
      <c r="I2353" s="18" t="inlineStr"/>
      <c r="J2353" s="18" t="inlineStr"/>
      <c r="K2353" s="18" t="inlineStr"/>
      <c r="L2353" s="18" t="inlineStr">
        <is>
          <t>No</t>
        </is>
      </c>
      <c r="M2353" s="18" t="inlineStr">
        <is>
          <t>No</t>
        </is>
      </c>
      <c r="N2353" s="18" t="inlineStr"/>
      <c r="O2353" s="18" t="inlineStr"/>
      <c r="P2353" s="18" t="inlineStr"/>
      <c r="Q2353" s="18" t="inlineStr">
        <is>
          <t>Regla estructural</t>
        </is>
      </c>
      <c r="R2353" s="18" t="inlineStr">
        <is>
          <t>Descripción del registro de requerimientos.</t>
        </is>
      </c>
      <c r="S2353" s="18" t="inlineStr">
        <is>
          <t>Media</t>
        </is>
      </c>
      <c r="T2353" s="18" t="inlineStr">
        <is>
          <t>Convención de nombre de la columna.</t>
        </is>
      </c>
      <c r="U2353" s="18" t="inlineStr"/>
      <c r="V2353" s="19" t="inlineStr">
        <is>
          <t>Pendiente</t>
        </is>
      </c>
      <c r="W2353" s="19" t="inlineStr"/>
      <c r="X2353" s="19" t="inlineStr"/>
      <c r="Y2353" s="20" t="n"/>
      <c r="Z2353" s="19" t="inlineStr"/>
      <c r="AA2353" s="18">
        <f>IF(OR(V2353="Aprobada"),R2353,IF(AND(OR(V2353="Aprobada con ajuste",V2353="Rechazada"),W2353&lt;&gt;""),W2353,""))</f>
        <v/>
      </c>
    </row>
    <row r="2354">
      <c r="A2354" s="18" t="inlineStr">
        <is>
          <t>C2353</t>
        </is>
      </c>
      <c r="B2354" s="18" t="inlineStr">
        <is>
          <t>Requerimientos</t>
        </is>
      </c>
      <c r="C2354" s="18" t="inlineStr">
        <is>
          <t>requerimientos_oc</t>
        </is>
      </c>
      <c r="D2354" s="18" t="inlineStr">
        <is>
          <t>requerimientos</t>
        </is>
      </c>
      <c r="E2354" s="18" t="n">
        <v>5</v>
      </c>
      <c r="F2354" s="18" t="inlineStr">
        <is>
          <t>funcionario_responsable</t>
        </is>
      </c>
      <c r="G2354" s="18" t="inlineStr">
        <is>
          <t>character varying(150)</t>
        </is>
      </c>
      <c r="H2354" s="18" t="inlineStr">
        <is>
          <t>Sí</t>
        </is>
      </c>
      <c r="I2354" s="18" t="inlineStr"/>
      <c r="J2354" s="18" t="inlineStr"/>
      <c r="K2354" s="18" t="inlineStr"/>
      <c r="L2354" s="18" t="inlineStr">
        <is>
          <t>No</t>
        </is>
      </c>
      <c r="M2354" s="18" t="inlineStr">
        <is>
          <t>No</t>
        </is>
      </c>
      <c r="N2354" s="18" t="inlineStr"/>
      <c r="O2354" s="18" t="inlineStr"/>
      <c r="P2354" s="18" t="inlineStr"/>
      <c r="Q2354" s="18" t="inlineStr">
        <is>
          <t>Propuesta semántica</t>
        </is>
      </c>
      <c r="R2354" s="18" t="inlineStr">
        <is>
          <t>Nombre del funcionario responsable de atender el requerimiento.</t>
        </is>
      </c>
      <c r="S2354" s="18" t="inlineStr">
        <is>
          <t>Media</t>
        </is>
      </c>
      <c r="T2354" s="18" t="inlineStr">
        <is>
          <t>nombre + tipo</t>
        </is>
      </c>
      <c r="U2354" s="18" t="inlineStr">
        <is>
          <t>¿Se guarda el nombre completo o un identificador de usuario?</t>
        </is>
      </c>
      <c r="V2354" s="19" t="inlineStr">
        <is>
          <t>Pendiente</t>
        </is>
      </c>
      <c r="W2354" s="19" t="inlineStr"/>
      <c r="X2354" s="19" t="inlineStr"/>
      <c r="Y2354" s="20" t="n"/>
      <c r="Z2354" s="19" t="inlineStr"/>
      <c r="AA2354" s="18">
        <f>IF(OR(V2354="Aprobada"),R2354,IF(AND(OR(V2354="Aprobada con ajuste",V2354="Rechazada"),W2354&lt;&gt;""),W2354,""))</f>
        <v/>
      </c>
    </row>
    <row r="2355">
      <c r="A2355" s="18" t="inlineStr">
        <is>
          <t>C2354</t>
        </is>
      </c>
      <c r="B2355" s="18" t="inlineStr">
        <is>
          <t>Requerimientos</t>
        </is>
      </c>
      <c r="C2355" s="18" t="inlineStr">
        <is>
          <t>requerimientos_oc</t>
        </is>
      </c>
      <c r="D2355" s="18" t="inlineStr">
        <is>
          <t>requerimientos</t>
        </is>
      </c>
      <c r="E2355" s="18" t="n">
        <v>5</v>
      </c>
      <c r="F2355" s="18" t="inlineStr">
        <is>
          <t>area_responsable</t>
        </is>
      </c>
      <c r="G2355" s="18" t="inlineStr">
        <is>
          <t>character varying(100)</t>
        </is>
      </c>
      <c r="H2355" s="18" t="inlineStr">
        <is>
          <t>Sí</t>
        </is>
      </c>
      <c r="I2355" s="18" t="inlineStr"/>
      <c r="J2355" s="18" t="inlineStr"/>
      <c r="K2355" s="18" t="inlineStr"/>
      <c r="L2355" s="18" t="inlineStr">
        <is>
          <t>No</t>
        </is>
      </c>
      <c r="M2355" s="18" t="inlineStr">
        <is>
          <t>No</t>
        </is>
      </c>
      <c r="N2355" s="18" t="inlineStr"/>
      <c r="O2355" s="18" t="inlineStr"/>
      <c r="P2355" s="18" t="inlineStr"/>
      <c r="Q2355" s="18" t="inlineStr">
        <is>
          <t>Propuesta semántica</t>
        </is>
      </c>
      <c r="R2355" s="18" t="inlineStr">
        <is>
          <t>Nombre del área responsable de atender el requerimiento.</t>
        </is>
      </c>
      <c r="S2355" s="18" t="inlineStr">
        <is>
          <t>Media</t>
        </is>
      </c>
      <c r="T2355" s="18" t="inlineStr">
        <is>
          <t>nombre + tipo</t>
        </is>
      </c>
      <c r="U2355" s="18" t="inlineStr">
        <is>
          <t>¿El área se toma de un catálogo de dependencias?</t>
        </is>
      </c>
      <c r="V2355" s="19" t="inlineStr">
        <is>
          <t>Pendiente</t>
        </is>
      </c>
      <c r="W2355" s="19" t="inlineStr"/>
      <c r="X2355" s="19" t="inlineStr"/>
      <c r="Y2355" s="20" t="n"/>
      <c r="Z2355" s="19" t="inlineStr"/>
      <c r="AA2355" s="18">
        <f>IF(OR(V2355="Aprobada"),R2355,IF(AND(OR(V2355="Aprobada con ajuste",V2355="Rechazada"),W2355&lt;&gt;""),W2355,""))</f>
        <v/>
      </c>
    </row>
    <row r="2356">
      <c r="A2356" s="18" t="inlineStr">
        <is>
          <t>C2355</t>
        </is>
      </c>
      <c r="B2356" s="18" t="inlineStr">
        <is>
          <t>Requerimientos</t>
        </is>
      </c>
      <c r="C2356" s="18" t="inlineStr">
        <is>
          <t>requerimientos_oc</t>
        </is>
      </c>
      <c r="D2356" s="18" t="inlineStr">
        <is>
          <t>requerimientos</t>
        </is>
      </c>
      <c r="E2356" s="18" t="n">
        <v>5</v>
      </c>
      <c r="F2356" s="18" t="inlineStr">
        <is>
          <t>fecha_respuesta</t>
        </is>
      </c>
      <c r="G2356" s="18" t="inlineStr">
        <is>
          <t>timestamp without time zone</t>
        </is>
      </c>
      <c r="H2356" s="18" t="inlineStr">
        <is>
          <t>Sí</t>
        </is>
      </c>
      <c r="I2356" s="18" t="inlineStr"/>
      <c r="J2356" s="18" t="inlineStr"/>
      <c r="K2356" s="18" t="inlineStr"/>
      <c r="L2356" s="18" t="inlineStr">
        <is>
          <t>No</t>
        </is>
      </c>
      <c r="M2356" s="18" t="inlineStr">
        <is>
          <t>No</t>
        </is>
      </c>
      <c r="N2356" s="18" t="inlineStr"/>
      <c r="O2356" s="18" t="inlineStr"/>
      <c r="P2356" s="18" t="inlineStr"/>
      <c r="Q2356" s="18" t="inlineStr">
        <is>
          <t>Regla estructural</t>
        </is>
      </c>
      <c r="R2356" s="18" t="inlineStr">
        <is>
          <t>Fecha de respuesta.</t>
        </is>
      </c>
      <c r="S2356" s="18" t="inlineStr">
        <is>
          <t>Media</t>
        </is>
      </c>
      <c r="T2356" s="18" t="inlineStr">
        <is>
          <t>Convención de nombre de la columna.</t>
        </is>
      </c>
      <c r="U2356" s="18" t="inlineStr"/>
      <c r="V2356" s="19" t="inlineStr">
        <is>
          <t>Pendiente</t>
        </is>
      </c>
      <c r="W2356" s="19" t="inlineStr"/>
      <c r="X2356" s="19" t="inlineStr"/>
      <c r="Y2356" s="20" t="n"/>
      <c r="Z2356" s="19" t="inlineStr"/>
      <c r="AA2356" s="18">
        <f>IF(OR(V2356="Aprobada"),R2356,IF(AND(OR(V2356="Aprobada con ajuste",V2356="Rechazada"),W2356&lt;&gt;""),W2356,""))</f>
        <v/>
      </c>
    </row>
    <row r="2357">
      <c r="A2357" s="18" t="inlineStr">
        <is>
          <t>C2356</t>
        </is>
      </c>
      <c r="B2357" s="18" t="inlineStr">
        <is>
          <t>Requerimientos</t>
        </is>
      </c>
      <c r="C2357" s="18" t="inlineStr">
        <is>
          <t>requerimientos_oc</t>
        </is>
      </c>
      <c r="D2357" s="18" t="inlineStr">
        <is>
          <t>requerimientos</t>
        </is>
      </c>
      <c r="E2357" s="18" t="n">
        <v>5</v>
      </c>
      <c r="F2357" s="18" t="inlineStr">
        <is>
          <t>oficio_respuesta_url</t>
        </is>
      </c>
      <c r="G2357" s="18" t="inlineStr">
        <is>
          <t>character varying(500)</t>
        </is>
      </c>
      <c r="H2357" s="18" t="inlineStr">
        <is>
          <t>Sí</t>
        </is>
      </c>
      <c r="I2357" s="18" t="inlineStr"/>
      <c r="J2357" s="18" t="inlineStr"/>
      <c r="K2357" s="18" t="inlineStr"/>
      <c r="L2357" s="18" t="inlineStr">
        <is>
          <t>No</t>
        </is>
      </c>
      <c r="M2357" s="18" t="inlineStr">
        <is>
          <t>No</t>
        </is>
      </c>
      <c r="N2357" s="18" t="inlineStr"/>
      <c r="O2357" s="18" t="inlineStr"/>
      <c r="P2357" s="18" t="inlineStr"/>
      <c r="Q2357" s="18" t="inlineStr">
        <is>
          <t>Propuesta semántica</t>
        </is>
      </c>
      <c r="R2357" s="18" t="inlineStr">
        <is>
          <t>URL del oficio de respuesta al requerimiento.</t>
        </is>
      </c>
      <c r="S2357" s="18" t="inlineStr">
        <is>
          <t>Alta</t>
        </is>
      </c>
      <c r="T2357" s="18" t="inlineStr">
        <is>
          <t>nombre + tipo</t>
        </is>
      </c>
      <c r="U2357" s="18" t="inlineStr"/>
      <c r="V2357" s="19" t="inlineStr">
        <is>
          <t>Pendiente</t>
        </is>
      </c>
      <c r="W2357" s="19" t="inlineStr"/>
      <c r="X2357" s="19" t="inlineStr"/>
      <c r="Y2357" s="20" t="n"/>
      <c r="Z2357" s="19" t="inlineStr"/>
      <c r="AA2357" s="18">
        <f>IF(OR(V2357="Aprobada"),R2357,IF(AND(OR(V2357="Aprobada con ajuste",V2357="Rechazada"),W2357&lt;&gt;""),W2357,""))</f>
        <v/>
      </c>
    </row>
    <row r="2358">
      <c r="A2358" s="18" t="inlineStr">
        <is>
          <t>C2357</t>
        </is>
      </c>
      <c r="B2358" s="18" t="inlineStr">
        <is>
          <t>Requerimientos</t>
        </is>
      </c>
      <c r="C2358" s="18" t="inlineStr">
        <is>
          <t>requerimientos_oc</t>
        </is>
      </c>
      <c r="D2358" s="18" t="inlineStr">
        <is>
          <t>requerimientos</t>
        </is>
      </c>
      <c r="E2358" s="18" t="n">
        <v>5</v>
      </c>
      <c r="F2358" s="18" t="inlineStr">
        <is>
          <t>acuse_recibo_url</t>
        </is>
      </c>
      <c r="G2358" s="18" t="inlineStr">
        <is>
          <t>character varying(500)</t>
        </is>
      </c>
      <c r="H2358" s="18" t="inlineStr">
        <is>
          <t>Sí</t>
        </is>
      </c>
      <c r="I2358" s="18" t="inlineStr"/>
      <c r="J2358" s="18" t="inlineStr"/>
      <c r="K2358" s="18" t="inlineStr"/>
      <c r="L2358" s="18" t="inlineStr">
        <is>
          <t>No</t>
        </is>
      </c>
      <c r="M2358" s="18" t="inlineStr">
        <is>
          <t>No</t>
        </is>
      </c>
      <c r="N2358" s="18" t="inlineStr"/>
      <c r="O2358" s="18" t="inlineStr"/>
      <c r="P2358" s="18" t="inlineStr"/>
      <c r="Q2358" s="18" t="inlineStr">
        <is>
          <t>Propuesta semántica</t>
        </is>
      </c>
      <c r="R2358" s="18" t="inlineStr">
        <is>
          <t>URL del acuse de recibo de la respuesta por parte del organismo de control.</t>
        </is>
      </c>
      <c r="S2358" s="18" t="inlineStr">
        <is>
          <t>Alta</t>
        </is>
      </c>
      <c r="T2358" s="18" t="inlineStr">
        <is>
          <t>nombre + tipo + columnas vecinas</t>
        </is>
      </c>
      <c r="U2358" s="18" t="inlineStr"/>
      <c r="V2358" s="19" t="inlineStr">
        <is>
          <t>Pendiente</t>
        </is>
      </c>
      <c r="W2358" s="19" t="inlineStr"/>
      <c r="X2358" s="19" t="inlineStr"/>
      <c r="Y2358" s="20" t="n"/>
      <c r="Z2358" s="19" t="inlineStr"/>
      <c r="AA2358" s="18">
        <f>IF(OR(V2358="Aprobada"),R2358,IF(AND(OR(V2358="Aprobada con ajuste",V2358="Rechazada"),W2358&lt;&gt;""),W2358,""))</f>
        <v/>
      </c>
    </row>
    <row r="2359">
      <c r="A2359" s="18" t="inlineStr">
        <is>
          <t>C2358</t>
        </is>
      </c>
      <c r="B2359" s="18" t="inlineStr">
        <is>
          <t>Requerimientos</t>
        </is>
      </c>
      <c r="C2359" s="18" t="inlineStr">
        <is>
          <t>requerimientos_oc</t>
        </is>
      </c>
      <c r="D2359" s="18" t="inlineStr">
        <is>
          <t>requerimientos</t>
        </is>
      </c>
      <c r="E2359" s="18" t="n">
        <v>5</v>
      </c>
      <c r="F2359" s="18" t="inlineStr">
        <is>
          <t>observaciones</t>
        </is>
      </c>
      <c r="G2359" s="18" t="inlineStr">
        <is>
          <t>text</t>
        </is>
      </c>
      <c r="H2359" s="18" t="inlineStr">
        <is>
          <t>Sí</t>
        </is>
      </c>
      <c r="I2359" s="18" t="inlineStr"/>
      <c r="J2359" s="18" t="inlineStr"/>
      <c r="K2359" s="18" t="inlineStr"/>
      <c r="L2359" s="18" t="inlineStr">
        <is>
          <t>No</t>
        </is>
      </c>
      <c r="M2359" s="18" t="inlineStr">
        <is>
          <t>No</t>
        </is>
      </c>
      <c r="N2359" s="18" t="inlineStr"/>
      <c r="O2359" s="18" t="inlineStr"/>
      <c r="P2359" s="18" t="inlineStr"/>
      <c r="Q2359" s="18" t="inlineStr">
        <is>
          <t>Regla estructural</t>
        </is>
      </c>
      <c r="R2359" s="18" t="inlineStr">
        <is>
          <t>Observaciones registradas sobre el registro.</t>
        </is>
      </c>
      <c r="S2359" s="18" t="inlineStr">
        <is>
          <t>Media</t>
        </is>
      </c>
      <c r="T2359" s="18" t="inlineStr">
        <is>
          <t>Convención de nombre de la columna.</t>
        </is>
      </c>
      <c r="U2359" s="18" t="inlineStr"/>
      <c r="V2359" s="19" t="inlineStr">
        <is>
          <t>Pendiente</t>
        </is>
      </c>
      <c r="W2359" s="19" t="inlineStr"/>
      <c r="X2359" s="19" t="inlineStr"/>
      <c r="Y2359" s="20" t="n"/>
      <c r="Z2359" s="19" t="inlineStr"/>
      <c r="AA2359" s="18">
        <f>IF(OR(V2359="Aprobada"),R2359,IF(AND(OR(V2359="Aprobada con ajuste",V2359="Rechazada"),W2359&lt;&gt;""),W2359,""))</f>
        <v/>
      </c>
    </row>
    <row r="2360">
      <c r="A2360" s="18" t="inlineStr">
        <is>
          <t>C2359</t>
        </is>
      </c>
      <c r="B2360" s="18" t="inlineStr">
        <is>
          <t>Requerimientos</t>
        </is>
      </c>
      <c r="C2360" s="18" t="inlineStr">
        <is>
          <t>requerimientos_oc</t>
        </is>
      </c>
      <c r="D2360" s="18" t="inlineStr">
        <is>
          <t>solicitudes_insumos</t>
        </is>
      </c>
      <c r="E2360" s="18" t="n">
        <v>0</v>
      </c>
      <c r="F2360" s="18" t="inlineStr">
        <is>
          <t>area_destino</t>
        </is>
      </c>
      <c r="G2360" s="18" t="inlineStr">
        <is>
          <t>character varying(100)</t>
        </is>
      </c>
      <c r="H2360" s="18" t="inlineStr">
        <is>
          <t>No</t>
        </is>
      </c>
      <c r="I2360" s="18" t="inlineStr"/>
      <c r="J2360" s="18" t="inlineStr"/>
      <c r="K2360" s="18" t="inlineStr"/>
      <c r="L2360" s="18" t="inlineStr">
        <is>
          <t>No</t>
        </is>
      </c>
      <c r="M2360" s="18" t="inlineStr">
        <is>
          <t>No</t>
        </is>
      </c>
      <c r="N2360" s="18" t="inlineStr"/>
      <c r="O2360" s="18" t="inlineStr">
        <is>
          <t>idx_insumos_area</t>
        </is>
      </c>
      <c r="P2360" s="18" t="inlineStr"/>
      <c r="Q2360" s="18" t="inlineStr">
        <is>
          <t>Propuesta semántica</t>
        </is>
      </c>
      <c r="R2360" s="18" t="inlineStr">
        <is>
          <t>Área a la que se solicitan los insumos para responder el requerimiento.</t>
        </is>
      </c>
      <c r="S2360" s="18" t="inlineStr">
        <is>
          <t>Alta</t>
        </is>
      </c>
      <c r="T2360" s="18" t="inlineStr">
        <is>
          <t>nombre + tipo + columnas vecinas</t>
        </is>
      </c>
      <c r="U2360" s="18" t="inlineStr"/>
      <c r="V2360" s="19" t="inlineStr">
        <is>
          <t>Pendiente</t>
        </is>
      </c>
      <c r="W2360" s="19" t="inlineStr"/>
      <c r="X2360" s="19" t="inlineStr"/>
      <c r="Y2360" s="20" t="n"/>
      <c r="Z2360" s="19" t="inlineStr"/>
      <c r="AA2360" s="18">
        <f>IF(OR(V2360="Aprobada"),R2360,IF(AND(OR(V2360="Aprobada con ajuste",V2360="Rechazada"),W2360&lt;&gt;""),W2360,""))</f>
        <v/>
      </c>
    </row>
    <row r="2361">
      <c r="A2361" s="18" t="inlineStr">
        <is>
          <t>C2360</t>
        </is>
      </c>
      <c r="B2361" s="18" t="inlineStr">
        <is>
          <t>Requerimientos</t>
        </is>
      </c>
      <c r="C2361" s="18" t="inlineStr">
        <is>
          <t>requerimientos_oc</t>
        </is>
      </c>
      <c r="D2361" s="18" t="inlineStr">
        <is>
          <t>solicitudes_insumos</t>
        </is>
      </c>
      <c r="E2361" s="18" t="n">
        <v>0</v>
      </c>
      <c r="F2361" s="18" t="inlineStr">
        <is>
          <t>funcionario_destino</t>
        </is>
      </c>
      <c r="G2361" s="18" t="inlineStr">
        <is>
          <t>character varying(150)</t>
        </is>
      </c>
      <c r="H2361" s="18" t="inlineStr">
        <is>
          <t>Sí</t>
        </is>
      </c>
      <c r="I2361" s="18" t="inlineStr"/>
      <c r="J2361" s="18" t="inlineStr"/>
      <c r="K2361" s="18" t="inlineStr"/>
      <c r="L2361" s="18" t="inlineStr">
        <is>
          <t>No</t>
        </is>
      </c>
      <c r="M2361" s="18" t="inlineStr">
        <is>
          <t>No</t>
        </is>
      </c>
      <c r="N2361" s="18" t="inlineStr"/>
      <c r="O2361" s="18" t="inlineStr"/>
      <c r="P2361" s="18" t="inlineStr"/>
      <c r="Q2361" s="18" t="inlineStr">
        <is>
          <t>Propuesta semántica</t>
        </is>
      </c>
      <c r="R2361" s="18" t="inlineStr">
        <is>
          <t>Nombre del funcionario al que se dirige la solicitud de insumos.</t>
        </is>
      </c>
      <c r="S2361" s="18" t="inlineStr">
        <is>
          <t>Alta</t>
        </is>
      </c>
      <c r="T2361" s="18" t="inlineStr">
        <is>
          <t>nombre + tipo + columnas vecinas</t>
        </is>
      </c>
      <c r="U2361" s="18" t="inlineStr"/>
      <c r="V2361" s="19" t="inlineStr">
        <is>
          <t>Pendiente</t>
        </is>
      </c>
      <c r="W2361" s="19" t="inlineStr"/>
      <c r="X2361" s="19" t="inlineStr"/>
      <c r="Y2361" s="20" t="n"/>
      <c r="Z2361" s="19" t="inlineStr"/>
      <c r="AA2361" s="18">
        <f>IF(OR(V2361="Aprobada"),R2361,IF(AND(OR(V2361="Aprobada con ajuste",V2361="Rechazada"),W2361&lt;&gt;""),W2361,""))</f>
        <v/>
      </c>
    </row>
    <row r="2362">
      <c r="A2362" s="18" t="inlineStr">
        <is>
          <t>C2361</t>
        </is>
      </c>
      <c r="B2362" s="18" t="inlineStr">
        <is>
          <t>Requerimientos</t>
        </is>
      </c>
      <c r="C2362" s="18" t="inlineStr">
        <is>
          <t>requerimientos_oc</t>
        </is>
      </c>
      <c r="D2362" s="18" t="inlineStr">
        <is>
          <t>solicitudes_insumos</t>
        </is>
      </c>
      <c r="E2362" s="18" t="n">
        <v>0</v>
      </c>
      <c r="F2362" s="18" t="inlineStr">
        <is>
          <t>email_destino</t>
        </is>
      </c>
      <c r="G2362" s="18" t="inlineStr">
        <is>
          <t>character varying(150)</t>
        </is>
      </c>
      <c r="H2362" s="18" t="inlineStr">
        <is>
          <t>Sí</t>
        </is>
      </c>
      <c r="I2362" s="18" t="inlineStr"/>
      <c r="J2362" s="18" t="inlineStr"/>
      <c r="K2362" s="18" t="inlineStr"/>
      <c r="L2362" s="18" t="inlineStr">
        <is>
          <t>No</t>
        </is>
      </c>
      <c r="M2362" s="18" t="inlineStr">
        <is>
          <t>No</t>
        </is>
      </c>
      <c r="N2362" s="18" t="inlineStr"/>
      <c r="O2362" s="18" t="inlineStr"/>
      <c r="P2362" s="18" t="inlineStr"/>
      <c r="Q2362" s="18" t="inlineStr">
        <is>
          <t>Propuesta semántica</t>
        </is>
      </c>
      <c r="R2362" s="18" t="inlineStr">
        <is>
          <t>Correo electrónico del funcionario al que se dirige la solicitud.</t>
        </is>
      </c>
      <c r="S2362" s="18" t="inlineStr">
        <is>
          <t>Alta</t>
        </is>
      </c>
      <c r="T2362" s="18" t="inlineStr">
        <is>
          <t>nombre + tipo + columnas vecinas</t>
        </is>
      </c>
      <c r="U2362" s="18" t="inlineStr"/>
      <c r="V2362" s="19" t="inlineStr">
        <is>
          <t>Pendiente</t>
        </is>
      </c>
      <c r="W2362" s="19" t="inlineStr"/>
      <c r="X2362" s="19" t="inlineStr"/>
      <c r="Y2362" s="20" t="n"/>
      <c r="Z2362" s="19" t="inlineStr"/>
      <c r="AA2362" s="18">
        <f>IF(OR(V2362="Aprobada"),R2362,IF(AND(OR(V2362="Aprobada con ajuste",V2362="Rechazada"),W2362&lt;&gt;""),W2362,""))</f>
        <v/>
      </c>
    </row>
    <row r="2363">
      <c r="A2363" s="18" t="inlineStr">
        <is>
          <t>C2362</t>
        </is>
      </c>
      <c r="B2363" s="18" t="inlineStr">
        <is>
          <t>Requerimientos</t>
        </is>
      </c>
      <c r="C2363" s="18" t="inlineStr">
        <is>
          <t>requerimientos_oc</t>
        </is>
      </c>
      <c r="D2363" s="18" t="inlineStr">
        <is>
          <t>solicitudes_insumos</t>
        </is>
      </c>
      <c r="E2363" s="18" t="n">
        <v>0</v>
      </c>
      <c r="F2363" s="18" t="inlineStr">
        <is>
          <t>descripcion_solicitud</t>
        </is>
      </c>
      <c r="G2363" s="18" t="inlineStr">
        <is>
          <t>text</t>
        </is>
      </c>
      <c r="H2363" s="18" t="inlineStr">
        <is>
          <t>No</t>
        </is>
      </c>
      <c r="I2363" s="18" t="inlineStr"/>
      <c r="J2363" s="18" t="inlineStr"/>
      <c r="K2363" s="18" t="inlineStr"/>
      <c r="L2363" s="18" t="inlineStr">
        <is>
          <t>No</t>
        </is>
      </c>
      <c r="M2363" s="18" t="inlineStr">
        <is>
          <t>No</t>
        </is>
      </c>
      <c r="N2363" s="18" t="inlineStr"/>
      <c r="O2363" s="18" t="inlineStr"/>
      <c r="P2363" s="18" t="inlineStr"/>
      <c r="Q2363" s="18" t="inlineStr">
        <is>
          <t>Propuesta semántica</t>
        </is>
      </c>
      <c r="R2363" s="18" t="inlineStr">
        <is>
          <t>Descripción de los insumos solicitados.</t>
        </is>
      </c>
      <c r="S2363" s="18" t="inlineStr">
        <is>
          <t>Alta</t>
        </is>
      </c>
      <c r="T2363" s="18" t="inlineStr">
        <is>
          <t>nombre + tipo</t>
        </is>
      </c>
      <c r="U2363" s="18" t="inlineStr"/>
      <c r="V2363" s="19" t="inlineStr">
        <is>
          <t>Pendiente</t>
        </is>
      </c>
      <c r="W2363" s="19" t="inlineStr"/>
      <c r="X2363" s="19" t="inlineStr"/>
      <c r="Y2363" s="20" t="n"/>
      <c r="Z2363" s="19" t="inlineStr"/>
      <c r="AA2363" s="18">
        <f>IF(OR(V2363="Aprobada"),R2363,IF(AND(OR(V2363="Aprobada con ajuste",V2363="Rechazada"),W2363&lt;&gt;""),W2363,""))</f>
        <v/>
      </c>
    </row>
    <row r="2364">
      <c r="A2364" s="18" t="inlineStr">
        <is>
          <t>C2363</t>
        </is>
      </c>
      <c r="B2364" s="18" t="inlineStr">
        <is>
          <t>Requerimientos</t>
        </is>
      </c>
      <c r="C2364" s="18" t="inlineStr">
        <is>
          <t>requerimientos_oc</t>
        </is>
      </c>
      <c r="D2364" s="18" t="inlineStr">
        <is>
          <t>solicitudes_insumos</t>
        </is>
      </c>
      <c r="E2364" s="18" t="n">
        <v>0</v>
      </c>
      <c r="F2364" s="18" t="inlineStr">
        <is>
          <t>documentos_solicitados</t>
        </is>
      </c>
      <c r="G2364" s="18" t="inlineStr">
        <is>
          <t>text</t>
        </is>
      </c>
      <c r="H2364" s="18" t="inlineStr">
        <is>
          <t>Sí</t>
        </is>
      </c>
      <c r="I2364" s="18" t="inlineStr"/>
      <c r="J2364" s="18" t="inlineStr"/>
      <c r="K2364" s="18" t="inlineStr"/>
      <c r="L2364" s="18" t="inlineStr">
        <is>
          <t>No</t>
        </is>
      </c>
      <c r="M2364" s="18" t="inlineStr">
        <is>
          <t>No</t>
        </is>
      </c>
      <c r="N2364" s="18" t="inlineStr"/>
      <c r="O2364" s="18" t="inlineStr"/>
      <c r="P2364" s="18" t="inlineStr"/>
      <c r="Q2364" s="18" t="inlineStr">
        <is>
          <t>Propuesta semántica</t>
        </is>
      </c>
      <c r="R2364" s="18" t="inlineStr">
        <is>
          <t>Relación de documentos solicitados al área.</t>
        </is>
      </c>
      <c r="S2364" s="18" t="inlineStr">
        <is>
          <t>Media</t>
        </is>
      </c>
      <c r="T2364" s="18" t="inlineStr">
        <is>
          <t>nombre + tipo</t>
        </is>
      </c>
      <c r="U2364" s="18" t="inlineStr">
        <is>
          <t>¿Se registra como texto libre o como lista?</t>
        </is>
      </c>
      <c r="V2364" s="19" t="inlineStr">
        <is>
          <t>Pendiente</t>
        </is>
      </c>
      <c r="W2364" s="19" t="inlineStr"/>
      <c r="X2364" s="19" t="inlineStr"/>
      <c r="Y2364" s="20" t="n"/>
      <c r="Z2364" s="19" t="inlineStr"/>
      <c r="AA2364" s="18">
        <f>IF(OR(V2364="Aprobada"),R2364,IF(AND(OR(V2364="Aprobada con ajuste",V2364="Rechazada"),W2364&lt;&gt;""),W2364,""))</f>
        <v/>
      </c>
    </row>
    <row r="2365">
      <c r="A2365" s="18" t="inlineStr">
        <is>
          <t>C2364</t>
        </is>
      </c>
      <c r="B2365" s="18" t="inlineStr">
        <is>
          <t>Requerimientos</t>
        </is>
      </c>
      <c r="C2365" s="18" t="inlineStr">
        <is>
          <t>requerimientos_oc</t>
        </is>
      </c>
      <c r="D2365" s="18" t="inlineStr">
        <is>
          <t>solicitudes_insumos</t>
        </is>
      </c>
      <c r="E2365" s="18" t="n">
        <v>0</v>
      </c>
      <c r="F2365" s="18" t="inlineStr">
        <is>
          <t>fecha_solicitud</t>
        </is>
      </c>
      <c r="G2365" s="18" t="inlineStr">
        <is>
          <t>timestamp without time zone</t>
        </is>
      </c>
      <c r="H2365" s="18" t="inlineStr">
        <is>
          <t>Sí</t>
        </is>
      </c>
      <c r="I2365" s="18" t="inlineStr"/>
      <c r="J2365" s="18" t="inlineStr"/>
      <c r="K2365" s="18" t="inlineStr"/>
      <c r="L2365" s="18" t="inlineStr">
        <is>
          <t>No</t>
        </is>
      </c>
      <c r="M2365" s="18" t="inlineStr">
        <is>
          <t>No</t>
        </is>
      </c>
      <c r="N2365" s="18" t="inlineStr"/>
      <c r="O2365" s="18" t="inlineStr"/>
      <c r="P2365" s="18" t="inlineStr"/>
      <c r="Q2365" s="18" t="inlineStr">
        <is>
          <t>Regla estructural</t>
        </is>
      </c>
      <c r="R2365" s="18" t="inlineStr">
        <is>
          <t>Fecha de solicitud.</t>
        </is>
      </c>
      <c r="S2365" s="18" t="inlineStr">
        <is>
          <t>Media</t>
        </is>
      </c>
      <c r="T2365" s="18" t="inlineStr">
        <is>
          <t>Convención de nombre de la columna.</t>
        </is>
      </c>
      <c r="U2365" s="18" t="inlineStr"/>
      <c r="V2365" s="19" t="inlineStr">
        <is>
          <t>Pendiente</t>
        </is>
      </c>
      <c r="W2365" s="19" t="inlineStr"/>
      <c r="X2365" s="19" t="inlineStr"/>
      <c r="Y2365" s="20" t="n"/>
      <c r="Z2365" s="19" t="inlineStr"/>
      <c r="AA2365" s="18">
        <f>IF(OR(V2365="Aprobada"),R2365,IF(AND(OR(V2365="Aprobada con ajuste",V2365="Rechazada"),W2365&lt;&gt;""),W2365,""))</f>
        <v/>
      </c>
    </row>
    <row r="2366">
      <c r="A2366" s="18" t="inlineStr">
        <is>
          <t>C2365</t>
        </is>
      </c>
      <c r="B2366" s="18" t="inlineStr">
        <is>
          <t>Requerimientos</t>
        </is>
      </c>
      <c r="C2366" s="18" t="inlineStr">
        <is>
          <t>requerimientos_oc</t>
        </is>
      </c>
      <c r="D2366" s="18" t="inlineStr">
        <is>
          <t>solicitudes_insumos</t>
        </is>
      </c>
      <c r="E2366" s="18" t="n">
        <v>0</v>
      </c>
      <c r="F2366" s="18" t="inlineStr">
        <is>
          <t>fecha_vencimiento</t>
        </is>
      </c>
      <c r="G2366" s="18" t="inlineStr">
        <is>
          <t>timestamp without time zone</t>
        </is>
      </c>
      <c r="H2366" s="18" t="inlineStr">
        <is>
          <t>No</t>
        </is>
      </c>
      <c r="I2366" s="18" t="inlineStr"/>
      <c r="J2366" s="18" t="inlineStr"/>
      <c r="K2366" s="18" t="inlineStr"/>
      <c r="L2366" s="18" t="inlineStr">
        <is>
          <t>No</t>
        </is>
      </c>
      <c r="M2366" s="18" t="inlineStr">
        <is>
          <t>No</t>
        </is>
      </c>
      <c r="N2366" s="18" t="inlineStr"/>
      <c r="O2366" s="18" t="inlineStr"/>
      <c r="P2366" s="18" t="inlineStr"/>
      <c r="Q2366" s="18" t="inlineStr">
        <is>
          <t>Regla estructural</t>
        </is>
      </c>
      <c r="R2366" s="18" t="inlineStr">
        <is>
          <t>Fecha de vencimiento.</t>
        </is>
      </c>
      <c r="S2366" s="18" t="inlineStr">
        <is>
          <t>Media</t>
        </is>
      </c>
      <c r="T2366" s="18" t="inlineStr">
        <is>
          <t>Convención de nombre de la columna.</t>
        </is>
      </c>
      <c r="U2366" s="18" t="inlineStr"/>
      <c r="V2366" s="19" t="inlineStr">
        <is>
          <t>Pendiente</t>
        </is>
      </c>
      <c r="W2366" s="19" t="inlineStr"/>
      <c r="X2366" s="19" t="inlineStr"/>
      <c r="Y2366" s="20" t="n"/>
      <c r="Z2366" s="19" t="inlineStr"/>
      <c r="AA2366" s="18">
        <f>IF(OR(V2366="Aprobada"),R2366,IF(AND(OR(V2366="Aprobada con ajuste",V2366="Rechazada"),W2366&lt;&gt;""),W2366,""))</f>
        <v/>
      </c>
    </row>
    <row r="2367">
      <c r="A2367" s="18" t="inlineStr">
        <is>
          <t>C2366</t>
        </is>
      </c>
      <c r="B2367" s="18" t="inlineStr">
        <is>
          <t>Requerimientos</t>
        </is>
      </c>
      <c r="C2367" s="18" t="inlineStr">
        <is>
          <t>requerimientos_oc</t>
        </is>
      </c>
      <c r="D2367" s="18" t="inlineStr">
        <is>
          <t>solicitudes_insumos</t>
        </is>
      </c>
      <c r="E2367" s="18" t="n">
        <v>0</v>
      </c>
      <c r="F2367" s="18" t="inlineStr">
        <is>
          <t>fecha_respuesta</t>
        </is>
      </c>
      <c r="G2367" s="18" t="inlineStr">
        <is>
          <t>timestamp without time zone</t>
        </is>
      </c>
      <c r="H2367" s="18" t="inlineStr">
        <is>
          <t>Sí</t>
        </is>
      </c>
      <c r="I2367" s="18" t="inlineStr"/>
      <c r="J2367" s="18" t="inlineStr"/>
      <c r="K2367" s="18" t="inlineStr"/>
      <c r="L2367" s="18" t="inlineStr">
        <is>
          <t>No</t>
        </is>
      </c>
      <c r="M2367" s="18" t="inlineStr">
        <is>
          <t>No</t>
        </is>
      </c>
      <c r="N2367" s="18" t="inlineStr"/>
      <c r="O2367" s="18" t="inlineStr"/>
      <c r="P2367" s="18" t="inlineStr"/>
      <c r="Q2367" s="18" t="inlineStr">
        <is>
          <t>Regla estructural</t>
        </is>
      </c>
      <c r="R2367" s="18" t="inlineStr">
        <is>
          <t>Fecha de respuesta.</t>
        </is>
      </c>
      <c r="S2367" s="18" t="inlineStr">
        <is>
          <t>Media</t>
        </is>
      </c>
      <c r="T2367" s="18" t="inlineStr">
        <is>
          <t>Convención de nombre de la columna.</t>
        </is>
      </c>
      <c r="U2367" s="18" t="inlineStr"/>
      <c r="V2367" s="19" t="inlineStr">
        <is>
          <t>Pendiente</t>
        </is>
      </c>
      <c r="W2367" s="19" t="inlineStr"/>
      <c r="X2367" s="19" t="inlineStr"/>
      <c r="Y2367" s="20" t="n"/>
      <c r="Z2367" s="19" t="inlineStr"/>
      <c r="AA2367" s="18">
        <f>IF(OR(V2367="Aprobada"),R2367,IF(AND(OR(V2367="Aprobada con ajuste",V2367="Rechazada"),W2367&lt;&gt;""),W2367,""))</f>
        <v/>
      </c>
    </row>
    <row r="2368">
      <c r="A2368" s="18" t="inlineStr">
        <is>
          <t>C2367</t>
        </is>
      </c>
      <c r="B2368" s="18" t="inlineStr">
        <is>
          <t>Requerimientos</t>
        </is>
      </c>
      <c r="C2368" s="18" t="inlineStr">
        <is>
          <t>requerimientos_oc</t>
        </is>
      </c>
      <c r="D2368" s="18" t="inlineStr">
        <is>
          <t>solicitudes_insumos</t>
        </is>
      </c>
      <c r="E2368" s="18" t="n">
        <v>0</v>
      </c>
      <c r="F2368" s="18" t="inlineStr">
        <is>
          <t>estado</t>
        </is>
      </c>
      <c r="G2368" s="18" t="inlineStr">
        <is>
          <t>character varying(20)</t>
        </is>
      </c>
      <c r="H2368" s="18" t="inlineStr">
        <is>
          <t>Sí</t>
        </is>
      </c>
      <c r="I2368" s="18" t="inlineStr">
        <is>
          <t>CHECK</t>
        </is>
      </c>
      <c r="J2368" s="18" t="inlineStr">
        <is>
          <t>ENTREGADO, EN_PROCESO, PENDIENTE, RECHAZADO, VENCIDO</t>
        </is>
      </c>
      <c r="K2368" s="18" t="inlineStr"/>
      <c r="L2368" s="18" t="inlineStr">
        <is>
          <t>Sí</t>
        </is>
      </c>
      <c r="M2368" s="18" t="inlineStr">
        <is>
          <t>No</t>
        </is>
      </c>
      <c r="N2368" s="18" t="inlineStr"/>
      <c r="O2368" s="18" t="inlineStr">
        <is>
          <t>idx_insumos_estado</t>
        </is>
      </c>
      <c r="P2368" s="18" t="inlineStr"/>
      <c r="Q2368" s="18" t="inlineStr">
        <is>
          <t>Regla estructural</t>
        </is>
      </c>
      <c r="R2368" s="18" t="inlineStr">
        <is>
          <t>Estado del registro de solicitudes_insumos.</t>
        </is>
      </c>
      <c r="S2368" s="18" t="inlineStr">
        <is>
          <t>Media</t>
        </is>
      </c>
      <c r="T2368" s="18" t="inlineStr">
        <is>
          <t>Convención de nombre de la columna.</t>
        </is>
      </c>
      <c r="U2368" s="18" t="inlineStr"/>
      <c r="V2368" s="19" t="inlineStr">
        <is>
          <t>Pendiente</t>
        </is>
      </c>
      <c r="W2368" s="19" t="inlineStr"/>
      <c r="X2368" s="19" t="inlineStr"/>
      <c r="Y2368" s="20" t="n"/>
      <c r="Z2368" s="19" t="inlineStr"/>
      <c r="AA2368" s="18">
        <f>IF(OR(V2368="Aprobada"),R2368,IF(AND(OR(V2368="Aprobada con ajuste",V2368="Rechazada"),W2368&lt;&gt;""),W2368,""))</f>
        <v/>
      </c>
    </row>
    <row r="2369">
      <c r="A2369" s="18" t="inlineStr">
        <is>
          <t>C2368</t>
        </is>
      </c>
      <c r="B2369" s="18" t="inlineStr">
        <is>
          <t>Requerimientos</t>
        </is>
      </c>
      <c r="C2369" s="18" t="inlineStr">
        <is>
          <t>requerimientos_oc</t>
        </is>
      </c>
      <c r="D2369" s="18" t="inlineStr">
        <is>
          <t>solicitudes_insumos</t>
        </is>
      </c>
      <c r="E2369" s="18" t="n">
        <v>0</v>
      </c>
      <c r="F2369" s="18" t="inlineStr">
        <is>
          <t>documentos_entregados_urls</t>
        </is>
      </c>
      <c r="G2369" s="18" t="inlineStr">
        <is>
          <t>text[]</t>
        </is>
      </c>
      <c r="H2369" s="18" t="inlineStr">
        <is>
          <t>Sí</t>
        </is>
      </c>
      <c r="I2369" s="18" t="inlineStr"/>
      <c r="J2369" s="18" t="inlineStr"/>
      <c r="K2369" s="18" t="inlineStr"/>
      <c r="L2369" s="18" t="inlineStr">
        <is>
          <t>No</t>
        </is>
      </c>
      <c r="M2369" s="18" t="inlineStr">
        <is>
          <t>No</t>
        </is>
      </c>
      <c r="N2369" s="18" t="inlineStr"/>
      <c r="O2369" s="18" t="inlineStr"/>
      <c r="P2369" s="18" t="inlineStr"/>
      <c r="Q2369" s="18" t="inlineStr">
        <is>
          <t>Propuesta semántica</t>
        </is>
      </c>
      <c r="R2369" s="18" t="inlineStr">
        <is>
          <t>Lista de URL de los documentos entregados por el área.</t>
        </is>
      </c>
      <c r="S2369" s="18" t="inlineStr">
        <is>
          <t>Alta</t>
        </is>
      </c>
      <c r="T2369" s="18" t="inlineStr">
        <is>
          <t>nombre + tipo</t>
        </is>
      </c>
      <c r="U2369" s="18" t="inlineStr"/>
      <c r="V2369" s="19" t="inlineStr">
        <is>
          <t>Pendiente</t>
        </is>
      </c>
      <c r="W2369" s="19" t="inlineStr"/>
      <c r="X2369" s="19" t="inlineStr"/>
      <c r="Y2369" s="20" t="n"/>
      <c r="Z2369" s="19" t="inlineStr"/>
      <c r="AA2369" s="18">
        <f>IF(OR(V2369="Aprobada"),R2369,IF(AND(OR(V2369="Aprobada con ajuste",V2369="Rechazada"),W2369&lt;&gt;""),W2369,""))</f>
        <v/>
      </c>
    </row>
    <row r="2370">
      <c r="A2370" s="18" t="inlineStr">
        <is>
          <t>C2369</t>
        </is>
      </c>
      <c r="B2370" s="18" t="inlineStr">
        <is>
          <t>Requerimientos</t>
        </is>
      </c>
      <c r="C2370" s="18" t="inlineStr">
        <is>
          <t>requerimientos_oc</t>
        </is>
      </c>
      <c r="D2370" s="18" t="inlineStr">
        <is>
          <t>solicitudes_insumos</t>
        </is>
      </c>
      <c r="E2370" s="18" t="n">
        <v>0</v>
      </c>
      <c r="F2370" s="18" t="inlineStr">
        <is>
          <t>comentario_respuesta</t>
        </is>
      </c>
      <c r="G2370" s="18" t="inlineStr">
        <is>
          <t>text</t>
        </is>
      </c>
      <c r="H2370" s="18" t="inlineStr">
        <is>
          <t>Sí</t>
        </is>
      </c>
      <c r="I2370" s="18" t="inlineStr"/>
      <c r="J2370" s="18" t="inlineStr"/>
      <c r="K2370" s="18" t="inlineStr"/>
      <c r="L2370" s="18" t="inlineStr">
        <is>
          <t>No</t>
        </is>
      </c>
      <c r="M2370" s="18" t="inlineStr">
        <is>
          <t>No</t>
        </is>
      </c>
      <c r="N2370" s="18" t="inlineStr"/>
      <c r="O2370" s="18" t="inlineStr"/>
      <c r="P2370" s="18" t="inlineStr"/>
      <c r="Q2370" s="18" t="inlineStr">
        <is>
          <t>Propuesta semántica</t>
        </is>
      </c>
      <c r="R2370" s="18" t="inlineStr">
        <is>
          <t>Comentario del área al responder la solicitud.</t>
        </is>
      </c>
      <c r="S2370" s="18" t="inlineStr">
        <is>
          <t>Alta</t>
        </is>
      </c>
      <c r="T2370" s="18" t="inlineStr">
        <is>
          <t>nombre + tipo + columnas vecinas</t>
        </is>
      </c>
      <c r="U2370" s="18" t="inlineStr"/>
      <c r="V2370" s="19" t="inlineStr">
        <is>
          <t>Pendiente</t>
        </is>
      </c>
      <c r="W2370" s="19" t="inlineStr"/>
      <c r="X2370" s="19" t="inlineStr"/>
      <c r="Y2370" s="20" t="n"/>
      <c r="Z2370" s="19" t="inlineStr"/>
      <c r="AA2370" s="18">
        <f>IF(OR(V2370="Aprobada"),R2370,IF(AND(OR(V2370="Aprobada con ajuste",V2370="Rechazada"),W2370&lt;&gt;""),W2370,""))</f>
        <v/>
      </c>
    </row>
    <row r="2371">
      <c r="A2371" s="18" t="inlineStr">
        <is>
          <t>C2370</t>
        </is>
      </c>
      <c r="B2371" s="18" t="inlineStr">
        <is>
          <t>Requerimientos</t>
        </is>
      </c>
      <c r="C2371" s="18" t="inlineStr">
        <is>
          <t>requerimientos_oc</t>
        </is>
      </c>
      <c r="D2371" s="18" t="inlineStr">
        <is>
          <t>solicitudes_insumos</t>
        </is>
      </c>
      <c r="E2371" s="18" t="n">
        <v>0</v>
      </c>
      <c r="F2371" s="18" t="inlineStr">
        <is>
          <t>solicitado_por</t>
        </is>
      </c>
      <c r="G2371" s="18" t="inlineStr">
        <is>
          <t>character varying(150)</t>
        </is>
      </c>
      <c r="H2371" s="18" t="inlineStr">
        <is>
          <t>Sí</t>
        </is>
      </c>
      <c r="I2371" s="18" t="inlineStr"/>
      <c r="J2371" s="18" t="inlineStr"/>
      <c r="K2371" s="18" t="inlineStr"/>
      <c r="L2371" s="18" t="inlineStr">
        <is>
          <t>No</t>
        </is>
      </c>
      <c r="M2371" s="18" t="inlineStr">
        <is>
          <t>No</t>
        </is>
      </c>
      <c r="N2371" s="18" t="inlineStr"/>
      <c r="O2371" s="18" t="inlineStr"/>
      <c r="P2371" s="18" t="inlineStr"/>
      <c r="Q2371" s="18" t="inlineStr">
        <is>
          <t>Regla estructural</t>
        </is>
      </c>
      <c r="R2371" s="18" t="inlineStr">
        <is>
          <t>Usuario que realizó la solicitud.</t>
        </is>
      </c>
      <c r="S2371" s="18" t="inlineStr">
        <is>
          <t>Media</t>
        </is>
      </c>
      <c r="T2371" s="18" t="inlineStr">
        <is>
          <t>Convención de nombre de la columna.</t>
        </is>
      </c>
      <c r="U2371" s="18" t="inlineStr"/>
      <c r="V2371" s="19" t="inlineStr">
        <is>
          <t>Pendiente</t>
        </is>
      </c>
      <c r="W2371" s="19" t="inlineStr"/>
      <c r="X2371" s="19" t="inlineStr"/>
      <c r="Y2371" s="20" t="n"/>
      <c r="Z2371" s="19" t="inlineStr"/>
      <c r="AA2371" s="18">
        <f>IF(OR(V2371="Aprobada"),R2371,IF(AND(OR(V2371="Aprobada con ajuste",V2371="Rechazada"),W2371&lt;&gt;""),W2371,""))</f>
        <v/>
      </c>
    </row>
    <row r="2372">
      <c r="A2372" s="18" t="inlineStr">
        <is>
          <t>C2371</t>
        </is>
      </c>
      <c r="B2372" s="18" t="inlineStr">
        <is>
          <t>Requerimientos</t>
        </is>
      </c>
      <c r="C2372" s="18" t="inlineStr">
        <is>
          <t>requerimientos_oc</t>
        </is>
      </c>
      <c r="D2372" s="18" t="inlineStr">
        <is>
          <t>solicitudes_insumos</t>
        </is>
      </c>
      <c r="E2372" s="18" t="n">
        <v>0</v>
      </c>
      <c r="F2372" s="18" t="inlineStr">
        <is>
          <t>respondido_por</t>
        </is>
      </c>
      <c r="G2372" s="18" t="inlineStr">
        <is>
          <t>character varying(150)</t>
        </is>
      </c>
      <c r="H2372" s="18" t="inlineStr">
        <is>
          <t>Sí</t>
        </is>
      </c>
      <c r="I2372" s="18" t="inlineStr"/>
      <c r="J2372" s="18" t="inlineStr"/>
      <c r="K2372" s="18" t="inlineStr"/>
      <c r="L2372" s="18" t="inlineStr">
        <is>
          <t>No</t>
        </is>
      </c>
      <c r="M2372" s="18" t="inlineStr">
        <is>
          <t>No</t>
        </is>
      </c>
      <c r="N2372" s="18" t="inlineStr"/>
      <c r="O2372" s="18" t="inlineStr"/>
      <c r="P2372" s="18" t="inlineStr"/>
      <c r="Q2372" s="18" t="inlineStr">
        <is>
          <t>Propuesta semántica</t>
        </is>
      </c>
      <c r="R2372" s="18" t="inlineStr">
        <is>
          <t>Nombre del funcionario que respondió la solicitud.</t>
        </is>
      </c>
      <c r="S2372" s="18" t="inlineStr">
        <is>
          <t>Media</t>
        </is>
      </c>
      <c r="T2372" s="18" t="inlineStr">
        <is>
          <t>nombre + tipo + columnas vecinas</t>
        </is>
      </c>
      <c r="U2372" s="18" t="inlineStr">
        <is>
          <t>¿Se guarda el nombre, el correo o el identificador del usuario?</t>
        </is>
      </c>
      <c r="V2372" s="19" t="inlineStr">
        <is>
          <t>Pendiente</t>
        </is>
      </c>
      <c r="W2372" s="19" t="inlineStr"/>
      <c r="X2372" s="19" t="inlineStr"/>
      <c r="Y2372" s="20" t="n"/>
      <c r="Z2372" s="19" t="inlineStr"/>
      <c r="AA2372" s="18">
        <f>IF(OR(V2372="Aprobada"),R2372,IF(AND(OR(V2372="Aprobada con ajuste",V2372="Rechazada"),W2372&lt;&gt;""),W2372,""))</f>
        <v/>
      </c>
    </row>
    <row r="2373">
      <c r="A2373" s="18" t="inlineStr">
        <is>
          <t>C2372</t>
        </is>
      </c>
      <c r="B2373" s="18" t="inlineStr">
        <is>
          <t>Notificaciones</t>
        </is>
      </c>
      <c r="C2373" s="18" t="inlineStr">
        <is>
          <t>notifications</t>
        </is>
      </c>
      <c r="D2373" s="18" t="inlineStr">
        <is>
          <t>notificacion</t>
        </is>
      </c>
      <c r="E2373" s="18" t="n">
        <v>6345</v>
      </c>
      <c r="F2373" s="18" t="inlineStr">
        <is>
          <t>id_usuario_destinatario</t>
        </is>
      </c>
      <c r="G2373" s="18" t="inlineStr">
        <is>
          <t>uuid</t>
        </is>
      </c>
      <c r="H2373" s="18" t="inlineStr">
        <is>
          <t>No</t>
        </is>
      </c>
      <c r="I2373" s="18" t="inlineStr"/>
      <c r="J2373" s="18" t="inlineStr"/>
      <c r="K2373" s="18" t="inlineStr"/>
      <c r="L2373" s="18" t="inlineStr">
        <is>
          <t>No</t>
        </is>
      </c>
      <c r="M2373" s="18" t="inlineStr">
        <is>
          <t>No</t>
        </is>
      </c>
      <c r="N2373" s="18" t="inlineStr"/>
      <c r="O2373" s="18" t="inlineStr">
        <is>
          <t>idx_notificacion_leida, idx_notificacion_usuario</t>
        </is>
      </c>
      <c r="P2373" s="18" t="inlineStr">
        <is>
          <t>Mapeada en notifications-service/src/notifications/entities/notification.entity.ts:14 (Notification.id_usuario_destinatario) | Validación: IsString</t>
        </is>
      </c>
      <c r="Q2373" s="18" t="inlineStr">
        <is>
          <t>Propuesta semántica</t>
        </is>
      </c>
      <c r="R2373" s="18" t="inlineStr">
        <is>
          <t>Identificador del usuario destinatario de la notificación.</t>
        </is>
      </c>
      <c r="S2373" s="18" t="inlineStr">
        <is>
          <t>Alta</t>
        </is>
      </c>
      <c r="T2373" s="18" t="inlineStr">
        <is>
          <t>nombre + tipo + índices</t>
        </is>
      </c>
      <c r="U2373" s="18" t="inlineStr"/>
      <c r="V2373" s="19" t="inlineStr">
        <is>
          <t>Pendiente</t>
        </is>
      </c>
      <c r="W2373" s="19" t="inlineStr"/>
      <c r="X2373" s="19" t="inlineStr"/>
      <c r="Y2373" s="20" t="n"/>
      <c r="Z2373" s="19" t="inlineStr"/>
      <c r="AA2373" s="18">
        <f>IF(OR(V2373="Aprobada"),R2373,IF(AND(OR(V2373="Aprobada con ajuste",V2373="Rechazada"),W2373&lt;&gt;""),W2373,""))</f>
        <v/>
      </c>
    </row>
    <row r="2374">
      <c r="A2374" s="18" t="inlineStr">
        <is>
          <t>C2373</t>
        </is>
      </c>
      <c r="B2374" s="18" t="inlineStr">
        <is>
          <t>Notificaciones</t>
        </is>
      </c>
      <c r="C2374" s="18" t="inlineStr">
        <is>
          <t>notifications</t>
        </is>
      </c>
      <c r="D2374" s="18" t="inlineStr">
        <is>
          <t>notificacion</t>
        </is>
      </c>
      <c r="E2374" s="18" t="n">
        <v>6345</v>
      </c>
      <c r="F2374" s="18" t="inlineStr">
        <is>
          <t>tipo_notificacion</t>
        </is>
      </c>
      <c r="G2374" s="18" t="inlineStr">
        <is>
          <t>character varying(100)</t>
        </is>
      </c>
      <c r="H2374" s="18" t="inlineStr">
        <is>
          <t>No</t>
        </is>
      </c>
      <c r="I2374" s="18" t="inlineStr"/>
      <c r="J2374" s="18" t="inlineStr"/>
      <c r="K2374" s="18" t="inlineStr"/>
      <c r="L2374" s="18" t="inlineStr">
        <is>
          <t>No</t>
        </is>
      </c>
      <c r="M2374" s="18" t="inlineStr">
        <is>
          <t>No</t>
        </is>
      </c>
      <c r="N2374" s="18" t="inlineStr"/>
      <c r="O2374" s="18" t="inlineStr"/>
      <c r="P2374" s="18" t="inlineStr">
        <is>
          <t>Mapeada en notifications-service/src/notifications/entities/notification.entity.ts:17 (Notification.tipo_notificacion) | Validación: IsString</t>
        </is>
      </c>
      <c r="Q2374" s="18" t="inlineStr">
        <is>
          <t>Propuesta semántica</t>
        </is>
      </c>
      <c r="R2374" s="18" t="inlineStr">
        <is>
          <t>Tipo de notificación.</t>
        </is>
      </c>
      <c r="S2374" s="18" t="inlineStr">
        <is>
          <t>Media</t>
        </is>
      </c>
      <c r="T2374" s="18" t="inlineStr">
        <is>
          <t>nombre + tipo</t>
        </is>
      </c>
      <c r="U2374" s="18" t="inlineStr">
        <is>
          <t>¿Qué tipos de notificación se usan?</t>
        </is>
      </c>
      <c r="V2374" s="19" t="inlineStr">
        <is>
          <t>Pendiente</t>
        </is>
      </c>
      <c r="W2374" s="19" t="inlineStr"/>
      <c r="X2374" s="19" t="inlineStr"/>
      <c r="Y2374" s="20" t="n"/>
      <c r="Z2374" s="19" t="inlineStr"/>
      <c r="AA2374" s="18">
        <f>IF(OR(V2374="Aprobada"),R2374,IF(AND(OR(V2374="Aprobada con ajuste",V2374="Rechazada"),W2374&lt;&gt;""),W2374,""))</f>
        <v/>
      </c>
    </row>
    <row r="2375">
      <c r="A2375" s="18" t="inlineStr">
        <is>
          <t>C2374</t>
        </is>
      </c>
      <c r="B2375" s="18" t="inlineStr">
        <is>
          <t>Notificaciones</t>
        </is>
      </c>
      <c r="C2375" s="18" t="inlineStr">
        <is>
          <t>notifications</t>
        </is>
      </c>
      <c r="D2375" s="18" t="inlineStr">
        <is>
          <t>notificacion</t>
        </is>
      </c>
      <c r="E2375" s="18" t="n">
        <v>6345</v>
      </c>
      <c r="F2375" s="18" t="inlineStr">
        <is>
          <t>titulo</t>
        </is>
      </c>
      <c r="G2375" s="18" t="inlineStr">
        <is>
          <t>character varying(255)</t>
        </is>
      </c>
      <c r="H2375" s="18" t="inlineStr">
        <is>
          <t>No</t>
        </is>
      </c>
      <c r="I2375" s="18" t="inlineStr"/>
      <c r="J2375" s="18" t="inlineStr"/>
      <c r="K2375" s="18" t="inlineStr"/>
      <c r="L2375" s="18" t="inlineStr">
        <is>
          <t>No</t>
        </is>
      </c>
      <c r="M2375" s="18" t="inlineStr">
        <is>
          <t>No</t>
        </is>
      </c>
      <c r="N2375" s="18" t="inlineStr"/>
      <c r="O2375" s="18" t="inlineStr"/>
      <c r="P2375" s="18" t="inlineStr">
        <is>
          <t>Mapeada en notifications-service/src/notifications/entities/notification.entity.ts:20 (Notification.titulo) | Validación: IsString</t>
        </is>
      </c>
      <c r="Q2375" s="18" t="inlineStr">
        <is>
          <t>Propuesta semántica</t>
        </is>
      </c>
      <c r="R2375" s="18" t="inlineStr">
        <is>
          <t>Título de la notificación.</t>
        </is>
      </c>
      <c r="S2375" s="18" t="inlineStr">
        <is>
          <t>Alta</t>
        </is>
      </c>
      <c r="T2375" s="18" t="inlineStr">
        <is>
          <t>nombre + tipo</t>
        </is>
      </c>
      <c r="U2375" s="18" t="inlineStr"/>
      <c r="V2375" s="19" t="inlineStr">
        <is>
          <t>Pendiente</t>
        </is>
      </c>
      <c r="W2375" s="19" t="inlineStr"/>
      <c r="X2375" s="19" t="inlineStr"/>
      <c r="Y2375" s="20" t="n"/>
      <c r="Z2375" s="19" t="inlineStr"/>
      <c r="AA2375" s="18">
        <f>IF(OR(V2375="Aprobada"),R2375,IF(AND(OR(V2375="Aprobada con ajuste",V2375="Rechazada"),W2375&lt;&gt;""),W2375,""))</f>
        <v/>
      </c>
    </row>
    <row r="2376">
      <c r="A2376" s="18" t="inlineStr">
        <is>
          <t>C2375</t>
        </is>
      </c>
      <c r="B2376" s="18" t="inlineStr">
        <is>
          <t>Notificaciones</t>
        </is>
      </c>
      <c r="C2376" s="18" t="inlineStr">
        <is>
          <t>notifications</t>
        </is>
      </c>
      <c r="D2376" s="18" t="inlineStr">
        <is>
          <t>notificacion</t>
        </is>
      </c>
      <c r="E2376" s="18" t="n">
        <v>6345</v>
      </c>
      <c r="F2376" s="18" t="inlineStr">
        <is>
          <t>mensaje</t>
        </is>
      </c>
      <c r="G2376" s="18" t="inlineStr">
        <is>
          <t>text</t>
        </is>
      </c>
      <c r="H2376" s="18" t="inlineStr">
        <is>
          <t>No</t>
        </is>
      </c>
      <c r="I2376" s="18" t="inlineStr"/>
      <c r="J2376" s="18" t="inlineStr"/>
      <c r="K2376" s="18" t="inlineStr"/>
      <c r="L2376" s="18" t="inlineStr">
        <is>
          <t>No</t>
        </is>
      </c>
      <c r="M2376" s="18" t="inlineStr">
        <is>
          <t>No</t>
        </is>
      </c>
      <c r="N2376" s="18" t="inlineStr"/>
      <c r="O2376" s="18" t="inlineStr"/>
      <c r="P2376" s="18" t="inlineStr">
        <is>
          <t>Mapeada en notifications-service/src/notifications/entities/notification.entity.ts:23 (Notification.mensaje) | Validación: IsString</t>
        </is>
      </c>
      <c r="Q2376" s="18" t="inlineStr">
        <is>
          <t>Propuesta semántica</t>
        </is>
      </c>
      <c r="R2376" s="18" t="inlineStr">
        <is>
          <t>Texto del mensaje de la notificación.</t>
        </is>
      </c>
      <c r="S2376" s="18" t="inlineStr">
        <is>
          <t>Alta</t>
        </is>
      </c>
      <c r="T2376" s="18" t="inlineStr">
        <is>
          <t>nombre + tipo</t>
        </is>
      </c>
      <c r="U2376" s="18" t="inlineStr"/>
      <c r="V2376" s="19" t="inlineStr">
        <is>
          <t>Pendiente</t>
        </is>
      </c>
      <c r="W2376" s="19" t="inlineStr"/>
      <c r="X2376" s="19" t="inlineStr"/>
      <c r="Y2376" s="20" t="n"/>
      <c r="Z2376" s="19" t="inlineStr"/>
      <c r="AA2376" s="18">
        <f>IF(OR(V2376="Aprobada"),R2376,IF(AND(OR(V2376="Aprobada con ajuste",V2376="Rechazada"),W2376&lt;&gt;""),W2376,""))</f>
        <v/>
      </c>
    </row>
    <row r="2377">
      <c r="A2377" s="18" t="inlineStr">
        <is>
          <t>C2376</t>
        </is>
      </c>
      <c r="B2377" s="18" t="inlineStr">
        <is>
          <t>Notificaciones</t>
        </is>
      </c>
      <c r="C2377" s="18" t="inlineStr">
        <is>
          <t>notifications</t>
        </is>
      </c>
      <c r="D2377" s="18" t="inlineStr">
        <is>
          <t>notificacion</t>
        </is>
      </c>
      <c r="E2377" s="18" t="n">
        <v>6345</v>
      </c>
      <c r="F2377" s="18" t="inlineStr">
        <is>
          <t>descripcion_corta</t>
        </is>
      </c>
      <c r="G2377" s="18" t="inlineStr">
        <is>
          <t>character varying(255)</t>
        </is>
      </c>
      <c r="H2377" s="18" t="inlineStr">
        <is>
          <t>Sí</t>
        </is>
      </c>
      <c r="I2377" s="18" t="inlineStr"/>
      <c r="J2377" s="18" t="inlineStr"/>
      <c r="K2377" s="18" t="inlineStr"/>
      <c r="L2377" s="18" t="inlineStr">
        <is>
          <t>No</t>
        </is>
      </c>
      <c r="M2377" s="18" t="inlineStr">
        <is>
          <t>No</t>
        </is>
      </c>
      <c r="N2377" s="18" t="inlineStr"/>
      <c r="O2377" s="18" t="inlineStr"/>
      <c r="P2377" s="18" t="inlineStr">
        <is>
          <t>Mapeada en notifications-service/src/notifications/entities/notification.entity.ts:26 (Notification.descripcion_corta) | Validación: IsOptional, IsString</t>
        </is>
      </c>
      <c r="Q2377" s="18" t="inlineStr">
        <is>
          <t>Propuesta semántica</t>
        </is>
      </c>
      <c r="R2377" s="18" t="inlineStr">
        <is>
          <t>Resumen corto de la notificación.</t>
        </is>
      </c>
      <c r="S2377" s="18" t="inlineStr">
        <is>
          <t>Alta</t>
        </is>
      </c>
      <c r="T2377" s="18" t="inlineStr">
        <is>
          <t>nombre + tipo</t>
        </is>
      </c>
      <c r="U2377" s="18" t="inlineStr"/>
      <c r="V2377" s="19" t="inlineStr">
        <is>
          <t>Pendiente</t>
        </is>
      </c>
      <c r="W2377" s="19" t="inlineStr"/>
      <c r="X2377" s="19" t="inlineStr"/>
      <c r="Y2377" s="20" t="n"/>
      <c r="Z2377" s="19" t="inlineStr"/>
      <c r="AA2377" s="18">
        <f>IF(OR(V2377="Aprobada"),R2377,IF(AND(OR(V2377="Aprobada con ajuste",V2377="Rechazada"),W2377&lt;&gt;""),W2377,""))</f>
        <v/>
      </c>
    </row>
    <row r="2378">
      <c r="A2378" s="18" t="inlineStr">
        <is>
          <t>C2377</t>
        </is>
      </c>
      <c r="B2378" s="18" t="inlineStr">
        <is>
          <t>Notificaciones</t>
        </is>
      </c>
      <c r="C2378" s="18" t="inlineStr">
        <is>
          <t>notifications</t>
        </is>
      </c>
      <c r="D2378" s="18" t="inlineStr">
        <is>
          <t>notificacion</t>
        </is>
      </c>
      <c r="E2378" s="18" t="n">
        <v>6345</v>
      </c>
      <c r="F2378" s="18" t="inlineStr">
        <is>
          <t>icono</t>
        </is>
      </c>
      <c r="G2378" s="18" t="inlineStr">
        <is>
          <t>character varying(100)</t>
        </is>
      </c>
      <c r="H2378" s="18" t="inlineStr">
        <is>
          <t>Sí</t>
        </is>
      </c>
      <c r="I2378" s="18" t="inlineStr"/>
      <c r="J2378" s="18" t="inlineStr"/>
      <c r="K2378" s="18" t="inlineStr"/>
      <c r="L2378" s="18" t="inlineStr">
        <is>
          <t>No</t>
        </is>
      </c>
      <c r="M2378" s="18" t="inlineStr">
        <is>
          <t>No</t>
        </is>
      </c>
      <c r="N2378" s="18" t="inlineStr"/>
      <c r="O2378" s="18" t="inlineStr"/>
      <c r="P2378" s="18" t="inlineStr">
        <is>
          <t>Mapeada en notifications-service/src/notifications/entities/notification.entity.ts:29 (Notification.icono) | Validación: IsOptional, IsString</t>
        </is>
      </c>
      <c r="Q2378" s="18" t="inlineStr">
        <is>
          <t>Propuesta semántica</t>
        </is>
      </c>
      <c r="R2378" s="18" t="inlineStr">
        <is>
          <t>Nombre del ícono que se muestra con la notificación.</t>
        </is>
      </c>
      <c r="S2378" s="18" t="inlineStr">
        <is>
          <t>Media</t>
        </is>
      </c>
      <c r="T2378" s="18" t="inlineStr">
        <is>
          <t>nombre + tipo</t>
        </is>
      </c>
      <c r="U2378" s="18" t="inlineStr">
        <is>
          <t>¿Qué librería de íconos usa el frontend?</t>
        </is>
      </c>
      <c r="V2378" s="19" t="inlineStr">
        <is>
          <t>Pendiente</t>
        </is>
      </c>
      <c r="W2378" s="19" t="inlineStr"/>
      <c r="X2378" s="19" t="inlineStr"/>
      <c r="Y2378" s="20" t="n"/>
      <c r="Z2378" s="19" t="inlineStr"/>
      <c r="AA2378" s="18">
        <f>IF(OR(V2378="Aprobada"),R2378,IF(AND(OR(V2378="Aprobada con ajuste",V2378="Rechazada"),W2378&lt;&gt;""),W2378,""))</f>
        <v/>
      </c>
    </row>
    <row r="2379">
      <c r="A2379" s="18" t="inlineStr">
        <is>
          <t>C2378</t>
        </is>
      </c>
      <c r="B2379" s="18" t="inlineStr">
        <is>
          <t>Notificaciones</t>
        </is>
      </c>
      <c r="C2379" s="18" t="inlineStr">
        <is>
          <t>notifications</t>
        </is>
      </c>
      <c r="D2379" s="18" t="inlineStr">
        <is>
          <t>notificacion</t>
        </is>
      </c>
      <c r="E2379" s="18" t="n">
        <v>6345</v>
      </c>
      <c r="F2379" s="18" t="inlineStr">
        <is>
          <t>color</t>
        </is>
      </c>
      <c r="G2379" s="18" t="inlineStr">
        <is>
          <t>character varying(50)</t>
        </is>
      </c>
      <c r="H2379" s="18" t="inlineStr">
        <is>
          <t>Sí</t>
        </is>
      </c>
      <c r="I2379" s="18" t="inlineStr"/>
      <c r="J2379" s="18" t="inlineStr"/>
      <c r="K2379" s="18" t="inlineStr"/>
      <c r="L2379" s="18" t="inlineStr">
        <is>
          <t>No</t>
        </is>
      </c>
      <c r="M2379" s="18" t="inlineStr">
        <is>
          <t>No</t>
        </is>
      </c>
      <c r="N2379" s="18" t="inlineStr"/>
      <c r="O2379" s="18" t="inlineStr"/>
      <c r="P2379" s="18" t="inlineStr">
        <is>
          <t>Mapeada en notifications-service/src/notifications/entities/notification.entity.ts:32 (Notification.color) | Validación: IsOptional, IsString</t>
        </is>
      </c>
      <c r="Q2379" s="18" t="inlineStr">
        <is>
          <t>Propuesta semántica</t>
        </is>
      </c>
      <c r="R2379" s="18" t="inlineStr">
        <is>
          <t>Color con que se muestra la notificación.</t>
        </is>
      </c>
      <c r="S2379" s="18" t="inlineStr">
        <is>
          <t>Media</t>
        </is>
      </c>
      <c r="T2379" s="18" t="inlineStr">
        <is>
          <t>nombre + tipo</t>
        </is>
      </c>
      <c r="U2379" s="18" t="inlineStr">
        <is>
          <t>¿Se guarda un código hexadecimal o un nombre de color del tema?</t>
        </is>
      </c>
      <c r="V2379" s="19" t="inlineStr">
        <is>
          <t>Pendiente</t>
        </is>
      </c>
      <c r="W2379" s="19" t="inlineStr"/>
      <c r="X2379" s="19" t="inlineStr"/>
      <c r="Y2379" s="20" t="n"/>
      <c r="Z2379" s="19" t="inlineStr"/>
      <c r="AA2379" s="18">
        <f>IF(OR(V2379="Aprobada"),R2379,IF(AND(OR(V2379="Aprobada con ajuste",V2379="Rechazada"),W2379&lt;&gt;""),W2379,""))</f>
        <v/>
      </c>
    </row>
    <row r="2380">
      <c r="A2380" s="18" t="inlineStr">
        <is>
          <t>C2379</t>
        </is>
      </c>
      <c r="B2380" s="18" t="inlineStr">
        <is>
          <t>Notificaciones</t>
        </is>
      </c>
      <c r="C2380" s="18" t="inlineStr">
        <is>
          <t>notifications</t>
        </is>
      </c>
      <c r="D2380" s="18" t="inlineStr">
        <is>
          <t>notificacion</t>
        </is>
      </c>
      <c r="E2380" s="18" t="n">
        <v>6345</v>
      </c>
      <c r="F2380" s="18" t="inlineStr">
        <is>
          <t>prioridad</t>
        </is>
      </c>
      <c r="G2380" s="18" t="inlineStr">
        <is>
          <t>character varying(20)</t>
        </is>
      </c>
      <c r="H2380" s="18" t="inlineStr">
        <is>
          <t>No</t>
        </is>
      </c>
      <c r="I2380" s="18" t="inlineStr"/>
      <c r="J2380" s="18" t="inlineStr"/>
      <c r="K2380" s="18" t="inlineStr"/>
      <c r="L2380" s="18" t="inlineStr">
        <is>
          <t>No</t>
        </is>
      </c>
      <c r="M2380" s="18" t="inlineStr">
        <is>
          <t>No</t>
        </is>
      </c>
      <c r="N2380" s="18" t="inlineStr"/>
      <c r="O2380" s="18" t="inlineStr"/>
      <c r="P2380" s="18" t="inlineStr">
        <is>
          <t>Mapeada en notifications-service/src/notifications/entities/notification.entity.ts:35 (Notification.prioridad) | Validación: IsIn(['Baja', 'Media', 'Alta', 'Crítica']), IsOptional</t>
        </is>
      </c>
      <c r="Q2380" s="18" t="inlineStr">
        <is>
          <t>Propuesta semántica</t>
        </is>
      </c>
      <c r="R2380" s="18" t="inlineStr">
        <is>
          <t>Prioridad de la notificación. Valores permitidos: Baja, Media, Alta, Crítica. Por defecto, Media.</t>
        </is>
      </c>
      <c r="S2380" s="18" t="inlineStr">
        <is>
          <t>Alta</t>
        </is>
      </c>
      <c r="T2380" s="18" t="inlineStr">
        <is>
          <t>validación IsIn + defecto</t>
        </is>
      </c>
      <c r="U2380" s="18" t="inlineStr"/>
      <c r="V2380" s="19" t="inlineStr">
        <is>
          <t>Pendiente</t>
        </is>
      </c>
      <c r="W2380" s="19" t="inlineStr"/>
      <c r="X2380" s="19" t="inlineStr"/>
      <c r="Y2380" s="20" t="n"/>
      <c r="Z2380" s="19" t="inlineStr"/>
      <c r="AA2380" s="18">
        <f>IF(OR(V2380="Aprobada"),R2380,IF(AND(OR(V2380="Aprobada con ajuste",V2380="Rechazada"),W2380&lt;&gt;""),W2380,""))</f>
        <v/>
      </c>
    </row>
    <row r="2381">
      <c r="A2381" s="18" t="inlineStr">
        <is>
          <t>C2380</t>
        </is>
      </c>
      <c r="B2381" s="18" t="inlineStr">
        <is>
          <t>Notificaciones</t>
        </is>
      </c>
      <c r="C2381" s="18" t="inlineStr">
        <is>
          <t>notifications</t>
        </is>
      </c>
      <c r="D2381" s="18" t="inlineStr">
        <is>
          <t>notificacion</t>
        </is>
      </c>
      <c r="E2381" s="18" t="n">
        <v>6345</v>
      </c>
      <c r="F2381" s="18" t="inlineStr">
        <is>
          <t>categoria</t>
        </is>
      </c>
      <c r="G2381" s="18" t="inlineStr">
        <is>
          <t>character varying(100)</t>
        </is>
      </c>
      <c r="H2381" s="18" t="inlineStr">
        <is>
          <t>Sí</t>
        </is>
      </c>
      <c r="I2381" s="18" t="inlineStr"/>
      <c r="J2381" s="18" t="inlineStr"/>
      <c r="K2381" s="18" t="inlineStr"/>
      <c r="L2381" s="18" t="inlineStr">
        <is>
          <t>No</t>
        </is>
      </c>
      <c r="M2381" s="18" t="inlineStr">
        <is>
          <t>No</t>
        </is>
      </c>
      <c r="N2381" s="18" t="inlineStr"/>
      <c r="O2381" s="18" t="inlineStr"/>
      <c r="P2381" s="18" t="inlineStr">
        <is>
          <t>Mapeada en notifications-service/src/notifications/entities/notification.entity.ts:38 (Notification.categoria) | Validación: IsOptional, IsString</t>
        </is>
      </c>
      <c r="Q2381" s="18" t="inlineStr">
        <is>
          <t>Propuesta semántica</t>
        </is>
      </c>
      <c r="R2381" s="18" t="inlineStr">
        <is>
          <t>Categoría de la notificación.</t>
        </is>
      </c>
      <c r="S2381" s="18" t="inlineStr">
        <is>
          <t>Media</t>
        </is>
      </c>
      <c r="T2381" s="18" t="inlineStr">
        <is>
          <t>nombre + tipo</t>
        </is>
      </c>
      <c r="U2381" s="18" t="inlineStr">
        <is>
          <t>¿Qué categorías se usan y en qué se diferencian de tipo_notificacion?</t>
        </is>
      </c>
      <c r="V2381" s="19" t="inlineStr">
        <is>
          <t>Pendiente</t>
        </is>
      </c>
      <c r="W2381" s="19" t="inlineStr"/>
      <c r="X2381" s="19" t="inlineStr"/>
      <c r="Y2381" s="20" t="n"/>
      <c r="Z2381" s="19" t="inlineStr"/>
      <c r="AA2381" s="18">
        <f>IF(OR(V2381="Aprobada"),R2381,IF(AND(OR(V2381="Aprobada con ajuste",V2381="Rechazada"),W2381&lt;&gt;""),W2381,""))</f>
        <v/>
      </c>
    </row>
    <row r="2382">
      <c r="A2382" s="18" t="inlineStr">
        <is>
          <t>C2381</t>
        </is>
      </c>
      <c r="B2382" s="18" t="inlineStr">
        <is>
          <t>Notificaciones</t>
        </is>
      </c>
      <c r="C2382" s="18" t="inlineStr">
        <is>
          <t>notifications</t>
        </is>
      </c>
      <c r="D2382" s="18" t="inlineStr">
        <is>
          <t>notificacion</t>
        </is>
      </c>
      <c r="E2382" s="18" t="n">
        <v>6345</v>
      </c>
      <c r="F2382" s="18" t="inlineStr">
        <is>
          <t>leida</t>
        </is>
      </c>
      <c r="G2382" s="18" t="inlineStr">
        <is>
          <t>boolean</t>
        </is>
      </c>
      <c r="H2382" s="18" t="inlineStr">
        <is>
          <t>No</t>
        </is>
      </c>
      <c r="I2382" s="18" t="inlineStr"/>
      <c r="J2382" s="18" t="inlineStr"/>
      <c r="K2382" s="18" t="inlineStr"/>
      <c r="L2382" s="18" t="inlineStr">
        <is>
          <t>No</t>
        </is>
      </c>
      <c r="M2382" s="18" t="inlineStr">
        <is>
          <t>No</t>
        </is>
      </c>
      <c r="N2382" s="18" t="inlineStr"/>
      <c r="O2382" s="18" t="inlineStr">
        <is>
          <t>idx_notificacion_leida</t>
        </is>
      </c>
      <c r="P2382" s="18" t="inlineStr">
        <is>
          <t>Mapeada en notifications-service/src/notifications/entities/notification.entity.ts:41 (Notification.leida)</t>
        </is>
      </c>
      <c r="Q2382" s="18" t="inlineStr">
        <is>
          <t>Regla estructural</t>
        </is>
      </c>
      <c r="R2382" s="18" t="inlineStr">
        <is>
          <t>Indica si el registro está leida.</t>
        </is>
      </c>
      <c r="S2382" s="18" t="inlineStr">
        <is>
          <t>Media</t>
        </is>
      </c>
      <c r="T2382" s="18" t="inlineStr">
        <is>
          <t>Convención de nombre de la columna.</t>
        </is>
      </c>
      <c r="U2382" s="18" t="inlineStr"/>
      <c r="V2382" s="19" t="inlineStr">
        <is>
          <t>Pendiente</t>
        </is>
      </c>
      <c r="W2382" s="19" t="inlineStr"/>
      <c r="X2382" s="19" t="inlineStr"/>
      <c r="Y2382" s="20" t="n"/>
      <c r="Z2382" s="19" t="inlineStr"/>
      <c r="AA2382" s="18">
        <f>IF(OR(V2382="Aprobada"),R2382,IF(AND(OR(V2382="Aprobada con ajuste",V2382="Rechazada"),W2382&lt;&gt;""),W2382,""))</f>
        <v/>
      </c>
    </row>
    <row r="2383">
      <c r="A2383" s="18" t="inlineStr">
        <is>
          <t>C2382</t>
        </is>
      </c>
      <c r="B2383" s="18" t="inlineStr">
        <is>
          <t>Notificaciones</t>
        </is>
      </c>
      <c r="C2383" s="18" t="inlineStr">
        <is>
          <t>notifications</t>
        </is>
      </c>
      <c r="D2383" s="18" t="inlineStr">
        <is>
          <t>notificacion</t>
        </is>
      </c>
      <c r="E2383" s="18" t="n">
        <v>6345</v>
      </c>
      <c r="F2383" s="18" t="inlineStr">
        <is>
          <t>archivada</t>
        </is>
      </c>
      <c r="G2383" s="18" t="inlineStr">
        <is>
          <t>boolean</t>
        </is>
      </c>
      <c r="H2383" s="18" t="inlineStr">
        <is>
          <t>No</t>
        </is>
      </c>
      <c r="I2383" s="18" t="inlineStr"/>
      <c r="J2383" s="18" t="inlineStr"/>
      <c r="K2383" s="18" t="inlineStr"/>
      <c r="L2383" s="18" t="inlineStr">
        <is>
          <t>No</t>
        </is>
      </c>
      <c r="M2383" s="18" t="inlineStr">
        <is>
          <t>No</t>
        </is>
      </c>
      <c r="N2383" s="18" t="inlineStr"/>
      <c r="O2383" s="18" t="inlineStr">
        <is>
          <t>idx_notificacion_leida</t>
        </is>
      </c>
      <c r="P2383" s="18" t="inlineStr">
        <is>
          <t>Mapeada en notifications-service/src/notifications/entities/notification.entity.ts:44 (Notification.archivada)</t>
        </is>
      </c>
      <c r="Q2383" s="18" t="inlineStr">
        <is>
          <t>Regla estructural</t>
        </is>
      </c>
      <c r="R2383" s="18" t="inlineStr">
        <is>
          <t>Indica si el registro está archivada.</t>
        </is>
      </c>
      <c r="S2383" s="18" t="inlineStr">
        <is>
          <t>Media</t>
        </is>
      </c>
      <c r="T2383" s="18" t="inlineStr">
        <is>
          <t>Convención de nombre de la columna.</t>
        </is>
      </c>
      <c r="U2383" s="18" t="inlineStr"/>
      <c r="V2383" s="19" t="inlineStr">
        <is>
          <t>Pendiente</t>
        </is>
      </c>
      <c r="W2383" s="19" t="inlineStr"/>
      <c r="X2383" s="19" t="inlineStr"/>
      <c r="Y2383" s="20" t="n"/>
      <c r="Z2383" s="19" t="inlineStr"/>
      <c r="AA2383" s="18">
        <f>IF(OR(V2383="Aprobada"),R2383,IF(AND(OR(V2383="Aprobada con ajuste",V2383="Rechazada"),W2383&lt;&gt;""),W2383,""))</f>
        <v/>
      </c>
    </row>
    <row r="2384">
      <c r="A2384" s="18" t="inlineStr">
        <is>
          <t>C2383</t>
        </is>
      </c>
      <c r="B2384" s="18" t="inlineStr">
        <is>
          <t>Notificaciones</t>
        </is>
      </c>
      <c r="C2384" s="18" t="inlineStr">
        <is>
          <t>notifications</t>
        </is>
      </c>
      <c r="D2384" s="18" t="inlineStr">
        <is>
          <t>notificacion</t>
        </is>
      </c>
      <c r="E2384" s="18" t="n">
        <v>6345</v>
      </c>
      <c r="F2384" s="18" t="inlineStr">
        <is>
          <t>fecha_lectura</t>
        </is>
      </c>
      <c r="G2384" s="18" t="inlineStr">
        <is>
          <t>timestamp with time zone</t>
        </is>
      </c>
      <c r="H2384" s="18" t="inlineStr">
        <is>
          <t>Sí</t>
        </is>
      </c>
      <c r="I2384" s="18" t="inlineStr"/>
      <c r="J2384" s="18" t="inlineStr"/>
      <c r="K2384" s="18" t="inlineStr"/>
      <c r="L2384" s="18" t="inlineStr">
        <is>
          <t>No</t>
        </is>
      </c>
      <c r="M2384" s="18" t="inlineStr">
        <is>
          <t>No</t>
        </is>
      </c>
      <c r="N2384" s="18" t="inlineStr"/>
      <c r="O2384" s="18" t="inlineStr"/>
      <c r="P2384" s="18" t="inlineStr">
        <is>
          <t>Mapeada en notifications-service/src/notifications/entities/notification.entity.ts:53 (Notification.fecha_lectura)</t>
        </is>
      </c>
      <c r="Q2384" s="18" t="inlineStr">
        <is>
          <t>Regla estructural</t>
        </is>
      </c>
      <c r="R2384" s="18" t="inlineStr">
        <is>
          <t>Fecha de lectura.</t>
        </is>
      </c>
      <c r="S2384" s="18" t="inlineStr">
        <is>
          <t>Media</t>
        </is>
      </c>
      <c r="T2384" s="18" t="inlineStr">
        <is>
          <t>Convención de nombre de la columna.</t>
        </is>
      </c>
      <c r="U2384" s="18" t="inlineStr"/>
      <c r="V2384" s="19" t="inlineStr">
        <is>
          <t>Pendiente</t>
        </is>
      </c>
      <c r="W2384" s="19" t="inlineStr"/>
      <c r="X2384" s="19" t="inlineStr"/>
      <c r="Y2384" s="20" t="n"/>
      <c r="Z2384" s="19" t="inlineStr"/>
      <c r="AA2384" s="18">
        <f>IF(OR(V2384="Aprobada"),R2384,IF(AND(OR(V2384="Aprobada con ajuste",V2384="Rechazada"),W2384&lt;&gt;""),W2384,""))</f>
        <v/>
      </c>
    </row>
    <row r="2385">
      <c r="A2385" s="18" t="inlineStr">
        <is>
          <t>C2384</t>
        </is>
      </c>
      <c r="B2385" s="18" t="inlineStr">
        <is>
          <t>Notificaciones</t>
        </is>
      </c>
      <c r="C2385" s="18" t="inlineStr">
        <is>
          <t>notifications</t>
        </is>
      </c>
      <c r="D2385" s="18" t="inlineStr">
        <is>
          <t>notificacion</t>
        </is>
      </c>
      <c r="E2385" s="18" t="n">
        <v>6345</v>
      </c>
      <c r="F2385" s="18" t="inlineStr">
        <is>
          <t>fecha_archivado</t>
        </is>
      </c>
      <c r="G2385" s="18" t="inlineStr">
        <is>
          <t>timestamp with time zone</t>
        </is>
      </c>
      <c r="H2385" s="18" t="inlineStr">
        <is>
          <t>Sí</t>
        </is>
      </c>
      <c r="I2385" s="18" t="inlineStr"/>
      <c r="J2385" s="18" t="inlineStr"/>
      <c r="K2385" s="18" t="inlineStr"/>
      <c r="L2385" s="18" t="inlineStr">
        <is>
          <t>No</t>
        </is>
      </c>
      <c r="M2385" s="18" t="inlineStr">
        <is>
          <t>No</t>
        </is>
      </c>
      <c r="N2385" s="18" t="inlineStr"/>
      <c r="O2385" s="18" t="inlineStr"/>
      <c r="P2385" s="18" t="inlineStr">
        <is>
          <t>Mapeada en notifications-service/src/notifications/entities/notification.entity.ts:56 (Notification.fecha_archivado)</t>
        </is>
      </c>
      <c r="Q2385" s="18" t="inlineStr">
        <is>
          <t>Regla estructural</t>
        </is>
      </c>
      <c r="R2385" s="18" t="inlineStr">
        <is>
          <t>Fecha del archivo.</t>
        </is>
      </c>
      <c r="S2385" s="18" t="inlineStr">
        <is>
          <t>Media</t>
        </is>
      </c>
      <c r="T2385" s="18" t="inlineStr">
        <is>
          <t>Convención de nombre de la columna.</t>
        </is>
      </c>
      <c r="U2385" s="18" t="inlineStr"/>
      <c r="V2385" s="19" t="inlineStr">
        <is>
          <t>Pendiente</t>
        </is>
      </c>
      <c r="W2385" s="19" t="inlineStr"/>
      <c r="X2385" s="19" t="inlineStr"/>
      <c r="Y2385" s="20" t="n"/>
      <c r="Z2385" s="19" t="inlineStr"/>
      <c r="AA2385" s="18">
        <f>IF(OR(V2385="Aprobada"),R2385,IF(AND(OR(V2385="Aprobada con ajuste",V2385="Rechazada"),W2385&lt;&gt;""),W2385,""))</f>
        <v/>
      </c>
    </row>
    <row r="2386">
      <c r="A2386" s="18" t="inlineStr">
        <is>
          <t>C2385</t>
        </is>
      </c>
      <c r="B2386" s="18" t="inlineStr">
        <is>
          <t>Notificaciones</t>
        </is>
      </c>
      <c r="C2386" s="18" t="inlineStr">
        <is>
          <t>notifications</t>
        </is>
      </c>
      <c r="D2386" s="18" t="inlineStr">
        <is>
          <t>notificacion</t>
        </is>
      </c>
      <c r="E2386" s="18" t="n">
        <v>6345</v>
      </c>
      <c r="F2386" s="18" t="inlineStr">
        <is>
          <t>tiene_accion</t>
        </is>
      </c>
      <c r="G2386" s="18" t="inlineStr">
        <is>
          <t>boolean</t>
        </is>
      </c>
      <c r="H2386" s="18" t="inlineStr">
        <is>
          <t>No</t>
        </is>
      </c>
      <c r="I2386" s="18" t="inlineStr"/>
      <c r="J2386" s="18" t="inlineStr"/>
      <c r="K2386" s="18" t="inlineStr"/>
      <c r="L2386" s="18" t="inlineStr">
        <is>
          <t>No</t>
        </is>
      </c>
      <c r="M2386" s="18" t="inlineStr">
        <is>
          <t>No</t>
        </is>
      </c>
      <c r="N2386" s="18" t="inlineStr"/>
      <c r="O2386" s="18" t="inlineStr"/>
      <c r="P2386" s="18" t="inlineStr">
        <is>
          <t>Mapeada en notifications-service/src/notifications/entities/notification.entity.ts:59 (Notification.tiene_accion) | Validación: IsBoolean, IsOptional</t>
        </is>
      </c>
      <c r="Q2386" s="18" t="inlineStr">
        <is>
          <t>Regla estructural</t>
        </is>
      </c>
      <c r="R2386" s="18" t="inlineStr">
        <is>
          <t>Indica si aplica: acción.</t>
        </is>
      </c>
      <c r="S2386" s="18" t="inlineStr">
        <is>
          <t>Media</t>
        </is>
      </c>
      <c r="T2386" s="18" t="inlineStr">
        <is>
          <t>Convención de nombre de la columna.</t>
        </is>
      </c>
      <c r="U2386" s="18" t="inlineStr"/>
      <c r="V2386" s="19" t="inlineStr">
        <is>
          <t>Pendiente</t>
        </is>
      </c>
      <c r="W2386" s="19" t="inlineStr"/>
      <c r="X2386" s="19" t="inlineStr"/>
      <c r="Y2386" s="20" t="n"/>
      <c r="Z2386" s="19" t="inlineStr"/>
      <c r="AA2386" s="18">
        <f>IF(OR(V2386="Aprobada"),R2386,IF(AND(OR(V2386="Aprobada con ajuste",V2386="Rechazada"),W2386&lt;&gt;""),W2386,""))</f>
        <v/>
      </c>
    </row>
    <row r="2387">
      <c r="A2387" s="18" t="inlineStr">
        <is>
          <t>C2386</t>
        </is>
      </c>
      <c r="B2387" s="18" t="inlineStr">
        <is>
          <t>Notificaciones</t>
        </is>
      </c>
      <c r="C2387" s="18" t="inlineStr">
        <is>
          <t>notifications</t>
        </is>
      </c>
      <c r="D2387" s="18" t="inlineStr">
        <is>
          <t>notificacion</t>
        </is>
      </c>
      <c r="E2387" s="18" t="n">
        <v>6345</v>
      </c>
      <c r="F2387" s="18" t="inlineStr">
        <is>
          <t>texto_boton_accion</t>
        </is>
      </c>
      <c r="G2387" s="18" t="inlineStr">
        <is>
          <t>character varying(100)</t>
        </is>
      </c>
      <c r="H2387" s="18" t="inlineStr">
        <is>
          <t>Sí</t>
        </is>
      </c>
      <c r="I2387" s="18" t="inlineStr"/>
      <c r="J2387" s="18" t="inlineStr"/>
      <c r="K2387" s="18" t="inlineStr"/>
      <c r="L2387" s="18" t="inlineStr">
        <is>
          <t>No</t>
        </is>
      </c>
      <c r="M2387" s="18" t="inlineStr">
        <is>
          <t>No</t>
        </is>
      </c>
      <c r="N2387" s="18" t="inlineStr"/>
      <c r="O2387" s="18" t="inlineStr"/>
      <c r="P2387" s="18" t="inlineStr">
        <is>
          <t>Mapeada en notifications-service/src/notifications/entities/notification.entity.ts:62 (Notification.texto_boton_accion) | Validación: IsOptional, IsString</t>
        </is>
      </c>
      <c r="Q2387" s="18" t="inlineStr">
        <is>
          <t>Propuesta semántica</t>
        </is>
      </c>
      <c r="R2387" s="18" t="inlineStr">
        <is>
          <t>Texto del botón de acción de la notificación.</t>
        </is>
      </c>
      <c r="S2387" s="18" t="inlineStr">
        <is>
          <t>Alta</t>
        </is>
      </c>
      <c r="T2387" s="18" t="inlineStr">
        <is>
          <t>nombre + tipo + columnas vecinas</t>
        </is>
      </c>
      <c r="U2387" s="18" t="inlineStr"/>
      <c r="V2387" s="19" t="inlineStr">
        <is>
          <t>Pendiente</t>
        </is>
      </c>
      <c r="W2387" s="19" t="inlineStr"/>
      <c r="X2387" s="19" t="inlineStr"/>
      <c r="Y2387" s="20" t="n"/>
      <c r="Z2387" s="19" t="inlineStr"/>
      <c r="AA2387" s="18">
        <f>IF(OR(V2387="Aprobada"),R2387,IF(AND(OR(V2387="Aprobada con ajuste",V2387="Rechazada"),W2387&lt;&gt;""),W2387,""))</f>
        <v/>
      </c>
    </row>
    <row r="2388">
      <c r="A2388" s="18" t="inlineStr">
        <is>
          <t>C2387</t>
        </is>
      </c>
      <c r="B2388" s="18" t="inlineStr">
        <is>
          <t>Notificaciones</t>
        </is>
      </c>
      <c r="C2388" s="18" t="inlineStr">
        <is>
          <t>notifications</t>
        </is>
      </c>
      <c r="D2388" s="18" t="inlineStr">
        <is>
          <t>notificacion</t>
        </is>
      </c>
      <c r="E2388" s="18" t="n">
        <v>6345</v>
      </c>
      <c r="F2388" s="18" t="inlineStr">
        <is>
          <t>url_accion</t>
        </is>
      </c>
      <c r="G2388" s="18" t="inlineStr">
        <is>
          <t>character varying(500)</t>
        </is>
      </c>
      <c r="H2388" s="18" t="inlineStr">
        <is>
          <t>Sí</t>
        </is>
      </c>
      <c r="I2388" s="18" t="inlineStr"/>
      <c r="J2388" s="18" t="inlineStr"/>
      <c r="K2388" s="18" t="inlineStr"/>
      <c r="L2388" s="18" t="inlineStr">
        <is>
          <t>No</t>
        </is>
      </c>
      <c r="M2388" s="18" t="inlineStr">
        <is>
          <t>No</t>
        </is>
      </c>
      <c r="N2388" s="18" t="inlineStr"/>
      <c r="O2388" s="18" t="inlineStr"/>
      <c r="P2388" s="18" t="inlineStr">
        <is>
          <t>Mapeada en notifications-service/src/notifications/entities/notification.entity.ts:65 (Notification.url_accion) | Validación: IsOptional, IsString</t>
        </is>
      </c>
      <c r="Q2388" s="18" t="inlineStr">
        <is>
          <t>Propuesta semántica</t>
        </is>
      </c>
      <c r="R2388" s="18" t="inlineStr">
        <is>
          <t>URL a la que dirige el botón de acción de la notificación.</t>
        </is>
      </c>
      <c r="S2388" s="18" t="inlineStr">
        <is>
          <t>Alta</t>
        </is>
      </c>
      <c r="T2388" s="18" t="inlineStr">
        <is>
          <t>nombre + tipo + columnas vecinas</t>
        </is>
      </c>
      <c r="U2388" s="18" t="inlineStr"/>
      <c r="V2388" s="19" t="inlineStr">
        <is>
          <t>Pendiente</t>
        </is>
      </c>
      <c r="W2388" s="19" t="inlineStr"/>
      <c r="X2388" s="19" t="inlineStr"/>
      <c r="Y2388" s="20" t="n"/>
      <c r="Z2388" s="19" t="inlineStr"/>
      <c r="AA2388" s="18">
        <f>IF(OR(V2388="Aprobada"),R2388,IF(AND(OR(V2388="Aprobada con ajuste",V2388="Rechazada"),W2388&lt;&gt;""),W2388,""))</f>
        <v/>
      </c>
    </row>
    <row r="2389">
      <c r="A2389" s="18" t="inlineStr">
        <is>
          <t>C2388</t>
        </is>
      </c>
      <c r="B2389" s="18" t="inlineStr">
        <is>
          <t>Notificaciones</t>
        </is>
      </c>
      <c r="C2389" s="18" t="inlineStr">
        <is>
          <t>notifications</t>
        </is>
      </c>
      <c r="D2389" s="18" t="inlineStr">
        <is>
          <t>notificacion</t>
        </is>
      </c>
      <c r="E2389" s="18" t="n">
        <v>6345</v>
      </c>
      <c r="F2389" s="18" t="inlineStr">
        <is>
          <t>datos_adicionales</t>
        </is>
      </c>
      <c r="G2389" s="18" t="inlineStr">
        <is>
          <t>jsonb</t>
        </is>
      </c>
      <c r="H2389" s="18" t="inlineStr">
        <is>
          <t>Sí</t>
        </is>
      </c>
      <c r="I2389" s="18" t="inlineStr"/>
      <c r="J2389" s="18" t="inlineStr"/>
      <c r="K2389" s="18" t="inlineStr"/>
      <c r="L2389" s="18" t="inlineStr">
        <is>
          <t>No</t>
        </is>
      </c>
      <c r="M2389" s="18" t="inlineStr">
        <is>
          <t>No</t>
        </is>
      </c>
      <c r="N2389" s="18" t="inlineStr"/>
      <c r="O2389" s="18" t="inlineStr"/>
      <c r="P2389" s="18" t="inlineStr">
        <is>
          <t>Mapeada en notifications-service/src/notifications/entities/notification.entity.ts:68 (Notification.datos_adicionales) | Validación: IsObject, IsOptional</t>
        </is>
      </c>
      <c r="Q2389" s="18" t="inlineStr">
        <is>
          <t>Propuesta semántica</t>
        </is>
      </c>
      <c r="R2389" s="18" t="inlineStr">
        <is>
          <t>Datos adicionales de la notificación, en formato JSON.</t>
        </is>
      </c>
      <c r="S2389" s="18" t="inlineStr">
        <is>
          <t>Media</t>
        </is>
      </c>
      <c r="T2389" s="18" t="inlineStr">
        <is>
          <t>nombre + tipo + validación IsObject</t>
        </is>
      </c>
      <c r="U2389" s="18" t="inlineStr">
        <is>
          <t>¿Qué claves se guardan en los datos adicionales?</t>
        </is>
      </c>
      <c r="V2389" s="19" t="inlineStr">
        <is>
          <t>Pendiente</t>
        </is>
      </c>
      <c r="W2389" s="19" t="inlineStr"/>
      <c r="X2389" s="19" t="inlineStr"/>
      <c r="Y2389" s="20" t="n"/>
      <c r="Z2389" s="19" t="inlineStr"/>
      <c r="AA2389" s="18">
        <f>IF(OR(V2389="Aprobada"),R2389,IF(AND(OR(V2389="Aprobada con ajuste",V2389="Rechazada"),W2389&lt;&gt;""),W2389,""))</f>
        <v/>
      </c>
    </row>
    <row r="2390">
      <c r="A2390" s="18" t="inlineStr">
        <is>
          <t>C2389</t>
        </is>
      </c>
      <c r="B2390" s="18" t="inlineStr">
        <is>
          <t>Notificaciones</t>
        </is>
      </c>
      <c r="C2390" s="18" t="inlineStr">
        <is>
          <t>notifications</t>
        </is>
      </c>
      <c r="D2390" s="18" t="inlineStr">
        <is>
          <t>notificacion</t>
        </is>
      </c>
      <c r="E2390" s="18" t="n">
        <v>6345</v>
      </c>
      <c r="F2390" s="18" t="inlineStr">
        <is>
          <t>email_enviado</t>
        </is>
      </c>
      <c r="G2390" s="18" t="inlineStr">
        <is>
          <t>boolean</t>
        </is>
      </c>
      <c r="H2390" s="18" t="inlineStr">
        <is>
          <t>No</t>
        </is>
      </c>
      <c r="I2390" s="18" t="inlineStr"/>
      <c r="J2390" s="18" t="inlineStr"/>
      <c r="K2390" s="18" t="inlineStr"/>
      <c r="L2390" s="18" t="inlineStr">
        <is>
          <t>No</t>
        </is>
      </c>
      <c r="M2390" s="18" t="inlineStr">
        <is>
          <t>No</t>
        </is>
      </c>
      <c r="N2390" s="18" t="inlineStr"/>
      <c r="O2390" s="18" t="inlineStr"/>
      <c r="P2390" s="18" t="inlineStr">
        <is>
          <t>Mapeada en notifications-service/src/notifications/entities/notification.entity.ts:71 (Notification.email_enviado)</t>
        </is>
      </c>
      <c r="Q2390" s="18" t="inlineStr">
        <is>
          <t>Regla estructural</t>
        </is>
      </c>
      <c r="R2390" s="18" t="inlineStr">
        <is>
          <t>Indica si el registro está email enviado.</t>
        </is>
      </c>
      <c r="S2390" s="18" t="inlineStr">
        <is>
          <t>Media</t>
        </is>
      </c>
      <c r="T2390" s="18" t="inlineStr">
        <is>
          <t>Convención de nombre de la columna.</t>
        </is>
      </c>
      <c r="U2390" s="18" t="inlineStr"/>
      <c r="V2390" s="19" t="inlineStr">
        <is>
          <t>Pendiente</t>
        </is>
      </c>
      <c r="W2390" s="19" t="inlineStr"/>
      <c r="X2390" s="19" t="inlineStr"/>
      <c r="Y2390" s="20" t="n"/>
      <c r="Z2390" s="19" t="inlineStr"/>
      <c r="AA2390" s="18">
        <f>IF(OR(V2390="Aprobada"),R2390,IF(AND(OR(V2390="Aprobada con ajuste",V2390="Rechazada"),W2390&lt;&gt;""),W2390,""))</f>
        <v/>
      </c>
    </row>
    <row r="2391">
      <c r="A2391" s="18" t="inlineStr">
        <is>
          <t>C2390</t>
        </is>
      </c>
      <c r="B2391" s="18" t="inlineStr">
        <is>
          <t>Notificaciones</t>
        </is>
      </c>
      <c r="C2391" s="18" t="inlineStr">
        <is>
          <t>notifications</t>
        </is>
      </c>
      <c r="D2391" s="18" t="inlineStr">
        <is>
          <t>notificacion</t>
        </is>
      </c>
      <c r="E2391" s="18" t="n">
        <v>6345</v>
      </c>
      <c r="F2391" s="18" t="inlineStr">
        <is>
          <t>email_entregado</t>
        </is>
      </c>
      <c r="G2391" s="18" t="inlineStr">
        <is>
          <t>boolean</t>
        </is>
      </c>
      <c r="H2391" s="18" t="inlineStr">
        <is>
          <t>No</t>
        </is>
      </c>
      <c r="I2391" s="18" t="inlineStr"/>
      <c r="J2391" s="18" t="inlineStr"/>
      <c r="K2391" s="18" t="inlineStr"/>
      <c r="L2391" s="18" t="inlineStr">
        <is>
          <t>No</t>
        </is>
      </c>
      <c r="M2391" s="18" t="inlineStr">
        <is>
          <t>No</t>
        </is>
      </c>
      <c r="N2391" s="18" t="inlineStr"/>
      <c r="O2391" s="18" t="inlineStr"/>
      <c r="P2391" s="18" t="inlineStr">
        <is>
          <t>Mapeada en notifications-service/src/notifications/entities/notification.entity.ts:74 (Notification.email_entregado)</t>
        </is>
      </c>
      <c r="Q2391" s="18" t="inlineStr">
        <is>
          <t>Regla estructural</t>
        </is>
      </c>
      <c r="R2391" s="18" t="inlineStr">
        <is>
          <t>Indica si el registro está email entregado.</t>
        </is>
      </c>
      <c r="S2391" s="18" t="inlineStr">
        <is>
          <t>Media</t>
        </is>
      </c>
      <c r="T2391" s="18" t="inlineStr">
        <is>
          <t>Convención de nombre de la columna.</t>
        </is>
      </c>
      <c r="U2391" s="18" t="inlineStr"/>
      <c r="V2391" s="19" t="inlineStr">
        <is>
          <t>Pendiente</t>
        </is>
      </c>
      <c r="W2391" s="19" t="inlineStr"/>
      <c r="X2391" s="19" t="inlineStr"/>
      <c r="Y2391" s="20" t="n"/>
      <c r="Z2391" s="19" t="inlineStr"/>
      <c r="AA2391" s="18">
        <f>IF(OR(V2391="Aprobada"),R2391,IF(AND(OR(V2391="Aprobada con ajuste",V2391="Rechazada"),W2391&lt;&gt;""),W2391,""))</f>
        <v/>
      </c>
    </row>
    <row r="2392">
      <c r="A2392" s="18" t="inlineStr">
        <is>
          <t>C2391</t>
        </is>
      </c>
      <c r="B2392" s="18" t="inlineStr">
        <is>
          <t>Notificaciones</t>
        </is>
      </c>
      <c r="C2392" s="18" t="inlineStr">
        <is>
          <t>notifications</t>
        </is>
      </c>
      <c r="D2392" s="18" t="inlineStr">
        <is>
          <t>notificacion</t>
        </is>
      </c>
      <c r="E2392" s="18" t="n">
        <v>6345</v>
      </c>
      <c r="F2392" s="18" t="inlineStr">
        <is>
          <t>email_abierto</t>
        </is>
      </c>
      <c r="G2392" s="18" t="inlineStr">
        <is>
          <t>boolean</t>
        </is>
      </c>
      <c r="H2392" s="18" t="inlineStr">
        <is>
          <t>No</t>
        </is>
      </c>
      <c r="I2392" s="18" t="inlineStr"/>
      <c r="J2392" s="18" t="inlineStr"/>
      <c r="K2392" s="18" t="inlineStr"/>
      <c r="L2392" s="18" t="inlineStr">
        <is>
          <t>No</t>
        </is>
      </c>
      <c r="M2392" s="18" t="inlineStr">
        <is>
          <t>No</t>
        </is>
      </c>
      <c r="N2392" s="18" t="inlineStr"/>
      <c r="O2392" s="18" t="inlineStr"/>
      <c r="P2392" s="18" t="inlineStr">
        <is>
          <t>Mapeada en notifications-service/src/notifications/entities/notification.entity.ts:77 (Notification.email_abierto)</t>
        </is>
      </c>
      <c r="Q2392" s="18" t="inlineStr">
        <is>
          <t>Regla estructural</t>
        </is>
      </c>
      <c r="R2392" s="18" t="inlineStr">
        <is>
          <t>Indica si aplica: email abierto.</t>
        </is>
      </c>
      <c r="S2392" s="18" t="inlineStr">
        <is>
          <t>Media</t>
        </is>
      </c>
      <c r="T2392" s="18" t="inlineStr">
        <is>
          <t>Convención de nombre de la columna.</t>
        </is>
      </c>
      <c r="U2392" s="18" t="inlineStr"/>
      <c r="V2392" s="19" t="inlineStr">
        <is>
          <t>Pendiente</t>
        </is>
      </c>
      <c r="W2392" s="19" t="inlineStr"/>
      <c r="X2392" s="19" t="inlineStr"/>
      <c r="Y2392" s="20" t="n"/>
      <c r="Z2392" s="19" t="inlineStr"/>
      <c r="AA2392" s="18">
        <f>IF(OR(V2392="Aprobada"),R2392,IF(AND(OR(V2392="Aprobada con ajuste",V2392="Rechazada"),W2392&lt;&gt;""),W2392,""))</f>
        <v/>
      </c>
    </row>
    <row r="2393">
      <c r="A2393" s="18" t="inlineStr">
        <is>
          <t>C2392</t>
        </is>
      </c>
      <c r="B2393" s="18" t="inlineStr">
        <is>
          <t>Notificaciones</t>
        </is>
      </c>
      <c r="C2393" s="18" t="inlineStr">
        <is>
          <t>notifications</t>
        </is>
      </c>
      <c r="D2393" s="18" t="inlineStr">
        <is>
          <t>notificacion</t>
        </is>
      </c>
      <c r="E2393" s="18" t="n">
        <v>6345</v>
      </c>
      <c r="F2393" s="18" t="inlineStr">
        <is>
          <t>email_click</t>
        </is>
      </c>
      <c r="G2393" s="18" t="inlineStr">
        <is>
          <t>boolean</t>
        </is>
      </c>
      <c r="H2393" s="18" t="inlineStr">
        <is>
          <t>No</t>
        </is>
      </c>
      <c r="I2393" s="18" t="inlineStr"/>
      <c r="J2393" s="18" t="inlineStr"/>
      <c r="K2393" s="18" t="inlineStr"/>
      <c r="L2393" s="18" t="inlineStr">
        <is>
          <t>No</t>
        </is>
      </c>
      <c r="M2393" s="18" t="inlineStr">
        <is>
          <t>No</t>
        </is>
      </c>
      <c r="N2393" s="18" t="inlineStr"/>
      <c r="O2393" s="18" t="inlineStr"/>
      <c r="P2393" s="18" t="inlineStr">
        <is>
          <t>Mapeada en notifications-service/src/notifications/entities/notification.entity.ts:80 (Notification.email_click)</t>
        </is>
      </c>
      <c r="Q2393" s="18" t="inlineStr">
        <is>
          <t>Regla estructural</t>
        </is>
      </c>
      <c r="R2393" s="18" t="inlineStr">
        <is>
          <t>Indica si aplica: email click.</t>
        </is>
      </c>
      <c r="S2393" s="18" t="inlineStr">
        <is>
          <t>Media</t>
        </is>
      </c>
      <c r="T2393" s="18" t="inlineStr">
        <is>
          <t>Convención de nombre de la columna.</t>
        </is>
      </c>
      <c r="U2393" s="18" t="inlineStr"/>
      <c r="V2393" s="19" t="inlineStr">
        <is>
          <t>Pendiente</t>
        </is>
      </c>
      <c r="W2393" s="19" t="inlineStr"/>
      <c r="X2393" s="19" t="inlineStr"/>
      <c r="Y2393" s="20" t="n"/>
      <c r="Z2393" s="19" t="inlineStr"/>
      <c r="AA2393" s="18">
        <f>IF(OR(V2393="Aprobada"),R2393,IF(AND(OR(V2393="Aprobada con ajuste",V2393="Rechazada"),W2393&lt;&gt;""),W2393,""))</f>
        <v/>
      </c>
    </row>
    <row r="2394">
      <c r="A2394" s="18" t="inlineStr">
        <is>
          <t>C2393</t>
        </is>
      </c>
      <c r="B2394" s="18" t="inlineStr">
        <is>
          <t>Notificaciones</t>
        </is>
      </c>
      <c r="C2394" s="18" t="inlineStr">
        <is>
          <t>notifications</t>
        </is>
      </c>
      <c r="D2394" s="18" t="inlineStr">
        <is>
          <t>notificacion</t>
        </is>
      </c>
      <c r="E2394" s="18" t="n">
        <v>6345</v>
      </c>
      <c r="F2394" s="18" t="inlineStr">
        <is>
          <t>fecha_envio_email</t>
        </is>
      </c>
      <c r="G2394" s="18" t="inlineStr">
        <is>
          <t>timestamp with time zone</t>
        </is>
      </c>
      <c r="H2394" s="18" t="inlineStr">
        <is>
          <t>Sí</t>
        </is>
      </c>
      <c r="I2394" s="18" t="inlineStr"/>
      <c r="J2394" s="18" t="inlineStr"/>
      <c r="K2394" s="18" t="inlineStr"/>
      <c r="L2394" s="18" t="inlineStr">
        <is>
          <t>No</t>
        </is>
      </c>
      <c r="M2394" s="18" t="inlineStr">
        <is>
          <t>No</t>
        </is>
      </c>
      <c r="N2394" s="18" t="inlineStr"/>
      <c r="O2394" s="18" t="inlineStr"/>
      <c r="P2394" s="18" t="inlineStr">
        <is>
          <t>Mapeada en notifications-service/src/notifications/entities/notification.entity.ts:83 (Notification.fecha_envio_email)</t>
        </is>
      </c>
      <c r="Q2394" s="18" t="inlineStr">
        <is>
          <t>Regla estructural</t>
        </is>
      </c>
      <c r="R2394" s="18" t="inlineStr">
        <is>
          <t>Fecha de envio email.</t>
        </is>
      </c>
      <c r="S2394" s="18" t="inlineStr">
        <is>
          <t>Media</t>
        </is>
      </c>
      <c r="T2394" s="18" t="inlineStr">
        <is>
          <t>Convención de nombre de la columna.</t>
        </is>
      </c>
      <c r="U2394" s="18" t="inlineStr"/>
      <c r="V2394" s="19" t="inlineStr">
        <is>
          <t>Pendiente</t>
        </is>
      </c>
      <c r="W2394" s="19" t="inlineStr"/>
      <c r="X2394" s="19" t="inlineStr"/>
      <c r="Y2394" s="20" t="n"/>
      <c r="Z2394" s="19" t="inlineStr"/>
      <c r="AA2394" s="18">
        <f>IF(OR(V2394="Aprobada"),R2394,IF(AND(OR(V2394="Aprobada con ajuste",V2394="Rechazada"),W2394&lt;&gt;""),W2394,""))</f>
        <v/>
      </c>
    </row>
    <row r="2395">
      <c r="A2395" s="18" t="inlineStr">
        <is>
          <t>C2394</t>
        </is>
      </c>
      <c r="B2395" s="18" t="inlineStr">
        <is>
          <t>Notificaciones</t>
        </is>
      </c>
      <c r="C2395" s="18" t="inlineStr">
        <is>
          <t>notifications</t>
        </is>
      </c>
      <c r="D2395" s="18" t="inlineStr">
        <is>
          <t>notificacion</t>
        </is>
      </c>
      <c r="E2395" s="18" t="n">
        <v>6345</v>
      </c>
      <c r="F2395" s="18" t="inlineStr">
        <is>
          <t>fecha_apertura_email</t>
        </is>
      </c>
      <c r="G2395" s="18" t="inlineStr">
        <is>
          <t>timestamp with time zone</t>
        </is>
      </c>
      <c r="H2395" s="18" t="inlineStr">
        <is>
          <t>Sí</t>
        </is>
      </c>
      <c r="I2395" s="18" t="inlineStr"/>
      <c r="J2395" s="18" t="inlineStr"/>
      <c r="K2395" s="18" t="inlineStr"/>
      <c r="L2395" s="18" t="inlineStr">
        <is>
          <t>No</t>
        </is>
      </c>
      <c r="M2395" s="18" t="inlineStr">
        <is>
          <t>No</t>
        </is>
      </c>
      <c r="N2395" s="18" t="inlineStr"/>
      <c r="O2395" s="18" t="inlineStr"/>
      <c r="P2395" s="18" t="inlineStr">
        <is>
          <t>Mapeada en notifications-service/src/notifications/entities/notification.entity.ts:86 (Notification.fecha_apertura_email)</t>
        </is>
      </c>
      <c r="Q2395" s="18" t="inlineStr">
        <is>
          <t>Regla estructural</t>
        </is>
      </c>
      <c r="R2395" s="18" t="inlineStr">
        <is>
          <t>Fecha de apertura email.</t>
        </is>
      </c>
      <c r="S2395" s="18" t="inlineStr">
        <is>
          <t>Media</t>
        </is>
      </c>
      <c r="T2395" s="18" t="inlineStr">
        <is>
          <t>Convención de nombre de la columna.</t>
        </is>
      </c>
      <c r="U2395" s="18" t="inlineStr"/>
      <c r="V2395" s="19" t="inlineStr">
        <is>
          <t>Pendiente</t>
        </is>
      </c>
      <c r="W2395" s="19" t="inlineStr"/>
      <c r="X2395" s="19" t="inlineStr"/>
      <c r="Y2395" s="20" t="n"/>
      <c r="Z2395" s="19" t="inlineStr"/>
      <c r="AA2395" s="18">
        <f>IF(OR(V2395="Aprobada"),R2395,IF(AND(OR(V2395="Aprobada con ajuste",V2395="Rechazada"),W2395&lt;&gt;""),W2395,""))</f>
        <v/>
      </c>
    </row>
    <row r="2396">
      <c r="A2396" s="18" t="inlineStr">
        <is>
          <t>C2395</t>
        </is>
      </c>
      <c r="B2396" s="18" t="inlineStr">
        <is>
          <t>Notificaciones</t>
        </is>
      </c>
      <c r="C2396" s="18" t="inlineStr">
        <is>
          <t>notifications</t>
        </is>
      </c>
      <c r="D2396" s="18" t="inlineStr">
        <is>
          <t>notificacion</t>
        </is>
      </c>
      <c r="E2396" s="18" t="n">
        <v>6345</v>
      </c>
      <c r="F2396" s="18" t="inlineStr">
        <is>
          <t>es_favorito</t>
        </is>
      </c>
      <c r="G2396" s="18" t="inlineStr">
        <is>
          <t>boolean</t>
        </is>
      </c>
      <c r="H2396" s="18" t="inlineStr">
        <is>
          <t>No</t>
        </is>
      </c>
      <c r="I2396" s="18" t="inlineStr"/>
      <c r="J2396" s="18" t="inlineStr"/>
      <c r="K2396" s="18" t="inlineStr"/>
      <c r="L2396" s="18" t="inlineStr">
        <is>
          <t>No</t>
        </is>
      </c>
      <c r="M2396" s="18" t="inlineStr">
        <is>
          <t>No</t>
        </is>
      </c>
      <c r="N2396" s="18" t="inlineStr"/>
      <c r="O2396" s="18" t="inlineStr"/>
      <c r="P2396" s="18" t="inlineStr">
        <is>
          <t>Mapeada en notifications-service/src/notifications/entities/notification.entity.ts:47 (Notification.es_favorito)</t>
        </is>
      </c>
      <c r="Q2396" s="18" t="inlineStr">
        <is>
          <t>Regla estructural</t>
        </is>
      </c>
      <c r="R2396" s="18" t="inlineStr">
        <is>
          <t>Indica si aplica: favorito.</t>
        </is>
      </c>
      <c r="S2396" s="18" t="inlineStr">
        <is>
          <t>Media</t>
        </is>
      </c>
      <c r="T2396" s="18" t="inlineStr">
        <is>
          <t>Convención de nombre de la columna.</t>
        </is>
      </c>
      <c r="U2396" s="18" t="inlineStr"/>
      <c r="V2396" s="19" t="inlineStr">
        <is>
          <t>Pendiente</t>
        </is>
      </c>
      <c r="W2396" s="19" t="inlineStr"/>
      <c r="X2396" s="19" t="inlineStr"/>
      <c r="Y2396" s="20" t="n"/>
      <c r="Z2396" s="19" t="inlineStr"/>
      <c r="AA2396" s="18">
        <f>IF(OR(V2396="Aprobada"),R2396,IF(AND(OR(V2396="Aprobada con ajuste",V2396="Rechazada"),W2396&lt;&gt;""),W2396,""))</f>
        <v/>
      </c>
    </row>
    <row r="2397">
      <c r="A2397" s="18" t="inlineStr">
        <is>
          <t>C2396</t>
        </is>
      </c>
      <c r="B2397" s="18" t="inlineStr">
        <is>
          <t>Auditoría y trazabilidad</t>
        </is>
      </c>
      <c r="C2397" s="18" t="inlineStr">
        <is>
          <t>audit</t>
        </is>
      </c>
      <c r="D2397" s="18" t="inlineStr">
        <is>
          <t>request_logs</t>
        </is>
      </c>
      <c r="E2397" s="18" t="n">
        <v>74668</v>
      </c>
      <c r="F2397" s="18" t="inlineStr">
        <is>
          <t>method</t>
        </is>
      </c>
      <c r="G2397" s="18" t="inlineStr">
        <is>
          <t>character varying(10)</t>
        </is>
      </c>
      <c r="H2397" s="18" t="inlineStr">
        <is>
          <t>No</t>
        </is>
      </c>
      <c r="I2397" s="18" t="inlineStr"/>
      <c r="J2397" s="18" t="inlineStr"/>
      <c r="K2397" s="18" t="inlineStr"/>
      <c r="L2397" s="18" t="inlineStr">
        <is>
          <t>No</t>
        </is>
      </c>
      <c r="M2397" s="18" t="inlineStr">
        <is>
          <t>Sí</t>
        </is>
      </c>
      <c r="N2397" s="18" t="inlineStr">
        <is>
          <t>Vista audit.request_logs_stats</t>
        </is>
      </c>
      <c r="O2397" s="18" t="inlineStr">
        <is>
          <t>idx_request_logs_method</t>
        </is>
      </c>
      <c r="P2397" s="18" t="inlineStr">
        <is>
          <t>audit-service/src/audit/entities/request-log.entity.ts:21: GET, POST, PUT, DELETE, PATCH | Validación: IsOptional, IsString</t>
        </is>
      </c>
      <c r="Q2397" s="18" t="inlineStr">
        <is>
          <t>Código fuente</t>
        </is>
      </c>
      <c r="R2397" s="18" t="inlineStr">
        <is>
          <t>Método HTTP de la petición registrada, por ejemplo GET, POST, PUT, DELETE o PATCH.</t>
        </is>
      </c>
      <c r="S2397" s="18" t="inlineStr">
        <is>
          <t>Alta</t>
        </is>
      </c>
      <c r="T2397" s="18" t="inlineStr">
        <is>
          <t>código: audit-service/src/audit/entities/request-log.entity.ts:21</t>
        </is>
      </c>
      <c r="U2397" s="18" t="inlineStr"/>
      <c r="V2397" s="19" t="inlineStr">
        <is>
          <t>Pendiente</t>
        </is>
      </c>
      <c r="W2397" s="19" t="inlineStr"/>
      <c r="X2397" s="19" t="inlineStr"/>
      <c r="Y2397" s="20" t="n"/>
      <c r="Z2397" s="19" t="inlineStr"/>
      <c r="AA2397" s="18">
        <f>IF(OR(V2397="Aprobada"),R2397,IF(AND(OR(V2397="Aprobada con ajuste",V2397="Rechazada"),W2397&lt;&gt;""),W2397,""))</f>
        <v/>
      </c>
    </row>
    <row r="2398">
      <c r="A2398" s="18" t="inlineStr">
        <is>
          <t>C2397</t>
        </is>
      </c>
      <c r="B2398" s="18" t="inlineStr">
        <is>
          <t>Auditoría y trazabilidad</t>
        </is>
      </c>
      <c r="C2398" s="18" t="inlineStr">
        <is>
          <t>audit</t>
        </is>
      </c>
      <c r="D2398" s="18" t="inlineStr">
        <is>
          <t>request_logs</t>
        </is>
      </c>
      <c r="E2398" s="18" t="n">
        <v>74668</v>
      </c>
      <c r="F2398" s="18" t="inlineStr">
        <is>
          <t>url</t>
        </is>
      </c>
      <c r="G2398" s="18" t="inlineStr">
        <is>
          <t>text</t>
        </is>
      </c>
      <c r="H2398" s="18" t="inlineStr">
        <is>
          <t>No</t>
        </is>
      </c>
      <c r="I2398" s="18" t="inlineStr"/>
      <c r="J2398" s="18" t="inlineStr"/>
      <c r="K2398" s="18" t="inlineStr"/>
      <c r="L2398" s="18" t="inlineStr">
        <is>
          <t>No</t>
        </is>
      </c>
      <c r="M2398" s="18" t="inlineStr">
        <is>
          <t>No</t>
        </is>
      </c>
      <c r="N2398" s="18" t="inlineStr"/>
      <c r="O2398" s="18" t="inlineStr"/>
      <c r="P2398" s="18" t="inlineStr">
        <is>
          <t>Mapeada en audit-service/src/audit/entities/request-log.entity.ts:24 (RequestLog.url) | Validación: IsString</t>
        </is>
      </c>
      <c r="Q2398" s="18" t="inlineStr">
        <is>
          <t>Regla estructural</t>
        </is>
      </c>
      <c r="R2398" s="18" t="inlineStr">
        <is>
          <t>Dirección web (URL).</t>
        </is>
      </c>
      <c r="S2398" s="18" t="inlineStr">
        <is>
          <t>Media</t>
        </is>
      </c>
      <c r="T2398" s="18" t="inlineStr">
        <is>
          <t>Convención de nombre de la columna.</t>
        </is>
      </c>
      <c r="U2398" s="18" t="inlineStr"/>
      <c r="V2398" s="19" t="inlineStr">
        <is>
          <t>Pendiente</t>
        </is>
      </c>
      <c r="W2398" s="19" t="inlineStr"/>
      <c r="X2398" s="19" t="inlineStr"/>
      <c r="Y2398" s="20" t="n"/>
      <c r="Z2398" s="19" t="inlineStr"/>
      <c r="AA2398" s="18">
        <f>IF(OR(V2398="Aprobada"),R2398,IF(AND(OR(V2398="Aprobada con ajuste",V2398="Rechazada"),W2398&lt;&gt;""),W2398,""))</f>
        <v/>
      </c>
    </row>
    <row r="2399">
      <c r="A2399" s="18" t="inlineStr">
        <is>
          <t>C2398</t>
        </is>
      </c>
      <c r="B2399" s="18" t="inlineStr">
        <is>
          <t>Auditoría y trazabilidad</t>
        </is>
      </c>
      <c r="C2399" s="18" t="inlineStr">
        <is>
          <t>audit</t>
        </is>
      </c>
      <c r="D2399" s="18" t="inlineStr">
        <is>
          <t>request_logs</t>
        </is>
      </c>
      <c r="E2399" s="18" t="n">
        <v>74668</v>
      </c>
      <c r="F2399" s="18" t="inlineStr">
        <is>
          <t>path</t>
        </is>
      </c>
      <c r="G2399" s="18" t="inlineStr">
        <is>
          <t>text</t>
        </is>
      </c>
      <c r="H2399" s="18" t="inlineStr">
        <is>
          <t>No</t>
        </is>
      </c>
      <c r="I2399" s="18" t="inlineStr"/>
      <c r="J2399" s="18" t="inlineStr"/>
      <c r="K2399" s="18" t="inlineStr"/>
      <c r="L2399" s="18" t="inlineStr">
        <is>
          <t>No</t>
        </is>
      </c>
      <c r="M2399" s="18" t="inlineStr">
        <is>
          <t>No</t>
        </is>
      </c>
      <c r="N2399" s="18" t="inlineStr"/>
      <c r="O2399" s="18" t="inlineStr"/>
      <c r="P2399" s="18" t="inlineStr">
        <is>
          <t>Mapeada en audit-service/src/audit/entities/request-log.entity.ts:27 (RequestLog.path) | Validación: IsString</t>
        </is>
      </c>
      <c r="Q2399" s="18" t="inlineStr">
        <is>
          <t>Propuesta semántica</t>
        </is>
      </c>
      <c r="R2399" s="18" t="inlineStr">
        <is>
          <t>Ruta de la URL solicitada, sin el dominio ni los parámetros de consulta.</t>
        </is>
      </c>
      <c r="S2399" s="18" t="inlineStr">
        <is>
          <t>Alta</t>
        </is>
      </c>
      <c r="T2399" s="18" t="inlineStr">
        <is>
          <t>nombre + tipo + columnas vecinas (url, query_params)</t>
        </is>
      </c>
      <c r="U2399" s="18" t="inlineStr"/>
      <c r="V2399" s="19" t="inlineStr">
        <is>
          <t>Pendiente</t>
        </is>
      </c>
      <c r="W2399" s="19" t="inlineStr"/>
      <c r="X2399" s="19" t="inlineStr"/>
      <c r="Y2399" s="20" t="n"/>
      <c r="Z2399" s="19" t="inlineStr"/>
      <c r="AA2399" s="18">
        <f>IF(OR(V2399="Aprobada"),R2399,IF(AND(OR(V2399="Aprobada con ajuste",V2399="Rechazada"),W2399&lt;&gt;""),W2399,""))</f>
        <v/>
      </c>
    </row>
    <row r="2400">
      <c r="A2400" s="18" t="inlineStr">
        <is>
          <t>C2399</t>
        </is>
      </c>
      <c r="B2400" s="18" t="inlineStr">
        <is>
          <t>Auditoría y trazabilidad</t>
        </is>
      </c>
      <c r="C2400" s="18" t="inlineStr">
        <is>
          <t>audit</t>
        </is>
      </c>
      <c r="D2400" s="18" t="inlineStr">
        <is>
          <t>request_logs</t>
        </is>
      </c>
      <c r="E2400" s="18" t="n">
        <v>74668</v>
      </c>
      <c r="F2400" s="18" t="inlineStr">
        <is>
          <t>query_params</t>
        </is>
      </c>
      <c r="G2400" s="18" t="inlineStr">
        <is>
          <t>jsonb</t>
        </is>
      </c>
      <c r="H2400" s="18" t="inlineStr">
        <is>
          <t>Sí</t>
        </is>
      </c>
      <c r="I2400" s="18" t="inlineStr"/>
      <c r="J2400" s="18" t="inlineStr"/>
      <c r="K2400" s="18" t="inlineStr"/>
      <c r="L2400" s="18" t="inlineStr">
        <is>
          <t>No</t>
        </is>
      </c>
      <c r="M2400" s="18" t="inlineStr">
        <is>
          <t>No</t>
        </is>
      </c>
      <c r="N2400" s="18" t="inlineStr"/>
      <c r="O2400" s="18" t="inlineStr">
        <is>
          <t>idx_request_logs_query_params</t>
        </is>
      </c>
      <c r="P2400" s="18" t="inlineStr">
        <is>
          <t>Mapeada en audit-service/src/audit/entities/request-log.entity.ts:30 (RequestLog.queryParams) | Validación: IsObject, IsOptional</t>
        </is>
      </c>
      <c r="Q2400" s="18" t="inlineStr">
        <is>
          <t>Propuesta semántica</t>
        </is>
      </c>
      <c r="R2400" s="18" t="inlineStr">
        <is>
          <t>Parámetros de consulta de la petición, en formato JSON.</t>
        </is>
      </c>
      <c r="S2400" s="18" t="inlineStr">
        <is>
          <t>Alta</t>
        </is>
      </c>
      <c r="T2400" s="18" t="inlineStr">
        <is>
          <t>nombre + tipo + columnas vecinas</t>
        </is>
      </c>
      <c r="U2400" s="18" t="inlineStr"/>
      <c r="V2400" s="19" t="inlineStr">
        <is>
          <t>Pendiente</t>
        </is>
      </c>
      <c r="W2400" s="19" t="inlineStr"/>
      <c r="X2400" s="19" t="inlineStr"/>
      <c r="Y2400" s="20" t="n"/>
      <c r="Z2400" s="19" t="inlineStr"/>
      <c r="AA2400" s="18">
        <f>IF(OR(V2400="Aprobada"),R2400,IF(AND(OR(V2400="Aprobada con ajuste",V2400="Rechazada"),W2400&lt;&gt;""),W2400,""))</f>
        <v/>
      </c>
    </row>
    <row r="2401">
      <c r="A2401" s="18" t="inlineStr">
        <is>
          <t>C2400</t>
        </is>
      </c>
      <c r="B2401" s="18" t="inlineStr">
        <is>
          <t>Auditoría y trazabilidad</t>
        </is>
      </c>
      <c r="C2401" s="18" t="inlineStr">
        <is>
          <t>audit</t>
        </is>
      </c>
      <c r="D2401" s="18" t="inlineStr">
        <is>
          <t>request_logs</t>
        </is>
      </c>
      <c r="E2401" s="18" t="n">
        <v>74668</v>
      </c>
      <c r="F2401" s="18" t="inlineStr">
        <is>
          <t>version</t>
        </is>
      </c>
      <c r="G2401" s="18" t="inlineStr">
        <is>
          <t>character varying(10)</t>
        </is>
      </c>
      <c r="H2401" s="18" t="inlineStr">
        <is>
          <t>Sí</t>
        </is>
      </c>
      <c r="I2401" s="18" t="inlineStr"/>
      <c r="J2401" s="18" t="inlineStr"/>
      <c r="K2401" s="18" t="inlineStr"/>
      <c r="L2401" s="18" t="inlineStr">
        <is>
          <t>No</t>
        </is>
      </c>
      <c r="M2401" s="18" t="inlineStr">
        <is>
          <t>No</t>
        </is>
      </c>
      <c r="N2401" s="18" t="inlineStr"/>
      <c r="O2401" s="18" t="inlineStr"/>
      <c r="P2401" s="18" t="inlineStr">
        <is>
          <t>Mapeada en audit-service/src/audit/entities/request-log.entity.ts:42 (RequestLog.version) | Validación: IsOptional, IsString</t>
        </is>
      </c>
      <c r="Q2401" s="18" t="inlineStr">
        <is>
          <t>Regla estructural</t>
        </is>
      </c>
      <c r="R2401" s="18" t="inlineStr">
        <is>
          <t>Número de versión del registro.</t>
        </is>
      </c>
      <c r="S2401" s="18" t="inlineStr">
        <is>
          <t>Media</t>
        </is>
      </c>
      <c r="T2401" s="18" t="inlineStr">
        <is>
          <t>Convención de nombre de la columna.</t>
        </is>
      </c>
      <c r="U2401" s="18" t="inlineStr"/>
      <c r="V2401" s="19" t="inlineStr">
        <is>
          <t>Pendiente</t>
        </is>
      </c>
      <c r="W2401" s="19" t="inlineStr"/>
      <c r="X2401" s="19" t="inlineStr"/>
      <c r="Y2401" s="20" t="n"/>
      <c r="Z2401" s="19" t="inlineStr"/>
      <c r="AA2401" s="18">
        <f>IF(OR(V2401="Aprobada"),R2401,IF(AND(OR(V2401="Aprobada con ajuste",V2401="Rechazada"),W2401&lt;&gt;""),W2401,""))</f>
        <v/>
      </c>
    </row>
    <row r="2402">
      <c r="A2402" s="18" t="inlineStr">
        <is>
          <t>C2401</t>
        </is>
      </c>
      <c r="B2402" s="18" t="inlineStr">
        <is>
          <t>Auditoría y trazabilidad</t>
        </is>
      </c>
      <c r="C2402" s="18" t="inlineStr">
        <is>
          <t>audit</t>
        </is>
      </c>
      <c r="D2402" s="18" t="inlineStr">
        <is>
          <t>request_logs</t>
        </is>
      </c>
      <c r="E2402" s="18" t="n">
        <v>74668</v>
      </c>
      <c r="F2402" s="18" t="inlineStr">
        <is>
          <t>ip_address</t>
        </is>
      </c>
      <c r="G2402" s="18" t="inlineStr">
        <is>
          <t>character varying(45)</t>
        </is>
      </c>
      <c r="H2402" s="18" t="inlineStr">
        <is>
          <t>Sí</t>
        </is>
      </c>
      <c r="I2402" s="18" t="inlineStr"/>
      <c r="J2402" s="18" t="inlineStr"/>
      <c r="K2402" s="18" t="inlineStr"/>
      <c r="L2402" s="18" t="inlineStr">
        <is>
          <t>No</t>
        </is>
      </c>
      <c r="M2402" s="18" t="inlineStr">
        <is>
          <t>No</t>
        </is>
      </c>
      <c r="N2402" s="18" t="inlineStr"/>
      <c r="O2402" s="18" t="inlineStr">
        <is>
          <t>idx_request_logs_ip</t>
        </is>
      </c>
      <c r="P2402" s="18" t="inlineStr">
        <is>
          <t>Mapeada en audit-service/src/audit/entities/request-log.entity.ts:45 (RequestLog.ipAddress) | Validación: IsOptional, IsString</t>
        </is>
      </c>
      <c r="Q2402" s="18" t="inlineStr">
        <is>
          <t>Propuesta semántica</t>
        </is>
      </c>
      <c r="R2402" s="18" t="inlineStr">
        <is>
          <t>Dirección IP (IPv4 o IPv6) desde la que se hizo la petición.</t>
        </is>
      </c>
      <c r="S2402" s="18" t="inlineStr">
        <is>
          <t>Alta</t>
        </is>
      </c>
      <c r="T2402" s="18" t="inlineStr">
        <is>
          <t>nombre + tipo + columnas vecinas (varchar(45))</t>
        </is>
      </c>
      <c r="U2402" s="18" t="inlineStr"/>
      <c r="V2402" s="19" t="inlineStr">
        <is>
          <t>Pendiente</t>
        </is>
      </c>
      <c r="W2402" s="19" t="inlineStr"/>
      <c r="X2402" s="19" t="inlineStr"/>
      <c r="Y2402" s="20" t="n"/>
      <c r="Z2402" s="19" t="inlineStr"/>
      <c r="AA2402" s="18">
        <f>IF(OR(V2402="Aprobada"),R2402,IF(AND(OR(V2402="Aprobada con ajuste",V2402="Rechazada"),W2402&lt;&gt;""),W2402,""))</f>
        <v/>
      </c>
    </row>
    <row r="2403">
      <c r="A2403" s="18" t="inlineStr">
        <is>
          <t>C2402</t>
        </is>
      </c>
      <c r="B2403" s="18" t="inlineStr">
        <is>
          <t>Auditoría y trazabilidad</t>
        </is>
      </c>
      <c r="C2403" s="18" t="inlineStr">
        <is>
          <t>audit</t>
        </is>
      </c>
      <c r="D2403" s="18" t="inlineStr">
        <is>
          <t>request_logs</t>
        </is>
      </c>
      <c r="E2403" s="18" t="n">
        <v>74668</v>
      </c>
      <c r="F2403" s="18" t="inlineStr">
        <is>
          <t>user_agent</t>
        </is>
      </c>
      <c r="G2403" s="18" t="inlineStr">
        <is>
          <t>text</t>
        </is>
      </c>
      <c r="H2403" s="18" t="inlineStr">
        <is>
          <t>Sí</t>
        </is>
      </c>
      <c r="I2403" s="18" t="inlineStr"/>
      <c r="J2403" s="18" t="inlineStr"/>
      <c r="K2403" s="18" t="inlineStr"/>
      <c r="L2403" s="18" t="inlineStr">
        <is>
          <t>No</t>
        </is>
      </c>
      <c r="M2403" s="18" t="inlineStr">
        <is>
          <t>No</t>
        </is>
      </c>
      <c r="N2403" s="18" t="inlineStr"/>
      <c r="O2403" s="18" t="inlineStr"/>
      <c r="P2403" s="18" t="inlineStr">
        <is>
          <t>Mapeada en audit-service/src/audit/entities/request-log.entity.ts:48 (RequestLog.userAgent) | Validación: IsOptional, IsString</t>
        </is>
      </c>
      <c r="Q2403" s="18" t="inlineStr">
        <is>
          <t>Regla estructural</t>
        </is>
      </c>
      <c r="R2403" s="18" t="inlineStr">
        <is>
          <t>Agente de usuario (navegador) registrado.</t>
        </is>
      </c>
      <c r="S2403" s="18" t="inlineStr">
        <is>
          <t>Media</t>
        </is>
      </c>
      <c r="T2403" s="18" t="inlineStr">
        <is>
          <t>Convención de nombre de la columna.</t>
        </is>
      </c>
      <c r="U2403" s="18" t="inlineStr"/>
      <c r="V2403" s="19" t="inlineStr">
        <is>
          <t>Pendiente</t>
        </is>
      </c>
      <c r="W2403" s="19" t="inlineStr"/>
      <c r="X2403" s="19" t="inlineStr"/>
      <c r="Y2403" s="20" t="n"/>
      <c r="Z2403" s="19" t="inlineStr"/>
      <c r="AA2403" s="18">
        <f>IF(OR(V2403="Aprobada"),R2403,IF(AND(OR(V2403="Aprobada con ajuste",V2403="Rechazada"),W2403&lt;&gt;""),W2403,""))</f>
        <v/>
      </c>
    </row>
    <row r="2404">
      <c r="A2404" s="18" t="inlineStr">
        <is>
          <t>C2403</t>
        </is>
      </c>
      <c r="B2404" s="18" t="inlineStr">
        <is>
          <t>Auditoría y trazabilidad</t>
        </is>
      </c>
      <c r="C2404" s="18" t="inlineStr">
        <is>
          <t>audit</t>
        </is>
      </c>
      <c r="D2404" s="18" t="inlineStr">
        <is>
          <t>request_logs</t>
        </is>
      </c>
      <c r="E2404" s="18" t="n">
        <v>74668</v>
      </c>
      <c r="F2404" s="18" t="inlineStr">
        <is>
          <t>origin</t>
        </is>
      </c>
      <c r="G2404" s="18" t="inlineStr">
        <is>
          <t>text</t>
        </is>
      </c>
      <c r="H2404" s="18" t="inlineStr">
        <is>
          <t>Sí</t>
        </is>
      </c>
      <c r="I2404" s="18" t="inlineStr"/>
      <c r="J2404" s="18" t="inlineStr"/>
      <c r="K2404" s="18" t="inlineStr"/>
      <c r="L2404" s="18" t="inlineStr">
        <is>
          <t>No</t>
        </is>
      </c>
      <c r="M2404" s="18" t="inlineStr">
        <is>
          <t>No</t>
        </is>
      </c>
      <c r="N2404" s="18" t="inlineStr"/>
      <c r="O2404" s="18" t="inlineStr"/>
      <c r="P2404" s="18" t="inlineStr">
        <is>
          <t>Mapeada en audit-service/src/audit/entities/request-log.entity.ts:51 (RequestLog.origin) | Validación: IsOptional, IsString</t>
        </is>
      </c>
      <c r="Q2404" s="18" t="inlineStr">
        <is>
          <t>Propuesta semántica</t>
        </is>
      </c>
      <c r="R2404" s="18" t="inlineStr">
        <is>
          <t>Valor del encabezado HTTP Origin de la petición.</t>
        </is>
      </c>
      <c r="S2404" s="18" t="inlineStr">
        <is>
          <t>Alta</t>
        </is>
      </c>
      <c r="T2404" s="18" t="inlineStr">
        <is>
          <t>nombre + tipo + columnas vecinas</t>
        </is>
      </c>
      <c r="U2404" s="18" t="inlineStr"/>
      <c r="V2404" s="19" t="inlineStr">
        <is>
          <t>Pendiente</t>
        </is>
      </c>
      <c r="W2404" s="19" t="inlineStr"/>
      <c r="X2404" s="19" t="inlineStr"/>
      <c r="Y2404" s="20" t="n"/>
      <c r="Z2404" s="19" t="inlineStr"/>
      <c r="AA2404" s="18">
        <f>IF(OR(V2404="Aprobada"),R2404,IF(AND(OR(V2404="Aprobada con ajuste",V2404="Rechazada"),W2404&lt;&gt;""),W2404,""))</f>
        <v/>
      </c>
    </row>
    <row r="2405">
      <c r="A2405" s="18" t="inlineStr">
        <is>
          <t>C2404</t>
        </is>
      </c>
      <c r="B2405" s="18" t="inlineStr">
        <is>
          <t>Auditoría y trazabilidad</t>
        </is>
      </c>
      <c r="C2405" s="18" t="inlineStr">
        <is>
          <t>audit</t>
        </is>
      </c>
      <c r="D2405" s="18" t="inlineStr">
        <is>
          <t>request_logs</t>
        </is>
      </c>
      <c r="E2405" s="18" t="n">
        <v>74668</v>
      </c>
      <c r="F2405" s="18" t="inlineStr">
        <is>
          <t>referer</t>
        </is>
      </c>
      <c r="G2405" s="18" t="inlineStr">
        <is>
          <t>text</t>
        </is>
      </c>
      <c r="H2405" s="18" t="inlineStr">
        <is>
          <t>Sí</t>
        </is>
      </c>
      <c r="I2405" s="18" t="inlineStr"/>
      <c r="J2405" s="18" t="inlineStr"/>
      <c r="K2405" s="18" t="inlineStr"/>
      <c r="L2405" s="18" t="inlineStr">
        <is>
          <t>No</t>
        </is>
      </c>
      <c r="M2405" s="18" t="inlineStr">
        <is>
          <t>No</t>
        </is>
      </c>
      <c r="N2405" s="18" t="inlineStr"/>
      <c r="O2405" s="18" t="inlineStr"/>
      <c r="P2405" s="18" t="inlineStr">
        <is>
          <t>Mapeada en audit-service/src/audit/entities/request-log.entity.ts:54 (RequestLog.referer) | Validación: IsOptional, IsString</t>
        </is>
      </c>
      <c r="Q2405" s="18" t="inlineStr">
        <is>
          <t>Propuesta semántica</t>
        </is>
      </c>
      <c r="R2405" s="18" t="inlineStr">
        <is>
          <t>Valor del encabezado HTTP Referer de la petición.</t>
        </is>
      </c>
      <c r="S2405" s="18" t="inlineStr">
        <is>
          <t>Alta</t>
        </is>
      </c>
      <c r="T2405" s="18" t="inlineStr">
        <is>
          <t>nombre + tipo + columnas vecinas</t>
        </is>
      </c>
      <c r="U2405" s="18" t="inlineStr"/>
      <c r="V2405" s="19" t="inlineStr">
        <is>
          <t>Pendiente</t>
        </is>
      </c>
      <c r="W2405" s="19" t="inlineStr"/>
      <c r="X2405" s="19" t="inlineStr"/>
      <c r="Y2405" s="20" t="n"/>
      <c r="Z2405" s="19" t="inlineStr"/>
      <c r="AA2405" s="18">
        <f>IF(OR(V2405="Aprobada"),R2405,IF(AND(OR(V2405="Aprobada con ajuste",V2405="Rechazada"),W2405&lt;&gt;""),W2405,""))</f>
        <v/>
      </c>
    </row>
    <row r="2406">
      <c r="A2406" s="18" t="inlineStr">
        <is>
          <t>C2405</t>
        </is>
      </c>
      <c r="B2406" s="18" t="inlineStr">
        <is>
          <t>Auditoría y trazabilidad</t>
        </is>
      </c>
      <c r="C2406" s="18" t="inlineStr">
        <is>
          <t>audit</t>
        </is>
      </c>
      <c r="D2406" s="18" t="inlineStr">
        <is>
          <t>request_logs</t>
        </is>
      </c>
      <c r="E2406" s="18" t="n">
        <v>74668</v>
      </c>
      <c r="F2406" s="18" t="inlineStr">
        <is>
          <t>user_id</t>
        </is>
      </c>
      <c r="G2406" s="18" t="inlineStr">
        <is>
          <t>bigint</t>
        </is>
      </c>
      <c r="H2406" s="18" t="inlineStr">
        <is>
          <t>Sí</t>
        </is>
      </c>
      <c r="I2406" s="18" t="inlineStr"/>
      <c r="J2406" s="18" t="inlineStr"/>
      <c r="K2406" s="18" t="inlineStr"/>
      <c r="L2406" s="18" t="inlineStr">
        <is>
          <t>No</t>
        </is>
      </c>
      <c r="M2406" s="18" t="inlineStr">
        <is>
          <t>No</t>
        </is>
      </c>
      <c r="N2406" s="18" t="inlineStr"/>
      <c r="O2406" s="18" t="inlineStr">
        <is>
          <t>idx_request_logs_user_id</t>
        </is>
      </c>
      <c r="P2406" s="18" t="inlineStr">
        <is>
          <t>Mapeada en audit-service/src/audit/entities/request-log.entity.ts:57 (RequestLog.userId) | Validación: IsNumber, IsNumber({}, { message: 'userId debe ser un número' }), IsOptional</t>
        </is>
      </c>
      <c r="Q2406" s="18" t="inlineStr">
        <is>
          <t>Propuesta semántica</t>
        </is>
      </c>
      <c r="R2406" s="18" t="inlineStr">
        <is>
          <t>Identificador del usuario autenticado que hizo la petición.</t>
        </is>
      </c>
      <c r="S2406" s="18" t="inlineStr">
        <is>
          <t>Media</t>
        </is>
      </c>
      <c r="T2406" s="18" t="inlineStr">
        <is>
          <t>nombre + tipo + columnas vecinas + validaciones</t>
        </is>
      </c>
      <c r="U2406" s="18" t="inlineStr">
        <is>
          <t>¿user_id corresponde a auth."user".id_user?</t>
        </is>
      </c>
      <c r="V2406" s="19" t="inlineStr">
        <is>
          <t>Pendiente</t>
        </is>
      </c>
      <c r="W2406" s="19" t="inlineStr"/>
      <c r="X2406" s="19" t="inlineStr"/>
      <c r="Y2406" s="20" t="n"/>
      <c r="Z2406" s="19" t="inlineStr"/>
      <c r="AA2406" s="18">
        <f>IF(OR(V2406="Aprobada"),R2406,IF(AND(OR(V2406="Aprobada con ajuste",V2406="Rechazada"),W2406&lt;&gt;""),W2406,""))</f>
        <v/>
      </c>
    </row>
    <row r="2407">
      <c r="A2407" s="18" t="inlineStr">
        <is>
          <t>C2406</t>
        </is>
      </c>
      <c r="B2407" s="18" t="inlineStr">
        <is>
          <t>Auditoría y trazabilidad</t>
        </is>
      </c>
      <c r="C2407" s="18" t="inlineStr">
        <is>
          <t>audit</t>
        </is>
      </c>
      <c r="D2407" s="18" t="inlineStr">
        <is>
          <t>request_logs</t>
        </is>
      </c>
      <c r="E2407" s="18" t="n">
        <v>74668</v>
      </c>
      <c r="F2407" s="18" t="inlineStr">
        <is>
          <t>user_email</t>
        </is>
      </c>
      <c r="G2407" s="18" t="inlineStr">
        <is>
          <t>character varying(255)</t>
        </is>
      </c>
      <c r="H2407" s="18" t="inlineStr">
        <is>
          <t>Sí</t>
        </is>
      </c>
      <c r="I2407" s="18" t="inlineStr"/>
      <c r="J2407" s="18" t="inlineStr"/>
      <c r="K2407" s="18" t="inlineStr"/>
      <c r="L2407" s="18" t="inlineStr">
        <is>
          <t>No</t>
        </is>
      </c>
      <c r="M2407" s="18" t="inlineStr">
        <is>
          <t>No</t>
        </is>
      </c>
      <c r="N2407" s="18" t="inlineStr"/>
      <c r="O2407" s="18" t="inlineStr"/>
      <c r="P2407" s="18" t="inlineStr">
        <is>
          <t>Mapeada en audit-service/src/audit/entities/request-log.entity.ts:60 (RequestLog.userEmail) | Validación: IsOptional, IsString</t>
        </is>
      </c>
      <c r="Q2407" s="18" t="inlineStr">
        <is>
          <t>Propuesta semántica</t>
        </is>
      </c>
      <c r="R2407" s="18" t="inlineStr">
        <is>
          <t>Correo electrónico del usuario autenticado que hizo la petición.</t>
        </is>
      </c>
      <c r="S2407" s="18" t="inlineStr">
        <is>
          <t>Alta</t>
        </is>
      </c>
      <c r="T2407" s="18" t="inlineStr">
        <is>
          <t>nombre + tipo + columnas vecinas</t>
        </is>
      </c>
      <c r="U2407" s="18" t="inlineStr"/>
      <c r="V2407" s="19" t="inlineStr">
        <is>
          <t>Pendiente</t>
        </is>
      </c>
      <c r="W2407" s="19" t="inlineStr"/>
      <c r="X2407" s="19" t="inlineStr"/>
      <c r="Y2407" s="20" t="n"/>
      <c r="Z2407" s="19" t="inlineStr"/>
      <c r="AA2407" s="18">
        <f>IF(OR(V2407="Aprobada"),R2407,IF(AND(OR(V2407="Aprobada con ajuste",V2407="Rechazada"),W2407&lt;&gt;""),W2407,""))</f>
        <v/>
      </c>
    </row>
    <row r="2408">
      <c r="A2408" s="18" t="inlineStr">
        <is>
          <t>C2407</t>
        </is>
      </c>
      <c r="B2408" s="18" t="inlineStr">
        <is>
          <t>Auditoría y trazabilidad</t>
        </is>
      </c>
      <c r="C2408" s="18" t="inlineStr">
        <is>
          <t>audit</t>
        </is>
      </c>
      <c r="D2408" s="18" t="inlineStr">
        <is>
          <t>request_logs</t>
        </is>
      </c>
      <c r="E2408" s="18" t="n">
        <v>74668</v>
      </c>
      <c r="F2408" s="18" t="inlineStr">
        <is>
          <t>user_role</t>
        </is>
      </c>
      <c r="G2408" s="18" t="inlineStr">
        <is>
          <t>character varying(100)</t>
        </is>
      </c>
      <c r="H2408" s="18" t="inlineStr">
        <is>
          <t>Sí</t>
        </is>
      </c>
      <c r="I2408" s="18" t="inlineStr"/>
      <c r="J2408" s="18" t="inlineStr"/>
      <c r="K2408" s="18" t="inlineStr"/>
      <c r="L2408" s="18" t="inlineStr">
        <is>
          <t>No</t>
        </is>
      </c>
      <c r="M2408" s="18" t="inlineStr">
        <is>
          <t>No</t>
        </is>
      </c>
      <c r="N2408" s="18" t="inlineStr"/>
      <c r="O2408" s="18" t="inlineStr"/>
      <c r="P2408" s="18" t="inlineStr">
        <is>
          <t>Mapeada en audit-service/src/audit/entities/request-log.entity.ts:63 (RequestLog.userRole) | Validación: IsOptional, IsString</t>
        </is>
      </c>
      <c r="Q2408" s="18" t="inlineStr">
        <is>
          <t>Propuesta semántica</t>
        </is>
      </c>
      <c r="R2408" s="18" t="inlineStr">
        <is>
          <t>Rol del usuario autenticado al momento de la petición.</t>
        </is>
      </c>
      <c r="S2408" s="18" t="inlineStr">
        <is>
          <t>Alta</t>
        </is>
      </c>
      <c r="T2408" s="18" t="inlineStr">
        <is>
          <t>nombre + tipo + columnas vecinas</t>
        </is>
      </c>
      <c r="U2408" s="18" t="inlineStr"/>
      <c r="V2408" s="19" t="inlineStr">
        <is>
          <t>Pendiente</t>
        </is>
      </c>
      <c r="W2408" s="19" t="inlineStr"/>
      <c r="X2408" s="19" t="inlineStr"/>
      <c r="Y2408" s="20" t="n"/>
      <c r="Z2408" s="19" t="inlineStr"/>
      <c r="AA2408" s="18">
        <f>IF(OR(V2408="Aprobada"),R2408,IF(AND(OR(V2408="Aprobada con ajuste",V2408="Rechazada"),W2408&lt;&gt;""),W2408,""))</f>
        <v/>
      </c>
    </row>
    <row r="2409">
      <c r="A2409" s="18" t="inlineStr">
        <is>
          <t>C2408</t>
        </is>
      </c>
      <c r="B2409" s="18" t="inlineStr">
        <is>
          <t>Auditoría y trazabilidad</t>
        </is>
      </c>
      <c r="C2409" s="18" t="inlineStr">
        <is>
          <t>audit</t>
        </is>
      </c>
      <c r="D2409" s="18" t="inlineStr">
        <is>
          <t>request_logs</t>
        </is>
      </c>
      <c r="E2409" s="18" t="n">
        <v>74668</v>
      </c>
      <c r="F2409" s="18" t="inlineStr">
        <is>
          <t>status_code</t>
        </is>
      </c>
      <c r="G2409" s="18" t="inlineStr">
        <is>
          <t>integer</t>
        </is>
      </c>
      <c r="H2409" s="18" t="inlineStr">
        <is>
          <t>No</t>
        </is>
      </c>
      <c r="I2409" s="18" t="inlineStr"/>
      <c r="J2409" s="18" t="inlineStr"/>
      <c r="K2409" s="18" t="inlineStr"/>
      <c r="L2409" s="18" t="inlineStr">
        <is>
          <t>No</t>
        </is>
      </c>
      <c r="M2409" s="18" t="inlineStr">
        <is>
          <t>Sí</t>
        </is>
      </c>
      <c r="N2409" s="18" t="inlineStr">
        <is>
          <t>Vista audit.request_logs_stats</t>
        </is>
      </c>
      <c r="O2409" s="18" t="inlineStr">
        <is>
          <t>idx_request_logs_module_status, idx_request_logs_status</t>
        </is>
      </c>
      <c r="P2409" s="18" t="inlineStr">
        <is>
          <t>Mapeada en audit-service/src/audit/entities/request-log.entity.ts:66 (RequestLog.statusCode) | Validación: IsNumber, IsNumber({}, { message: 'statusCode debe ser un número' })</t>
        </is>
      </c>
      <c r="Q2409" s="18" t="inlineStr">
        <is>
          <t>Propuesta semántica</t>
        </is>
      </c>
      <c r="R2409" s="18" t="inlineStr">
        <is>
          <t>Código de estado HTTP de la respuesta.</t>
        </is>
      </c>
      <c r="S2409" s="18" t="inlineStr">
        <is>
          <t>Alta</t>
        </is>
      </c>
      <c r="T2409" s="18" t="inlineStr">
        <is>
          <t>nombre + tipo + columnas vecinas</t>
        </is>
      </c>
      <c r="U2409" s="18" t="inlineStr"/>
      <c r="V2409" s="19" t="inlineStr">
        <is>
          <t>Pendiente</t>
        </is>
      </c>
      <c r="W2409" s="19" t="inlineStr"/>
      <c r="X2409" s="19" t="inlineStr"/>
      <c r="Y2409" s="20" t="n"/>
      <c r="Z2409" s="19" t="inlineStr"/>
      <c r="AA2409" s="18">
        <f>IF(OR(V2409="Aprobada"),R2409,IF(AND(OR(V2409="Aprobada con ajuste",V2409="Rechazada"),W2409&lt;&gt;""),W2409,""))</f>
        <v/>
      </c>
    </row>
    <row r="2410">
      <c r="A2410" s="18" t="inlineStr">
        <is>
          <t>C2409</t>
        </is>
      </c>
      <c r="B2410" s="18" t="inlineStr">
        <is>
          <t>Auditoría y trazabilidad</t>
        </is>
      </c>
      <c r="C2410" s="18" t="inlineStr">
        <is>
          <t>audit</t>
        </is>
      </c>
      <c r="D2410" s="18" t="inlineStr">
        <is>
          <t>request_logs</t>
        </is>
      </c>
      <c r="E2410" s="18" t="n">
        <v>74668</v>
      </c>
      <c r="F2410" s="18" t="inlineStr">
        <is>
          <t>response_time_ms</t>
        </is>
      </c>
      <c r="G2410" s="18" t="inlineStr">
        <is>
          <t>integer</t>
        </is>
      </c>
      <c r="H2410" s="18" t="inlineStr">
        <is>
          <t>No</t>
        </is>
      </c>
      <c r="I2410" s="18" t="inlineStr"/>
      <c r="J2410" s="18" t="inlineStr"/>
      <c r="K2410" s="18" t="inlineStr"/>
      <c r="L2410" s="18" t="inlineStr">
        <is>
          <t>No</t>
        </is>
      </c>
      <c r="M2410" s="18" t="inlineStr">
        <is>
          <t>Sí</t>
        </is>
      </c>
      <c r="N2410" s="18" t="inlineStr">
        <is>
          <t>Vista audit.request_logs_stats</t>
        </is>
      </c>
      <c r="O2410" s="18" t="inlineStr"/>
      <c r="P2410" s="18" t="inlineStr">
        <is>
          <t>Mapeada en audit-service/src/audit/entities/request-log.entity.ts:69 (RequestLog.responseTimeMs) | Validación: IsNumber</t>
        </is>
      </c>
      <c r="Q2410" s="18" t="inlineStr">
        <is>
          <t>Propuesta semántica</t>
        </is>
      </c>
      <c r="R2410" s="18" t="inlineStr">
        <is>
          <t>Tiempo de respuesta de la petición, en milisegundos.</t>
        </is>
      </c>
      <c r="S2410" s="18" t="inlineStr">
        <is>
          <t>Alta</t>
        </is>
      </c>
      <c r="T2410" s="18" t="inlineStr">
        <is>
          <t>nombre + tipo + columnas vecinas</t>
        </is>
      </c>
      <c r="U2410" s="18" t="inlineStr"/>
      <c r="V2410" s="19" t="inlineStr">
        <is>
          <t>Pendiente</t>
        </is>
      </c>
      <c r="W2410" s="19" t="inlineStr"/>
      <c r="X2410" s="19" t="inlineStr"/>
      <c r="Y2410" s="20" t="n"/>
      <c r="Z2410" s="19" t="inlineStr"/>
      <c r="AA2410" s="18">
        <f>IF(OR(V2410="Aprobada"),R2410,IF(AND(OR(V2410="Aprobada con ajuste",V2410="Rechazada"),W2410&lt;&gt;""),W2410,""))</f>
        <v/>
      </c>
    </row>
    <row r="2411">
      <c r="A2411" s="18" t="inlineStr">
        <is>
          <t>C2410</t>
        </is>
      </c>
      <c r="B2411" s="18" t="inlineStr">
        <is>
          <t>Auditoría y trazabilidad</t>
        </is>
      </c>
      <c r="C2411" s="18" t="inlineStr">
        <is>
          <t>audit</t>
        </is>
      </c>
      <c r="D2411" s="18" t="inlineStr">
        <is>
          <t>request_logs</t>
        </is>
      </c>
      <c r="E2411" s="18" t="n">
        <v>74668</v>
      </c>
      <c r="F2411" s="18" t="inlineStr">
        <is>
          <t>response_size_bytes</t>
        </is>
      </c>
      <c r="G2411" s="18" t="inlineStr">
        <is>
          <t>integer</t>
        </is>
      </c>
      <c r="H2411" s="18" t="inlineStr">
        <is>
          <t>Sí</t>
        </is>
      </c>
      <c r="I2411" s="18" t="inlineStr"/>
      <c r="J2411" s="18" t="inlineStr"/>
      <c r="K2411" s="18" t="inlineStr"/>
      <c r="L2411" s="18" t="inlineStr">
        <is>
          <t>No</t>
        </is>
      </c>
      <c r="M2411" s="18" t="inlineStr">
        <is>
          <t>No</t>
        </is>
      </c>
      <c r="N2411" s="18" t="inlineStr"/>
      <c r="O2411" s="18" t="inlineStr"/>
      <c r="P2411" s="18" t="inlineStr">
        <is>
          <t>Mapeada en audit-service/src/audit/entities/request-log.entity.ts:72 (RequestLog.responseSizeBytes) | Validación: IsNumber, IsOptional</t>
        </is>
      </c>
      <c r="Q2411" s="18" t="inlineStr">
        <is>
          <t>Propuesta semántica</t>
        </is>
      </c>
      <c r="R2411" s="18" t="inlineStr">
        <is>
          <t>Tamaño de la respuesta, en bytes. Por defecto, 0.</t>
        </is>
      </c>
      <c r="S2411" s="18" t="inlineStr">
        <is>
          <t>Alta</t>
        </is>
      </c>
      <c r="T2411" s="18" t="inlineStr">
        <is>
          <t>nombre + tipo + columnas vecinas</t>
        </is>
      </c>
      <c r="U2411" s="18" t="inlineStr"/>
      <c r="V2411" s="19" t="inlineStr">
        <is>
          <t>Pendiente</t>
        </is>
      </c>
      <c r="W2411" s="19" t="inlineStr"/>
      <c r="X2411" s="19" t="inlineStr"/>
      <c r="Y2411" s="20" t="n"/>
      <c r="Z2411" s="19" t="inlineStr"/>
      <c r="AA2411" s="18">
        <f>IF(OR(V2411="Aprobada"),R2411,IF(AND(OR(V2411="Aprobada con ajuste",V2411="Rechazada"),W2411&lt;&gt;""),W2411,""))</f>
        <v/>
      </c>
    </row>
    <row r="2412">
      <c r="A2412" s="18" t="inlineStr">
        <is>
          <t>C2411</t>
        </is>
      </c>
      <c r="B2412" s="18" t="inlineStr">
        <is>
          <t>Auditoría y trazabilidad</t>
        </is>
      </c>
      <c r="C2412" s="18" t="inlineStr">
        <is>
          <t>audit</t>
        </is>
      </c>
      <c r="D2412" s="18" t="inlineStr">
        <is>
          <t>request_logs</t>
        </is>
      </c>
      <c r="E2412" s="18" t="n">
        <v>74668</v>
      </c>
      <c r="F2412" s="18" t="inlineStr">
        <is>
          <t>request_body</t>
        </is>
      </c>
      <c r="G2412" s="18" t="inlineStr">
        <is>
          <t>jsonb</t>
        </is>
      </c>
      <c r="H2412" s="18" t="inlineStr">
        <is>
          <t>Sí</t>
        </is>
      </c>
      <c r="I2412" s="18" t="inlineStr"/>
      <c r="J2412" s="18" t="inlineStr"/>
      <c r="K2412" s="18" t="inlineStr"/>
      <c r="L2412" s="18" t="inlineStr">
        <is>
          <t>No</t>
        </is>
      </c>
      <c r="M2412" s="18" t="inlineStr">
        <is>
          <t>No</t>
        </is>
      </c>
      <c r="N2412" s="18" t="inlineStr"/>
      <c r="O2412" s="18" t="inlineStr">
        <is>
          <t>idx_request_logs_request_body</t>
        </is>
      </c>
      <c r="P2412" s="18" t="inlineStr">
        <is>
          <t>Mapeada en audit-service/src/audit/entities/request-log.entity.ts:75 (RequestLog.requestBody) | Validación: IsObject, IsOptional</t>
        </is>
      </c>
      <c r="Q2412" s="18" t="inlineStr">
        <is>
          <t>Propuesta semántica</t>
        </is>
      </c>
      <c r="R2412" s="18" t="inlineStr">
        <is>
          <t>Cuerpo de la petición, en formato JSON.</t>
        </is>
      </c>
      <c r="S2412" s="18" t="inlineStr">
        <is>
          <t>Alta</t>
        </is>
      </c>
      <c r="T2412" s="18" t="inlineStr">
        <is>
          <t>nombre + tipo + columnas vecinas (has_large_body)</t>
        </is>
      </c>
      <c r="U2412" s="18" t="inlineStr"/>
      <c r="V2412" s="19" t="inlineStr">
        <is>
          <t>Pendiente</t>
        </is>
      </c>
      <c r="W2412" s="19" t="inlineStr"/>
      <c r="X2412" s="19" t="inlineStr"/>
      <c r="Y2412" s="20" t="n"/>
      <c r="Z2412" s="19" t="inlineStr"/>
      <c r="AA2412" s="18">
        <f>IF(OR(V2412="Aprobada"),R2412,IF(AND(OR(V2412="Aprobada con ajuste",V2412="Rechazada"),W2412&lt;&gt;""),W2412,""))</f>
        <v/>
      </c>
    </row>
    <row r="2413">
      <c r="A2413" s="18" t="inlineStr">
        <is>
          <t>C2412</t>
        </is>
      </c>
      <c r="B2413" s="18" t="inlineStr">
        <is>
          <t>Auditoría y trazabilidad</t>
        </is>
      </c>
      <c r="C2413" s="18" t="inlineStr">
        <is>
          <t>audit</t>
        </is>
      </c>
      <c r="D2413" s="18" t="inlineStr">
        <is>
          <t>request_logs</t>
        </is>
      </c>
      <c r="E2413" s="18" t="n">
        <v>74668</v>
      </c>
      <c r="F2413" s="18" t="inlineStr">
        <is>
          <t>request_body_size</t>
        </is>
      </c>
      <c r="G2413" s="18" t="inlineStr">
        <is>
          <t>integer</t>
        </is>
      </c>
      <c r="H2413" s="18" t="inlineStr">
        <is>
          <t>Sí</t>
        </is>
      </c>
      <c r="I2413" s="18" t="inlineStr"/>
      <c r="J2413" s="18" t="inlineStr"/>
      <c r="K2413" s="18" t="inlineStr"/>
      <c r="L2413" s="18" t="inlineStr">
        <is>
          <t>No</t>
        </is>
      </c>
      <c r="M2413" s="18" t="inlineStr">
        <is>
          <t>No</t>
        </is>
      </c>
      <c r="N2413" s="18" t="inlineStr"/>
      <c r="O2413" s="18" t="inlineStr"/>
      <c r="P2413" s="18" t="inlineStr">
        <is>
          <t>Mapeada en audit-service/src/audit/entities/request-log.entity.ts:78 (RequestLog.requestBodySize) | Validación: IsNumber, IsOptional</t>
        </is>
      </c>
      <c r="Q2413" s="18" t="inlineStr">
        <is>
          <t>Propuesta semántica</t>
        </is>
      </c>
      <c r="R2413" s="18" t="inlineStr">
        <is>
          <t>Tamaño del cuerpo de la petición, en bytes. Por defecto, 0.</t>
        </is>
      </c>
      <c r="S2413" s="18" t="inlineStr">
        <is>
          <t>Alta</t>
        </is>
      </c>
      <c r="T2413" s="18" t="inlineStr">
        <is>
          <t>nombre + tipo + columnas vecinas</t>
        </is>
      </c>
      <c r="U2413" s="18" t="inlineStr"/>
      <c r="V2413" s="19" t="inlineStr">
        <is>
          <t>Pendiente</t>
        </is>
      </c>
      <c r="W2413" s="19" t="inlineStr"/>
      <c r="X2413" s="19" t="inlineStr"/>
      <c r="Y2413" s="20" t="n"/>
      <c r="Z2413" s="19" t="inlineStr"/>
      <c r="AA2413" s="18">
        <f>IF(OR(V2413="Aprobada"),R2413,IF(AND(OR(V2413="Aprobada con ajuste",V2413="Rechazada"),W2413&lt;&gt;""),W2413,""))</f>
        <v/>
      </c>
    </row>
    <row r="2414">
      <c r="A2414" s="18" t="inlineStr">
        <is>
          <t>C2413</t>
        </is>
      </c>
      <c r="B2414" s="18" t="inlineStr">
        <is>
          <t>Auditoría y trazabilidad</t>
        </is>
      </c>
      <c r="C2414" s="18" t="inlineStr">
        <is>
          <t>audit</t>
        </is>
      </c>
      <c r="D2414" s="18" t="inlineStr">
        <is>
          <t>request_logs</t>
        </is>
      </c>
      <c r="E2414" s="18" t="n">
        <v>74668</v>
      </c>
      <c r="F2414" s="18" t="inlineStr">
        <is>
          <t>has_large_body</t>
        </is>
      </c>
      <c r="G2414" s="18" t="inlineStr">
        <is>
          <t>boolean</t>
        </is>
      </c>
      <c r="H2414" s="18" t="inlineStr">
        <is>
          <t>Sí</t>
        </is>
      </c>
      <c r="I2414" s="18" t="inlineStr"/>
      <c r="J2414" s="18" t="inlineStr"/>
      <c r="K2414" s="18" t="inlineStr"/>
      <c r="L2414" s="18" t="inlineStr">
        <is>
          <t>No</t>
        </is>
      </c>
      <c r="M2414" s="18" t="inlineStr">
        <is>
          <t>No</t>
        </is>
      </c>
      <c r="N2414" s="18" t="inlineStr"/>
      <c r="O2414" s="18" t="inlineStr"/>
      <c r="P2414" s="18" t="inlineStr">
        <is>
          <t>Mapeada en audit-service/src/audit/entities/request-log.entity.ts:81 (RequestLog.hasLargeBody)</t>
        </is>
      </c>
      <c r="Q2414" s="18" t="inlineStr">
        <is>
          <t>Regla estructural</t>
        </is>
      </c>
      <c r="R2414" s="18" t="inlineStr">
        <is>
          <t>Indica si aplica: large body.</t>
        </is>
      </c>
      <c r="S2414" s="18" t="inlineStr">
        <is>
          <t>Media</t>
        </is>
      </c>
      <c r="T2414" s="18" t="inlineStr">
        <is>
          <t>Convención de nombre de la columna.</t>
        </is>
      </c>
      <c r="U2414" s="18" t="inlineStr"/>
      <c r="V2414" s="19" t="inlineStr">
        <is>
          <t>Pendiente</t>
        </is>
      </c>
      <c r="W2414" s="19" t="inlineStr"/>
      <c r="X2414" s="19" t="inlineStr"/>
      <c r="Y2414" s="20" t="n"/>
      <c r="Z2414" s="19" t="inlineStr"/>
      <c r="AA2414" s="18">
        <f>IF(OR(V2414="Aprobada"),R2414,IF(AND(OR(V2414="Aprobada con ajuste",V2414="Rechazada"),W2414&lt;&gt;""),W2414,""))</f>
        <v/>
      </c>
    </row>
    <row r="2415">
      <c r="A2415" s="18" t="inlineStr">
        <is>
          <t>C2414</t>
        </is>
      </c>
      <c r="B2415" s="18" t="inlineStr">
        <is>
          <t>Auditoría y trazabilidad</t>
        </is>
      </c>
      <c r="C2415" s="18" t="inlineStr">
        <is>
          <t>audit</t>
        </is>
      </c>
      <c r="D2415" s="18" t="inlineStr">
        <is>
          <t>request_logs</t>
        </is>
      </c>
      <c r="E2415" s="18" t="n">
        <v>74668</v>
      </c>
      <c r="F2415" s="18" t="inlineStr">
        <is>
          <t>response_body</t>
        </is>
      </c>
      <c r="G2415" s="18" t="inlineStr">
        <is>
          <t>jsonb</t>
        </is>
      </c>
      <c r="H2415" s="18" t="inlineStr">
        <is>
          <t>Sí</t>
        </is>
      </c>
      <c r="I2415" s="18" t="inlineStr"/>
      <c r="J2415" s="18" t="inlineStr"/>
      <c r="K2415" s="18" t="inlineStr"/>
      <c r="L2415" s="18" t="inlineStr">
        <is>
          <t>No</t>
        </is>
      </c>
      <c r="M2415" s="18" t="inlineStr">
        <is>
          <t>No</t>
        </is>
      </c>
      <c r="N2415" s="18" t="inlineStr"/>
      <c r="O2415" s="18" t="inlineStr">
        <is>
          <t>idx_request_logs_response_body</t>
        </is>
      </c>
      <c r="P2415" s="18" t="inlineStr">
        <is>
          <t>Mapeada en audit-service/src/audit/entities/request-log.entity.ts:84 (RequestLog.responseBody) | Validación: IsObject, IsOptional</t>
        </is>
      </c>
      <c r="Q2415" s="18" t="inlineStr">
        <is>
          <t>Propuesta semántica</t>
        </is>
      </c>
      <c r="R2415" s="18" t="inlineStr">
        <is>
          <t>Cuerpo de la respuesta, en formato JSON.</t>
        </is>
      </c>
      <c r="S2415" s="18" t="inlineStr">
        <is>
          <t>Alta</t>
        </is>
      </c>
      <c r="T2415" s="18" t="inlineStr">
        <is>
          <t>nombre + tipo + columnas vecinas (has_large_response)</t>
        </is>
      </c>
      <c r="U2415" s="18" t="inlineStr"/>
      <c r="V2415" s="19" t="inlineStr">
        <is>
          <t>Pendiente</t>
        </is>
      </c>
      <c r="W2415" s="19" t="inlineStr"/>
      <c r="X2415" s="19" t="inlineStr"/>
      <c r="Y2415" s="20" t="n"/>
      <c r="Z2415" s="19" t="inlineStr"/>
      <c r="AA2415" s="18">
        <f>IF(OR(V2415="Aprobada"),R2415,IF(AND(OR(V2415="Aprobada con ajuste",V2415="Rechazada"),W2415&lt;&gt;""),W2415,""))</f>
        <v/>
      </c>
    </row>
    <row r="2416">
      <c r="A2416" s="18" t="inlineStr">
        <is>
          <t>C2415</t>
        </is>
      </c>
      <c r="B2416" s="18" t="inlineStr">
        <is>
          <t>Auditoría y trazabilidad</t>
        </is>
      </c>
      <c r="C2416" s="18" t="inlineStr">
        <is>
          <t>audit</t>
        </is>
      </c>
      <c r="D2416" s="18" t="inlineStr">
        <is>
          <t>request_logs</t>
        </is>
      </c>
      <c r="E2416" s="18" t="n">
        <v>74668</v>
      </c>
      <c r="F2416" s="18" t="inlineStr">
        <is>
          <t>response_body_size</t>
        </is>
      </c>
      <c r="G2416" s="18" t="inlineStr">
        <is>
          <t>integer</t>
        </is>
      </c>
      <c r="H2416" s="18" t="inlineStr">
        <is>
          <t>Sí</t>
        </is>
      </c>
      <c r="I2416" s="18" t="inlineStr"/>
      <c r="J2416" s="18" t="inlineStr"/>
      <c r="K2416" s="18" t="inlineStr"/>
      <c r="L2416" s="18" t="inlineStr">
        <is>
          <t>No</t>
        </is>
      </c>
      <c r="M2416" s="18" t="inlineStr">
        <is>
          <t>No</t>
        </is>
      </c>
      <c r="N2416" s="18" t="inlineStr"/>
      <c r="O2416" s="18" t="inlineStr"/>
      <c r="P2416" s="18" t="inlineStr">
        <is>
          <t>Mapeada en audit-service/src/audit/entities/request-log.entity.ts:87 (RequestLog.responseBodySize) | Validación: IsNumber, IsOptional</t>
        </is>
      </c>
      <c r="Q2416" s="18" t="inlineStr">
        <is>
          <t>Propuesta semántica</t>
        </is>
      </c>
      <c r="R2416" s="18" t="inlineStr">
        <is>
          <t>Tamaño del cuerpo de la respuesta, en bytes. Por defecto, 0.</t>
        </is>
      </c>
      <c r="S2416" s="18" t="inlineStr">
        <is>
          <t>Alta</t>
        </is>
      </c>
      <c r="T2416" s="18" t="inlineStr">
        <is>
          <t>nombre + tipo + columnas vecinas</t>
        </is>
      </c>
      <c r="U2416" s="18" t="inlineStr"/>
      <c r="V2416" s="19" t="inlineStr">
        <is>
          <t>Pendiente</t>
        </is>
      </c>
      <c r="W2416" s="19" t="inlineStr"/>
      <c r="X2416" s="19" t="inlineStr"/>
      <c r="Y2416" s="20" t="n"/>
      <c r="Z2416" s="19" t="inlineStr"/>
      <c r="AA2416" s="18">
        <f>IF(OR(V2416="Aprobada"),R2416,IF(AND(OR(V2416="Aprobada con ajuste",V2416="Rechazada"),W2416&lt;&gt;""),W2416,""))</f>
        <v/>
      </c>
    </row>
    <row r="2417">
      <c r="A2417" s="18" t="inlineStr">
        <is>
          <t>C2416</t>
        </is>
      </c>
      <c r="B2417" s="18" t="inlineStr">
        <is>
          <t>Auditoría y trazabilidad</t>
        </is>
      </c>
      <c r="C2417" s="18" t="inlineStr">
        <is>
          <t>audit</t>
        </is>
      </c>
      <c r="D2417" s="18" t="inlineStr">
        <is>
          <t>request_logs</t>
        </is>
      </c>
      <c r="E2417" s="18" t="n">
        <v>74668</v>
      </c>
      <c r="F2417" s="18" t="inlineStr">
        <is>
          <t>has_large_response</t>
        </is>
      </c>
      <c r="G2417" s="18" t="inlineStr">
        <is>
          <t>boolean</t>
        </is>
      </c>
      <c r="H2417" s="18" t="inlineStr">
        <is>
          <t>Sí</t>
        </is>
      </c>
      <c r="I2417" s="18" t="inlineStr"/>
      <c r="J2417" s="18" t="inlineStr"/>
      <c r="K2417" s="18" t="inlineStr"/>
      <c r="L2417" s="18" t="inlineStr">
        <is>
          <t>No</t>
        </is>
      </c>
      <c r="M2417" s="18" t="inlineStr">
        <is>
          <t>No</t>
        </is>
      </c>
      <c r="N2417" s="18" t="inlineStr"/>
      <c r="O2417" s="18" t="inlineStr"/>
      <c r="P2417" s="18" t="inlineStr">
        <is>
          <t>Mapeada en audit-service/src/audit/entities/request-log.entity.ts:90 (RequestLog.hasLargeResponse)</t>
        </is>
      </c>
      <c r="Q2417" s="18" t="inlineStr">
        <is>
          <t>Regla estructural</t>
        </is>
      </c>
      <c r="R2417" s="18" t="inlineStr">
        <is>
          <t>Indica si aplica: large response.</t>
        </is>
      </c>
      <c r="S2417" s="18" t="inlineStr">
        <is>
          <t>Media</t>
        </is>
      </c>
      <c r="T2417" s="18" t="inlineStr">
        <is>
          <t>Convención de nombre de la columna.</t>
        </is>
      </c>
      <c r="U2417" s="18" t="inlineStr"/>
      <c r="V2417" s="19" t="inlineStr">
        <is>
          <t>Pendiente</t>
        </is>
      </c>
      <c r="W2417" s="19" t="inlineStr"/>
      <c r="X2417" s="19" t="inlineStr"/>
      <c r="Y2417" s="20" t="n"/>
      <c r="Z2417" s="19" t="inlineStr"/>
      <c r="AA2417" s="18">
        <f>IF(OR(V2417="Aprobada"),R2417,IF(AND(OR(V2417="Aprobada con ajuste",V2417="Rechazada"),W2417&lt;&gt;""),W2417,""))</f>
        <v/>
      </c>
    </row>
    <row r="2418">
      <c r="A2418" s="18" t="inlineStr">
        <is>
          <t>C2417</t>
        </is>
      </c>
      <c r="B2418" s="18" t="inlineStr">
        <is>
          <t>Auditoría y trazabilidad</t>
        </is>
      </c>
      <c r="C2418" s="18" t="inlineStr">
        <is>
          <t>audit</t>
        </is>
      </c>
      <c r="D2418" s="18" t="inlineStr">
        <is>
          <t>request_logs</t>
        </is>
      </c>
      <c r="E2418" s="18" t="n">
        <v>74668</v>
      </c>
      <c r="F2418" s="18" t="inlineStr">
        <is>
          <t>error_message</t>
        </is>
      </c>
      <c r="G2418" s="18" t="inlineStr">
        <is>
          <t>text</t>
        </is>
      </c>
      <c r="H2418" s="18" t="inlineStr">
        <is>
          <t>Sí</t>
        </is>
      </c>
      <c r="I2418" s="18" t="inlineStr"/>
      <c r="J2418" s="18" t="inlineStr"/>
      <c r="K2418" s="18" t="inlineStr"/>
      <c r="L2418" s="18" t="inlineStr">
        <is>
          <t>No</t>
        </is>
      </c>
      <c r="M2418" s="18" t="inlineStr">
        <is>
          <t>No</t>
        </is>
      </c>
      <c r="N2418" s="18" t="inlineStr"/>
      <c r="O2418" s="18" t="inlineStr"/>
      <c r="P2418" s="18" t="inlineStr">
        <is>
          <t>Mapeada en audit-service/src/audit/entities/request-log.entity.ts:93 (RequestLog.errorMessage) | Validación: IsOptional, IsString</t>
        </is>
      </c>
      <c r="Q2418" s="18" t="inlineStr">
        <is>
          <t>Propuesta semántica</t>
        </is>
      </c>
      <c r="R2418" s="18" t="inlineStr">
        <is>
          <t>Mensaje de error devuelto cuando la petición falla.</t>
        </is>
      </c>
      <c r="S2418" s="18" t="inlineStr">
        <is>
          <t>Alta</t>
        </is>
      </c>
      <c r="T2418" s="18" t="inlineStr">
        <is>
          <t>nombre + tipo + columnas vecinas</t>
        </is>
      </c>
      <c r="U2418" s="18" t="inlineStr"/>
      <c r="V2418" s="19" t="inlineStr">
        <is>
          <t>Pendiente</t>
        </is>
      </c>
      <c r="W2418" s="19" t="inlineStr"/>
      <c r="X2418" s="19" t="inlineStr"/>
      <c r="Y2418" s="20" t="n"/>
      <c r="Z2418" s="19" t="inlineStr"/>
      <c r="AA2418" s="18">
        <f>IF(OR(V2418="Aprobada"),R2418,IF(AND(OR(V2418="Aprobada con ajuste",V2418="Rechazada"),W2418&lt;&gt;""),W2418,""))</f>
        <v/>
      </c>
    </row>
    <row r="2419">
      <c r="A2419" s="18" t="inlineStr">
        <is>
          <t>C2418</t>
        </is>
      </c>
      <c r="B2419" s="18" t="inlineStr">
        <is>
          <t>Auditoría y trazabilidad</t>
        </is>
      </c>
      <c r="C2419" s="18" t="inlineStr">
        <is>
          <t>audit</t>
        </is>
      </c>
      <c r="D2419" s="18" t="inlineStr">
        <is>
          <t>request_logs</t>
        </is>
      </c>
      <c r="E2419" s="18" t="n">
        <v>74668</v>
      </c>
      <c r="F2419" s="18" t="inlineStr">
        <is>
          <t>error_stack</t>
        </is>
      </c>
      <c r="G2419" s="18" t="inlineStr">
        <is>
          <t>text</t>
        </is>
      </c>
      <c r="H2419" s="18" t="inlineStr">
        <is>
          <t>Sí</t>
        </is>
      </c>
      <c r="I2419" s="18" t="inlineStr"/>
      <c r="J2419" s="18" t="inlineStr"/>
      <c r="K2419" s="18" t="inlineStr"/>
      <c r="L2419" s="18" t="inlineStr">
        <is>
          <t>No</t>
        </is>
      </c>
      <c r="M2419" s="18" t="inlineStr">
        <is>
          <t>No</t>
        </is>
      </c>
      <c r="N2419" s="18" t="inlineStr"/>
      <c r="O2419" s="18" t="inlineStr"/>
      <c r="P2419" s="18" t="inlineStr">
        <is>
          <t>Mapeada en audit-service/src/audit/entities/request-log.entity.ts:96 (RequestLog.errorStack) | Validación: IsOptional, IsString</t>
        </is>
      </c>
      <c r="Q2419" s="18" t="inlineStr">
        <is>
          <t>Propuesta semántica</t>
        </is>
      </c>
      <c r="R2419" s="18" t="inlineStr">
        <is>
          <t>Traza de la pila del error cuando la petición falla.</t>
        </is>
      </c>
      <c r="S2419" s="18" t="inlineStr">
        <is>
          <t>Alta</t>
        </is>
      </c>
      <c r="T2419" s="18" t="inlineStr">
        <is>
          <t>nombre + tipo + columnas vecinas</t>
        </is>
      </c>
      <c r="U2419" s="18" t="inlineStr"/>
      <c r="V2419" s="19" t="inlineStr">
        <is>
          <t>Pendiente</t>
        </is>
      </c>
      <c r="W2419" s="19" t="inlineStr"/>
      <c r="X2419" s="19" t="inlineStr"/>
      <c r="Y2419" s="20" t="n"/>
      <c r="Z2419" s="19" t="inlineStr"/>
      <c r="AA2419" s="18">
        <f>IF(OR(V2419="Aprobada"),R2419,IF(AND(OR(V2419="Aprobada con ajuste",V2419="Rechazada"),W2419&lt;&gt;""),W2419,""))</f>
        <v/>
      </c>
    </row>
    <row r="2420">
      <c r="A2420" s="18" t="inlineStr">
        <is>
          <t>C2419</t>
        </is>
      </c>
      <c r="B2420" s="18" t="inlineStr">
        <is>
          <t>Esquema público</t>
        </is>
      </c>
      <c r="C2420" s="18" t="inlineStr">
        <is>
          <t>public</t>
        </is>
      </c>
      <c r="D2420" s="18" t="inlineStr">
        <is>
          <t>config_entes_control</t>
        </is>
      </c>
      <c r="E2420" s="18" t="n">
        <v>4</v>
      </c>
      <c r="F2420" s="18" t="inlineStr">
        <is>
          <t>codigo</t>
        </is>
      </c>
      <c r="G2420" s="18" t="inlineStr">
        <is>
          <t>character varying(50)</t>
        </is>
      </c>
      <c r="H2420" s="18" t="inlineStr">
        <is>
          <t>No</t>
        </is>
      </c>
      <c r="I2420" s="18" t="inlineStr">
        <is>
          <t>Única</t>
        </is>
      </c>
      <c r="J2420" s="18" t="inlineStr"/>
      <c r="K2420" s="18" t="inlineStr"/>
      <c r="L2420" s="18" t="inlineStr">
        <is>
          <t>Sí</t>
        </is>
      </c>
      <c r="M2420" s="18" t="inlineStr">
        <is>
          <t>No</t>
        </is>
      </c>
      <c r="N2420" s="18" t="inlineStr"/>
      <c r="O2420" s="18" t="inlineStr">
        <is>
          <t>config_entes_control_codigo_key</t>
        </is>
      </c>
      <c r="P2420" s="18" t="inlineStr">
        <is>
          <t>db/migrations/005_add_config_entes_control.sql:21: e.g., 'CONTRALORIA', 'PROCURADURIA'</t>
        </is>
      </c>
      <c r="Q2420" s="18" t="inlineStr">
        <is>
          <t>Código fuente</t>
        </is>
      </c>
      <c r="R2420" s="18" t="inlineStr">
        <is>
          <t>Código único del ente de control (por ejemplo, CONTRALORIA, PROCURADURIA).</t>
        </is>
      </c>
      <c r="S2420" s="18" t="inlineStr">
        <is>
          <t>Alta</t>
        </is>
      </c>
      <c r="T2420" s="18" t="inlineStr">
        <is>
          <t>código: db/migrations/005_add_config_entes_control.sql:21 + restricción única</t>
        </is>
      </c>
      <c r="U2420" s="18" t="inlineStr"/>
      <c r="V2420" s="19" t="inlineStr">
        <is>
          <t>Pendiente</t>
        </is>
      </c>
      <c r="W2420" s="19" t="inlineStr"/>
      <c r="X2420" s="19" t="inlineStr"/>
      <c r="Y2420" s="20" t="n"/>
      <c r="Z2420" s="19" t="inlineStr"/>
      <c r="AA2420" s="18">
        <f>IF(OR(V2420="Aprobada"),R2420,IF(AND(OR(V2420="Aprobada con ajuste",V2420="Rechazada"),W2420&lt;&gt;""),W2420,""))</f>
        <v/>
      </c>
    </row>
    <row r="2421">
      <c r="A2421" s="18" t="inlineStr">
        <is>
          <t>C2420</t>
        </is>
      </c>
      <c r="B2421" s="18" t="inlineStr">
        <is>
          <t>Esquema público</t>
        </is>
      </c>
      <c r="C2421" s="18" t="inlineStr">
        <is>
          <t>public</t>
        </is>
      </c>
      <c r="D2421" s="18" t="inlineStr">
        <is>
          <t>config_entes_control</t>
        </is>
      </c>
      <c r="E2421" s="18" t="n">
        <v>4</v>
      </c>
      <c r="F2421" s="18" t="inlineStr">
        <is>
          <t>nombre</t>
        </is>
      </c>
      <c r="G2421" s="18" t="inlineStr">
        <is>
          <t>character varying(255)</t>
        </is>
      </c>
      <c r="H2421" s="18" t="inlineStr">
        <is>
          <t>No</t>
        </is>
      </c>
      <c r="I2421" s="18" t="inlineStr"/>
      <c r="J2421" s="18" t="inlineStr"/>
      <c r="K2421" s="18" t="inlineStr"/>
      <c r="L2421" s="18" t="inlineStr">
        <is>
          <t>Sí</t>
        </is>
      </c>
      <c r="M2421" s="18" t="inlineStr">
        <is>
          <t>No</t>
        </is>
      </c>
      <c r="N2421" s="18" t="inlineStr"/>
      <c r="O2421" s="18" t="inlineStr"/>
      <c r="P2421" s="18" t="inlineStr"/>
      <c r="Q2421" s="18" t="inlineStr">
        <is>
          <t>Regla estructural</t>
        </is>
      </c>
      <c r="R2421" s="18" t="inlineStr">
        <is>
          <t>Nombre del registro de config_entes_control.</t>
        </is>
      </c>
      <c r="S2421" s="18" t="inlineStr">
        <is>
          <t>Media</t>
        </is>
      </c>
      <c r="T2421" s="18" t="inlineStr">
        <is>
          <t>Convención de nombre de la columna.</t>
        </is>
      </c>
      <c r="U2421" s="18" t="inlineStr"/>
      <c r="V2421" s="19" t="inlineStr">
        <is>
          <t>Pendiente</t>
        </is>
      </c>
      <c r="W2421" s="19" t="inlineStr"/>
      <c r="X2421" s="19" t="inlineStr"/>
      <c r="Y2421" s="20" t="n"/>
      <c r="Z2421" s="19" t="inlineStr"/>
      <c r="AA2421" s="18">
        <f>IF(OR(V2421="Aprobada"),R2421,IF(AND(OR(V2421="Aprobada con ajuste",V2421="Rechazada"),W2421&lt;&gt;""),W2421,""))</f>
        <v/>
      </c>
    </row>
    <row r="2422">
      <c r="A2422" s="18" t="inlineStr">
        <is>
          <t>C2421</t>
        </is>
      </c>
      <c r="B2422" s="18" t="inlineStr">
        <is>
          <t>Esquema público</t>
        </is>
      </c>
      <c r="C2422" s="18" t="inlineStr">
        <is>
          <t>public</t>
        </is>
      </c>
      <c r="D2422" s="18" t="inlineStr">
        <is>
          <t>config_entes_control</t>
        </is>
      </c>
      <c r="E2422" s="18" t="n">
        <v>4</v>
      </c>
      <c r="F2422" s="18" t="inlineStr">
        <is>
          <t>descripcion</t>
        </is>
      </c>
      <c r="G2422" s="18" t="inlineStr">
        <is>
          <t>text</t>
        </is>
      </c>
      <c r="H2422" s="18" t="inlineStr">
        <is>
          <t>Sí</t>
        </is>
      </c>
      <c r="I2422" s="18" t="inlineStr"/>
      <c r="J2422" s="18" t="inlineStr"/>
      <c r="K2422" s="18" t="inlineStr"/>
      <c r="L2422" s="18" t="inlineStr">
        <is>
          <t>Sí</t>
        </is>
      </c>
      <c r="M2422" s="18" t="inlineStr">
        <is>
          <t>No</t>
        </is>
      </c>
      <c r="N2422" s="18" t="inlineStr"/>
      <c r="O2422" s="18" t="inlineStr"/>
      <c r="P2422" s="18" t="inlineStr"/>
      <c r="Q2422" s="18" t="inlineStr">
        <is>
          <t>Regla estructural</t>
        </is>
      </c>
      <c r="R2422" s="18" t="inlineStr">
        <is>
          <t>Descripción del registro de config_entes_control.</t>
        </is>
      </c>
      <c r="S2422" s="18" t="inlineStr">
        <is>
          <t>Media</t>
        </is>
      </c>
      <c r="T2422" s="18" t="inlineStr">
        <is>
          <t>Convención de nombre de la columna.</t>
        </is>
      </c>
      <c r="U2422" s="18" t="inlineStr"/>
      <c r="V2422" s="19" t="inlineStr">
        <is>
          <t>Pendiente</t>
        </is>
      </c>
      <c r="W2422" s="19" t="inlineStr"/>
      <c r="X2422" s="19" t="inlineStr"/>
      <c r="Y2422" s="20" t="n"/>
      <c r="Z2422" s="19" t="inlineStr"/>
      <c r="AA2422" s="18">
        <f>IF(OR(V2422="Aprobada"),R2422,IF(AND(OR(V2422="Aprobada con ajuste",V2422="Rechazada"),W2422&lt;&gt;""),W2422,""))</f>
        <v/>
      </c>
    </row>
    <row r="2423">
      <c r="A2423" s="18" t="inlineStr">
        <is>
          <t>C2422</t>
        </is>
      </c>
      <c r="B2423" s="18" t="inlineStr">
        <is>
          <t>Esquema público</t>
        </is>
      </c>
      <c r="C2423" s="18" t="inlineStr">
        <is>
          <t>public</t>
        </is>
      </c>
      <c r="D2423" s="18" t="inlineStr">
        <is>
          <t>config_entes_control</t>
        </is>
      </c>
      <c r="E2423" s="18" t="n">
        <v>4</v>
      </c>
      <c r="F2423" s="18" t="inlineStr">
        <is>
          <t>color</t>
        </is>
      </c>
      <c r="G2423" s="18" t="inlineStr">
        <is>
          <t>character varying(20)</t>
        </is>
      </c>
      <c r="H2423" s="18" t="inlineStr">
        <is>
          <t>Sí</t>
        </is>
      </c>
      <c r="I2423" s="18" t="inlineStr"/>
      <c r="J2423" s="18" t="inlineStr"/>
      <c r="K2423" s="18" t="inlineStr"/>
      <c r="L2423" s="18" t="inlineStr">
        <is>
          <t>Sí</t>
        </is>
      </c>
      <c r="M2423" s="18" t="inlineStr">
        <is>
          <t>No</t>
        </is>
      </c>
      <c r="N2423" s="18" t="inlineStr"/>
      <c r="O2423" s="18" t="inlineStr"/>
      <c r="P2423" s="18" t="inlineStr"/>
      <c r="Q2423" s="18" t="inlineStr">
        <is>
          <t>Propuesta semántica</t>
        </is>
      </c>
      <c r="R2423" s="18" t="inlineStr">
        <is>
          <t>Color con que se identifica el ente de control en la interfaz, en código hexadecimal. Por defecto, #3B82F6.</t>
        </is>
      </c>
      <c r="S2423" s="18" t="inlineStr">
        <is>
          <t>Alta</t>
        </is>
      </c>
      <c r="T2423" s="18" t="inlineStr">
        <is>
          <t>nombre + tipo + defecto</t>
        </is>
      </c>
      <c r="U2423" s="18" t="inlineStr"/>
      <c r="V2423" s="19" t="inlineStr">
        <is>
          <t>Pendiente</t>
        </is>
      </c>
      <c r="W2423" s="19" t="inlineStr"/>
      <c r="X2423" s="19" t="inlineStr"/>
      <c r="Y2423" s="20" t="n"/>
      <c r="Z2423" s="19" t="inlineStr"/>
      <c r="AA2423" s="18">
        <f>IF(OR(V2423="Aprobada"),R2423,IF(AND(OR(V2423="Aprobada con ajuste",V2423="Rechazada"),W2423&lt;&gt;""),W2423,""))</f>
        <v/>
      </c>
    </row>
    <row r="2424">
      <c r="A2424" s="18" t="inlineStr">
        <is>
          <t>C2423</t>
        </is>
      </c>
      <c r="B2424" s="18" t="inlineStr">
        <is>
          <t>Esquema público</t>
        </is>
      </c>
      <c r="C2424" s="18" t="inlineStr">
        <is>
          <t>public</t>
        </is>
      </c>
      <c r="D2424" s="18" t="inlineStr">
        <is>
          <t>config_entes_control</t>
        </is>
      </c>
      <c r="E2424" s="18" t="n">
        <v>4</v>
      </c>
      <c r="F2424" s="18" t="inlineStr">
        <is>
          <t>orden</t>
        </is>
      </c>
      <c r="G2424" s="18" t="inlineStr">
        <is>
          <t>integer</t>
        </is>
      </c>
      <c r="H2424" s="18" t="inlineStr">
        <is>
          <t>Sí</t>
        </is>
      </c>
      <c r="I2424" s="18" t="inlineStr"/>
      <c r="J2424" s="18" t="inlineStr"/>
      <c r="K2424" s="18" t="inlineStr"/>
      <c r="L2424" s="18" t="inlineStr">
        <is>
          <t>Sí</t>
        </is>
      </c>
      <c r="M2424" s="18" t="inlineStr">
        <is>
          <t>No</t>
        </is>
      </c>
      <c r="N2424" s="18" t="inlineStr"/>
      <c r="O2424" s="18" t="inlineStr"/>
      <c r="P2424" s="18" t="inlineStr"/>
      <c r="Q2424" s="18" t="inlineStr">
        <is>
          <t>Regla estructural</t>
        </is>
      </c>
      <c r="R2424" s="18" t="inlineStr">
        <is>
          <t>Posición del registro para su ordenamiento.</t>
        </is>
      </c>
      <c r="S2424" s="18" t="inlineStr">
        <is>
          <t>Media</t>
        </is>
      </c>
      <c r="T2424" s="18" t="inlineStr">
        <is>
          <t>Convención de nombre de la columna.</t>
        </is>
      </c>
      <c r="U2424" s="18" t="inlineStr"/>
      <c r="V2424" s="19" t="inlineStr">
        <is>
          <t>Pendiente</t>
        </is>
      </c>
      <c r="W2424" s="19" t="inlineStr"/>
      <c r="X2424" s="19" t="inlineStr"/>
      <c r="Y2424" s="20" t="n"/>
      <c r="Z2424" s="19" t="inlineStr"/>
      <c r="AA2424" s="18">
        <f>IF(OR(V2424="Aprobada"),R2424,IF(AND(OR(V2424="Aprobada con ajuste",V2424="Rechazada"),W2424&lt;&gt;""),W2424,""))</f>
        <v/>
      </c>
    </row>
    <row r="2425">
      <c r="A2425" s="18" t="inlineStr">
        <is>
          <t>C2424</t>
        </is>
      </c>
      <c r="B2425" s="18" t="inlineStr">
        <is>
          <t>Esquema público</t>
        </is>
      </c>
      <c r="C2425" s="18" t="inlineStr">
        <is>
          <t>public</t>
        </is>
      </c>
      <c r="D2425" s="18" t="inlineStr">
        <is>
          <t>config_entes_control</t>
        </is>
      </c>
      <c r="E2425" s="18" t="n">
        <v>4</v>
      </c>
      <c r="F2425" s="18" t="inlineStr">
        <is>
          <t>activo</t>
        </is>
      </c>
      <c r="G2425" s="18" t="inlineStr">
        <is>
          <t>boolean</t>
        </is>
      </c>
      <c r="H2425" s="18" t="inlineStr">
        <is>
          <t>Sí</t>
        </is>
      </c>
      <c r="I2425" s="18" t="inlineStr"/>
      <c r="J2425" s="18" t="inlineStr"/>
      <c r="K2425" s="18" t="inlineStr"/>
      <c r="L2425" s="18" t="inlineStr">
        <is>
          <t>Sí</t>
        </is>
      </c>
      <c r="M2425" s="18" t="inlineStr">
        <is>
          <t>No</t>
        </is>
      </c>
      <c r="N2425" s="18" t="inlineStr"/>
      <c r="O2425" s="18" t="inlineStr"/>
      <c r="P2425" s="18" t="inlineStr"/>
      <c r="Q2425" s="18" t="inlineStr">
        <is>
          <t>Regla estructural</t>
        </is>
      </c>
      <c r="R2425" s="18" t="inlineStr">
        <is>
          <t>Indica si el registro está activo.</t>
        </is>
      </c>
      <c r="S2425" s="18" t="inlineStr">
        <is>
          <t>Media</t>
        </is>
      </c>
      <c r="T2425" s="18" t="inlineStr">
        <is>
          <t>Convención de nombre de la columna.</t>
        </is>
      </c>
      <c r="U2425" s="18" t="inlineStr"/>
      <c r="V2425" s="19" t="inlineStr">
        <is>
          <t>Pendiente</t>
        </is>
      </c>
      <c r="W2425" s="19" t="inlineStr"/>
      <c r="X2425" s="19" t="inlineStr"/>
      <c r="Y2425" s="20" t="n"/>
      <c r="Z2425" s="19" t="inlineStr"/>
      <c r="AA2425" s="18">
        <f>IF(OR(V2425="Aprobada"),R2425,IF(AND(OR(V2425="Aprobada con ajuste",V2425="Rechazada"),W2425&lt;&gt;""),W2425,""))</f>
        <v/>
      </c>
    </row>
    <row r="2426">
      <c r="A2426" s="18" t="inlineStr">
        <is>
          <t>C2425</t>
        </is>
      </c>
      <c r="B2426" s="18" t="inlineStr">
        <is>
          <t>Esquema público</t>
        </is>
      </c>
      <c r="C2426" s="18" t="inlineStr">
        <is>
          <t>public</t>
        </is>
      </c>
      <c r="D2426" s="18" t="inlineStr">
        <is>
          <t>stage_configuration</t>
        </is>
      </c>
      <c r="E2426" s="18" t="n">
        <v>7</v>
      </c>
      <c r="F2426" s="18" t="inlineStr">
        <is>
          <t>etapa</t>
        </is>
      </c>
      <c r="G2426" s="18" t="inlineStr">
        <is>
          <t>character varying</t>
        </is>
      </c>
      <c r="H2426" s="18" t="inlineStr">
        <is>
          <t>No</t>
        </is>
      </c>
      <c r="I2426" s="18" t="inlineStr"/>
      <c r="J2426" s="18" t="inlineStr"/>
      <c r="K2426" s="18" t="inlineStr"/>
      <c r="L2426" s="18" t="inlineStr">
        <is>
          <t>No</t>
        </is>
      </c>
      <c r="M2426" s="18" t="inlineStr">
        <is>
          <t>No</t>
        </is>
      </c>
      <c r="N2426" s="18" t="inlineStr"/>
      <c r="O2426" s="18" t="inlineStr"/>
      <c r="P2426" s="18" t="inlineStr"/>
      <c r="Q2426" s="18" t="inlineStr">
        <is>
          <t>Propuesta semántica</t>
        </is>
      </c>
      <c r="R2426" s="18" t="inlineStr">
        <is>
          <t>Nombre de la etapa configurada.</t>
        </is>
      </c>
      <c r="S2426" s="18" t="inlineStr">
        <is>
          <t>Baja</t>
        </is>
      </c>
      <c r="T2426" s="18" t="inlineStr">
        <is>
          <t>nombre + tipo</t>
        </is>
      </c>
      <c r="U2426" s="18" t="inlineStr">
        <is>
          <t>¿A qué proceso pertenecen estas etapas?</t>
        </is>
      </c>
      <c r="V2426" s="19" t="inlineStr">
        <is>
          <t>Pendiente</t>
        </is>
      </c>
      <c r="W2426" s="19" t="inlineStr"/>
      <c r="X2426" s="19" t="inlineStr"/>
      <c r="Y2426" s="20" t="n"/>
      <c r="Z2426" s="19" t="inlineStr"/>
      <c r="AA2426" s="18">
        <f>IF(OR(V2426="Aprobada"),R2426,IF(AND(OR(V2426="Aprobada con ajuste",V2426="Rechazada"),W2426&lt;&gt;""),W2426,""))</f>
        <v/>
      </c>
    </row>
    <row r="2427">
      <c r="A2427" s="18" t="inlineStr">
        <is>
          <t>C2426</t>
        </is>
      </c>
      <c r="B2427" s="18" t="inlineStr">
        <is>
          <t>Esquema público</t>
        </is>
      </c>
      <c r="C2427" s="18" t="inlineStr">
        <is>
          <t>public</t>
        </is>
      </c>
      <c r="D2427" s="18" t="inlineStr">
        <is>
          <t>stage_configuration</t>
        </is>
      </c>
      <c r="E2427" s="18" t="n">
        <v>7</v>
      </c>
      <c r="F2427" s="18" t="inlineStr">
        <is>
          <t>diasHabiles</t>
        </is>
      </c>
      <c r="G2427" s="18" t="inlineStr">
        <is>
          <t>integer</t>
        </is>
      </c>
      <c r="H2427" s="18" t="inlineStr">
        <is>
          <t>No</t>
        </is>
      </c>
      <c r="I2427" s="18" t="inlineStr"/>
      <c r="J2427" s="18" t="inlineStr"/>
      <c r="K2427" s="18" t="inlineStr"/>
      <c r="L2427" s="18" t="inlineStr">
        <is>
          <t>No</t>
        </is>
      </c>
      <c r="M2427" s="18" t="inlineStr">
        <is>
          <t>No</t>
        </is>
      </c>
      <c r="N2427" s="18" t="inlineStr"/>
      <c r="O2427" s="18" t="inlineStr"/>
      <c r="P2427" s="18" t="inlineStr"/>
      <c r="Q2427" s="18" t="inlineStr">
        <is>
          <t>Propuesta semántica</t>
        </is>
      </c>
      <c r="R2427" s="18" t="inlineStr">
        <is>
          <t>Número de días hábiles asignados a la etapa. Por defecto, 30.</t>
        </is>
      </c>
      <c r="S2427" s="18" t="inlineStr">
        <is>
          <t>Alta</t>
        </is>
      </c>
      <c r="T2427" s="18" t="inlineStr">
        <is>
          <t>nombre + tipo + defecto</t>
        </is>
      </c>
      <c r="U2427" s="18" t="inlineStr"/>
      <c r="V2427" s="19" t="inlineStr">
        <is>
          <t>Pendiente</t>
        </is>
      </c>
      <c r="W2427" s="19" t="inlineStr"/>
      <c r="X2427" s="19" t="inlineStr"/>
      <c r="Y2427" s="20" t="n"/>
      <c r="Z2427" s="19" t="inlineStr"/>
      <c r="AA2427" s="18">
        <f>IF(OR(V2427="Aprobada"),R2427,IF(AND(OR(V2427="Aprobada con ajuste",V2427="Rechazada"),W2427&lt;&gt;""),W2427,""))</f>
        <v/>
      </c>
    </row>
    <row r="2428">
      <c r="A2428" s="18" t="inlineStr">
        <is>
          <t>C2427</t>
        </is>
      </c>
      <c r="B2428" s="18" t="inlineStr">
        <is>
          <t>Esquema público</t>
        </is>
      </c>
      <c r="C2428" s="18" t="inlineStr">
        <is>
          <t>public</t>
        </is>
      </c>
      <c r="D2428" s="18" t="inlineStr">
        <is>
          <t>stage_configuration</t>
        </is>
      </c>
      <c r="E2428" s="18" t="n">
        <v>7</v>
      </c>
      <c r="F2428" s="18" t="inlineStr">
        <is>
          <t>descripcion</t>
        </is>
      </c>
      <c r="G2428" s="18" t="inlineStr">
        <is>
          <t>text</t>
        </is>
      </c>
      <c r="H2428" s="18" t="inlineStr">
        <is>
          <t>Sí</t>
        </is>
      </c>
      <c r="I2428" s="18" t="inlineStr"/>
      <c r="J2428" s="18" t="inlineStr"/>
      <c r="K2428" s="18" t="inlineStr"/>
      <c r="L2428" s="18" t="inlineStr">
        <is>
          <t>No</t>
        </is>
      </c>
      <c r="M2428" s="18" t="inlineStr">
        <is>
          <t>No</t>
        </is>
      </c>
      <c r="N2428" s="18" t="inlineStr"/>
      <c r="O2428" s="18" t="inlineStr"/>
      <c r="P2428" s="18" t="inlineStr"/>
      <c r="Q2428" s="18" t="inlineStr">
        <is>
          <t>Regla estructural</t>
        </is>
      </c>
      <c r="R2428" s="18" t="inlineStr">
        <is>
          <t>Descripción del registro de stage_configuration.</t>
        </is>
      </c>
      <c r="S2428" s="18" t="inlineStr">
        <is>
          <t>Media</t>
        </is>
      </c>
      <c r="T2428" s="18" t="inlineStr">
        <is>
          <t>Convención de nombre de la columna.</t>
        </is>
      </c>
      <c r="U2428" s="18" t="inlineStr"/>
      <c r="V2428" s="19" t="inlineStr">
        <is>
          <t>Pendiente</t>
        </is>
      </c>
      <c r="W2428" s="19" t="inlineStr"/>
      <c r="X2428" s="19" t="inlineStr"/>
      <c r="Y2428" s="20" t="n"/>
      <c r="Z2428" s="19" t="inlineStr"/>
      <c r="AA2428" s="18">
        <f>IF(OR(V2428="Aprobada"),R2428,IF(AND(OR(V2428="Aprobada con ajuste",V2428="Rechazada"),W2428&lt;&gt;""),W2428,""))</f>
        <v/>
      </c>
    </row>
    <row r="2429">
      <c r="A2429" s="18" t="inlineStr">
        <is>
          <t>C2428</t>
        </is>
      </c>
      <c r="B2429" s="18" t="inlineStr">
        <is>
          <t>Esquema público</t>
        </is>
      </c>
      <c r="C2429" s="18" t="inlineStr">
        <is>
          <t>public</t>
        </is>
      </c>
      <c r="D2429" s="18" t="inlineStr">
        <is>
          <t>stage_configuration</t>
        </is>
      </c>
      <c r="E2429" s="18" t="n">
        <v>7</v>
      </c>
      <c r="F2429" s="18" t="inlineStr">
        <is>
          <t>activo</t>
        </is>
      </c>
      <c r="G2429" s="18" t="inlineStr">
        <is>
          <t>boolean</t>
        </is>
      </c>
      <c r="H2429" s="18" t="inlineStr">
        <is>
          <t>No</t>
        </is>
      </c>
      <c r="I2429" s="18" t="inlineStr"/>
      <c r="J2429" s="18" t="inlineStr"/>
      <c r="K2429" s="18" t="inlineStr"/>
      <c r="L2429" s="18" t="inlineStr">
        <is>
          <t>No</t>
        </is>
      </c>
      <c r="M2429" s="18" t="inlineStr">
        <is>
          <t>No</t>
        </is>
      </c>
      <c r="N2429" s="18" t="inlineStr"/>
      <c r="O2429" s="18" t="inlineStr"/>
      <c r="P2429" s="18" t="inlineStr"/>
      <c r="Q2429" s="18" t="inlineStr">
        <is>
          <t>Regla estructural</t>
        </is>
      </c>
      <c r="R2429" s="18" t="inlineStr">
        <is>
          <t>Indica si el registro está activo.</t>
        </is>
      </c>
      <c r="S2429" s="18" t="inlineStr">
        <is>
          <t>Media</t>
        </is>
      </c>
      <c r="T2429" s="18" t="inlineStr">
        <is>
          <t>Convención de nombre de la columna.</t>
        </is>
      </c>
      <c r="U2429" s="18" t="inlineStr"/>
      <c r="V2429" s="19" t="inlineStr">
        <is>
          <t>Pendiente</t>
        </is>
      </c>
      <c r="W2429" s="19" t="inlineStr"/>
      <c r="X2429" s="19" t="inlineStr"/>
      <c r="Y2429" s="20" t="n"/>
      <c r="Z2429" s="19" t="inlineStr"/>
      <c r="AA2429" s="18">
        <f>IF(OR(V2429="Aprobada"),R2429,IF(AND(OR(V2429="Aprobada con ajuste",V2429="Rechazada"),W2429&lt;&gt;""),W2429,""))</f>
        <v/>
      </c>
    </row>
    <row r="2430">
      <c r="A2430" s="18" t="inlineStr">
        <is>
          <t>C2429</t>
        </is>
      </c>
      <c r="B2430" s="18" t="inlineStr">
        <is>
          <t>Esquema público</t>
        </is>
      </c>
      <c r="C2430" s="18" t="inlineStr">
        <is>
          <t>public</t>
        </is>
      </c>
      <c r="D2430" s="18" t="inlineStr">
        <is>
          <t>system_configuration</t>
        </is>
      </c>
      <c r="E2430" s="18" t="n">
        <v>1</v>
      </c>
      <c r="F2430" s="18" t="inlineStr">
        <is>
          <t>roleCapacities</t>
        </is>
      </c>
      <c r="G2430" s="18" t="inlineStr">
        <is>
          <t>jsonb</t>
        </is>
      </c>
      <c r="H2430" s="18" t="inlineStr">
        <is>
          <t>No</t>
        </is>
      </c>
      <c r="I2430" s="18" t="inlineStr"/>
      <c r="J2430" s="18" t="inlineStr"/>
      <c r="K2430" s="18" t="inlineStr"/>
      <c r="L2430" s="18" t="inlineStr">
        <is>
          <t>Sí</t>
        </is>
      </c>
      <c r="M2430" s="18" t="inlineStr">
        <is>
          <t>No</t>
        </is>
      </c>
      <c r="N2430" s="18" t="inlineStr"/>
      <c r="O2430" s="18" t="inlineStr"/>
      <c r="P2430" s="18" t="inlineStr"/>
      <c r="Q2430" s="18" t="inlineStr">
        <is>
          <t>Propuesta semántica</t>
        </is>
      </c>
      <c r="R2430" s="18" t="inlineStr">
        <is>
          <t>Configuración de capacidades por rol, en formato JSON.</t>
        </is>
      </c>
      <c r="S2430" s="18" t="inlineStr">
        <is>
          <t>Media</t>
        </is>
      </c>
      <c r="T2430" s="18" t="inlineStr">
        <is>
          <t>nombre + tipo</t>
        </is>
      </c>
      <c r="U2430" s="18" t="inlineStr">
        <is>
          <t>¿Qué estructura tiene el JSON y a qué módulo aplica?</t>
        </is>
      </c>
      <c r="V2430" s="19" t="inlineStr">
        <is>
          <t>Pendiente</t>
        </is>
      </c>
      <c r="W2430" s="19" t="inlineStr"/>
      <c r="X2430" s="19" t="inlineStr"/>
      <c r="Y2430" s="20" t="n"/>
      <c r="Z2430" s="19" t="inlineStr"/>
      <c r="AA2430" s="18">
        <f>IF(OR(V2430="Aprobada"),R2430,IF(AND(OR(V2430="Aprobada con ajuste",V2430="Rechazada"),W2430&lt;&gt;""),W2430,""))</f>
        <v/>
      </c>
    </row>
    <row r="2431">
      <c r="A2431" s="18" t="inlineStr">
        <is>
          <t>C2430</t>
        </is>
      </c>
      <c r="B2431" s="18" t="inlineStr">
        <is>
          <t>Esquema público</t>
        </is>
      </c>
      <c r="C2431" s="18" t="inlineStr">
        <is>
          <t>public</t>
        </is>
      </c>
      <c r="D2431" s="18" t="inlineStr">
        <is>
          <t>system_configuration</t>
        </is>
      </c>
      <c r="E2431" s="18" t="n">
        <v>1</v>
      </c>
      <c r="F2431" s="18" t="inlineStr">
        <is>
          <t>notificationSettings</t>
        </is>
      </c>
      <c r="G2431" s="18" t="inlineStr">
        <is>
          <t>jsonb</t>
        </is>
      </c>
      <c r="H2431" s="18" t="inlineStr">
        <is>
          <t>No</t>
        </is>
      </c>
      <c r="I2431" s="18" t="inlineStr"/>
      <c r="J2431" s="18" t="inlineStr"/>
      <c r="K2431" s="18" t="inlineStr"/>
      <c r="L2431" s="18" t="inlineStr">
        <is>
          <t>Sí</t>
        </is>
      </c>
      <c r="M2431" s="18" t="inlineStr">
        <is>
          <t>No</t>
        </is>
      </c>
      <c r="N2431" s="18" t="inlineStr"/>
      <c r="O2431" s="18" t="inlineStr"/>
      <c r="P2431" s="18" t="inlineStr"/>
      <c r="Q2431" s="18" t="inlineStr">
        <is>
          <t>Propuesta semántica</t>
        </is>
      </c>
      <c r="R2431" s="18" t="inlineStr">
        <is>
          <t>Configuración de notificaciones del sistema, en formato JSON.</t>
        </is>
      </c>
      <c r="S2431" s="18" t="inlineStr">
        <is>
          <t>Media</t>
        </is>
      </c>
      <c r="T2431" s="18" t="inlineStr">
        <is>
          <t>nombre + tipo</t>
        </is>
      </c>
      <c r="U2431" s="18" t="inlineStr">
        <is>
          <t>¿Qué parámetros incluye la configuración?</t>
        </is>
      </c>
      <c r="V2431" s="19" t="inlineStr">
        <is>
          <t>Pendiente</t>
        </is>
      </c>
      <c r="W2431" s="19" t="inlineStr"/>
      <c r="X2431" s="19" t="inlineStr"/>
      <c r="Y2431" s="20" t="n"/>
      <c r="Z2431" s="19" t="inlineStr"/>
      <c r="AA2431" s="18">
        <f>IF(OR(V2431="Aprobada"),R2431,IF(AND(OR(V2431="Aprobada con ajuste",V2431="Rechazada"),W2431&lt;&gt;""),W2431,""))</f>
        <v/>
      </c>
    </row>
    <row r="2432">
      <c r="A2432" s="18" t="inlineStr">
        <is>
          <t>C2431</t>
        </is>
      </c>
      <c r="B2432" s="18" t="inlineStr">
        <is>
          <t>Esquema público</t>
        </is>
      </c>
      <c r="C2432" s="18" t="inlineStr">
        <is>
          <t>public</t>
        </is>
      </c>
      <c r="D2432" s="18" t="inlineStr">
        <is>
          <t>system_configuration</t>
        </is>
      </c>
      <c r="E2432" s="18" t="n">
        <v>1</v>
      </c>
      <c r="F2432" s="18" t="inlineStr">
        <is>
          <t>alertSettings</t>
        </is>
      </c>
      <c r="G2432" s="18" t="inlineStr">
        <is>
          <t>jsonb</t>
        </is>
      </c>
      <c r="H2432" s="18" t="inlineStr">
        <is>
          <t>No</t>
        </is>
      </c>
      <c r="I2432" s="18" t="inlineStr"/>
      <c r="J2432" s="18" t="inlineStr"/>
      <c r="K2432" s="18" t="inlineStr"/>
      <c r="L2432" s="18" t="inlineStr">
        <is>
          <t>Sí</t>
        </is>
      </c>
      <c r="M2432" s="18" t="inlineStr">
        <is>
          <t>No</t>
        </is>
      </c>
      <c r="N2432" s="18" t="inlineStr"/>
      <c r="O2432" s="18" t="inlineStr"/>
      <c r="P2432" s="18" t="inlineStr"/>
      <c r="Q2432" s="18" t="inlineStr">
        <is>
          <t>Propuesta semántica</t>
        </is>
      </c>
      <c r="R2432" s="18" t="inlineStr">
        <is>
          <t>Configuración de alertas del sistema, en formato JSON.</t>
        </is>
      </c>
      <c r="S2432" s="18" t="inlineStr">
        <is>
          <t>Media</t>
        </is>
      </c>
      <c r="T2432" s="18" t="inlineStr">
        <is>
          <t>nombre + tipo</t>
        </is>
      </c>
      <c r="U2432" s="18" t="inlineStr">
        <is>
          <t>¿Qué parámetros incluye la configuración?</t>
        </is>
      </c>
      <c r="V2432" s="19" t="inlineStr">
        <is>
          <t>Pendiente</t>
        </is>
      </c>
      <c r="W2432" s="19" t="inlineStr"/>
      <c r="X2432" s="19" t="inlineStr"/>
      <c r="Y2432" s="20" t="n"/>
      <c r="Z2432" s="19" t="inlineStr"/>
      <c r="AA2432" s="18">
        <f>IF(OR(V2432="Aprobada"),R2432,IF(AND(OR(V2432="Aprobada con ajuste",V2432="Rechazada"),W2432&lt;&gt;""),W2432,""))</f>
        <v/>
      </c>
    </row>
    <row r="2433">
      <c r="A2433" s="18" t="inlineStr">
        <is>
          <t>C2432</t>
        </is>
      </c>
      <c r="B2433" s="18" t="inlineStr">
        <is>
          <t>Esquema público</t>
        </is>
      </c>
      <c r="C2433" s="18" t="inlineStr">
        <is>
          <t>public</t>
        </is>
      </c>
      <c r="D2433" s="18" t="inlineStr">
        <is>
          <t>system_configuration</t>
        </is>
      </c>
      <c r="E2433" s="18" t="n">
        <v>1</v>
      </c>
      <c r="F2433" s="18" t="inlineStr">
        <is>
          <t>securitySettings</t>
        </is>
      </c>
      <c r="G2433" s="18" t="inlineStr">
        <is>
          <t>jsonb</t>
        </is>
      </c>
      <c r="H2433" s="18" t="inlineStr">
        <is>
          <t>No</t>
        </is>
      </c>
      <c r="I2433" s="18" t="inlineStr"/>
      <c r="J2433" s="18" t="inlineStr"/>
      <c r="K2433" s="18" t="inlineStr"/>
      <c r="L2433" s="18" t="inlineStr">
        <is>
          <t>Sí</t>
        </is>
      </c>
      <c r="M2433" s="18" t="inlineStr">
        <is>
          <t>No</t>
        </is>
      </c>
      <c r="N2433" s="18" t="inlineStr"/>
      <c r="O2433" s="18" t="inlineStr"/>
      <c r="P2433" s="18" t="inlineStr"/>
      <c r="Q2433" s="18" t="inlineStr">
        <is>
          <t>Propuesta semántica</t>
        </is>
      </c>
      <c r="R2433" s="18" t="inlineStr">
        <is>
          <t>Configuración de seguridad del sistema, en formato JSON.</t>
        </is>
      </c>
      <c r="S2433" s="18" t="inlineStr">
        <is>
          <t>Media</t>
        </is>
      </c>
      <c r="T2433" s="18" t="inlineStr">
        <is>
          <t>nombre + tipo</t>
        </is>
      </c>
      <c r="U2433" s="18" t="inlineStr">
        <is>
          <t>¿Qué parámetros incluye la configuración?</t>
        </is>
      </c>
      <c r="V2433" s="19" t="inlineStr">
        <is>
          <t>Pendiente</t>
        </is>
      </c>
      <c r="W2433" s="19" t="inlineStr"/>
      <c r="X2433" s="19" t="inlineStr"/>
      <c r="Y2433" s="20" t="n"/>
      <c r="Z2433" s="19" t="inlineStr"/>
      <c r="AA2433" s="18">
        <f>IF(OR(V2433="Aprobada"),R2433,IF(AND(OR(V2433="Aprobada con ajuste",V2433="Rechazada"),W2433&lt;&gt;""),W2433,""))</f>
        <v/>
      </c>
    </row>
  </sheetData>
  <autoFilter ref="A1:AA2433"/>
  <conditionalFormatting sqref="V2:V2433">
    <cfRule type="cellIs" priority="1" operator="equal" dxfId="0">
      <formula>"Aprobada"</formula>
    </cfRule>
    <cfRule type="cellIs" priority="2" operator="equal" dxfId="1">
      <formula>"Aprobada con ajuste"</formula>
    </cfRule>
    <cfRule type="cellIs" priority="3" operator="equal" dxfId="2">
      <formula>"Rechazada"</formula>
    </cfRule>
    <cfRule type="cellIs" priority="4" operator="equal" dxfId="3">
      <formula>"Requiere aclaración"</formula>
    </cfRule>
  </conditionalFormatting>
  <conditionalFormatting sqref="S2:S2433">
    <cfRule type="cellIs" priority="5" operator="equal" dxfId="4">
      <formula>"Baja"</formula>
    </cfRule>
  </conditionalFormatting>
  <conditionalFormatting sqref="W2:W2433">
    <cfRule type="expression" priority="6" dxfId="5">
      <formula>AND(OR($V2="Aprobada con ajuste",$V2="Rechazada"),$W2="")</formula>
    </cfRule>
  </conditionalFormatting>
  <dataValidations count="2">
    <dataValidation sqref="V2:V2433" showDropDown="0" showInputMessage="0" showErrorMessage="0" allowBlank="0" errorTitle="Decisión" error="Elija un valor de la lista." promptTitle="Decisión" prompt="Elija la decisión de la revisión" type="list">
      <formula1>"Pendiente,Aprobada,Aprobada con ajuste,Rechazada,Requiere aclaración"</formula1>
    </dataValidation>
    <dataValidation sqref="Y2:Y2433" showDropDown="0" showInputMessage="0" showErrorMessage="0" allowBlank="1" errorTitle="Fecha" error="Escriba una fecha (aaaa-mm-dd)." type="date" operator="greaterThan">
      <formula1>DATE(2026,1,1)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6" customWidth="1" min="3" max="3"/>
    <col width="44" customWidth="1" min="4" max="4"/>
    <col width="16" customWidth="1" min="5" max="5"/>
    <col width="90" customWidth="1" min="6" max="6"/>
  </cols>
  <sheetData>
    <row r="1">
      <c r="A1" s="21" t="inlineStr">
        <is>
          <t>Esquema</t>
        </is>
      </c>
      <c r="B1" s="21" t="inlineStr">
        <is>
          <t>Tabla</t>
        </is>
      </c>
      <c r="C1" s="21" t="inlineStr">
        <is>
          <t>Columna</t>
        </is>
      </c>
      <c r="D1" s="21" t="inlineStr">
        <is>
          <t>Objeto</t>
        </is>
      </c>
      <c r="E1" s="21" t="inlineStr">
        <is>
          <t>Tipo de objeto</t>
        </is>
      </c>
      <c r="F1" s="21" t="inlineStr">
        <is>
          <t>Líneas donde aparece la columna</t>
        </is>
      </c>
    </row>
    <row r="2">
      <c r="A2" s="22" t="inlineStr">
        <is>
          <t>auth</t>
        </is>
      </c>
      <c r="B2" s="22" t="inlineStr">
        <is>
          <t>module</t>
        </is>
      </c>
      <c r="C2" s="22" t="inlineStr">
        <is>
          <t>code</t>
        </is>
      </c>
      <c r="D2" s="22" t="inlineStr">
        <is>
          <t>hiring.roles_del_modulo</t>
        </is>
      </c>
      <c r="E2" s="22" t="inlineStr">
        <is>
          <t>Vista</t>
        </is>
      </c>
      <c r="F2" s="22" t="inlineStr"/>
    </row>
    <row r="3">
      <c r="A3" s="22" t="inlineStr">
        <is>
          <t>auth</t>
        </is>
      </c>
      <c r="B3" s="22" t="inlineStr">
        <is>
          <t>module</t>
        </is>
      </c>
      <c r="C3" s="22" t="inlineStr">
        <is>
          <t>name</t>
        </is>
      </c>
      <c r="D3" s="22" t="inlineStr">
        <is>
          <t>hiring.roles_del_modulo</t>
        </is>
      </c>
      <c r="E3" s="22" t="inlineStr">
        <is>
          <t>Vista</t>
        </is>
      </c>
      <c r="F3" s="22" t="inlineStr"/>
    </row>
    <row r="4">
      <c r="A4" s="22" t="inlineStr">
        <is>
          <t>auth</t>
        </is>
      </c>
      <c r="B4" s="22" t="inlineStr">
        <is>
          <t>module</t>
        </is>
      </c>
      <c r="C4" s="22" t="inlineStr">
        <is>
          <t>is_active</t>
        </is>
      </c>
      <c r="D4" s="22" t="inlineStr">
        <is>
          <t>hiring.roles_del_modulo</t>
        </is>
      </c>
      <c r="E4" s="22" t="inlineStr">
        <is>
          <t>Vista</t>
        </is>
      </c>
      <c r="F4" s="22" t="inlineStr"/>
    </row>
    <row r="5">
      <c r="A5" s="22" t="inlineStr">
        <is>
          <t>auth</t>
        </is>
      </c>
      <c r="B5" s="22" t="inlineStr">
        <is>
          <t>permission</t>
        </is>
      </c>
      <c r="C5" s="22" t="inlineStr">
        <is>
          <t>code</t>
        </is>
      </c>
      <c r="D5" s="22" t="inlineStr">
        <is>
          <t>hiring.roles_del_modulo</t>
        </is>
      </c>
      <c r="E5" s="22" t="inlineStr">
        <is>
          <t>Vista</t>
        </is>
      </c>
      <c r="F5" s="22" t="inlineStr"/>
    </row>
    <row r="6">
      <c r="A6" s="22" t="inlineStr">
        <is>
          <t>auth</t>
        </is>
      </c>
      <c r="B6" s="22" t="inlineStr">
        <is>
          <t>permission</t>
        </is>
      </c>
      <c r="C6" s="22" t="inlineStr">
        <is>
          <t>name</t>
        </is>
      </c>
      <c r="D6" s="22" t="inlineStr">
        <is>
          <t>hiring.roles_del_modulo</t>
        </is>
      </c>
      <c r="E6" s="22" t="inlineStr">
        <is>
          <t>Vista</t>
        </is>
      </c>
      <c r="F6" s="22" t="inlineStr"/>
    </row>
    <row r="7">
      <c r="A7" s="22" t="inlineStr">
        <is>
          <t>auth</t>
        </is>
      </c>
      <c r="B7" s="22" t="inlineStr">
        <is>
          <t>permission</t>
        </is>
      </c>
      <c r="C7" s="22" t="inlineStr">
        <is>
          <t>is_active</t>
        </is>
      </c>
      <c r="D7" s="22" t="inlineStr">
        <is>
          <t>hiring.roles_del_modulo</t>
        </is>
      </c>
      <c r="E7" s="22" t="inlineStr">
        <is>
          <t>Vista</t>
        </is>
      </c>
      <c r="F7" s="22" t="inlineStr"/>
    </row>
    <row r="8">
      <c r="A8" s="22" t="inlineStr">
        <is>
          <t>auth</t>
        </is>
      </c>
      <c r="B8" s="22" t="inlineStr">
        <is>
          <t>personas</t>
        </is>
      </c>
      <c r="C8" s="22" t="inlineStr">
        <is>
          <t>num_identificacion</t>
        </is>
      </c>
      <c r="D8" s="22" t="inlineStr">
        <is>
          <t>trg_auth_personas_rund_document_immutable</t>
        </is>
      </c>
      <c r="E8" s="22" t="inlineStr">
        <is>
          <t>Trigger (UPDATE OF)</t>
        </is>
      </c>
      <c r="F8" s="22" t="inlineStr"/>
    </row>
    <row r="9">
      <c r="A9" s="22" t="inlineStr">
        <is>
          <t>auth</t>
        </is>
      </c>
      <c r="B9" s="22" t="inlineStr">
        <is>
          <t>personas</t>
        </is>
      </c>
      <c r="C9" s="22" t="inlineStr">
        <is>
          <t>num_identificacion</t>
        </is>
      </c>
      <c r="D9" s="22" t="inlineStr">
        <is>
          <t>control_interno.v_auditor_disponibilidad</t>
        </is>
      </c>
      <c r="E9" s="22" t="inlineStr">
        <is>
          <t>Vista</t>
        </is>
      </c>
      <c r="F9" s="22" t="inlineStr"/>
    </row>
    <row r="10">
      <c r="A10" s="22" t="inlineStr">
        <is>
          <t>auth</t>
        </is>
      </c>
      <c r="B10" s="22" t="inlineStr">
        <is>
          <t>personas</t>
        </is>
      </c>
      <c r="C10" s="22" t="inlineStr">
        <is>
          <t>tip_identificacion</t>
        </is>
      </c>
      <c r="D10" s="22" t="inlineStr">
        <is>
          <t>control_interno.v_auditor_disponibilidad</t>
        </is>
      </c>
      <c r="E10" s="22" t="inlineStr">
        <is>
          <t>Vista</t>
        </is>
      </c>
      <c r="F10" s="22" t="inlineStr"/>
    </row>
    <row r="11">
      <c r="A11" s="22" t="inlineStr">
        <is>
          <t>auth</t>
        </is>
      </c>
      <c r="B11" s="22" t="inlineStr">
        <is>
          <t>personas</t>
        </is>
      </c>
      <c r="C11" s="22" t="inlineStr">
        <is>
          <t>nom_largo</t>
        </is>
      </c>
      <c r="D11" s="22" t="inlineStr">
        <is>
          <t>control_interno.v_auditor_disponibilidad</t>
        </is>
      </c>
      <c r="E11" s="22" t="inlineStr">
        <is>
          <t>Vista</t>
        </is>
      </c>
      <c r="F11" s="22" t="inlineStr"/>
    </row>
    <row r="12">
      <c r="A12" s="22" t="inlineStr">
        <is>
          <t>auth</t>
        </is>
      </c>
      <c r="B12" s="22" t="inlineStr">
        <is>
          <t>personas</t>
        </is>
      </c>
      <c r="C12" s="22" t="inlineStr">
        <is>
          <t>nom_largo</t>
        </is>
      </c>
      <c r="D12" s="22" t="inlineStr">
        <is>
          <t>control_interno.v_auditorias_kanban_completo</t>
        </is>
      </c>
      <c r="E12" s="22" t="inlineStr">
        <is>
          <t>Vista</t>
        </is>
      </c>
      <c r="F12" s="22" t="inlineStr"/>
    </row>
    <row r="13">
      <c r="A13" s="22" t="inlineStr">
        <is>
          <t>auth</t>
        </is>
      </c>
      <c r="B13" s="22" t="inlineStr">
        <is>
          <t>personas</t>
        </is>
      </c>
      <c r="C13" s="22" t="inlineStr">
        <is>
          <t>dir_email</t>
        </is>
      </c>
      <c r="D13" s="22" t="inlineStr">
        <is>
          <t>control_interno.v_auditor_disponibilidad</t>
        </is>
      </c>
      <c r="E13" s="22" t="inlineStr">
        <is>
          <t>Vista</t>
        </is>
      </c>
      <c r="F13" s="22" t="inlineStr"/>
    </row>
    <row r="14">
      <c r="A14" s="22" t="inlineStr">
        <is>
          <t>auth</t>
        </is>
      </c>
      <c r="B14" s="22" t="inlineStr">
        <is>
          <t>personas</t>
        </is>
      </c>
      <c r="C14" s="22" t="inlineStr">
        <is>
          <t>dir_email</t>
        </is>
      </c>
      <c r="D14" s="22" t="inlineStr">
        <is>
          <t>control_interno.v_auditorias_kanban_completo</t>
        </is>
      </c>
      <c r="E14" s="22" t="inlineStr">
        <is>
          <t>Vista</t>
        </is>
      </c>
      <c r="F14" s="22" t="inlineStr"/>
    </row>
    <row r="15">
      <c r="A15" s="22" t="inlineStr">
        <is>
          <t>auth</t>
        </is>
      </c>
      <c r="B15" s="22" t="inlineStr">
        <is>
          <t>personas</t>
        </is>
      </c>
      <c r="C15" s="22" t="inlineStr">
        <is>
          <t>id_person</t>
        </is>
      </c>
      <c r="D15" s="22" t="inlineStr">
        <is>
          <t>control_interno.fn_registrar_cambio_estado_auditoria</t>
        </is>
      </c>
      <c r="E15" s="22" t="inlineStr">
        <is>
          <t>Función</t>
        </is>
      </c>
      <c r="F15" s="22" t="inlineStr">
        <is>
          <t>SELECT id_person INTO v_usuario_id</t>
        </is>
      </c>
    </row>
    <row r="16">
      <c r="A16" s="22" t="inlineStr">
        <is>
          <t>auth</t>
        </is>
      </c>
      <c r="B16" s="22" t="inlineStr">
        <is>
          <t>personas</t>
        </is>
      </c>
      <c r="C16" s="22" t="inlineStr">
        <is>
          <t>id_person</t>
        </is>
      </c>
      <c r="D16" s="22" t="inlineStr">
        <is>
          <t>control_interno.fn_registrar_cambio_estado_plan_anual</t>
        </is>
      </c>
      <c r="E16" s="22" t="inlineStr">
        <is>
          <t>Función</t>
        </is>
      </c>
      <c r="F16" s="22" t="inlineStr">
        <is>
          <t>SELECT id_person INTO v_usuario_id</t>
        </is>
      </c>
    </row>
    <row r="17">
      <c r="A17" s="22" t="inlineStr">
        <is>
          <t>auth</t>
        </is>
      </c>
      <c r="B17" s="22" t="inlineStr">
        <is>
          <t>personas</t>
        </is>
      </c>
      <c r="C17" s="22" t="inlineStr">
        <is>
          <t>id_person</t>
        </is>
      </c>
      <c r="D17" s="22" t="inlineStr">
        <is>
          <t>control_interno.v_auditor_disponibilidad</t>
        </is>
      </c>
      <c r="E17" s="22" t="inlineStr">
        <is>
          <t>Vista</t>
        </is>
      </c>
      <c r="F17" s="22" t="inlineStr"/>
    </row>
    <row r="18">
      <c r="A18" s="22" t="inlineStr">
        <is>
          <t>auth</t>
        </is>
      </c>
      <c r="B18" s="22" t="inlineStr">
        <is>
          <t>personas</t>
        </is>
      </c>
      <c r="C18" s="22" t="inlineStr">
        <is>
          <t>id_person</t>
        </is>
      </c>
      <c r="D18" s="22" t="inlineStr">
        <is>
          <t>control_interno.v_auditorias_kanban_completo</t>
        </is>
      </c>
      <c r="E18" s="22" t="inlineStr">
        <is>
          <t>Vista</t>
        </is>
      </c>
      <c r="F18" s="22" t="inlineStr"/>
    </row>
    <row r="19">
      <c r="A19" s="22" t="inlineStr">
        <is>
          <t>auth</t>
        </is>
      </c>
      <c r="B19" s="22" t="inlineStr">
        <is>
          <t>role</t>
        </is>
      </c>
      <c r="C19" s="22" t="inlineStr">
        <is>
          <t>code</t>
        </is>
      </c>
      <c r="D19" s="22" t="inlineStr">
        <is>
          <t>hiring.roles_del_modulo</t>
        </is>
      </c>
      <c r="E19" s="22" t="inlineStr">
        <is>
          <t>Vista</t>
        </is>
      </c>
      <c r="F19" s="22" t="inlineStr"/>
    </row>
    <row r="20">
      <c r="A20" s="22" t="inlineStr">
        <is>
          <t>auth</t>
        </is>
      </c>
      <c r="B20" s="22" t="inlineStr">
        <is>
          <t>role</t>
        </is>
      </c>
      <c r="C20" s="22" t="inlineStr">
        <is>
          <t>name</t>
        </is>
      </c>
      <c r="D20" s="22" t="inlineStr">
        <is>
          <t>hiring.roles_del_modulo</t>
        </is>
      </c>
      <c r="E20" s="22" t="inlineStr">
        <is>
          <t>Vista</t>
        </is>
      </c>
      <c r="F20" s="22" t="inlineStr"/>
    </row>
    <row r="21">
      <c r="A21" s="22" t="inlineStr">
        <is>
          <t>auth</t>
        </is>
      </c>
      <c r="B21" s="22" t="inlineStr">
        <is>
          <t>role</t>
        </is>
      </c>
      <c r="C21" s="22" t="inlineStr">
        <is>
          <t>type</t>
        </is>
      </c>
      <c r="D21" s="22" t="inlineStr">
        <is>
          <t>hiring.roles_del_modulo</t>
        </is>
      </c>
      <c r="E21" s="22" t="inlineStr">
        <is>
          <t>Vista</t>
        </is>
      </c>
      <c r="F21" s="22" t="inlineStr"/>
    </row>
    <row r="22">
      <c r="A22" s="22" t="inlineStr">
        <is>
          <t>auth</t>
        </is>
      </c>
      <c r="B22" s="22" t="inlineStr">
        <is>
          <t>role</t>
        </is>
      </c>
      <c r="C22" s="22" t="inlineStr">
        <is>
          <t>is_active</t>
        </is>
      </c>
      <c r="D22" s="22" t="inlineStr">
        <is>
          <t>hiring.roles_del_modulo</t>
        </is>
      </c>
      <c r="E22" s="22" t="inlineStr">
        <is>
          <t>Vista</t>
        </is>
      </c>
      <c r="F22" s="22" t="inlineStr"/>
    </row>
    <row r="23">
      <c r="A23" s="22" t="inlineStr">
        <is>
          <t>auth</t>
        </is>
      </c>
      <c r="B23" s="22" t="inlineStr">
        <is>
          <t>role_permissions</t>
        </is>
      </c>
      <c r="C23" s="22" t="inlineStr">
        <is>
          <t>is_active</t>
        </is>
      </c>
      <c r="D23" s="22" t="inlineStr">
        <is>
          <t>hiring.roles_del_modulo</t>
        </is>
      </c>
      <c r="E23" s="22" t="inlineStr">
        <is>
          <t>Vista</t>
        </is>
      </c>
      <c r="F23" s="22" t="inlineStr"/>
    </row>
    <row r="24">
      <c r="A24" s="22" t="inlineStr">
        <is>
          <t>academic_registration</t>
        </is>
      </c>
      <c r="B24" s="22" t="inlineStr">
        <is>
          <t>graduates</t>
        </is>
      </c>
      <c r="C24" s="22" t="inlineStr">
        <is>
          <t>full_name</t>
        </is>
      </c>
      <c r="D24" s="22" t="inlineStr">
        <is>
          <t>trg_validate_graduate_management_update</t>
        </is>
      </c>
      <c r="E24" s="22" t="inlineStr">
        <is>
          <t>Trigger (UPDATE OF)</t>
        </is>
      </c>
      <c r="F24" s="22" t="inlineStr"/>
    </row>
    <row r="25">
      <c r="A25" s="22" t="inlineStr">
        <is>
          <t>academic_registration</t>
        </is>
      </c>
      <c r="B25" s="22" t="inlineStr">
        <is>
          <t>graduates</t>
        </is>
      </c>
      <c r="C25" s="22" t="inlineStr">
        <is>
          <t>id_number</t>
        </is>
      </c>
      <c r="D25" s="22" t="inlineStr">
        <is>
          <t>trg_validate_graduate_management_update</t>
        </is>
      </c>
      <c r="E25" s="22" t="inlineStr">
        <is>
          <t>Trigger (UPDATE OF)</t>
        </is>
      </c>
      <c r="F25" s="22" t="inlineStr"/>
    </row>
    <row r="26">
      <c r="A26" s="22" t="inlineStr">
        <is>
          <t>academic_registration</t>
        </is>
      </c>
      <c r="B26" s="22" t="inlineStr">
        <is>
          <t>graduates</t>
        </is>
      </c>
      <c r="C26" s="22" t="inlineStr">
        <is>
          <t>email</t>
        </is>
      </c>
      <c r="D26" s="22" t="inlineStr">
        <is>
          <t>trg_validate_graduate_management_update</t>
        </is>
      </c>
      <c r="E26" s="22" t="inlineStr">
        <is>
          <t>Trigger (UPDATE OF)</t>
        </is>
      </c>
      <c r="F26" s="22" t="inlineStr"/>
    </row>
    <row r="27">
      <c r="A27" s="22" t="inlineStr">
        <is>
          <t>academic_registration</t>
        </is>
      </c>
      <c r="B27" s="22" t="inlineStr">
        <is>
          <t>graduates</t>
        </is>
      </c>
      <c r="C27" s="22" t="inlineStr">
        <is>
          <t>first_name</t>
        </is>
      </c>
      <c r="D27" s="22" t="inlineStr">
        <is>
          <t>trg_validate_graduate_management_update</t>
        </is>
      </c>
      <c r="E27" s="22" t="inlineStr">
        <is>
          <t>Trigger (UPDATE OF)</t>
        </is>
      </c>
      <c r="F27" s="22" t="inlineStr"/>
    </row>
    <row r="28">
      <c r="A28" s="22" t="inlineStr">
        <is>
          <t>academic_registration</t>
        </is>
      </c>
      <c r="B28" s="22" t="inlineStr">
        <is>
          <t>graduates</t>
        </is>
      </c>
      <c r="C28" s="22" t="inlineStr">
        <is>
          <t>last_name</t>
        </is>
      </c>
      <c r="D28" s="22" t="inlineStr">
        <is>
          <t>trg_validate_graduate_management_update</t>
        </is>
      </c>
      <c r="E28" s="22" t="inlineStr">
        <is>
          <t>Trigger (UPDATE OF)</t>
        </is>
      </c>
      <c r="F28" s="22" t="inlineStr"/>
    </row>
    <row r="29">
      <c r="A29" s="22" t="inlineStr">
        <is>
          <t>academic_work_plan</t>
        </is>
      </c>
      <c r="B29" s="22" t="inlineStr">
        <is>
          <t>periodo_academico</t>
        </is>
      </c>
      <c r="C29" s="22" t="inlineStr">
        <is>
          <t>codigo</t>
        </is>
      </c>
      <c r="D29" s="22" t="inlineStr">
        <is>
          <t>academic-schedule.reapuntar_grupos_por_equivalencia</t>
        </is>
      </c>
      <c r="E29" s="22" t="inlineStr">
        <is>
          <t>Función</t>
        </is>
      </c>
      <c r="F29" s="22" t="inlineStr">
        <is>
          <t>JOIN "academic-schedule".equivalencia_periodo e ON e.codigo_programacion = pp.codigo
JOIN academic_work_plan.periodo_academico pa    ON pa.codigo = e.codigo_periodo_academico</t>
        </is>
      </c>
    </row>
    <row r="30">
      <c r="A30" s="22" t="inlineStr">
        <is>
          <t>academic_work_plan</t>
        </is>
      </c>
      <c r="B30" s="22" t="inlineStr">
        <is>
          <t>programa</t>
        </is>
      </c>
      <c r="C30" s="22" t="inlineStr">
        <is>
          <t>nombre</t>
        </is>
      </c>
      <c r="D30" s="22" t="inlineStr">
        <is>
          <t>control_interno.fn_configurar_actividad_auditorias_plan</t>
        </is>
      </c>
      <c r="E30" s="22" t="inlineStr">
        <is>
          <t>Función</t>
        </is>
      </c>
      <c r="F30" s="22" t="inlineStr">
        <is>
          <t>LOWER(a.nombre) LIKE '%auditoría%'
OR LOWER(a.nombre) LIKE '%auditoria%'
OR LOWER(a.nombre) LIKE '%programa de auditor%'</t>
        </is>
      </c>
    </row>
    <row r="31">
      <c r="A31" s="22" t="inlineStr">
        <is>
          <t>academic_work_plan</t>
        </is>
      </c>
      <c r="B31" s="22" t="inlineStr">
        <is>
          <t>Rol</t>
        </is>
      </c>
      <c r="C31" s="22" t="inlineStr">
        <is>
          <t>nombre</t>
        </is>
      </c>
      <c r="D31" s="22" t="inlineStr">
        <is>
          <t>control_interno.fn_configurar_actividad_auditorias_plan</t>
        </is>
      </c>
      <c r="E31" s="22" t="inlineStr">
        <is>
          <t>Función</t>
        </is>
      </c>
      <c r="F31" s="22" t="inlineStr">
        <is>
          <t>LOWER(a.nombre) LIKE '%auditoría%'
OR LOWER(a.nombre) LIKE '%auditoria%'
OR LOWER(a.nombre) LIKE '%programa de auditor%'</t>
        </is>
      </c>
    </row>
    <row r="32">
      <c r="A32" s="22" t="inlineStr">
        <is>
          <t>academic_work_plan</t>
        </is>
      </c>
      <c r="B32" s="22" t="inlineStr">
        <is>
          <t>Territorial</t>
        </is>
      </c>
      <c r="C32" s="22" t="inlineStr">
        <is>
          <t>nombre</t>
        </is>
      </c>
      <c r="D32" s="22" t="inlineStr">
        <is>
          <t>control_interno.v_auditorias_kanban_completo</t>
        </is>
      </c>
      <c r="E32" s="22" t="inlineStr">
        <is>
          <t>Vista</t>
        </is>
      </c>
      <c r="F32" s="22" t="inlineStr"/>
    </row>
    <row r="33">
      <c r="A33" s="22" t="inlineStr">
        <is>
          <t>academic_work_plan</t>
        </is>
      </c>
      <c r="B33" s="22" t="inlineStr">
        <is>
          <t>Territorial</t>
        </is>
      </c>
      <c r="C33" s="22" t="inlineStr">
        <is>
          <t>codigo</t>
        </is>
      </c>
      <c r="D33" s="22" t="inlineStr">
        <is>
          <t>control_interno.v_auditorias_kanban_completo</t>
        </is>
      </c>
      <c r="E33" s="22" t="inlineStr">
        <is>
          <t>Vista</t>
        </is>
      </c>
      <c r="F33" s="22" t="inlineStr"/>
    </row>
    <row r="34">
      <c r="A34" s="22" t="inlineStr">
        <is>
          <t>legal_management</t>
        </is>
      </c>
      <c r="B34" s="22" t="inlineStr">
        <is>
          <t>hallazgos</t>
        </is>
      </c>
      <c r="C34" s="22" t="inlineStr">
        <is>
          <t>titulo</t>
        </is>
      </c>
      <c r="D34" s="22" t="inlineStr">
        <is>
          <t>control_interno.v_auditorias_kanban_completo</t>
        </is>
      </c>
      <c r="E34" s="22" t="inlineStr">
        <is>
          <t>Vista</t>
        </is>
      </c>
      <c r="F34" s="22" t="inlineStr"/>
    </row>
    <row r="35">
      <c r="A35" s="22" t="inlineStr">
        <is>
          <t>legal_management</t>
        </is>
      </c>
      <c r="B35" s="22" t="inlineStr">
        <is>
          <t>hallazgos</t>
        </is>
      </c>
      <c r="C35" s="22" t="inlineStr">
        <is>
          <t>descripcion</t>
        </is>
      </c>
      <c r="D35" s="22" t="inlineStr">
        <is>
          <t>control_interno.v_auditorias_kanban_completo</t>
        </is>
      </c>
      <c r="E35" s="22" t="inlineStr">
        <is>
          <t>Vista</t>
        </is>
      </c>
      <c r="F35" s="22" t="inlineStr"/>
    </row>
    <row r="36">
      <c r="A36" s="22" t="inlineStr">
        <is>
          <t>legal_management</t>
        </is>
      </c>
      <c r="B36" s="22" t="inlineStr">
        <is>
          <t>hallazgos</t>
        </is>
      </c>
      <c r="C36" s="22" t="inlineStr">
        <is>
          <t>estado</t>
        </is>
      </c>
      <c r="D36" s="22" t="inlineStr">
        <is>
          <t>control_interno.v_auditorias_kanban_completo</t>
        </is>
      </c>
      <c r="E36" s="22" t="inlineStr">
        <is>
          <t>Vista</t>
        </is>
      </c>
      <c r="F36" s="22" t="inlineStr"/>
    </row>
    <row r="37">
      <c r="A37" s="22" t="inlineStr">
        <is>
          <t>legal_management</t>
        </is>
      </c>
      <c r="B37" s="22" t="inlineStr">
        <is>
          <t>hallazgos</t>
        </is>
      </c>
      <c r="C37" s="22" t="inlineStr">
        <is>
          <t>estado</t>
        </is>
      </c>
      <c r="D37" s="22" t="inlineStr">
        <is>
          <t>control_interno.v_auditorias_por_estado</t>
        </is>
      </c>
      <c r="E37" s="22" t="inlineStr">
        <is>
          <t>Vista</t>
        </is>
      </c>
      <c r="F37" s="22" t="inlineStr"/>
    </row>
    <row r="38">
      <c r="A38" s="22" t="inlineStr">
        <is>
          <t>control_interno</t>
        </is>
      </c>
      <c r="B38" s="22" t="inlineStr">
        <is>
          <t>accion_correctiva</t>
        </is>
      </c>
      <c r="C38" s="22" t="inlineStr">
        <is>
          <t>descripcion</t>
        </is>
      </c>
      <c r="D38" s="22" t="inlineStr">
        <is>
          <t>control_interno.trigger_evento_actualizacion_accion</t>
        </is>
      </c>
      <c r="E38" s="22" t="inlineStr">
        <is>
          <t>Función</t>
        </is>
      </c>
      <c r="F38" s="22" t="inlineStr">
        <is>
          <t>v_descripcion := 'Acción completada: ' || SUBSTRING(NEW.descripcion, 1, 100) ||
CASE WHEN LENGTH(NEW.descripcion) &gt; 100 THEN '...' ELSE '' END;
v_descripcion := 'Acción actualizada: ' || SUBSTRING(NEW.descripcion, 1, 100) ||</t>
        </is>
      </c>
    </row>
    <row r="39">
      <c r="A39" s="22" t="inlineStr">
        <is>
          <t>control_interno</t>
        </is>
      </c>
      <c r="B39" s="22" t="inlineStr">
        <is>
          <t>accion_correctiva</t>
        </is>
      </c>
      <c r="C39" s="22" t="inlineStr">
        <is>
          <t>descripcion</t>
        </is>
      </c>
      <c r="D39" s="22" t="inlineStr">
        <is>
          <t>control_interno.trigger_evento_creacion_accion</t>
        </is>
      </c>
      <c r="E39" s="22" t="inlineStr">
        <is>
          <t>Función</t>
        </is>
      </c>
      <c r="F39" s="22" t="inlineStr">
        <is>
          <t>'Nueva acción creada: ' || SUBSTRING(NEW.descripcion, 1, 100) ||
CASE WHEN LENGTH(NEW.descripcion) &gt; 100 THEN '...' ELSE '' END,</t>
        </is>
      </c>
    </row>
    <row r="40">
      <c r="A40" s="22" t="inlineStr">
        <is>
          <t>control_interno</t>
        </is>
      </c>
      <c r="B40" s="22" t="inlineStr">
        <is>
          <t>accion_correctiva</t>
        </is>
      </c>
      <c r="C40" s="22" t="inlineStr">
        <is>
          <t>tipo</t>
        </is>
      </c>
      <c r="D40" s="22" t="inlineStr">
        <is>
          <t>control_interno.trigger_evento_actualizacion_accion</t>
        </is>
      </c>
      <c r="E40" s="22" t="inlineStr">
        <is>
          <t>Función</t>
        </is>
      </c>
      <c r="F40" s="22" t="inlineStr">
        <is>
          <t>-- Determinar el tipo de evento según lo que cambió</t>
        </is>
      </c>
    </row>
    <row r="41">
      <c r="A41" s="22" t="inlineStr">
        <is>
          <t>control_interno</t>
        </is>
      </c>
      <c r="B41" s="22" t="inlineStr">
        <is>
          <t>accion_correctiva</t>
        </is>
      </c>
      <c r="C41" s="22" t="inlineStr">
        <is>
          <t>responsable</t>
        </is>
      </c>
      <c r="D41" s="22" t="inlineStr">
        <is>
          <t>control_interno.trigger_evento_actualizacion_accion</t>
        </is>
      </c>
      <c r="E41" s="22" t="inlineStr">
        <is>
          <t>Función</t>
        </is>
      </c>
      <c r="F41" s="22" t="inlineStr">
        <is>
          <t>NEW.responsable,  -- usar el campo responsable que es varchar</t>
        </is>
      </c>
    </row>
    <row r="42">
      <c r="A42" s="22" t="inlineStr">
        <is>
          <t>control_interno</t>
        </is>
      </c>
      <c r="B42" s="22" t="inlineStr">
        <is>
          <t>accion_correctiva</t>
        </is>
      </c>
      <c r="C42" s="22" t="inlineStr">
        <is>
          <t>responsable</t>
        </is>
      </c>
      <c r="D42" s="22" t="inlineStr">
        <is>
          <t>control_interno.trigger_evento_creacion_accion</t>
        </is>
      </c>
      <c r="E42" s="22" t="inlineStr">
        <is>
          <t>Función</t>
        </is>
      </c>
      <c r="F42" s="22" t="inlineStr">
        <is>
          <t>NEW.responsable,  -- usar el campo responsable que es varchar</t>
        </is>
      </c>
    </row>
    <row r="43">
      <c r="A43" s="22" t="inlineStr">
        <is>
          <t>control_interno</t>
        </is>
      </c>
      <c r="B43" s="22" t="inlineStr">
        <is>
          <t>accion_correctiva</t>
        </is>
      </c>
      <c r="C43" s="22" t="inlineStr">
        <is>
          <t>estado</t>
        </is>
      </c>
      <c r="D43" s="22" t="inlineStr">
        <is>
          <t>control_interno.trigger_evento_actualizacion_accion</t>
        </is>
      </c>
      <c r="E43" s="22" t="inlineStr">
        <is>
          <t>Función</t>
        </is>
      </c>
      <c r="F43" s="22" t="inlineStr">
        <is>
          <t>ELSIF OLD.estado IS DISTINCT FROM NEW.estado THEN
v_tipo := 'ESTADO'::control_interno.tipo_evento_timeline;
v_descripcion := 'Estado de acción actualizado: ' || OLD.estado || ' → ' || NEW.estado;</t>
        </is>
      </c>
    </row>
    <row r="44">
      <c r="A44" s="22" t="inlineStr">
        <is>
          <t>control_interno</t>
        </is>
      </c>
      <c r="B44" s="22" t="inlineStr">
        <is>
          <t>accion_correctiva</t>
        </is>
      </c>
      <c r="C44" s="22" t="inlineStr">
        <is>
          <t>estado</t>
        </is>
      </c>
      <c r="D44" s="22" t="inlineStr">
        <is>
          <t>control_interno.trigger_evento_creacion_accion</t>
        </is>
      </c>
      <c r="E44" s="22" t="inlineStr">
        <is>
          <t>Función</t>
        </is>
      </c>
      <c r="F44" s="22" t="inlineStr">
        <is>
          <t>'estado', NEW.estado,</t>
        </is>
      </c>
    </row>
    <row r="45">
      <c r="A45" s="22" t="inlineStr">
        <is>
          <t>control_interno</t>
        </is>
      </c>
      <c r="B45" s="22" t="inlineStr">
        <is>
          <t>accion_correctiva</t>
        </is>
      </c>
      <c r="C45" s="22" t="inlineStr">
        <is>
          <t>porcentaje_avance</t>
        </is>
      </c>
      <c r="D45" s="22" t="inlineStr">
        <is>
          <t>control_interno.trigger_evento_actualizacion_accion</t>
        </is>
      </c>
      <c r="E45" s="22" t="inlineStr">
        <is>
          <t>Función</t>
        </is>
      </c>
      <c r="F45" s="22" t="inlineStr">
        <is>
          <t>IF OLD.porcentaje_avance IS DISTINCT FROM NEW.porcentaje_avance THEN
v_descripcion := 'Progreso actualizado: ' || OLD.porcentaje_avance || '% → ' || NEW.porcentaje_avance || '%';
'progreso_anterior', OLD.porcentaje_avance,</t>
        </is>
      </c>
    </row>
    <row r="46">
      <c r="A46" s="22" t="inlineStr">
        <is>
          <t>control_interno</t>
        </is>
      </c>
      <c r="B46" s="22" t="inlineStr">
        <is>
          <t>accion_correctiva</t>
        </is>
      </c>
      <c r="C46" s="22" t="inlineStr">
        <is>
          <t>porcentaje_avance</t>
        </is>
      </c>
      <c r="D46" s="22" t="inlineStr">
        <is>
          <t>control_interno.trigger_evento_creacion_accion</t>
        </is>
      </c>
      <c r="E46" s="22" t="inlineStr">
        <is>
          <t>Función</t>
        </is>
      </c>
      <c r="F46" s="22" t="inlineStr">
        <is>
          <t>'progreso', NEW.porcentaje_avance</t>
        </is>
      </c>
    </row>
    <row r="47">
      <c r="A47" s="22" t="inlineStr">
        <is>
          <t>control_interno</t>
        </is>
      </c>
      <c r="B47" s="22" t="inlineStr">
        <is>
          <t>actividad_plan_anual_5</t>
        </is>
      </c>
      <c r="C47" s="22" t="inlineStr">
        <is>
          <t>plan_id</t>
        </is>
      </c>
      <c r="D47" s="22" t="inlineStr">
        <is>
          <t>control_interno.fn_actualizar_cumplimiento_auditorias_vigencia</t>
        </is>
      </c>
      <c r="E47" s="22" t="inlineStr">
        <is>
          <t>Función</t>
        </is>
      </c>
      <c r="F47" s="22" t="inlineStr">
        <is>
          <t>INNER JOIN control_interno.plan_anual_5_roles p ON r.plan_id = p.id</t>
        </is>
      </c>
    </row>
    <row r="48">
      <c r="A48" s="22" t="inlineStr">
        <is>
          <t>control_interno</t>
        </is>
      </c>
      <c r="B48" s="22" t="inlineStr">
        <is>
          <t>actividad_plan_anual_5</t>
        </is>
      </c>
      <c r="C48" s="22" t="inlineStr">
        <is>
          <t>plan_id</t>
        </is>
      </c>
      <c r="D48" s="22" t="inlineStr">
        <is>
          <t>control_interno.fn_configurar_actividad_auditorias_plan</t>
        </is>
      </c>
      <c r="E48" s="22" t="inlineStr">
        <is>
          <t>Función</t>
        </is>
      </c>
      <c r="F48" s="22" t="inlineStr">
        <is>
          <t>WHERE r.plan_id = p_plan_id
WHERE r.plan_id = p_plan_id
AND r.plan_id = p_plan_id</t>
        </is>
      </c>
    </row>
    <row r="49">
      <c r="A49" s="22" t="inlineStr">
        <is>
          <t>control_interno</t>
        </is>
      </c>
      <c r="B49" s="22" t="inlineStr">
        <is>
          <t>actividad_plan_anual_5</t>
        </is>
      </c>
      <c r="C49" s="22" t="inlineStr">
        <is>
          <t>plan_id</t>
        </is>
      </c>
      <c r="D49" s="22" t="inlineStr">
        <is>
          <t>control_interno.v_estado_vinculacion_auditorias</t>
        </is>
      </c>
      <c r="E49" s="22" t="inlineStr">
        <is>
          <t>Vista</t>
        </is>
      </c>
      <c r="F49" s="22" t="inlineStr"/>
    </row>
    <row r="50">
      <c r="A50" s="22" t="inlineStr">
        <is>
          <t>control_interno</t>
        </is>
      </c>
      <c r="B50" s="22" t="inlineStr">
        <is>
          <t>actividad_plan_anual_5</t>
        </is>
      </c>
      <c r="C50" s="22" t="inlineStr">
        <is>
          <t>nombre</t>
        </is>
      </c>
      <c r="D50" s="22" t="inlineStr">
        <is>
          <t>control_interno.fn_configurar_actividad_auditorias_plan</t>
        </is>
      </c>
      <c r="E50" s="22" t="inlineStr">
        <is>
          <t>Función</t>
        </is>
      </c>
      <c r="F50" s="22" t="inlineStr">
        <is>
          <t>LOWER(a.nombre) LIKE '%auditoría%'
OR LOWER(a.nombre) LIKE '%auditoria%'
OR LOWER(a.nombre) LIKE '%programa de auditor%'</t>
        </is>
      </c>
    </row>
    <row r="51">
      <c r="A51" s="22" t="inlineStr">
        <is>
          <t>control_interno</t>
        </is>
      </c>
      <c r="B51" s="22" t="inlineStr">
        <is>
          <t>actividad_plan_anual_5</t>
        </is>
      </c>
      <c r="C51" s="22" t="inlineStr">
        <is>
          <t>nombre</t>
        </is>
      </c>
      <c r="D51" s="22" t="inlineStr">
        <is>
          <t>control_interno.v_estado_vinculacion_auditorias</t>
        </is>
      </c>
      <c r="E51" s="22" t="inlineStr">
        <is>
          <t>Vista</t>
        </is>
      </c>
      <c r="F51" s="22" t="inlineStr"/>
    </row>
    <row r="52">
      <c r="A52" s="22" t="inlineStr">
        <is>
          <t>control_interno</t>
        </is>
      </c>
      <c r="B52" s="22" t="inlineStr">
        <is>
          <t>actividad_plan_anual_5</t>
        </is>
      </c>
      <c r="C52" s="22" t="inlineStr">
        <is>
          <t>fecha_inicio</t>
        </is>
      </c>
      <c r="D52" s="22" t="inlineStr">
        <is>
          <t>control_interno.v_estado_vinculacion_auditorias</t>
        </is>
      </c>
      <c r="E52" s="22" t="inlineStr">
        <is>
          <t>Vista</t>
        </is>
      </c>
      <c r="F52" s="22" t="inlineStr"/>
    </row>
    <row r="53">
      <c r="A53" s="22" t="inlineStr">
        <is>
          <t>control_interno</t>
        </is>
      </c>
      <c r="B53" s="22" t="inlineStr">
        <is>
          <t>actividad_plan_anual_5</t>
        </is>
      </c>
      <c r="C53" s="22" t="inlineStr">
        <is>
          <t>estado</t>
        </is>
      </c>
      <c r="D53" s="22" t="inlineStr">
        <is>
          <t>control_interno.fn_actualizar_cumplimiento_auditorias_vigencia</t>
        </is>
      </c>
      <c r="E53" s="22" t="inlineStr">
        <is>
          <t>Función</t>
        </is>
      </c>
      <c r="F53" s="22" t="inlineStr">
        <is>
          <t>estado = CASE</t>
        </is>
      </c>
    </row>
    <row r="54">
      <c r="A54" s="22" t="inlineStr">
        <is>
          <t>control_interno</t>
        </is>
      </c>
      <c r="B54" s="22" t="inlineStr">
        <is>
          <t>actividad_plan_anual_5</t>
        </is>
      </c>
      <c r="C54" s="22" t="inlineStr">
        <is>
          <t>porcentaje_avance</t>
        </is>
      </c>
      <c r="D54" s="22" t="inlineStr">
        <is>
          <t>control_interno.fn_actualizar_cumplimiento_auditorias_vigencia</t>
        </is>
      </c>
      <c r="E54" s="22" t="inlineStr">
        <is>
          <t>Función</t>
        </is>
      </c>
      <c r="F54" s="22" t="inlineStr">
        <is>
          <t>porcentaje_avance = v_cumplimiento.porcentaje_cumplimiento,</t>
        </is>
      </c>
    </row>
    <row r="55">
      <c r="A55" s="22" t="inlineStr">
        <is>
          <t>control_interno</t>
        </is>
      </c>
      <c r="B55" s="22" t="inlineStr">
        <is>
          <t>actividad_plan_anual_5</t>
        </is>
      </c>
      <c r="C55" s="22" t="inlineStr">
        <is>
          <t>porcentaje_avance</t>
        </is>
      </c>
      <c r="D55" s="22" t="inlineStr">
        <is>
          <t>control_interno.v_estado_vinculacion_auditorias</t>
        </is>
      </c>
      <c r="E55" s="22" t="inlineStr">
        <is>
          <t>Vista</t>
        </is>
      </c>
      <c r="F55" s="22" t="inlineStr"/>
    </row>
    <row r="56">
      <c r="A56" s="22" t="inlineStr">
        <is>
          <t>control_interno</t>
        </is>
      </c>
      <c r="B56" s="22" t="inlineStr">
        <is>
          <t>actividad_plan_anual_5</t>
        </is>
      </c>
      <c r="C56" s="22" t="inlineStr">
        <is>
          <t>total_auditorias_programadas</t>
        </is>
      </c>
      <c r="D56" s="22" t="inlineStr">
        <is>
          <t>control_interno.fn_actualizar_cumplimiento_auditorias_vigencia</t>
        </is>
      </c>
      <c r="E56" s="22" t="inlineStr">
        <is>
          <t>Función</t>
        </is>
      </c>
      <c r="F56" s="22" t="inlineStr">
        <is>
          <t>total_auditorias_programadas = v_cumplimiento.total_programadas,</t>
        </is>
      </c>
    </row>
    <row r="57">
      <c r="A57" s="22" t="inlineStr">
        <is>
          <t>control_interno</t>
        </is>
      </c>
      <c r="B57" s="22" t="inlineStr">
        <is>
          <t>actividad_plan_anual_5</t>
        </is>
      </c>
      <c r="C57" s="22" t="inlineStr">
        <is>
          <t>total_auditorias_programadas</t>
        </is>
      </c>
      <c r="D57" s="22" t="inlineStr">
        <is>
          <t>control_interno.v_estado_vinculacion_auditorias</t>
        </is>
      </c>
      <c r="E57" s="22" t="inlineStr">
        <is>
          <t>Vista</t>
        </is>
      </c>
      <c r="F57" s="22" t="inlineStr"/>
    </row>
    <row r="58">
      <c r="A58" s="22" t="inlineStr">
        <is>
          <t>control_interno</t>
        </is>
      </c>
      <c r="B58" s="22" t="inlineStr">
        <is>
          <t>actividad_plan_anual_5</t>
        </is>
      </c>
      <c r="C58" s="22" t="inlineStr">
        <is>
          <t>total_auditorias_finalizadas</t>
        </is>
      </c>
      <c r="D58" s="22" t="inlineStr">
        <is>
          <t>control_interno.fn_actualizar_cumplimiento_auditorias_vigencia</t>
        </is>
      </c>
      <c r="E58" s="22" t="inlineStr">
        <is>
          <t>Función</t>
        </is>
      </c>
      <c r="F58" s="22" t="inlineStr">
        <is>
          <t>total_auditorias_finalizadas = v_cumplimiento.total_finalizadas,</t>
        </is>
      </c>
    </row>
    <row r="59">
      <c r="A59" s="22" t="inlineStr">
        <is>
          <t>control_interno</t>
        </is>
      </c>
      <c r="B59" s="22" t="inlineStr">
        <is>
          <t>actividad_plan_anual_5</t>
        </is>
      </c>
      <c r="C59" s="22" t="inlineStr">
        <is>
          <t>total_auditorias_finalizadas</t>
        </is>
      </c>
      <c r="D59" s="22" t="inlineStr">
        <is>
          <t>control_interno.v_estado_vinculacion_auditorias</t>
        </is>
      </c>
      <c r="E59" s="22" t="inlineStr">
        <is>
          <t>Vista</t>
        </is>
      </c>
      <c r="F59" s="22" t="inlineStr"/>
    </row>
    <row r="60">
      <c r="A60" s="22" t="inlineStr">
        <is>
          <t>control_interno</t>
        </is>
      </c>
      <c r="B60" s="22" t="inlineStr">
        <is>
          <t>actividad_proceso_auditoria</t>
        </is>
      </c>
      <c r="C60" s="22" t="inlineStr">
        <is>
          <t>fase</t>
        </is>
      </c>
      <c r="D60" s="22" t="inlineStr">
        <is>
          <t>control_interno.actualizar_actividades_auditoria</t>
        </is>
      </c>
      <c r="E60" s="22" t="inlineStr">
        <is>
          <t>Función</t>
        </is>
      </c>
      <c r="F60" s="22" t="inlineStr">
        <is>
          <t>-- Obtener la fase actual de la auditoría
-- Si no hay fase, salir
-- Contar actividades de la fase actual de la auditoría</t>
        </is>
      </c>
    </row>
    <row r="61">
      <c r="A61" s="22" t="inlineStr">
        <is>
          <t>control_interno</t>
        </is>
      </c>
      <c r="B61" s="22" t="inlineStr">
        <is>
          <t>actividad_proceso_auditoria</t>
        </is>
      </c>
      <c r="C61" s="22" t="inlineStr">
        <is>
          <t>estado</t>
        </is>
      </c>
      <c r="D61" s="22" t="inlineStr">
        <is>
          <t>control_interno.actualizar_actividades_auditoria</t>
        </is>
      </c>
      <c r="E61" s="22" t="inlineStr">
        <is>
          <t>Función</t>
        </is>
      </c>
      <c r="F61" s="22" t="inlineStr">
        <is>
          <t>SELECT COUNT(*), COUNT(*) FILTER (WHERE estado = 'completada')</t>
        </is>
      </c>
    </row>
    <row r="62">
      <c r="A62" s="22" t="inlineStr">
        <is>
          <t>control_interno</t>
        </is>
      </c>
      <c r="B62" s="22" t="inlineStr">
        <is>
          <t>actividad_proceso_auditoria</t>
        </is>
      </c>
      <c r="C62" s="22" t="inlineStr">
        <is>
          <t>estado</t>
        </is>
      </c>
      <c r="D62" s="22" t="inlineStr">
        <is>
          <t>trigger_actualizar_actividades</t>
        </is>
      </c>
      <c r="E62" s="22" t="inlineStr">
        <is>
          <t>Trigger (UPDATE OF)</t>
        </is>
      </c>
      <c r="F62" s="22" t="inlineStr"/>
    </row>
    <row r="63">
      <c r="A63" s="22" t="inlineStr">
        <is>
          <t>control_interno</t>
        </is>
      </c>
      <c r="B63" s="22" t="inlineStr">
        <is>
          <t>aprobacion</t>
        </is>
      </c>
      <c r="C63" s="22" t="inlineStr">
        <is>
          <t>estado</t>
        </is>
      </c>
      <c r="D63" s="22" t="inlineStr">
        <is>
          <t>control_interno.trigger_evento_actualizacion_plan</t>
        </is>
      </c>
      <c r="E63" s="22" t="inlineStr">
        <is>
          <t>Función</t>
        </is>
      </c>
      <c r="F63" s="22" t="inlineStr">
        <is>
          <t>-- Solo registrar si cambió el estado
IF OLD.estado IS DISTINCT FROM NEW.estado THEN
WHEN NEW.estado = 'aprobado' THEN 'APROBACION'::control_interno.tipo_evento_timeline</t>
        </is>
      </c>
    </row>
    <row r="64">
      <c r="A64" s="22" t="inlineStr">
        <is>
          <t>control_interno</t>
        </is>
      </c>
      <c r="B64" s="22" t="inlineStr">
        <is>
          <t>aprobacion</t>
        </is>
      </c>
      <c r="C64" s="22" t="inlineStr">
        <is>
          <t>aprobado_por</t>
        </is>
      </c>
      <c r="D64" s="22" t="inlineStr">
        <is>
          <t>control_interno.trigger_evento_actualizacion_plan</t>
        </is>
      </c>
      <c r="E64" s="22" t="inlineStr">
        <is>
          <t>Función</t>
        </is>
      </c>
      <c r="F64" s="22" t="inlineStr">
        <is>
          <t>COALESCE(NEW.aprobado_por, NEW.responsable_implementacion),  -- usar aprobado_por si es aprobación, sino responsable_implementacion</t>
        </is>
      </c>
    </row>
    <row r="65">
      <c r="A65" s="22" t="inlineStr">
        <is>
          <t>control_interno</t>
        </is>
      </c>
      <c r="B65" s="22" t="inlineStr">
        <is>
          <t>auditor_perfil</t>
        </is>
      </c>
      <c r="C65" s="22" t="inlineStr">
        <is>
          <t>cargo</t>
        </is>
      </c>
      <c r="D65" s="22" t="inlineStr">
        <is>
          <t>control_interno.v_auditor_disponibilidad</t>
        </is>
      </c>
      <c r="E65" s="22" t="inlineStr">
        <is>
          <t>Vista</t>
        </is>
      </c>
      <c r="F65" s="22" t="inlineStr"/>
    </row>
    <row r="66">
      <c r="A66" s="22" t="inlineStr">
        <is>
          <t>control_interno</t>
        </is>
      </c>
      <c r="B66" s="22" t="inlineStr">
        <is>
          <t>auditor_perfil</t>
        </is>
      </c>
      <c r="C66" s="22" t="inlineStr">
        <is>
          <t>cargo</t>
        </is>
      </c>
      <c r="D66" s="22" t="inlineStr">
        <is>
          <t>control_interno.v_auditorias_kanban_completo</t>
        </is>
      </c>
      <c r="E66" s="22" t="inlineStr">
        <is>
          <t>Vista</t>
        </is>
      </c>
      <c r="F66" s="22" t="inlineStr"/>
    </row>
    <row r="67">
      <c r="A67" s="22" t="inlineStr">
        <is>
          <t>control_interno</t>
        </is>
      </c>
      <c r="B67" s="22" t="inlineStr">
        <is>
          <t>auditor_perfil</t>
        </is>
      </c>
      <c r="C67" s="22" t="inlineStr">
        <is>
          <t>nivel_experiencia</t>
        </is>
      </c>
      <c r="D67" s="22" t="inlineStr">
        <is>
          <t>control_interno.v_auditor_disponibilidad</t>
        </is>
      </c>
      <c r="E67" s="22" t="inlineStr">
        <is>
          <t>Vista</t>
        </is>
      </c>
      <c r="F67" s="22" t="inlineStr"/>
    </row>
    <row r="68">
      <c r="A68" s="22" t="inlineStr">
        <is>
          <t>control_interno</t>
        </is>
      </c>
      <c r="B68" s="22" t="inlineStr">
        <is>
          <t>auditor_perfil</t>
        </is>
      </c>
      <c r="C68" s="22" t="inlineStr">
        <is>
          <t>fecha_ultima_actividad</t>
        </is>
      </c>
      <c r="D68" s="22" t="inlineStr">
        <is>
          <t>control_interno.v_auditor_disponibilidad</t>
        </is>
      </c>
      <c r="E68" s="22" t="inlineStr">
        <is>
          <t>Vista</t>
        </is>
      </c>
      <c r="F68" s="22" t="inlineStr"/>
    </row>
    <row r="69">
      <c r="A69" s="22" t="inlineStr">
        <is>
          <t>control_interno</t>
        </is>
      </c>
      <c r="B69" s="22" t="inlineStr">
        <is>
          <t>auditor_perfil</t>
        </is>
      </c>
      <c r="C69" s="22" t="inlineStr">
        <is>
          <t>observaciones</t>
        </is>
      </c>
      <c r="D69" s="22" t="inlineStr">
        <is>
          <t>control_interno.v_auditor_disponibilidad</t>
        </is>
      </c>
      <c r="E69" s="22" t="inlineStr">
        <is>
          <t>Vista</t>
        </is>
      </c>
      <c r="F69" s="22" t="inlineStr"/>
    </row>
    <row r="70">
      <c r="A70" s="22" t="inlineStr">
        <is>
          <t>control_interno</t>
        </is>
      </c>
      <c r="B70" s="22" t="inlineStr">
        <is>
          <t>auditor_perfil</t>
        </is>
      </c>
      <c r="C70" s="22" t="inlineStr">
        <is>
          <t>activo</t>
        </is>
      </c>
      <c r="D70" s="22" t="inlineStr">
        <is>
          <t>control_interno.v_auditor_disponibilidad</t>
        </is>
      </c>
      <c r="E70" s="22" t="inlineStr">
        <is>
          <t>Vista</t>
        </is>
      </c>
      <c r="F70" s="22" t="inlineStr"/>
    </row>
    <row r="71">
      <c r="A71" s="22" t="inlineStr">
        <is>
          <t>control_interno</t>
        </is>
      </c>
      <c r="B71" s="22" t="inlineStr">
        <is>
          <t>auditor_perfil</t>
        </is>
      </c>
      <c r="C71" s="22" t="inlineStr">
        <is>
          <t>activo</t>
        </is>
      </c>
      <c r="D71" s="22" t="inlineStr">
        <is>
          <t>control_interno.v_auditorias_kanban_completo</t>
        </is>
      </c>
      <c r="E71" s="22" t="inlineStr">
        <is>
          <t>Vista</t>
        </is>
      </c>
      <c r="F71" s="22" t="inlineStr"/>
    </row>
    <row r="72">
      <c r="A72" s="22" t="inlineStr">
        <is>
          <t>control_interno</t>
        </is>
      </c>
      <c r="B72" s="22" t="inlineStr">
        <is>
          <t>auditoria</t>
        </is>
      </c>
      <c r="C72" s="22" t="inlineStr">
        <is>
          <t>codigo</t>
        </is>
      </c>
      <c r="D72" s="22" t="inlineStr">
        <is>
          <t>control_interno.v_auditorias_finalizadas</t>
        </is>
      </c>
      <c r="E72" s="22" t="inlineStr">
        <is>
          <t>Vista</t>
        </is>
      </c>
      <c r="F72" s="22" t="inlineStr"/>
    </row>
    <row r="73">
      <c r="A73" s="22" t="inlineStr">
        <is>
          <t>control_interno</t>
        </is>
      </c>
      <c r="B73" s="22" t="inlineStr">
        <is>
          <t>auditoria</t>
        </is>
      </c>
      <c r="C73" s="22" t="inlineStr">
        <is>
          <t>codigo</t>
        </is>
      </c>
      <c r="D73" s="22" t="inlineStr">
        <is>
          <t>control_interno.v_auditorias_kanban_completo</t>
        </is>
      </c>
      <c r="E73" s="22" t="inlineStr">
        <is>
          <t>Vista</t>
        </is>
      </c>
      <c r="F73" s="22" t="inlineStr"/>
    </row>
    <row r="74">
      <c r="A74" s="22" t="inlineStr">
        <is>
          <t>control_interno</t>
        </is>
      </c>
      <c r="B74" s="22" t="inlineStr">
        <is>
          <t>auditoria</t>
        </is>
      </c>
      <c r="C74" s="22" t="inlineStr">
        <is>
          <t>nombre</t>
        </is>
      </c>
      <c r="D74" s="22" t="inlineStr">
        <is>
          <t>control_interno.fn_configurar_actividad_auditorias_plan</t>
        </is>
      </c>
      <c r="E74" s="22" t="inlineStr">
        <is>
          <t>Función</t>
        </is>
      </c>
      <c r="F74" s="22" t="inlineStr">
        <is>
          <t>LOWER(a.nombre) LIKE '%auditoría%'
OR LOWER(a.nombre) LIKE '%auditoria%'
OR LOWER(a.nombre) LIKE '%programa de auditor%'</t>
        </is>
      </c>
    </row>
    <row r="75">
      <c r="A75" s="22" t="inlineStr">
        <is>
          <t>control_interno</t>
        </is>
      </c>
      <c r="B75" s="22" t="inlineStr">
        <is>
          <t>auditoria</t>
        </is>
      </c>
      <c r="C75" s="22" t="inlineStr">
        <is>
          <t>nombre</t>
        </is>
      </c>
      <c r="D75" s="22" t="inlineStr">
        <is>
          <t>control_interno.v_auditor_disponibilidad</t>
        </is>
      </c>
      <c r="E75" s="22" t="inlineStr">
        <is>
          <t>Vista</t>
        </is>
      </c>
      <c r="F75" s="22" t="inlineStr"/>
    </row>
    <row r="76">
      <c r="A76" s="22" t="inlineStr">
        <is>
          <t>control_interno</t>
        </is>
      </c>
      <c r="B76" s="22" t="inlineStr">
        <is>
          <t>auditoria</t>
        </is>
      </c>
      <c r="C76" s="22" t="inlineStr">
        <is>
          <t>nombre</t>
        </is>
      </c>
      <c r="D76" s="22" t="inlineStr">
        <is>
          <t>control_interno.v_auditorias_finalizadas</t>
        </is>
      </c>
      <c r="E76" s="22" t="inlineStr">
        <is>
          <t>Vista</t>
        </is>
      </c>
      <c r="F76" s="22" t="inlineStr"/>
    </row>
    <row r="77">
      <c r="A77" s="22" t="inlineStr">
        <is>
          <t>control_interno</t>
        </is>
      </c>
      <c r="B77" s="22" t="inlineStr">
        <is>
          <t>auditoria</t>
        </is>
      </c>
      <c r="C77" s="22" t="inlineStr">
        <is>
          <t>nombre</t>
        </is>
      </c>
      <c r="D77" s="22" t="inlineStr">
        <is>
          <t>control_interno.v_auditorias_kanban_completo</t>
        </is>
      </c>
      <c r="E77" s="22" t="inlineStr">
        <is>
          <t>Vista</t>
        </is>
      </c>
      <c r="F77" s="22" t="inlineStr"/>
    </row>
    <row r="78">
      <c r="A78" s="22" t="inlineStr">
        <is>
          <t>control_interno</t>
        </is>
      </c>
      <c r="B78" s="22" t="inlineStr">
        <is>
          <t>auditoria</t>
        </is>
      </c>
      <c r="C78" s="22" t="inlineStr">
        <is>
          <t>nombre</t>
        </is>
      </c>
      <c r="D78" s="22" t="inlineStr">
        <is>
          <t>control_interno.v_estado_vinculacion_auditorias</t>
        </is>
      </c>
      <c r="E78" s="22" t="inlineStr">
        <is>
          <t>Vista</t>
        </is>
      </c>
      <c r="F78" s="22" t="inlineStr"/>
    </row>
    <row r="79">
      <c r="A79" s="22" t="inlineStr">
        <is>
          <t>control_interno</t>
        </is>
      </c>
      <c r="B79" s="22" t="inlineStr">
        <is>
          <t>auditoria</t>
        </is>
      </c>
      <c r="C79" s="22" t="inlineStr">
        <is>
          <t>tipo</t>
        </is>
      </c>
      <c r="D79" s="22" t="inlineStr">
        <is>
          <t>control_interno.actualizar_contadores_documentos_informes</t>
        </is>
      </c>
      <c r="E79" s="22" t="inlineStr">
        <is>
          <t>Función</t>
        </is>
      </c>
      <c r="F79" s="22" t="inlineStr">
        <is>
          <t>-- Determinar el ID de la auditoría y el tipo de documento
-- Determinar si es un informe basado en el tipo de documento</t>
        </is>
      </c>
    </row>
    <row r="80">
      <c r="A80" s="22" t="inlineStr">
        <is>
          <t>control_interno</t>
        </is>
      </c>
      <c r="B80" s="22" t="inlineStr">
        <is>
          <t>auditoria</t>
        </is>
      </c>
      <c r="C80" s="22" t="inlineStr">
        <is>
          <t>tipo</t>
        </is>
      </c>
      <c r="D80" s="22" t="inlineStr">
        <is>
          <t>control_interno.fn_calcular_cumplimiento_auditorias</t>
        </is>
      </c>
      <c r="E80" s="22" t="inlineStr">
        <is>
          <t>Función</t>
        </is>
      </c>
      <c r="F80" s="22" t="inlineStr">
        <is>
          <t>COALESCE(tipo, 'regular') AS tipo_grupo,
GROUP BY COALESCE(tipo, 'regular')</t>
        </is>
      </c>
    </row>
    <row r="81">
      <c r="A81" s="22" t="inlineStr">
        <is>
          <t>control_interno</t>
        </is>
      </c>
      <c r="B81" s="22" t="inlineStr">
        <is>
          <t>auditoria</t>
        </is>
      </c>
      <c r="C81" s="22" t="inlineStr">
        <is>
          <t>tipo</t>
        </is>
      </c>
      <c r="D81" s="22" t="inlineStr">
        <is>
          <t>control_interno.v_auditorias_finalizadas</t>
        </is>
      </c>
      <c r="E81" s="22" t="inlineStr">
        <is>
          <t>Vista</t>
        </is>
      </c>
      <c r="F81" s="22" t="inlineStr"/>
    </row>
    <row r="82">
      <c r="A82" s="22" t="inlineStr">
        <is>
          <t>control_interno</t>
        </is>
      </c>
      <c r="B82" s="22" t="inlineStr">
        <is>
          <t>auditoria</t>
        </is>
      </c>
      <c r="C82" s="22" t="inlineStr">
        <is>
          <t>tipo</t>
        </is>
      </c>
      <c r="D82" s="22" t="inlineStr">
        <is>
          <t>control_interno.v_auditorias_kanban_completo</t>
        </is>
      </c>
      <c r="E82" s="22" t="inlineStr">
        <is>
          <t>Vista</t>
        </is>
      </c>
      <c r="F82" s="22" t="inlineStr"/>
    </row>
    <row r="83">
      <c r="A83" s="22" t="inlineStr">
        <is>
          <t>control_interno</t>
        </is>
      </c>
      <c r="B83" s="22" t="inlineStr">
        <is>
          <t>auditoria</t>
        </is>
      </c>
      <c r="C83" s="22" t="inlineStr">
        <is>
          <t>tipo</t>
        </is>
      </c>
      <c r="D83" s="22" t="inlineStr">
        <is>
          <t>control_interno.v_resumen_auditorias_por_año</t>
        </is>
      </c>
      <c r="E83" s="22" t="inlineStr">
        <is>
          <t>Vista</t>
        </is>
      </c>
      <c r="F83" s="22" t="inlineStr"/>
    </row>
    <row r="84">
      <c r="A84" s="22" t="inlineStr">
        <is>
          <t>control_interno</t>
        </is>
      </c>
      <c r="B84" s="22" t="inlineStr">
        <is>
          <t>auditoria</t>
        </is>
      </c>
      <c r="C84" s="22" t="inlineStr">
        <is>
          <t>territorial</t>
        </is>
      </c>
      <c r="D84" s="22" t="inlineStr">
        <is>
          <t>control_interno.v_auditorias_kanban_completo</t>
        </is>
      </c>
      <c r="E84" s="22" t="inlineStr">
        <is>
          <t>Vista</t>
        </is>
      </c>
      <c r="F84" s="22" t="inlineStr"/>
    </row>
    <row r="85">
      <c r="A85" s="22" t="inlineStr">
        <is>
          <t>control_interno</t>
        </is>
      </c>
      <c r="B85" s="22" t="inlineStr">
        <is>
          <t>auditoria</t>
        </is>
      </c>
      <c r="C85" s="22" t="inlineStr">
        <is>
          <t>progreso</t>
        </is>
      </c>
      <c r="D85" s="22" t="inlineStr">
        <is>
          <t>control_interno.v_auditorias_finalizadas</t>
        </is>
      </c>
      <c r="E85" s="22" t="inlineStr">
        <is>
          <t>Vista</t>
        </is>
      </c>
      <c r="F85" s="22" t="inlineStr"/>
    </row>
    <row r="86">
      <c r="A86" s="22" t="inlineStr">
        <is>
          <t>control_interno</t>
        </is>
      </c>
      <c r="B86" s="22" t="inlineStr">
        <is>
          <t>auditoria</t>
        </is>
      </c>
      <c r="C86" s="22" t="inlineStr">
        <is>
          <t>progreso</t>
        </is>
      </c>
      <c r="D86" s="22" t="inlineStr">
        <is>
          <t>control_interno.v_auditorias_kanban_completo</t>
        </is>
      </c>
      <c r="E86" s="22" t="inlineStr">
        <is>
          <t>Vista</t>
        </is>
      </c>
      <c r="F86" s="22" t="inlineStr"/>
    </row>
    <row r="87">
      <c r="A87" s="22" t="inlineStr">
        <is>
          <t>control_interno</t>
        </is>
      </c>
      <c r="B87" s="22" t="inlineStr">
        <is>
          <t>auditoria</t>
        </is>
      </c>
      <c r="C87" s="22" t="inlineStr">
        <is>
          <t>progreso</t>
        </is>
      </c>
      <c r="D87" s="22" t="inlineStr">
        <is>
          <t>control_interno.v_auditorias_por_estado</t>
        </is>
      </c>
      <c r="E87" s="22" t="inlineStr">
        <is>
          <t>Vista</t>
        </is>
      </c>
      <c r="F87" s="22" t="inlineStr"/>
    </row>
    <row r="88">
      <c r="A88" s="22" t="inlineStr">
        <is>
          <t>control_interno</t>
        </is>
      </c>
      <c r="B88" s="22" t="inlineStr">
        <is>
          <t>auditoria</t>
        </is>
      </c>
      <c r="C88" s="22" t="inlineStr">
        <is>
          <t>prioridad</t>
        </is>
      </c>
      <c r="D88" s="22" t="inlineStr">
        <is>
          <t>control_interno.v_auditorias_kanban_completo</t>
        </is>
      </c>
      <c r="E88" s="22" t="inlineStr">
        <is>
          <t>Vista</t>
        </is>
      </c>
      <c r="F88" s="22" t="inlineStr"/>
    </row>
    <row r="89">
      <c r="A89" s="22" t="inlineStr">
        <is>
          <t>control_interno</t>
        </is>
      </c>
      <c r="B89" s="22" t="inlineStr">
        <is>
          <t>auditoria</t>
        </is>
      </c>
      <c r="C89" s="22" t="inlineStr">
        <is>
          <t>hallazgos</t>
        </is>
      </c>
      <c r="D89" s="22" t="inlineStr">
        <is>
          <t>control_interno.v_auditorias_finalizadas</t>
        </is>
      </c>
      <c r="E89" s="22" t="inlineStr">
        <is>
          <t>Vista</t>
        </is>
      </c>
      <c r="F89" s="22" t="inlineStr"/>
    </row>
    <row r="90">
      <c r="A90" s="22" t="inlineStr">
        <is>
          <t>control_interno</t>
        </is>
      </c>
      <c r="B90" s="22" t="inlineStr">
        <is>
          <t>auditoria</t>
        </is>
      </c>
      <c r="C90" s="22" t="inlineStr">
        <is>
          <t>hallazgos</t>
        </is>
      </c>
      <c r="D90" s="22" t="inlineStr">
        <is>
          <t>control_interno.v_auditorias_kanban_completo</t>
        </is>
      </c>
      <c r="E90" s="22" t="inlineStr">
        <is>
          <t>Vista</t>
        </is>
      </c>
      <c r="F90" s="22" t="inlineStr"/>
    </row>
    <row r="91">
      <c r="A91" s="22" t="inlineStr">
        <is>
          <t>control_interno</t>
        </is>
      </c>
      <c r="B91" s="22" t="inlineStr">
        <is>
          <t>auditoria</t>
        </is>
      </c>
      <c r="C91" s="22" t="inlineStr">
        <is>
          <t>hallazgos</t>
        </is>
      </c>
      <c r="D91" s="22" t="inlineStr">
        <is>
          <t>control_interno.v_auditorias_por_estado</t>
        </is>
      </c>
      <c r="E91" s="22" t="inlineStr">
        <is>
          <t>Vista</t>
        </is>
      </c>
      <c r="F91" s="22" t="inlineStr"/>
    </row>
    <row r="92">
      <c r="A92" s="22" t="inlineStr">
        <is>
          <t>control_interno</t>
        </is>
      </c>
      <c r="B92" s="22" t="inlineStr">
        <is>
          <t>auditoria</t>
        </is>
      </c>
      <c r="C92" s="22" t="inlineStr">
        <is>
          <t>semaforo</t>
        </is>
      </c>
      <c r="D92" s="22" t="inlineStr">
        <is>
          <t>control_interno.v_auditorias_kanban_completo</t>
        </is>
      </c>
      <c r="E92" s="22" t="inlineStr">
        <is>
          <t>Vista</t>
        </is>
      </c>
      <c r="F92" s="22" t="inlineStr"/>
    </row>
    <row r="93">
      <c r="A93" s="22" t="inlineStr">
        <is>
          <t>control_interno</t>
        </is>
      </c>
      <c r="B93" s="22" t="inlineStr">
        <is>
          <t>auditoria</t>
        </is>
      </c>
      <c r="C93" s="22" t="inlineStr">
        <is>
          <t>semaforo</t>
        </is>
      </c>
      <c r="D93" s="22" t="inlineStr">
        <is>
          <t>control_interno.v_auditorias_por_estado</t>
        </is>
      </c>
      <c r="E93" s="22" t="inlineStr">
        <is>
          <t>Vista</t>
        </is>
      </c>
      <c r="F93" s="22" t="inlineStr"/>
    </row>
    <row r="94">
      <c r="A94" s="22" t="inlineStr">
        <is>
          <t>control_interno</t>
        </is>
      </c>
      <c r="B94" s="22" t="inlineStr">
        <is>
          <t>auditoria</t>
        </is>
      </c>
      <c r="C94" s="22" t="inlineStr">
        <is>
          <t>tipo_kanban</t>
        </is>
      </c>
      <c r="D94" s="22" t="inlineStr">
        <is>
          <t>control_interno.v_auditorias_kanban_completo</t>
        </is>
      </c>
      <c r="E94" s="22" t="inlineStr">
        <is>
          <t>Vista</t>
        </is>
      </c>
      <c r="F94" s="22" t="inlineStr"/>
    </row>
    <row r="95">
      <c r="A95" s="22" t="inlineStr">
        <is>
          <t>control_interno</t>
        </is>
      </c>
      <c r="B95" s="22" t="inlineStr">
        <is>
          <t>auditoria</t>
        </is>
      </c>
      <c r="C95" s="22" t="inlineStr">
        <is>
          <t>prioridad_kanban</t>
        </is>
      </c>
      <c r="D95" s="22" t="inlineStr">
        <is>
          <t>control_interno.v_auditorias_kanban_completo</t>
        </is>
      </c>
      <c r="E95" s="22" t="inlineStr">
        <is>
          <t>Vista</t>
        </is>
      </c>
      <c r="F95" s="22" t="inlineStr"/>
    </row>
    <row r="96">
      <c r="A96" s="22" t="inlineStr">
        <is>
          <t>control_interno</t>
        </is>
      </c>
      <c r="B96" s="22" t="inlineStr">
        <is>
          <t>auditoria</t>
        </is>
      </c>
      <c r="C96" s="22" t="inlineStr">
        <is>
          <t>area_objetivo</t>
        </is>
      </c>
      <c r="D96" s="22" t="inlineStr">
        <is>
          <t>control_interno.v_auditorias_kanban_completo</t>
        </is>
      </c>
      <c r="E96" s="22" t="inlineStr">
        <is>
          <t>Vista</t>
        </is>
      </c>
      <c r="F96" s="22" t="inlineStr"/>
    </row>
    <row r="97">
      <c r="A97" s="22" t="inlineStr">
        <is>
          <t>control_interno</t>
        </is>
      </c>
      <c r="B97" s="22" t="inlineStr">
        <is>
          <t>auditoria</t>
        </is>
      </c>
      <c r="C97" s="22" t="inlineStr">
        <is>
          <t>alcance</t>
        </is>
      </c>
      <c r="D97" s="22" t="inlineStr">
        <is>
          <t>control_interno.v_auditorias_kanban_completo</t>
        </is>
      </c>
      <c r="E97" s="22" t="inlineStr">
        <is>
          <t>Vista</t>
        </is>
      </c>
      <c r="F97" s="22" t="inlineStr"/>
    </row>
    <row r="98">
      <c r="A98" s="22" t="inlineStr">
        <is>
          <t>control_interno</t>
        </is>
      </c>
      <c r="B98" s="22" t="inlineStr">
        <is>
          <t>auditoria</t>
        </is>
      </c>
      <c r="C98" s="22" t="inlineStr">
        <is>
          <t>proceso_auditado</t>
        </is>
      </c>
      <c r="D98" s="22" t="inlineStr">
        <is>
          <t>control_interno.v_auditorias_kanban_completo</t>
        </is>
      </c>
      <c r="E98" s="22" t="inlineStr">
        <is>
          <t>Vista</t>
        </is>
      </c>
      <c r="F98" s="22" t="inlineStr"/>
    </row>
    <row r="99">
      <c r="A99" s="22" t="inlineStr">
        <is>
          <t>control_interno</t>
        </is>
      </c>
      <c r="B99" s="22" t="inlineStr">
        <is>
          <t>auditoria</t>
        </is>
      </c>
      <c r="C99" s="22" t="inlineStr">
        <is>
          <t>responsable_area_nombre</t>
        </is>
      </c>
      <c r="D99" s="22" t="inlineStr">
        <is>
          <t>control_interno.v_auditorias_kanban_completo</t>
        </is>
      </c>
      <c r="E99" s="22" t="inlineStr">
        <is>
          <t>Vista</t>
        </is>
      </c>
      <c r="F99" s="22" t="inlineStr"/>
    </row>
    <row r="100">
      <c r="A100" s="22" t="inlineStr">
        <is>
          <t>control_interno</t>
        </is>
      </c>
      <c r="B100" s="22" t="inlineStr">
        <is>
          <t>auditoria</t>
        </is>
      </c>
      <c r="C100" s="22" t="inlineStr">
        <is>
          <t>responsable_area_cargo</t>
        </is>
      </c>
      <c r="D100" s="22" t="inlineStr">
        <is>
          <t>control_interno.v_auditorias_kanban_completo</t>
        </is>
      </c>
      <c r="E100" s="22" t="inlineStr">
        <is>
          <t>Vista</t>
        </is>
      </c>
      <c r="F100" s="22" t="inlineStr"/>
    </row>
    <row r="101">
      <c r="A101" s="22" t="inlineStr">
        <is>
          <t>control_interno</t>
        </is>
      </c>
      <c r="B101" s="22" t="inlineStr">
        <is>
          <t>auditoria</t>
        </is>
      </c>
      <c r="C101" s="22" t="inlineStr">
        <is>
          <t>responsable_area_email</t>
        </is>
      </c>
      <c r="D101" s="22" t="inlineStr">
        <is>
          <t>control_interno.v_auditorias_kanban_completo</t>
        </is>
      </c>
      <c r="E101" s="22" t="inlineStr">
        <is>
          <t>Vista</t>
        </is>
      </c>
      <c r="F101" s="22" t="inlineStr"/>
    </row>
    <row r="102">
      <c r="A102" s="22" t="inlineStr">
        <is>
          <t>control_interno</t>
        </is>
      </c>
      <c r="B102" s="22" t="inlineStr">
        <is>
          <t>auditoria</t>
        </is>
      </c>
      <c r="C102" s="22" t="inlineStr">
        <is>
          <t>fecha_reunion_apertura</t>
        </is>
      </c>
      <c r="D102" s="22" t="inlineStr">
        <is>
          <t>control_interno.v_auditorias_kanban_completo</t>
        </is>
      </c>
      <c r="E102" s="22" t="inlineStr">
        <is>
          <t>Vista</t>
        </is>
      </c>
      <c r="F102" s="22" t="inlineStr"/>
    </row>
    <row r="103">
      <c r="A103" s="22" t="inlineStr">
        <is>
          <t>control_interno</t>
        </is>
      </c>
      <c r="B103" s="22" t="inlineStr">
        <is>
          <t>auditoria</t>
        </is>
      </c>
      <c r="C103" s="22" t="inlineStr">
        <is>
          <t>archivada</t>
        </is>
      </c>
      <c r="D103" s="22" t="inlineStr">
        <is>
          <t>control_interno.fn_calcular_cumplimiento_auditorias</t>
        </is>
      </c>
      <c r="E103" s="22" t="inlineStr">
        <is>
          <t>Función</t>
        </is>
      </c>
      <c r="F103" s="22" t="inlineStr">
        <is>
          <t>AND archivada = false
AND archivada = false</t>
        </is>
      </c>
    </row>
    <row r="104">
      <c r="A104" s="22" t="inlineStr">
        <is>
          <t>control_interno</t>
        </is>
      </c>
      <c r="B104" s="22" t="inlineStr">
        <is>
          <t>auditoria</t>
        </is>
      </c>
      <c r="C104" s="22" t="inlineStr">
        <is>
          <t>archivada</t>
        </is>
      </c>
      <c r="D104" s="22" t="inlineStr">
        <is>
          <t>control_interno.fn_vincular_auditorias_actividad</t>
        </is>
      </c>
      <c r="E104" s="22" t="inlineStr">
        <is>
          <t>Función</t>
        </is>
      </c>
      <c r="F104" s="22" t="inlineStr">
        <is>
          <t>AND archivada = false</t>
        </is>
      </c>
    </row>
    <row r="105">
      <c r="A105" s="22" t="inlineStr">
        <is>
          <t>control_interno</t>
        </is>
      </c>
      <c r="B105" s="22" t="inlineStr">
        <is>
          <t>auditoria</t>
        </is>
      </c>
      <c r="C105" s="22" t="inlineStr">
        <is>
          <t>archivada</t>
        </is>
      </c>
      <c r="D105" s="22" t="inlineStr">
        <is>
          <t>trg_actualizar_cumplimiento_auditorias</t>
        </is>
      </c>
      <c r="E105" s="22" t="inlineStr">
        <is>
          <t>Trigger (UPDATE OF)</t>
        </is>
      </c>
      <c r="F105" s="22" t="inlineStr"/>
    </row>
    <row r="106">
      <c r="A106" s="22" t="inlineStr">
        <is>
          <t>control_interno</t>
        </is>
      </c>
      <c r="B106" s="22" t="inlineStr">
        <is>
          <t>auditoria</t>
        </is>
      </c>
      <c r="C106" s="22" t="inlineStr">
        <is>
          <t>archivada</t>
        </is>
      </c>
      <c r="D106" s="22" t="inlineStr">
        <is>
          <t>control_interno.v_auditor_disponibilidad</t>
        </is>
      </c>
      <c r="E106" s="22" t="inlineStr">
        <is>
          <t>Vista</t>
        </is>
      </c>
      <c r="F106" s="22" t="inlineStr"/>
    </row>
    <row r="107">
      <c r="A107" s="22" t="inlineStr">
        <is>
          <t>control_interno</t>
        </is>
      </c>
      <c r="B107" s="22" t="inlineStr">
        <is>
          <t>auditoria</t>
        </is>
      </c>
      <c r="C107" s="22" t="inlineStr">
        <is>
          <t>archivada</t>
        </is>
      </c>
      <c r="D107" s="22" t="inlineStr">
        <is>
          <t>control_interno.v_auditorias_finalizadas</t>
        </is>
      </c>
      <c r="E107" s="22" t="inlineStr">
        <is>
          <t>Vista</t>
        </is>
      </c>
      <c r="F107" s="22" t="inlineStr"/>
    </row>
    <row r="108">
      <c r="A108" s="22" t="inlineStr">
        <is>
          <t>control_interno</t>
        </is>
      </c>
      <c r="B108" s="22" t="inlineStr">
        <is>
          <t>auditoria</t>
        </is>
      </c>
      <c r="C108" s="22" t="inlineStr">
        <is>
          <t>archivada</t>
        </is>
      </c>
      <c r="D108" s="22" t="inlineStr">
        <is>
          <t>control_interno.v_estado_vinculacion_auditorias</t>
        </is>
      </c>
      <c r="E108" s="22" t="inlineStr">
        <is>
          <t>Vista</t>
        </is>
      </c>
      <c r="F108" s="22" t="inlineStr"/>
    </row>
    <row r="109">
      <c r="A109" s="22" t="inlineStr">
        <is>
          <t>control_interno</t>
        </is>
      </c>
      <c r="B109" s="22" t="inlineStr">
        <is>
          <t>auditoria</t>
        </is>
      </c>
      <c r="C109" s="22" t="inlineStr">
        <is>
          <t>archivada</t>
        </is>
      </c>
      <c r="D109" s="22" t="inlineStr">
        <is>
          <t>control_interno.v_resumen_auditorias_por_año</t>
        </is>
      </c>
      <c r="E109" s="22" t="inlineStr">
        <is>
          <t>Vista</t>
        </is>
      </c>
      <c r="F109" s="22" t="inlineStr"/>
    </row>
    <row r="110">
      <c r="A110" s="22" t="inlineStr">
        <is>
          <t>control_interno</t>
        </is>
      </c>
      <c r="B110" s="22" t="inlineStr">
        <is>
          <t>auditoria</t>
        </is>
      </c>
      <c r="C110" s="22" t="inlineStr">
        <is>
          <t>riesgo_kanban</t>
        </is>
      </c>
      <c r="D110" s="22" t="inlineStr">
        <is>
          <t>control_interno.v_auditorias_kanban_completo</t>
        </is>
      </c>
      <c r="E110" s="22" t="inlineStr">
        <is>
          <t>Vista</t>
        </is>
      </c>
      <c r="F110" s="22" t="inlineStr"/>
    </row>
    <row r="111">
      <c r="A111" s="22" t="inlineStr">
        <is>
          <t>control_interno</t>
        </is>
      </c>
      <c r="B111" s="22" t="inlineStr">
        <is>
          <t>auditoria</t>
        </is>
      </c>
      <c r="C111" s="22" t="inlineStr">
        <is>
          <t>ultima_actuacion</t>
        </is>
      </c>
      <c r="D111" s="22" t="inlineStr">
        <is>
          <t>control_interno.v_auditorias_kanban_completo</t>
        </is>
      </c>
      <c r="E111" s="22" t="inlineStr">
        <is>
          <t>Vista</t>
        </is>
      </c>
      <c r="F111" s="22" t="inlineStr"/>
    </row>
    <row r="112">
      <c r="A112" s="22" t="inlineStr">
        <is>
          <t>control_interno</t>
        </is>
      </c>
      <c r="B112" s="22" t="inlineStr">
        <is>
          <t>auditoria</t>
        </is>
      </c>
      <c r="C112" s="22" t="inlineStr">
        <is>
          <t>dias_restantes</t>
        </is>
      </c>
      <c r="D112" s="22" t="inlineStr">
        <is>
          <t>control_interno.v_auditorias_kanban_completo</t>
        </is>
      </c>
      <c r="E112" s="22" t="inlineStr">
        <is>
          <t>Vista</t>
        </is>
      </c>
      <c r="F112" s="22" t="inlineStr"/>
    </row>
    <row r="113">
      <c r="A113" s="22" t="inlineStr">
        <is>
          <t>control_interno</t>
        </is>
      </c>
      <c r="B113" s="22" t="inlineStr">
        <is>
          <t>auditoria</t>
        </is>
      </c>
      <c r="C113" s="22" t="inlineStr">
        <is>
          <t>porcentaje_tiempo</t>
        </is>
      </c>
      <c r="D113" s="22" t="inlineStr">
        <is>
          <t>control_interno.v_auditorias_kanban_completo</t>
        </is>
      </c>
      <c r="E113" s="22" t="inlineStr">
        <is>
          <t>Vista</t>
        </is>
      </c>
      <c r="F113" s="22" t="inlineStr"/>
    </row>
    <row r="114">
      <c r="A114" s="22" t="inlineStr">
        <is>
          <t>control_interno</t>
        </is>
      </c>
      <c r="B114" s="22" t="inlineStr">
        <is>
          <t>auditoria</t>
        </is>
      </c>
      <c r="C114" s="22" t="inlineStr">
        <is>
          <t>total_documentos</t>
        </is>
      </c>
      <c r="D114" s="22" t="inlineStr">
        <is>
          <t>control_interno.actualizar_contadores_documentos_informes</t>
        </is>
      </c>
      <c r="E114" s="22" t="inlineStr">
        <is>
          <t>Función</t>
        </is>
      </c>
      <c r="F114" s="22" t="inlineStr">
        <is>
          <t>total_documentos = COALESCE(total_docs, 0),</t>
        </is>
      </c>
    </row>
    <row r="115">
      <c r="A115" s="22" t="inlineStr">
        <is>
          <t>control_interno</t>
        </is>
      </c>
      <c r="B115" s="22" t="inlineStr">
        <is>
          <t>auditoria</t>
        </is>
      </c>
      <c r="C115" s="22" t="inlineStr">
        <is>
          <t>total_documentos</t>
        </is>
      </c>
      <c r="D115" s="22" t="inlineStr">
        <is>
          <t>control_interno.v_auditorias_kanban_completo</t>
        </is>
      </c>
      <c r="E115" s="22" t="inlineStr">
        <is>
          <t>Vista</t>
        </is>
      </c>
      <c r="F115" s="22" t="inlineStr"/>
    </row>
    <row r="116">
      <c r="A116" s="22" t="inlineStr">
        <is>
          <t>control_interno</t>
        </is>
      </c>
      <c r="B116" s="22" t="inlineStr">
        <is>
          <t>auditoria</t>
        </is>
      </c>
      <c r="C116" s="22" t="inlineStr">
        <is>
          <t>total_informes</t>
        </is>
      </c>
      <c r="D116" s="22" t="inlineStr">
        <is>
          <t>control_interno.actualizar_contadores_documentos_informes</t>
        </is>
      </c>
      <c r="E116" s="22" t="inlineStr">
        <is>
          <t>Función</t>
        </is>
      </c>
      <c r="F116" s="22" t="inlineStr">
        <is>
          <t>total_informes = COALESCE(total_inf, 0),</t>
        </is>
      </c>
    </row>
    <row r="117">
      <c r="A117" s="22" t="inlineStr">
        <is>
          <t>control_interno</t>
        </is>
      </c>
      <c r="B117" s="22" t="inlineStr">
        <is>
          <t>auditoria</t>
        </is>
      </c>
      <c r="C117" s="22" t="inlineStr">
        <is>
          <t>total_informes</t>
        </is>
      </c>
      <c r="D117" s="22" t="inlineStr">
        <is>
          <t>control_interno.v_auditorias_kanban_completo</t>
        </is>
      </c>
      <c r="E117" s="22" t="inlineStr">
        <is>
          <t>Vista</t>
        </is>
      </c>
      <c r="F117" s="22" t="inlineStr"/>
    </row>
    <row r="118">
      <c r="A118" s="22" t="inlineStr">
        <is>
          <t>control_interno</t>
        </is>
      </c>
      <c r="B118" s="22" t="inlineStr">
        <is>
          <t>auditoria</t>
        </is>
      </c>
      <c r="C118" s="22" t="inlineStr">
        <is>
          <t>total_tareas</t>
        </is>
      </c>
      <c r="D118" s="22" t="inlineStr">
        <is>
          <t>control_interno.v_auditorias_kanban_completo</t>
        </is>
      </c>
      <c r="E118" s="22" t="inlineStr">
        <is>
          <t>Vista</t>
        </is>
      </c>
      <c r="F118" s="22" t="inlineStr"/>
    </row>
    <row r="119">
      <c r="A119" s="22" t="inlineStr">
        <is>
          <t>control_interno</t>
        </is>
      </c>
      <c r="B119" s="22" t="inlineStr">
        <is>
          <t>auditoria</t>
        </is>
      </c>
      <c r="C119" s="22" t="inlineStr">
        <is>
          <t>actividades_completas</t>
        </is>
      </c>
      <c r="D119" s="22" t="inlineStr">
        <is>
          <t>control_interno.actualizar_actividades_auditoria</t>
        </is>
      </c>
      <c r="E119" s="22" t="inlineStr">
        <is>
          <t>Función</t>
        </is>
      </c>
      <c r="F119" s="22" t="inlineStr">
        <is>
          <t>SET actividades_completas = (pendientes = 0),</t>
        </is>
      </c>
    </row>
    <row r="120">
      <c r="A120" s="22" t="inlineStr">
        <is>
          <t>control_interno</t>
        </is>
      </c>
      <c r="B120" s="22" t="inlineStr">
        <is>
          <t>auditoria</t>
        </is>
      </c>
      <c r="C120" s="22" t="inlineStr">
        <is>
          <t>actividades_completas</t>
        </is>
      </c>
      <c r="D120" s="22" t="inlineStr">
        <is>
          <t>control_interno.v_auditorias_kanban_completo</t>
        </is>
      </c>
      <c r="E120" s="22" t="inlineStr">
        <is>
          <t>Vista</t>
        </is>
      </c>
      <c r="F120" s="22" t="inlineStr"/>
    </row>
    <row r="121">
      <c r="A121" s="22" t="inlineStr">
        <is>
          <t>control_interno</t>
        </is>
      </c>
      <c r="B121" s="22" t="inlineStr">
        <is>
          <t>auditoria</t>
        </is>
      </c>
      <c r="C121" s="22" t="inlineStr">
        <is>
          <t>actividades_pendientes</t>
        </is>
      </c>
      <c r="D121" s="22" t="inlineStr">
        <is>
          <t>control_interno.actualizar_actividades_auditoria</t>
        </is>
      </c>
      <c r="E121" s="22" t="inlineStr">
        <is>
          <t>Función</t>
        </is>
      </c>
      <c r="F121" s="22" t="inlineStr">
        <is>
          <t>actividades_pendientes = pendientes</t>
        </is>
      </c>
    </row>
    <row r="122">
      <c r="A122" s="22" t="inlineStr">
        <is>
          <t>control_interno</t>
        </is>
      </c>
      <c r="B122" s="22" t="inlineStr">
        <is>
          <t>auditoria</t>
        </is>
      </c>
      <c r="C122" s="22" t="inlineStr">
        <is>
          <t>actividades_pendientes</t>
        </is>
      </c>
      <c r="D122" s="22" t="inlineStr">
        <is>
          <t>control_interno.v_auditorias_kanban_completo</t>
        </is>
      </c>
      <c r="E122" s="22" t="inlineStr">
        <is>
          <t>Vista</t>
        </is>
      </c>
      <c r="F122" s="22" t="inlineStr"/>
    </row>
    <row r="123">
      <c r="A123" s="22" t="inlineStr">
        <is>
          <t>control_interno</t>
        </is>
      </c>
      <c r="B123" s="22" t="inlineStr">
        <is>
          <t>auditoria_especial_info</t>
        </is>
      </c>
      <c r="C123" s="22" t="inlineStr">
        <is>
          <t>tipo_motivo</t>
        </is>
      </c>
      <c r="D123" s="22" t="inlineStr">
        <is>
          <t>control_interno.v_auditorias_kanban_completo</t>
        </is>
      </c>
      <c r="E123" s="22" t="inlineStr">
        <is>
          <t>Vista</t>
        </is>
      </c>
      <c r="F123" s="22" t="inlineStr"/>
    </row>
    <row r="124">
      <c r="A124" s="22" t="inlineStr">
        <is>
          <t>control_interno</t>
        </is>
      </c>
      <c r="B124" s="22" t="inlineStr">
        <is>
          <t>auditoria_especial_info</t>
        </is>
      </c>
      <c r="C124" s="22" t="inlineStr">
        <is>
          <t>solicitante</t>
        </is>
      </c>
      <c r="D124" s="22" t="inlineStr">
        <is>
          <t>control_interno.v_auditorias_kanban_completo</t>
        </is>
      </c>
      <c r="E124" s="22" t="inlineStr">
        <is>
          <t>Vista</t>
        </is>
      </c>
      <c r="F124" s="22" t="inlineStr"/>
    </row>
    <row r="125">
      <c r="A125" s="22" t="inlineStr">
        <is>
          <t>control_interno</t>
        </is>
      </c>
      <c r="B125" s="22" t="inlineStr">
        <is>
          <t>auditoria_especial_info</t>
        </is>
      </c>
      <c r="C125" s="22" t="inlineStr">
        <is>
          <t>justificacion</t>
        </is>
      </c>
      <c r="D125" s="22" t="inlineStr">
        <is>
          <t>control_interno.v_auditorias_kanban_completo</t>
        </is>
      </c>
      <c r="E125" s="22" t="inlineStr">
        <is>
          <t>Vista</t>
        </is>
      </c>
      <c r="F125" s="22" t="inlineStr"/>
    </row>
    <row r="126">
      <c r="A126" s="22" t="inlineStr">
        <is>
          <t>control_interno</t>
        </is>
      </c>
      <c r="B126" s="22" t="inlineStr">
        <is>
          <t>auditoria_territorial_info</t>
        </is>
      </c>
      <c r="C126" s="22" t="inlineStr">
        <is>
          <t>nombre</t>
        </is>
      </c>
      <c r="D126" s="22" t="inlineStr">
        <is>
          <t>control_interno.v_auditorias_kanban_completo</t>
        </is>
      </c>
      <c r="E126" s="22" t="inlineStr">
        <is>
          <t>Vista</t>
        </is>
      </c>
      <c r="F126" s="22" t="inlineStr"/>
    </row>
    <row r="127">
      <c r="A127" s="22" t="inlineStr">
        <is>
          <t>control_interno</t>
        </is>
      </c>
      <c r="B127" s="22" t="inlineStr">
        <is>
          <t>auditoria_territorial_info</t>
        </is>
      </c>
      <c r="C127" s="22" t="inlineStr">
        <is>
          <t>ciudad</t>
        </is>
      </c>
      <c r="D127" s="22" t="inlineStr">
        <is>
          <t>control_interno.v_auditorias_kanban_completo</t>
        </is>
      </c>
      <c r="E127" s="22" t="inlineStr">
        <is>
          <t>Vista</t>
        </is>
      </c>
      <c r="F127" s="22" t="inlineStr"/>
    </row>
    <row r="128">
      <c r="A128" s="22" t="inlineStr">
        <is>
          <t>control_interno</t>
        </is>
      </c>
      <c r="B128" s="22" t="inlineStr">
        <is>
          <t>auditoria_territorial_info</t>
        </is>
      </c>
      <c r="C128" s="22" t="inlineStr">
        <is>
          <t>departamento</t>
        </is>
      </c>
      <c r="D128" s="22" t="inlineStr">
        <is>
          <t>control_interno.v_auditorias_kanban_completo</t>
        </is>
      </c>
      <c r="E128" s="22" t="inlineStr">
        <is>
          <t>Vista</t>
        </is>
      </c>
      <c r="F128" s="22" t="inlineStr"/>
    </row>
    <row r="129">
      <c r="A129" s="22" t="inlineStr">
        <is>
          <t>control_interno</t>
        </is>
      </c>
      <c r="B129" s="22" t="inlineStr">
        <is>
          <t>documento</t>
        </is>
      </c>
      <c r="C129" s="22" t="inlineStr">
        <is>
          <t>nombre</t>
        </is>
      </c>
      <c r="D129" s="22" t="inlineStr">
        <is>
          <t>academic_registration.validate_graduate_management_update</t>
        </is>
      </c>
      <c r="E129" s="22" t="inlineStr">
        <is>
          <t>Función</t>
        </is>
      </c>
      <c r="F129" s="22" t="inlineStr">
        <is>
          <t>'El nombre completo debe tener entre 5 y 150 caracteres y solo puede contener letras, espacios, apostrofes y guiones.'
'El nombre solo puede contener letras, espacios, apostrofes y guiones.'</t>
        </is>
      </c>
    </row>
    <row r="130">
      <c r="A130" s="22" t="inlineStr">
        <is>
          <t>control_interno</t>
        </is>
      </c>
      <c r="B130" s="22" t="inlineStr">
        <is>
          <t>documento</t>
        </is>
      </c>
      <c r="C130" s="22" t="inlineStr">
        <is>
          <t>tipo_documento</t>
        </is>
      </c>
      <c r="D130" s="22" t="inlineStr">
        <is>
          <t>control_interno.actualizar_contadores_documentos_informes</t>
        </is>
      </c>
      <c r="E130" s="22" t="inlineStr">
        <is>
          <t>Función</t>
        </is>
      </c>
      <c r="F130" s="22" t="inlineStr">
        <is>
          <t>v_tipo_documento := OLD.tipo_documento;
v_tipo_documento := NEW.tipo_documento;
AND d.tipo_documento IN ('informe_preliminar', 'informe_final', 'informe_ejecutivo')</t>
        </is>
      </c>
    </row>
    <row r="131">
      <c r="A131" s="22" t="inlineStr">
        <is>
          <t>control_interno</t>
        </is>
      </c>
      <c r="B131" s="22" t="inlineStr">
        <is>
          <t>documento</t>
        </is>
      </c>
      <c r="C131" s="22" t="inlineStr">
        <is>
          <t>tipo_documento</t>
        </is>
      </c>
      <c r="D131" s="22" t="inlineStr">
        <is>
          <t>trigger_actualizar_contadores_documentos</t>
        </is>
      </c>
      <c r="E131" s="22" t="inlineStr">
        <is>
          <t>Trigger (UPDATE OF)</t>
        </is>
      </c>
      <c r="F131" s="22" t="inlineStr"/>
    </row>
    <row r="132">
      <c r="A132" s="22" t="inlineStr">
        <is>
          <t>control_interno</t>
        </is>
      </c>
      <c r="B132" s="22" t="inlineStr">
        <is>
          <t>equipo_auditor</t>
        </is>
      </c>
      <c r="C132" s="22" t="inlineStr">
        <is>
          <t>activo</t>
        </is>
      </c>
      <c r="D132" s="22" t="inlineStr">
        <is>
          <t>control_interno.v_auditor_disponibilidad</t>
        </is>
      </c>
      <c r="E132" s="22" t="inlineStr">
        <is>
          <t>Vista</t>
        </is>
      </c>
      <c r="F132" s="22" t="inlineStr"/>
    </row>
    <row r="133">
      <c r="A133" s="22" t="inlineStr">
        <is>
          <t>control_interno</t>
        </is>
      </c>
      <c r="B133" s="22" t="inlineStr">
        <is>
          <t>equipo_auditor</t>
        </is>
      </c>
      <c r="C133" s="22" t="inlineStr">
        <is>
          <t>observaciones</t>
        </is>
      </c>
      <c r="D133" s="22" t="inlineStr">
        <is>
          <t>control_interno.v_auditor_disponibilidad</t>
        </is>
      </c>
      <c r="E133" s="22" t="inlineStr">
        <is>
          <t>Vista</t>
        </is>
      </c>
      <c r="F133" s="22" t="inlineStr"/>
    </row>
    <row r="134">
      <c r="A134" s="22" t="inlineStr">
        <is>
          <t>control_interno</t>
        </is>
      </c>
      <c r="B134" s="22" t="inlineStr">
        <is>
          <t>historial_auditoria</t>
        </is>
      </c>
      <c r="C134" s="22" t="inlineStr">
        <is>
          <t>tipo_evento</t>
        </is>
      </c>
      <c r="D134" s="22" t="inlineStr">
        <is>
          <t>control_interno.fn_registrar_cambio_estado_auditoria</t>
        </is>
      </c>
      <c r="E134" s="22" t="inlineStr">
        <is>
          <t>Función</t>
        </is>
      </c>
      <c r="F134" s="22" t="inlineStr">
        <is>
          <t>tipo_evento,</t>
        </is>
      </c>
    </row>
    <row r="135">
      <c r="A135" s="22" t="inlineStr">
        <is>
          <t>control_interno</t>
        </is>
      </c>
      <c r="B135" s="22" t="inlineStr">
        <is>
          <t>historial_auditoria</t>
        </is>
      </c>
      <c r="C135" s="22" t="inlineStr">
        <is>
          <t>fecha</t>
        </is>
      </c>
      <c r="D135" s="22" t="inlineStr">
        <is>
          <t>control_interno.fn_registrar_cambio_estado_auditoria</t>
        </is>
      </c>
      <c r="E135" s="22" t="inlineStr">
        <is>
          <t>Función</t>
        </is>
      </c>
      <c r="F135" s="22" t="inlineStr">
        <is>
          <t>fecha,</t>
        </is>
      </c>
    </row>
    <row r="136">
      <c r="A136" s="22" t="inlineStr">
        <is>
          <t>control_interno</t>
        </is>
      </c>
      <c r="B136" s="22" t="inlineStr">
        <is>
          <t>historial_auditoria</t>
        </is>
      </c>
      <c r="C136" s="22" t="inlineStr">
        <is>
          <t>hora</t>
        </is>
      </c>
      <c r="D136" s="22" t="inlineStr">
        <is>
          <t>control_interno.fn_registrar_cambio_estado_auditoria</t>
        </is>
      </c>
      <c r="E136" s="22" t="inlineStr">
        <is>
          <t>Función</t>
        </is>
      </c>
      <c r="F136" s="22" t="inlineStr">
        <is>
          <t>hora,</t>
        </is>
      </c>
    </row>
    <row r="137">
      <c r="A137" s="22" t="inlineStr">
        <is>
          <t>control_interno</t>
        </is>
      </c>
      <c r="B137" s="22" t="inlineStr">
        <is>
          <t>historial_auditoria</t>
        </is>
      </c>
      <c r="C137" s="22" t="inlineStr">
        <is>
          <t>accion</t>
        </is>
      </c>
      <c r="D137" s="22" t="inlineStr">
        <is>
          <t>control_interno.fn_registrar_cambio_estado_auditoria</t>
        </is>
      </c>
      <c r="E137" s="22" t="inlineStr">
        <is>
          <t>Función</t>
        </is>
      </c>
      <c r="F137" s="22" t="inlineStr">
        <is>
          <t>accion,</t>
        </is>
      </c>
    </row>
    <row r="138">
      <c r="A138" s="22" t="inlineStr">
        <is>
          <t>control_interno</t>
        </is>
      </c>
      <c r="B138" s="22" t="inlineStr">
        <is>
          <t>historial_auditoria</t>
        </is>
      </c>
      <c r="C138" s="22" t="inlineStr">
        <is>
          <t>descripcion</t>
        </is>
      </c>
      <c r="D138" s="22" t="inlineStr">
        <is>
          <t>control_interno.fn_registrar_cambio_estado_auditoria</t>
        </is>
      </c>
      <c r="E138" s="22" t="inlineStr">
        <is>
          <t>Función</t>
        </is>
      </c>
      <c r="F138" s="22" t="inlineStr">
        <is>
          <t>descripcion,</t>
        </is>
      </c>
    </row>
    <row r="139">
      <c r="A139" s="22" t="inlineStr">
        <is>
          <t>control_interno</t>
        </is>
      </c>
      <c r="B139" s="22" t="inlineStr">
        <is>
          <t>historial_auditoria</t>
        </is>
      </c>
      <c r="C139" s="22" t="inlineStr">
        <is>
          <t>estado_anterior</t>
        </is>
      </c>
      <c r="D139" s="22" t="inlineStr">
        <is>
          <t>control_interno.fn_registrar_cambio_estado_auditoria</t>
        </is>
      </c>
      <c r="E139" s="22" t="inlineStr">
        <is>
          <t>Función</t>
        </is>
      </c>
      <c r="F139" s="22" t="inlineStr">
        <is>
          <t>-- Manejar NULL: si estado_anterior es NULL, mostrar "Planeación" (estado inicial por defecto)
estado_anterior,</t>
        </is>
      </c>
    </row>
    <row r="140">
      <c r="A140" s="22" t="inlineStr">
        <is>
          <t>control_interno</t>
        </is>
      </c>
      <c r="B140" s="22" t="inlineStr">
        <is>
          <t>historial_auditoria</t>
        </is>
      </c>
      <c r="C140" s="22" t="inlineStr">
        <is>
          <t>estado_nuevo</t>
        </is>
      </c>
      <c r="D140" s="22" t="inlineStr">
        <is>
          <t>control_interno.fn_registrar_cambio_estado_auditoria</t>
        </is>
      </c>
      <c r="E140" s="22" t="inlineStr">
        <is>
          <t>Función</t>
        </is>
      </c>
      <c r="F140" s="22" t="inlineStr">
        <is>
          <t>estado_nuevo,</t>
        </is>
      </c>
    </row>
    <row r="141">
      <c r="A141" s="22" t="inlineStr">
        <is>
          <t>control_interno</t>
        </is>
      </c>
      <c r="B141" s="22" t="inlineStr">
        <is>
          <t>historial_auditoria</t>
        </is>
      </c>
      <c r="C141" s="22" t="inlineStr">
        <is>
          <t>usuario_id</t>
        </is>
      </c>
      <c r="D141" s="22" t="inlineStr">
        <is>
          <t>control_interno.fn_registrar_cambio_estado_auditoria</t>
        </is>
      </c>
      <c r="E141" s="22" t="inlineStr">
        <is>
          <t>Función</t>
        </is>
      </c>
      <c r="F141" s="22" t="inlineStr">
        <is>
          <t>usuario_id,</t>
        </is>
      </c>
    </row>
    <row r="142">
      <c r="A142" s="22" t="inlineStr">
        <is>
          <t>control_interno</t>
        </is>
      </c>
      <c r="B142" s="22" t="inlineStr">
        <is>
          <t>historial_plan_anual</t>
        </is>
      </c>
      <c r="C142" s="22" t="inlineStr">
        <is>
          <t>fecha</t>
        </is>
      </c>
      <c r="D142" s="22" t="inlineStr">
        <is>
          <t>control_interno.fn_registrar_cambio_estado_plan_anual</t>
        </is>
      </c>
      <c r="E142" s="22" t="inlineStr">
        <is>
          <t>Función</t>
        </is>
      </c>
      <c r="F142" s="22" t="inlineStr">
        <is>
          <t>fecha,</t>
        </is>
      </c>
    </row>
    <row r="143">
      <c r="A143" s="22" t="inlineStr">
        <is>
          <t>control_interno</t>
        </is>
      </c>
      <c r="B143" s="22" t="inlineStr">
        <is>
          <t>historial_plan_anual</t>
        </is>
      </c>
      <c r="C143" s="22" t="inlineStr">
        <is>
          <t>hora</t>
        </is>
      </c>
      <c r="D143" s="22" t="inlineStr">
        <is>
          <t>control_interno.fn_registrar_cambio_estado_plan_anual</t>
        </is>
      </c>
      <c r="E143" s="22" t="inlineStr">
        <is>
          <t>Función</t>
        </is>
      </c>
      <c r="F143" s="22" t="inlineStr">
        <is>
          <t>hora,</t>
        </is>
      </c>
    </row>
    <row r="144">
      <c r="A144" s="22" t="inlineStr">
        <is>
          <t>control_interno</t>
        </is>
      </c>
      <c r="B144" s="22" t="inlineStr">
        <is>
          <t>historial_plan_anual</t>
        </is>
      </c>
      <c r="C144" s="22" t="inlineStr">
        <is>
          <t>accion</t>
        </is>
      </c>
      <c r="D144" s="22" t="inlineStr">
        <is>
          <t>control_interno.fn_registrar_cambio_estado_plan_anual</t>
        </is>
      </c>
      <c r="E144" s="22" t="inlineStr">
        <is>
          <t>Función</t>
        </is>
      </c>
      <c r="F144" s="22" t="inlineStr">
        <is>
          <t>accion,</t>
        </is>
      </c>
    </row>
    <row r="145">
      <c r="A145" s="22" t="inlineStr">
        <is>
          <t>control_interno</t>
        </is>
      </c>
      <c r="B145" s="22" t="inlineStr">
        <is>
          <t>historial_plan_anual</t>
        </is>
      </c>
      <c r="C145" s="22" t="inlineStr">
        <is>
          <t>descripcion</t>
        </is>
      </c>
      <c r="D145" s="22" t="inlineStr">
        <is>
          <t>control_interno.fn_registrar_cambio_estado_plan_anual</t>
        </is>
      </c>
      <c r="E145" s="22" t="inlineStr">
        <is>
          <t>Función</t>
        </is>
      </c>
      <c r="F145" s="22" t="inlineStr">
        <is>
          <t>descripcion,</t>
        </is>
      </c>
    </row>
    <row r="146">
      <c r="A146" s="22" t="inlineStr">
        <is>
          <t>control_interno</t>
        </is>
      </c>
      <c r="B146" s="22" t="inlineStr">
        <is>
          <t>historial_plan_anual</t>
        </is>
      </c>
      <c r="C146" s="22" t="inlineStr">
        <is>
          <t>estado_anterior</t>
        </is>
      </c>
      <c r="D146" s="22" t="inlineStr">
        <is>
          <t>control_interno.fn_registrar_cambio_estado_plan_anual</t>
        </is>
      </c>
      <c r="E146" s="22" t="inlineStr">
        <is>
          <t>Función</t>
        </is>
      </c>
      <c r="F146" s="22" t="inlineStr">
        <is>
          <t>estado_anterior,</t>
        </is>
      </c>
    </row>
    <row r="147">
      <c r="A147" s="22" t="inlineStr">
        <is>
          <t>control_interno</t>
        </is>
      </c>
      <c r="B147" s="22" t="inlineStr">
        <is>
          <t>historial_plan_anual</t>
        </is>
      </c>
      <c r="C147" s="22" t="inlineStr">
        <is>
          <t>estado_nuevo</t>
        </is>
      </c>
      <c r="D147" s="22" t="inlineStr">
        <is>
          <t>control_interno.fn_registrar_cambio_estado_plan_anual</t>
        </is>
      </c>
      <c r="E147" s="22" t="inlineStr">
        <is>
          <t>Función</t>
        </is>
      </c>
      <c r="F147" s="22" t="inlineStr">
        <is>
          <t>estado_nuevo,</t>
        </is>
      </c>
    </row>
    <row r="148">
      <c r="A148" s="22" t="inlineStr">
        <is>
          <t>control_interno</t>
        </is>
      </c>
      <c r="B148" s="22" t="inlineStr">
        <is>
          <t>plan_anual_5_roles</t>
        </is>
      </c>
      <c r="C148" s="22" t="inlineStr">
        <is>
          <t>ano</t>
        </is>
      </c>
      <c r="D148" s="22" t="inlineStr">
        <is>
          <t>control_interno.fn_actualizar_cumplimiento_auditorias_vigencia</t>
        </is>
      </c>
      <c r="E148" s="22" t="inlineStr">
        <is>
          <t>Función</t>
        </is>
      </c>
      <c r="F148" s="22" t="inlineStr">
        <is>
          <t>AND p.ano = p_año</t>
        </is>
      </c>
    </row>
    <row r="149">
      <c r="A149" s="22" t="inlineStr">
        <is>
          <t>control_interno</t>
        </is>
      </c>
      <c r="B149" s="22" t="inlineStr">
        <is>
          <t>plan_anual_5_roles</t>
        </is>
      </c>
      <c r="C149" s="22" t="inlineStr">
        <is>
          <t>ano</t>
        </is>
      </c>
      <c r="D149" s="22" t="inlineStr">
        <is>
          <t>control_interno.fn_configurar_todos_planes_auditorias</t>
        </is>
      </c>
      <c r="E149" s="22" t="inlineStr">
        <is>
          <t>Función</t>
        </is>
      </c>
      <c r="F149" s="22" t="inlineStr">
        <is>
          <t>SELECT id, ano
ORDER BY ano DESC
v_actividad_id := control_interno.fn_configurar_actividad_auditorias_plan(v_plan.id, v_plan.ano::INTEGER);</t>
        </is>
      </c>
    </row>
    <row r="150">
      <c r="A150" s="22" t="inlineStr">
        <is>
          <t>control_interno</t>
        </is>
      </c>
      <c r="B150" s="22" t="inlineStr">
        <is>
          <t>plan_anual_5_roles</t>
        </is>
      </c>
      <c r="C150" s="22" t="inlineStr">
        <is>
          <t>ano</t>
        </is>
      </c>
      <c r="D150" s="22" t="inlineStr">
        <is>
          <t>control_interno.v_estado_vinculacion_auditorias</t>
        </is>
      </c>
      <c r="E150" s="22" t="inlineStr">
        <is>
          <t>Vista</t>
        </is>
      </c>
      <c r="F150" s="22" t="inlineStr"/>
    </row>
    <row r="151">
      <c r="A151" s="22" t="inlineStr">
        <is>
          <t>control_interno</t>
        </is>
      </c>
      <c r="B151" s="22" t="inlineStr">
        <is>
          <t>plan_mejoramiento</t>
        </is>
      </c>
      <c r="C151" s="22" t="inlineStr">
        <is>
          <t>area_responsable</t>
        </is>
      </c>
      <c r="D151" s="22" t="inlineStr">
        <is>
          <t>control_interno.trigger_evento_creacion_plan</t>
        </is>
      </c>
      <c r="E151" s="22" t="inlineStr">
        <is>
          <t>Función</t>
        </is>
      </c>
      <c r="F151" s="22" t="inlineStr">
        <is>
          <t>'area_responsable', NEW.area_responsable</t>
        </is>
      </c>
    </row>
    <row r="152">
      <c r="A152" s="22" t="inlineStr">
        <is>
          <t>control_interno</t>
        </is>
      </c>
      <c r="B152" s="22" t="inlineStr">
        <is>
          <t>plan_mejoramiento</t>
        </is>
      </c>
      <c r="C152" s="22" t="inlineStr">
        <is>
          <t>responsable_implementacion</t>
        </is>
      </c>
      <c r="D152" s="22" t="inlineStr">
        <is>
          <t>control_interno.trigger_evento_actualizacion_plan</t>
        </is>
      </c>
      <c r="E152" s="22" t="inlineStr">
        <is>
          <t>Función</t>
        </is>
      </c>
      <c r="F152" s="22" t="inlineStr">
        <is>
          <t>COALESCE(NEW.aprobado_por, NEW.responsable_implementacion),  -- usar aprobado_por si es aprobación, sino responsable_implementacion</t>
        </is>
      </c>
    </row>
    <row r="153">
      <c r="A153" s="22" t="inlineStr">
        <is>
          <t>control_interno</t>
        </is>
      </c>
      <c r="B153" s="22" t="inlineStr">
        <is>
          <t>plan_mejoramiento</t>
        </is>
      </c>
      <c r="C153" s="22" t="inlineStr">
        <is>
          <t>responsable_implementacion</t>
        </is>
      </c>
      <c r="D153" s="22" t="inlineStr">
        <is>
          <t>control_interno.trigger_evento_creacion_plan</t>
        </is>
      </c>
      <c r="E153" s="22" t="inlineStr">
        <is>
          <t>Función</t>
        </is>
      </c>
      <c r="F153" s="22" t="inlineStr">
        <is>
          <t>NEW.responsable_implementacion,  -- usar responsable_implementacion</t>
        </is>
      </c>
    </row>
    <row r="154">
      <c r="A154" s="22" t="inlineStr">
        <is>
          <t>control_interno</t>
        </is>
      </c>
      <c r="B154" s="22" t="inlineStr">
        <is>
          <t>plan_mejoramiento</t>
        </is>
      </c>
      <c r="C154" s="22" t="inlineStr">
        <is>
          <t>estado</t>
        </is>
      </c>
      <c r="D154" s="22" t="inlineStr">
        <is>
          <t>control_interno.trigger_evento_actualizacion_plan</t>
        </is>
      </c>
      <c r="E154" s="22" t="inlineStr">
        <is>
          <t>Función</t>
        </is>
      </c>
      <c r="F154" s="22" t="inlineStr">
        <is>
          <t>-- Solo registrar si cambió el estado
IF OLD.estado IS DISTINCT FROM NEW.estado THEN
WHEN NEW.estado = 'aprobado' THEN 'APROBACION'::control_interno.tipo_evento_timeline</t>
        </is>
      </c>
    </row>
    <row r="155">
      <c r="A155" s="22" t="inlineStr">
        <is>
          <t>control_interno</t>
        </is>
      </c>
      <c r="B155" s="22" t="inlineStr">
        <is>
          <t>plan_mejoramiento</t>
        </is>
      </c>
      <c r="C155" s="22" t="inlineStr">
        <is>
          <t>estado</t>
        </is>
      </c>
      <c r="D155" s="22" t="inlineStr">
        <is>
          <t>control_interno.trigger_evento_creacion_plan</t>
        </is>
      </c>
      <c r="E155" s="22" t="inlineStr">
        <is>
          <t>Función</t>
        </is>
      </c>
      <c r="F155" s="22" t="inlineStr">
        <is>
          <t>'estado_inicial', NEW.estado,</t>
        </is>
      </c>
    </row>
    <row r="156">
      <c r="A156" s="22" t="inlineStr">
        <is>
          <t>control_interno</t>
        </is>
      </c>
      <c r="B156" s="22" t="inlineStr">
        <is>
          <t>plan_mejoramiento</t>
        </is>
      </c>
      <c r="C156" s="22" t="inlineStr">
        <is>
          <t>fecha_limite</t>
        </is>
      </c>
      <c r="D156" s="22" t="inlineStr">
        <is>
          <t>control_interno.trigger_evento_creacion_plan</t>
        </is>
      </c>
      <c r="E156" s="22" t="inlineStr">
        <is>
          <t>Función</t>
        </is>
      </c>
      <c r="F156" s="22" t="inlineStr">
        <is>
          <t>'fecha_limite', NEW.fecha_limite,</t>
        </is>
      </c>
    </row>
    <row r="157">
      <c r="A157" s="22" t="inlineStr">
        <is>
          <t>control_interno</t>
        </is>
      </c>
      <c r="B157" s="22" t="inlineStr">
        <is>
          <t>plan_mejoramiento</t>
        </is>
      </c>
      <c r="C157" s="22" t="inlineStr">
        <is>
          <t>aprobado_por</t>
        </is>
      </c>
      <c r="D157" s="22" t="inlineStr">
        <is>
          <t>control_interno.trigger_evento_actualizacion_plan</t>
        </is>
      </c>
      <c r="E157" s="22" t="inlineStr">
        <is>
          <t>Función</t>
        </is>
      </c>
      <c r="F157" s="22" t="inlineStr">
        <is>
          <t>COALESCE(NEW.aprobado_por, NEW.responsable_implementacion),  -- usar aprobado_por si es aprobación, sino responsable_implementacion</t>
        </is>
      </c>
    </row>
    <row r="158">
      <c r="A158" s="22" t="inlineStr">
        <is>
          <t>control_interno</t>
        </is>
      </c>
      <c r="B158" s="22" t="inlineStr">
        <is>
          <t>reunion_apertura</t>
        </is>
      </c>
      <c r="C158" s="22" t="inlineStr">
        <is>
          <t>modalidad</t>
        </is>
      </c>
      <c r="D158" s="22" t="inlineStr">
        <is>
          <t>control_interno.v_auditorias_kanban_completo</t>
        </is>
      </c>
      <c r="E158" s="22" t="inlineStr">
        <is>
          <t>Vista</t>
        </is>
      </c>
      <c r="F158" s="22" t="inlineStr"/>
    </row>
    <row r="159">
      <c r="A159" s="22" t="inlineStr">
        <is>
          <t>control_interno</t>
        </is>
      </c>
      <c r="B159" s="22" t="inlineStr">
        <is>
          <t>reunion_apertura</t>
        </is>
      </c>
      <c r="C159" s="22" t="inlineStr">
        <is>
          <t>estado_acta</t>
        </is>
      </c>
      <c r="D159" s="22" t="inlineStr">
        <is>
          <t>control_interno.v_auditorias_kanban_completo</t>
        </is>
      </c>
      <c r="E159" s="22" t="inlineStr">
        <is>
          <t>Vista</t>
        </is>
      </c>
      <c r="F159" s="22" t="inlineStr"/>
    </row>
    <row r="160">
      <c r="A160" s="22" t="inlineStr">
        <is>
          <t>control_interno</t>
        </is>
      </c>
      <c r="B160" s="22" t="inlineStr">
        <is>
          <t>rol_plan_anual_5</t>
        </is>
      </c>
      <c r="C160" s="22" t="inlineStr">
        <is>
          <t>plan_id</t>
        </is>
      </c>
      <c r="D160" s="22" t="inlineStr">
        <is>
          <t>control_interno.fn_actualizar_cumplimiento_auditorias_vigencia</t>
        </is>
      </c>
      <c r="E160" s="22" t="inlineStr">
        <is>
          <t>Función</t>
        </is>
      </c>
      <c r="F160" s="22" t="inlineStr">
        <is>
          <t>INNER JOIN control_interno.plan_anual_5_roles p ON r.plan_id = p.id</t>
        </is>
      </c>
    </row>
    <row r="161">
      <c r="A161" s="22" t="inlineStr">
        <is>
          <t>control_interno</t>
        </is>
      </c>
      <c r="B161" s="22" t="inlineStr">
        <is>
          <t>rol_plan_anual_5</t>
        </is>
      </c>
      <c r="C161" s="22" t="inlineStr">
        <is>
          <t>plan_id</t>
        </is>
      </c>
      <c r="D161" s="22" t="inlineStr">
        <is>
          <t>control_interno.fn_configurar_actividad_auditorias_plan</t>
        </is>
      </c>
      <c r="E161" s="22" t="inlineStr">
        <is>
          <t>Función</t>
        </is>
      </c>
      <c r="F161" s="22" t="inlineStr">
        <is>
          <t>WHERE r.plan_id = p_plan_id
WHERE r.plan_id = p_plan_id
AND r.plan_id = p_plan_id</t>
        </is>
      </c>
    </row>
    <row r="162">
      <c r="A162" s="22" t="inlineStr">
        <is>
          <t>control_interno</t>
        </is>
      </c>
      <c r="B162" s="22" t="inlineStr">
        <is>
          <t>rol_plan_anual_5</t>
        </is>
      </c>
      <c r="C162" s="22" t="inlineStr">
        <is>
          <t>plan_id</t>
        </is>
      </c>
      <c r="D162" s="22" t="inlineStr">
        <is>
          <t>control_interno.v_estado_vinculacion_auditorias</t>
        </is>
      </c>
      <c r="E162" s="22" t="inlineStr">
        <is>
          <t>Vista</t>
        </is>
      </c>
      <c r="F162" s="22" t="inlineStr"/>
    </row>
    <row r="163">
      <c r="A163" s="22" t="inlineStr">
        <is>
          <t>control_interno</t>
        </is>
      </c>
      <c r="B163" s="22" t="inlineStr">
        <is>
          <t>rol_plan_anual_5</t>
        </is>
      </c>
      <c r="C163" s="22" t="inlineStr">
        <is>
          <t>rol_numero</t>
        </is>
      </c>
      <c r="D163" s="22" t="inlineStr">
        <is>
          <t>control_interno.fn_actualizar_cumplimiento_auditorias_vigencia</t>
        </is>
      </c>
      <c r="E163" s="22" t="inlineStr">
        <is>
          <t>Función</t>
        </is>
      </c>
      <c r="F163" s="22" t="inlineStr">
        <is>
          <t>WHERE r.rol_numero = 4</t>
        </is>
      </c>
    </row>
    <row r="164">
      <c r="A164" s="22" t="inlineStr">
        <is>
          <t>control_interno</t>
        </is>
      </c>
      <c r="B164" s="22" t="inlineStr">
        <is>
          <t>rol_plan_anual_5</t>
        </is>
      </c>
      <c r="C164" s="22" t="inlineStr">
        <is>
          <t>rol_numero</t>
        </is>
      </c>
      <c r="D164" s="22" t="inlineStr">
        <is>
          <t>control_interno.fn_configurar_actividad_auditorias_plan</t>
        </is>
      </c>
      <c r="E164" s="22" t="inlineStr">
        <is>
          <t>Función</t>
        </is>
      </c>
      <c r="F164" s="22" t="inlineStr">
        <is>
          <t>AND r.rol_numero = 4
AND r.rol_numero = 4</t>
        </is>
      </c>
    </row>
    <row r="165">
      <c r="A165" s="22" t="inlineStr">
        <is>
          <t>control_interno</t>
        </is>
      </c>
      <c r="B165" s="22" t="inlineStr">
        <is>
          <t>rol_plan_anual_5</t>
        </is>
      </c>
      <c r="C165" s="22" t="inlineStr">
        <is>
          <t>rol_numero</t>
        </is>
      </c>
      <c r="D165" s="22" t="inlineStr">
        <is>
          <t>control_interno.v_estado_vinculacion_auditorias</t>
        </is>
      </c>
      <c r="E165" s="22" t="inlineStr">
        <is>
          <t>Vista</t>
        </is>
      </c>
      <c r="F165" s="22" t="inlineStr"/>
    </row>
    <row r="166">
      <c r="A166" s="22" t="inlineStr">
        <is>
          <t>control_interno</t>
        </is>
      </c>
      <c r="B166" s="22" t="inlineStr">
        <is>
          <t>rol_plan_anual_5</t>
        </is>
      </c>
      <c r="C166" s="22" t="inlineStr">
        <is>
          <t>nombre</t>
        </is>
      </c>
      <c r="D166" s="22" t="inlineStr">
        <is>
          <t>control_interno.fn_configurar_actividad_auditorias_plan</t>
        </is>
      </c>
      <c r="E166" s="22" t="inlineStr">
        <is>
          <t>Función</t>
        </is>
      </c>
      <c r="F166" s="22" t="inlineStr">
        <is>
          <t>LOWER(a.nombre) LIKE '%auditoría%'
OR LOWER(a.nombre) LIKE '%auditoria%'
OR LOWER(a.nombre) LIKE '%programa de auditor%'</t>
        </is>
      </c>
    </row>
    <row r="167">
      <c r="A167" s="22" t="inlineStr">
        <is>
          <t>control_interno</t>
        </is>
      </c>
      <c r="B167" s="22" t="inlineStr">
        <is>
          <t>rol_plan_anual_5</t>
        </is>
      </c>
      <c r="C167" s="22" t="inlineStr">
        <is>
          <t>nombre</t>
        </is>
      </c>
      <c r="D167" s="22" t="inlineStr">
        <is>
          <t>control_interno.v_estado_vinculacion_auditorias</t>
        </is>
      </c>
      <c r="E167" s="22" t="inlineStr">
        <is>
          <t>Vista</t>
        </is>
      </c>
      <c r="F167" s="22" t="inlineStr"/>
    </row>
    <row r="168">
      <c r="A168" s="22" t="inlineStr">
        <is>
          <t>control_interno</t>
        </is>
      </c>
      <c r="B168" s="22" t="inlineStr">
        <is>
          <t>rol_plan_anual_5</t>
        </is>
      </c>
      <c r="C168" s="22" t="inlineStr">
        <is>
          <t>porcentaje_cumplimiento</t>
        </is>
      </c>
      <c r="D168" s="22" t="inlineStr">
        <is>
          <t>control_interno.fn_actualizar_cumplimiento_auditorias_vigencia</t>
        </is>
      </c>
      <c r="E168" s="22" t="inlineStr">
        <is>
          <t>Función</t>
        </is>
      </c>
      <c r="F168" s="22" t="inlineStr">
        <is>
          <t>porcentaje_avance = v_cumplimiento.porcentaje_cumplimiento,
WHEN v_cumplimiento.porcentaje_cumplimiento &gt;= 100 THEN 'completada'
WHEN v_cumplimiento.porcentaje_cumplimiento &gt; 0 THEN 'en-progreso'</t>
        </is>
      </c>
    </row>
    <row r="169">
      <c r="A169" s="22" t="inlineStr">
        <is>
          <t>internal_disciplinary_control</t>
        </is>
      </c>
      <c r="B169" s="22" t="inlineStr">
        <is>
          <t>disciplinary_processes</t>
        </is>
      </c>
      <c r="C169" s="22" t="inlineStr">
        <is>
          <t>drafts_count</t>
        </is>
      </c>
      <c r="D169" s="22" t="inlineStr">
        <is>
          <t>public.update_process_statistics</t>
        </is>
      </c>
      <c r="E169" s="22" t="inlineStr">
        <is>
          <t>Función</t>
        </is>
      </c>
      <c r="F169" s="22" t="inlineStr">
        <is>
          <t>-- Update drafts_count
SET drafts_count = (</t>
        </is>
      </c>
    </row>
    <row r="170">
      <c r="A170" s="22" t="inlineStr">
        <is>
          <t>internal_disciplinary_control</t>
        </is>
      </c>
      <c r="B170" s="22" t="inlineStr">
        <is>
          <t>disciplinary_processes</t>
        </is>
      </c>
      <c r="C170" s="22" t="inlineStr">
        <is>
          <t>documents_count</t>
        </is>
      </c>
      <c r="D170" s="22" t="inlineStr">
        <is>
          <t>public.update_process_documents_count</t>
        </is>
      </c>
      <c r="E170" s="22" t="inlineStr">
        <is>
          <t>Función</t>
        </is>
      </c>
      <c r="F170" s="22" t="inlineStr">
        <is>
          <t>SET documents_count = (
SET documents_count = (</t>
        </is>
      </c>
    </row>
    <row r="171">
      <c r="A171" s="22" t="inlineStr">
        <is>
          <t>requerimientos_oc</t>
        </is>
      </c>
      <c r="B171" s="22" t="inlineStr">
        <is>
          <t>hallazgos</t>
        </is>
      </c>
      <c r="C171" s="22" t="inlineStr">
        <is>
          <t>titulo</t>
        </is>
      </c>
      <c r="D171" s="22" t="inlineStr">
        <is>
          <t>control_interno.v_auditorias_kanban_completo</t>
        </is>
      </c>
      <c r="E171" s="22" t="inlineStr">
        <is>
          <t>Vista</t>
        </is>
      </c>
      <c r="F171" s="22" t="inlineStr"/>
    </row>
    <row r="172">
      <c r="A172" s="22" t="inlineStr">
        <is>
          <t>requerimientos_oc</t>
        </is>
      </c>
      <c r="B172" s="22" t="inlineStr">
        <is>
          <t>hallazgos</t>
        </is>
      </c>
      <c r="C172" s="22" t="inlineStr">
        <is>
          <t>descripcion</t>
        </is>
      </c>
      <c r="D172" s="22" t="inlineStr">
        <is>
          <t>control_interno.v_auditorias_kanban_completo</t>
        </is>
      </c>
      <c r="E172" s="22" t="inlineStr">
        <is>
          <t>Vista</t>
        </is>
      </c>
      <c r="F172" s="22" t="inlineStr"/>
    </row>
    <row r="173">
      <c r="A173" s="22" t="inlineStr">
        <is>
          <t>requerimientos_oc</t>
        </is>
      </c>
      <c r="B173" s="22" t="inlineStr">
        <is>
          <t>hallazgos</t>
        </is>
      </c>
      <c r="C173" s="22" t="inlineStr">
        <is>
          <t>estado</t>
        </is>
      </c>
      <c r="D173" s="22" t="inlineStr">
        <is>
          <t>control_interno.v_auditorias_kanban_completo</t>
        </is>
      </c>
      <c r="E173" s="22" t="inlineStr">
        <is>
          <t>Vista</t>
        </is>
      </c>
      <c r="F173" s="22" t="inlineStr"/>
    </row>
    <row r="174">
      <c r="A174" s="22" t="inlineStr">
        <is>
          <t>requerimientos_oc</t>
        </is>
      </c>
      <c r="B174" s="22" t="inlineStr">
        <is>
          <t>hallazgos</t>
        </is>
      </c>
      <c r="C174" s="22" t="inlineStr">
        <is>
          <t>estado</t>
        </is>
      </c>
      <c r="D174" s="22" t="inlineStr">
        <is>
          <t>control_interno.v_auditorias_por_estado</t>
        </is>
      </c>
      <c r="E174" s="22" t="inlineStr">
        <is>
          <t>Vista</t>
        </is>
      </c>
      <c r="F174" s="22" t="inlineStr"/>
    </row>
    <row r="175">
      <c r="A175" s="22" t="inlineStr">
        <is>
          <t>requerimientos_oc</t>
        </is>
      </c>
      <c r="B175" s="22" t="inlineStr">
        <is>
          <t>historial_requerimientos</t>
        </is>
      </c>
      <c r="C175" s="22" t="inlineStr">
        <is>
          <t>accion</t>
        </is>
      </c>
      <c r="D175" s="22" t="inlineStr">
        <is>
          <t>requerimientos_oc.registrar_historial_requerimiento</t>
        </is>
      </c>
      <c r="E175" s="22" t="inlineStr">
        <is>
          <t>Función</t>
        </is>
      </c>
      <c r="F175" s="22" t="inlineStr">
        <is>
          <t>INSERT INTO historial_requerimientos (requerimiento_id, accion, descripcion, estado_anterior, estado_nuevo)</t>
        </is>
      </c>
    </row>
    <row r="176">
      <c r="A176" s="22" t="inlineStr">
        <is>
          <t>requerimientos_oc</t>
        </is>
      </c>
      <c r="B176" s="22" t="inlineStr">
        <is>
          <t>historial_requerimientos</t>
        </is>
      </c>
      <c r="C176" s="22" t="inlineStr">
        <is>
          <t>descripcion</t>
        </is>
      </c>
      <c r="D176" s="22" t="inlineStr">
        <is>
          <t>requerimientos_oc.registrar_historial_requerimiento</t>
        </is>
      </c>
      <c r="E176" s="22" t="inlineStr">
        <is>
          <t>Función</t>
        </is>
      </c>
      <c r="F176" s="22" t="inlineStr">
        <is>
          <t>INSERT INTO historial_requerimientos (requerimiento_id, accion, descripcion, estado_anterior, estado_nuevo)</t>
        </is>
      </c>
    </row>
    <row r="177">
      <c r="A177" s="22" t="inlineStr">
        <is>
          <t>requerimientos_oc</t>
        </is>
      </c>
      <c r="B177" s="22" t="inlineStr">
        <is>
          <t>historial_requerimientos</t>
        </is>
      </c>
      <c r="C177" s="22" t="inlineStr">
        <is>
          <t>estado_anterior</t>
        </is>
      </c>
      <c r="D177" s="22" t="inlineStr">
        <is>
          <t>requerimientos_oc.registrar_historial_requerimiento</t>
        </is>
      </c>
      <c r="E177" s="22" t="inlineStr">
        <is>
          <t>Función</t>
        </is>
      </c>
      <c r="F177" s="22" t="inlineStr">
        <is>
          <t>INSERT INTO historial_requerimientos (requerimiento_id, accion, descripcion, estado_anterior, estado_nuevo)</t>
        </is>
      </c>
    </row>
    <row r="178">
      <c r="A178" s="22" t="inlineStr">
        <is>
          <t>requerimientos_oc</t>
        </is>
      </c>
      <c r="B178" s="22" t="inlineStr">
        <is>
          <t>historial_requerimientos</t>
        </is>
      </c>
      <c r="C178" s="22" t="inlineStr">
        <is>
          <t>estado_nuevo</t>
        </is>
      </c>
      <c r="D178" s="22" t="inlineStr">
        <is>
          <t>requerimientos_oc.registrar_historial_requerimiento</t>
        </is>
      </c>
      <c r="E178" s="22" t="inlineStr">
        <is>
          <t>Función</t>
        </is>
      </c>
      <c r="F178" s="22" t="inlineStr">
        <is>
          <t>INSERT INTO historial_requerimientos (requerimiento_id, accion, descripcion, estado_anterior, estado_nuevo)</t>
        </is>
      </c>
    </row>
    <row r="179">
      <c r="A179" s="22" t="inlineStr">
        <is>
          <t>audit</t>
        </is>
      </c>
      <c r="B179" s="22" t="inlineStr">
        <is>
          <t>request_logs</t>
        </is>
      </c>
      <c r="C179" s="22" t="inlineStr">
        <is>
          <t>method</t>
        </is>
      </c>
      <c r="D179" s="22" t="inlineStr">
        <is>
          <t>audit.request_logs_stats</t>
        </is>
      </c>
      <c r="E179" s="22" t="inlineStr">
        <is>
          <t>Vista</t>
        </is>
      </c>
      <c r="F179" s="22" t="inlineStr"/>
    </row>
    <row r="180">
      <c r="A180" s="22" t="inlineStr">
        <is>
          <t>audit</t>
        </is>
      </c>
      <c r="B180" s="22" t="inlineStr">
        <is>
          <t>request_logs</t>
        </is>
      </c>
      <c r="C180" s="22" t="inlineStr">
        <is>
          <t>status_code</t>
        </is>
      </c>
      <c r="D180" s="22" t="inlineStr">
        <is>
          <t>audit.request_logs_stats</t>
        </is>
      </c>
      <c r="E180" s="22" t="inlineStr">
        <is>
          <t>Vista</t>
        </is>
      </c>
      <c r="F180" s="22" t="inlineStr"/>
    </row>
    <row r="181">
      <c r="A181" s="22" t="inlineStr">
        <is>
          <t>audit</t>
        </is>
      </c>
      <c r="B181" s="22" t="inlineStr">
        <is>
          <t>request_logs</t>
        </is>
      </c>
      <c r="C181" s="22" t="inlineStr">
        <is>
          <t>response_time_ms</t>
        </is>
      </c>
      <c r="D181" s="22" t="inlineStr">
        <is>
          <t>audit.request_logs_stats</t>
        </is>
      </c>
      <c r="E181" s="22" t="inlineStr">
        <is>
          <t>Vista</t>
        </is>
      </c>
      <c r="F181" s="22" t="inlineStr"/>
    </row>
  </sheetData>
  <autoFilter ref="A1:F1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2026-10-26T15:53:18Z</dcterms:created>
  <dcterms:modified xmlns:dcterms="http://purl.org/dc/terms/" xmlns:xsi="http://www.w3.org/2001/XMLSchema-instance" xsi:type="dcterms:W3CDTF">2026-10-26T15:53:21Z</dcterms:modified>
</cp:coreProperties>
</file>